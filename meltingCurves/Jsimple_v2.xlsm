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ialogsheets/sheet1.xml" ContentType="application/vnd.openxmlformats-officedocument.spreadsheetml.dialog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toronto-my.sharepoint.com/personal/d_dubins_utoronto_ca/Documents/Graduate Projects/Dylan Bauman/"/>
    </mc:Choice>
  </mc:AlternateContent>
  <xr:revisionPtr revIDLastSave="17" documentId="8_{961CB989-30F3-49F1-9B7A-1E73C48B64C6}" xr6:coauthVersionLast="47" xr6:coauthVersionMax="47" xr10:uidLastSave="{753D7456-6F3F-4843-A59F-B914B8671F87}"/>
  <bookViews>
    <workbookView xWindow="28680" yWindow="-120" windowWidth="29040" windowHeight="15990" activeTab="1" xr2:uid="{00000000-000D-0000-FFFF-FFFF00000000}"/>
  </bookViews>
  <sheets>
    <sheet name="Times" sheetId="16" r:id="rId1"/>
    <sheet name="Data" sheetId="1" r:id="rId2"/>
    <sheet name="Curves" sheetId="2" r:id="rId3"/>
    <sheet name="dODdT" sheetId="14" r:id="rId4"/>
    <sheet name="Baselines" sheetId="3" r:id="rId5"/>
    <sheet name="Alphas" sheetId="4" r:id="rId6"/>
    <sheet name="kvals" sheetId="8" r:id="rId7"/>
    <sheet name="Equations" sheetId="12" r:id="rId8"/>
    <sheet name="Equations (Ct)" sheetId="17" r:id="rId9"/>
    <sheet name="Results" sheetId="10" r:id="rId10"/>
    <sheet name="Reminder" sheetId="13" state="hidden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9" i="10" l="1"/>
  <c r="F45" i="10"/>
  <c r="F44" i="10"/>
  <c r="F43" i="10"/>
  <c r="F42" i="10"/>
  <c r="F40" i="10"/>
  <c r="F39" i="10"/>
  <c r="F38" i="10"/>
  <c r="F37" i="10"/>
  <c r="C19" i="10"/>
  <c r="C18" i="10"/>
  <c r="C17" i="10"/>
  <c r="G16" i="10"/>
  <c r="G15" i="10"/>
  <c r="C15" i="10"/>
  <c r="G14" i="10"/>
  <c r="C14" i="10"/>
  <c r="G13" i="10"/>
  <c r="C13" i="10"/>
  <c r="C12" i="10"/>
  <c r="C11" i="10"/>
  <c r="J10" i="10"/>
  <c r="G10" i="10"/>
  <c r="C10" i="10"/>
  <c r="J9" i="10"/>
  <c r="G9" i="10"/>
  <c r="C9" i="10"/>
  <c r="J8" i="10"/>
  <c r="G8" i="10"/>
  <c r="C8" i="10"/>
  <c r="J7" i="10"/>
  <c r="G7" i="10"/>
  <c r="AV4" i="10"/>
  <c r="AU4" i="10"/>
  <c r="AT4" i="10"/>
  <c r="AS4" i="10"/>
  <c r="AR4" i="10"/>
  <c r="AQ4" i="10"/>
  <c r="AP4" i="10"/>
  <c r="AO4" i="10"/>
  <c r="AN4" i="10"/>
  <c r="AM4" i="10"/>
  <c r="AL4" i="10"/>
  <c r="AK4" i="10"/>
  <c r="AJ4" i="10"/>
  <c r="AI4" i="10"/>
  <c r="AH4" i="10"/>
  <c r="AG4" i="10"/>
  <c r="AF4" i="10"/>
  <c r="AE4" i="10"/>
  <c r="AD4" i="10"/>
  <c r="AC4" i="10"/>
  <c r="AB4" i="10"/>
  <c r="AA4" i="10"/>
  <c r="T4" i="10"/>
  <c r="S4" i="10"/>
  <c r="R4" i="10"/>
  <c r="Q4" i="10"/>
  <c r="P4" i="10"/>
  <c r="O4" i="10"/>
  <c r="N4" i="10"/>
  <c r="L4" i="10"/>
  <c r="K4" i="10"/>
  <c r="J4" i="10"/>
  <c r="I4" i="10"/>
  <c r="H4" i="10"/>
  <c r="G4" i="10"/>
  <c r="F4" i="10"/>
  <c r="E4" i="10"/>
  <c r="D4" i="10"/>
  <c r="C4" i="10"/>
  <c r="CA1010" i="2"/>
  <c r="BZ1010" i="2"/>
  <c r="AE1010" i="2"/>
  <c r="AA1010" i="2"/>
  <c r="CA1009" i="2"/>
  <c r="BZ1009" i="2"/>
  <c r="AE1009" i="2"/>
  <c r="AA1009" i="2"/>
  <c r="CA1008" i="2"/>
  <c r="BZ1008" i="2"/>
  <c r="AE1008" i="2"/>
  <c r="AA1008" i="2"/>
  <c r="CA1007" i="2"/>
  <c r="BZ1007" i="2"/>
  <c r="AE1007" i="2"/>
  <c r="AA1007" i="2"/>
  <c r="CA1006" i="2"/>
  <c r="BZ1006" i="2"/>
  <c r="AE1006" i="2"/>
  <c r="AA1006" i="2"/>
  <c r="CA1005" i="2"/>
  <c r="BZ1005" i="2"/>
  <c r="AE1005" i="2"/>
  <c r="AA1005" i="2"/>
  <c r="CA1004" i="2"/>
  <c r="BZ1004" i="2"/>
  <c r="AE1004" i="2"/>
  <c r="AA1004" i="2"/>
  <c r="CA1003" i="2"/>
  <c r="BZ1003" i="2"/>
  <c r="AE1003" i="2"/>
  <c r="AA1003" i="2"/>
  <c r="CA1002" i="2"/>
  <c r="BZ1002" i="2"/>
  <c r="AE1002" i="2"/>
  <c r="AA1002" i="2"/>
  <c r="CA1001" i="2"/>
  <c r="BZ1001" i="2"/>
  <c r="AE1001" i="2"/>
  <c r="AA1001" i="2"/>
  <c r="CA1000" i="2"/>
  <c r="BZ1000" i="2"/>
  <c r="AE1000" i="2"/>
  <c r="AA1000" i="2"/>
  <c r="CA999" i="2"/>
  <c r="BZ999" i="2"/>
  <c r="AE999" i="2"/>
  <c r="AA999" i="2"/>
  <c r="CA998" i="2"/>
  <c r="BZ998" i="2"/>
  <c r="AE998" i="2"/>
  <c r="AA998" i="2"/>
  <c r="CA997" i="2"/>
  <c r="BZ997" i="2"/>
  <c r="AE997" i="2"/>
  <c r="AA997" i="2"/>
  <c r="CA996" i="2"/>
  <c r="BZ996" i="2"/>
  <c r="AE996" i="2"/>
  <c r="AA996" i="2"/>
  <c r="CA995" i="2"/>
  <c r="BZ995" i="2"/>
  <c r="AE995" i="2"/>
  <c r="AA995" i="2"/>
  <c r="CA994" i="2"/>
  <c r="BZ994" i="2"/>
  <c r="AE994" i="2"/>
  <c r="AA994" i="2"/>
  <c r="CA993" i="2"/>
  <c r="BZ993" i="2"/>
  <c r="AE993" i="2"/>
  <c r="AA993" i="2"/>
  <c r="CA992" i="2"/>
  <c r="BZ992" i="2"/>
  <c r="AE992" i="2"/>
  <c r="AA992" i="2"/>
  <c r="CA991" i="2"/>
  <c r="BZ991" i="2"/>
  <c r="AE991" i="2"/>
  <c r="AA991" i="2"/>
  <c r="CA990" i="2"/>
  <c r="BZ990" i="2"/>
  <c r="AE990" i="2"/>
  <c r="AA990" i="2"/>
  <c r="CA989" i="2"/>
  <c r="BZ989" i="2"/>
  <c r="AE989" i="2"/>
  <c r="AA989" i="2"/>
  <c r="CA988" i="2"/>
  <c r="BZ988" i="2"/>
  <c r="AE988" i="2"/>
  <c r="AA988" i="2"/>
  <c r="CA987" i="2"/>
  <c r="BZ987" i="2"/>
  <c r="AE987" i="2"/>
  <c r="AA987" i="2"/>
  <c r="CA986" i="2"/>
  <c r="BZ986" i="2"/>
  <c r="AE986" i="2"/>
  <c r="AA986" i="2"/>
  <c r="CA985" i="2"/>
  <c r="BZ985" i="2"/>
  <c r="AE985" i="2"/>
  <c r="AA985" i="2"/>
  <c r="CA984" i="2"/>
  <c r="BZ984" i="2"/>
  <c r="AE984" i="2"/>
  <c r="AA984" i="2"/>
  <c r="CA983" i="2"/>
  <c r="BZ983" i="2"/>
  <c r="AE983" i="2"/>
  <c r="AA983" i="2"/>
  <c r="CA982" i="2"/>
  <c r="BZ982" i="2"/>
  <c r="AE982" i="2"/>
  <c r="AA982" i="2"/>
  <c r="CA981" i="2"/>
  <c r="BZ981" i="2"/>
  <c r="AE981" i="2"/>
  <c r="AA981" i="2"/>
  <c r="CA980" i="2"/>
  <c r="BZ980" i="2"/>
  <c r="AE980" i="2"/>
  <c r="AA980" i="2"/>
  <c r="CA979" i="2"/>
  <c r="BZ979" i="2"/>
  <c r="AE979" i="2"/>
  <c r="AA979" i="2"/>
  <c r="CA978" i="2"/>
  <c r="BZ978" i="2"/>
  <c r="AE978" i="2"/>
  <c r="AA978" i="2"/>
  <c r="CA977" i="2"/>
  <c r="BZ977" i="2"/>
  <c r="AE977" i="2"/>
  <c r="AA977" i="2"/>
  <c r="CA976" i="2"/>
  <c r="BZ976" i="2"/>
  <c r="AE976" i="2"/>
  <c r="AA976" i="2"/>
  <c r="CA975" i="2"/>
  <c r="BZ975" i="2"/>
  <c r="AE975" i="2"/>
  <c r="AA975" i="2"/>
  <c r="CA974" i="2"/>
  <c r="BZ974" i="2"/>
  <c r="AE974" i="2"/>
  <c r="AA974" i="2"/>
  <c r="CA973" i="2"/>
  <c r="BZ973" i="2"/>
  <c r="AE973" i="2"/>
  <c r="AA973" i="2"/>
  <c r="CA972" i="2"/>
  <c r="BZ972" i="2"/>
  <c r="AE972" i="2"/>
  <c r="AA972" i="2"/>
  <c r="CA971" i="2"/>
  <c r="BZ971" i="2"/>
  <c r="AE971" i="2"/>
  <c r="AA971" i="2"/>
  <c r="CA970" i="2"/>
  <c r="BZ970" i="2"/>
  <c r="AE970" i="2"/>
  <c r="AA970" i="2"/>
  <c r="CA969" i="2"/>
  <c r="BZ969" i="2"/>
  <c r="AE969" i="2"/>
  <c r="AA969" i="2"/>
  <c r="CA968" i="2"/>
  <c r="BZ968" i="2"/>
  <c r="AE968" i="2"/>
  <c r="AA968" i="2"/>
  <c r="CA967" i="2"/>
  <c r="BZ967" i="2"/>
  <c r="AE967" i="2"/>
  <c r="AA967" i="2"/>
  <c r="CA966" i="2"/>
  <c r="BZ966" i="2"/>
  <c r="AE966" i="2"/>
  <c r="AA966" i="2"/>
  <c r="CA965" i="2"/>
  <c r="BZ965" i="2"/>
  <c r="AE965" i="2"/>
  <c r="AA965" i="2"/>
  <c r="CA964" i="2"/>
  <c r="BZ964" i="2"/>
  <c r="AE964" i="2"/>
  <c r="AA964" i="2"/>
  <c r="CA963" i="2"/>
  <c r="BZ963" i="2"/>
  <c r="AE963" i="2"/>
  <c r="AA963" i="2"/>
  <c r="CA962" i="2"/>
  <c r="BZ962" i="2"/>
  <c r="AE962" i="2"/>
  <c r="AA962" i="2"/>
  <c r="CA961" i="2"/>
  <c r="BZ961" i="2"/>
  <c r="AE961" i="2"/>
  <c r="AA961" i="2"/>
  <c r="CA960" i="2"/>
  <c r="BZ960" i="2"/>
  <c r="AE960" i="2"/>
  <c r="AA960" i="2"/>
  <c r="CA959" i="2"/>
  <c r="BZ959" i="2"/>
  <c r="AE959" i="2"/>
  <c r="AA959" i="2"/>
  <c r="CA958" i="2"/>
  <c r="BZ958" i="2"/>
  <c r="AE958" i="2"/>
  <c r="AA958" i="2"/>
  <c r="CA957" i="2"/>
  <c r="BZ957" i="2"/>
  <c r="AE957" i="2"/>
  <c r="AA957" i="2"/>
  <c r="CA956" i="2"/>
  <c r="BZ956" i="2"/>
  <c r="AE956" i="2"/>
  <c r="AA956" i="2"/>
  <c r="CA955" i="2"/>
  <c r="BZ955" i="2"/>
  <c r="AE955" i="2"/>
  <c r="AA955" i="2"/>
  <c r="CA954" i="2"/>
  <c r="BZ954" i="2"/>
  <c r="AE954" i="2"/>
  <c r="AA954" i="2"/>
  <c r="CA953" i="2"/>
  <c r="BZ953" i="2"/>
  <c r="AE953" i="2"/>
  <c r="AA953" i="2"/>
  <c r="CA952" i="2"/>
  <c r="BZ952" i="2"/>
  <c r="AE952" i="2"/>
  <c r="AA952" i="2"/>
  <c r="CA951" i="2"/>
  <c r="BZ951" i="2"/>
  <c r="AE951" i="2"/>
  <c r="AA951" i="2"/>
  <c r="CA950" i="2"/>
  <c r="BZ950" i="2"/>
  <c r="AE950" i="2"/>
  <c r="AA950" i="2"/>
  <c r="CA949" i="2"/>
  <c r="BZ949" i="2"/>
  <c r="AE949" i="2"/>
  <c r="AA949" i="2"/>
  <c r="CA948" i="2"/>
  <c r="BZ948" i="2"/>
  <c r="AE948" i="2"/>
  <c r="AA948" i="2"/>
  <c r="CA947" i="2"/>
  <c r="BZ947" i="2"/>
  <c r="AE947" i="2"/>
  <c r="AA947" i="2"/>
  <c r="CA946" i="2"/>
  <c r="BZ946" i="2"/>
  <c r="AE946" i="2"/>
  <c r="AA946" i="2"/>
  <c r="CA945" i="2"/>
  <c r="BZ945" i="2"/>
  <c r="AE945" i="2"/>
  <c r="AA945" i="2"/>
  <c r="CA944" i="2"/>
  <c r="BZ944" i="2"/>
  <c r="AE944" i="2"/>
  <c r="AA944" i="2"/>
  <c r="CA943" i="2"/>
  <c r="BZ943" i="2"/>
  <c r="AE943" i="2"/>
  <c r="AA943" i="2"/>
  <c r="CA942" i="2"/>
  <c r="BZ942" i="2"/>
  <c r="AE942" i="2"/>
  <c r="AA942" i="2"/>
  <c r="CA941" i="2"/>
  <c r="BZ941" i="2"/>
  <c r="AE941" i="2"/>
  <c r="AA941" i="2"/>
  <c r="CA940" i="2"/>
  <c r="BZ940" i="2"/>
  <c r="AE940" i="2"/>
  <c r="AA940" i="2"/>
  <c r="CA939" i="2"/>
  <c r="BZ939" i="2"/>
  <c r="AE939" i="2"/>
  <c r="AA939" i="2"/>
  <c r="CA938" i="2"/>
  <c r="BZ938" i="2"/>
  <c r="AE938" i="2"/>
  <c r="AA938" i="2"/>
  <c r="CA937" i="2"/>
  <c r="BZ937" i="2"/>
  <c r="AE937" i="2"/>
  <c r="AA937" i="2"/>
  <c r="CA936" i="2"/>
  <c r="BZ936" i="2"/>
  <c r="AE936" i="2"/>
  <c r="AA936" i="2"/>
  <c r="CA935" i="2"/>
  <c r="BZ935" i="2"/>
  <c r="AE935" i="2"/>
  <c r="AA935" i="2"/>
  <c r="CA934" i="2"/>
  <c r="BZ934" i="2"/>
  <c r="AE934" i="2"/>
  <c r="AA934" i="2"/>
  <c r="CA933" i="2"/>
  <c r="BZ933" i="2"/>
  <c r="AE933" i="2"/>
  <c r="AA933" i="2"/>
  <c r="CA932" i="2"/>
  <c r="BZ932" i="2"/>
  <c r="AE932" i="2"/>
  <c r="AA932" i="2"/>
  <c r="CA931" i="2"/>
  <c r="BZ931" i="2"/>
  <c r="AE931" i="2"/>
  <c r="AA931" i="2"/>
  <c r="CA930" i="2"/>
  <c r="BZ930" i="2"/>
  <c r="AE930" i="2"/>
  <c r="AA930" i="2"/>
  <c r="CA929" i="2"/>
  <c r="BZ929" i="2"/>
  <c r="AE929" i="2"/>
  <c r="AA929" i="2"/>
  <c r="CA928" i="2"/>
  <c r="BZ928" i="2"/>
  <c r="AE928" i="2"/>
  <c r="AA928" i="2"/>
  <c r="CA927" i="2"/>
  <c r="BZ927" i="2"/>
  <c r="AE927" i="2"/>
  <c r="AA927" i="2"/>
  <c r="CA926" i="2"/>
  <c r="BZ926" i="2"/>
  <c r="AE926" i="2"/>
  <c r="AA926" i="2"/>
  <c r="CA925" i="2"/>
  <c r="BZ925" i="2"/>
  <c r="AE925" i="2"/>
  <c r="AA925" i="2"/>
  <c r="CA924" i="2"/>
  <c r="BZ924" i="2"/>
  <c r="AE924" i="2"/>
  <c r="AA924" i="2"/>
  <c r="CA923" i="2"/>
  <c r="BZ923" i="2"/>
  <c r="AE923" i="2"/>
  <c r="AA923" i="2"/>
  <c r="CA922" i="2"/>
  <c r="BZ922" i="2"/>
  <c r="AE922" i="2"/>
  <c r="AA922" i="2"/>
  <c r="CA921" i="2"/>
  <c r="BZ921" i="2"/>
  <c r="AE921" i="2"/>
  <c r="AA921" i="2"/>
  <c r="CA920" i="2"/>
  <c r="BZ920" i="2"/>
  <c r="AE920" i="2"/>
  <c r="AA920" i="2"/>
  <c r="CA919" i="2"/>
  <c r="BZ919" i="2"/>
  <c r="AE919" i="2"/>
  <c r="AA919" i="2"/>
  <c r="CA918" i="2"/>
  <c r="BZ918" i="2"/>
  <c r="AE918" i="2"/>
  <c r="AA918" i="2"/>
  <c r="CA917" i="2"/>
  <c r="BZ917" i="2"/>
  <c r="AE917" i="2"/>
  <c r="AA917" i="2"/>
  <c r="CA916" i="2"/>
  <c r="BZ916" i="2"/>
  <c r="AE916" i="2"/>
  <c r="AA916" i="2"/>
  <c r="CA915" i="2"/>
  <c r="BZ915" i="2"/>
  <c r="AE915" i="2"/>
  <c r="AA915" i="2"/>
  <c r="CA914" i="2"/>
  <c r="BZ914" i="2"/>
  <c r="AE914" i="2"/>
  <c r="AA914" i="2"/>
  <c r="CA913" i="2"/>
  <c r="BZ913" i="2"/>
  <c r="AE913" i="2"/>
  <c r="AA913" i="2"/>
  <c r="CA912" i="2"/>
  <c r="BZ912" i="2"/>
  <c r="AE912" i="2"/>
  <c r="AA912" i="2"/>
  <c r="CA911" i="2"/>
  <c r="BZ911" i="2"/>
  <c r="AE911" i="2"/>
  <c r="AA911" i="2"/>
  <c r="CA910" i="2"/>
  <c r="BZ910" i="2"/>
  <c r="AE910" i="2"/>
  <c r="AA910" i="2"/>
  <c r="CA909" i="2"/>
  <c r="BZ909" i="2"/>
  <c r="AE909" i="2"/>
  <c r="AA909" i="2"/>
  <c r="CA908" i="2"/>
  <c r="BZ908" i="2"/>
  <c r="AE908" i="2"/>
  <c r="AA908" i="2"/>
  <c r="CA907" i="2"/>
  <c r="BZ907" i="2"/>
  <c r="AE907" i="2"/>
  <c r="AA907" i="2"/>
  <c r="CA906" i="2"/>
  <c r="BZ906" i="2"/>
  <c r="AE906" i="2"/>
  <c r="AA906" i="2"/>
  <c r="CA905" i="2"/>
  <c r="BZ905" i="2"/>
  <c r="AE905" i="2"/>
  <c r="AA905" i="2"/>
  <c r="CA904" i="2"/>
  <c r="BZ904" i="2"/>
  <c r="AE904" i="2"/>
  <c r="AA904" i="2"/>
  <c r="CA903" i="2"/>
  <c r="BZ903" i="2"/>
  <c r="AE903" i="2"/>
  <c r="AA903" i="2"/>
  <c r="CA902" i="2"/>
  <c r="BZ902" i="2"/>
  <c r="AE902" i="2"/>
  <c r="AA902" i="2"/>
  <c r="CA901" i="2"/>
  <c r="BZ901" i="2"/>
  <c r="AE901" i="2"/>
  <c r="AA901" i="2"/>
  <c r="CA900" i="2"/>
  <c r="BZ900" i="2"/>
  <c r="AE900" i="2"/>
  <c r="AA900" i="2"/>
  <c r="CA899" i="2"/>
  <c r="BZ899" i="2"/>
  <c r="AE899" i="2"/>
  <c r="AA899" i="2"/>
  <c r="CA898" i="2"/>
  <c r="BZ898" i="2"/>
  <c r="AE898" i="2"/>
  <c r="AA898" i="2"/>
  <c r="CA897" i="2"/>
  <c r="BZ897" i="2"/>
  <c r="AE897" i="2"/>
  <c r="AA897" i="2"/>
  <c r="CA896" i="2"/>
  <c r="BZ896" i="2"/>
  <c r="AE896" i="2"/>
  <c r="AA896" i="2"/>
  <c r="CA895" i="2"/>
  <c r="BZ895" i="2"/>
  <c r="AE895" i="2"/>
  <c r="AA895" i="2"/>
  <c r="CA894" i="2"/>
  <c r="BZ894" i="2"/>
  <c r="AE894" i="2"/>
  <c r="AA894" i="2"/>
  <c r="CA893" i="2"/>
  <c r="BZ893" i="2"/>
  <c r="AE893" i="2"/>
  <c r="AA893" i="2"/>
  <c r="CA892" i="2"/>
  <c r="BZ892" i="2"/>
  <c r="AE892" i="2"/>
  <c r="AA892" i="2"/>
  <c r="CA891" i="2"/>
  <c r="BZ891" i="2"/>
  <c r="AE891" i="2"/>
  <c r="AA891" i="2"/>
  <c r="CA890" i="2"/>
  <c r="BZ890" i="2"/>
  <c r="AE890" i="2"/>
  <c r="AA890" i="2"/>
  <c r="CA889" i="2"/>
  <c r="BZ889" i="2"/>
  <c r="AE889" i="2"/>
  <c r="AA889" i="2"/>
  <c r="CA888" i="2"/>
  <c r="BZ888" i="2"/>
  <c r="AE888" i="2"/>
  <c r="AA888" i="2"/>
  <c r="CA887" i="2"/>
  <c r="BZ887" i="2"/>
  <c r="AE887" i="2"/>
  <c r="AA887" i="2"/>
  <c r="CA886" i="2"/>
  <c r="BZ886" i="2"/>
  <c r="AE886" i="2"/>
  <c r="AA886" i="2"/>
  <c r="CA885" i="2"/>
  <c r="BZ885" i="2"/>
  <c r="AE885" i="2"/>
  <c r="AA885" i="2"/>
  <c r="CA884" i="2"/>
  <c r="BZ884" i="2"/>
  <c r="AE884" i="2"/>
  <c r="AA884" i="2"/>
  <c r="CA883" i="2"/>
  <c r="BZ883" i="2"/>
  <c r="AE883" i="2"/>
  <c r="AA883" i="2"/>
  <c r="CA882" i="2"/>
  <c r="BZ882" i="2"/>
  <c r="AE882" i="2"/>
  <c r="AA882" i="2"/>
  <c r="CA881" i="2"/>
  <c r="BZ881" i="2"/>
  <c r="AE881" i="2"/>
  <c r="AA881" i="2"/>
  <c r="CA880" i="2"/>
  <c r="BZ880" i="2"/>
  <c r="AE880" i="2"/>
  <c r="AA880" i="2"/>
  <c r="CA879" i="2"/>
  <c r="BZ879" i="2"/>
  <c r="AE879" i="2"/>
  <c r="AA879" i="2"/>
  <c r="CA878" i="2"/>
  <c r="BZ878" i="2"/>
  <c r="AE878" i="2"/>
  <c r="AA878" i="2"/>
  <c r="CA877" i="2"/>
  <c r="BZ877" i="2"/>
  <c r="AE877" i="2"/>
  <c r="AA877" i="2"/>
  <c r="CA876" i="2"/>
  <c r="BZ876" i="2"/>
  <c r="AE876" i="2"/>
  <c r="AA876" i="2"/>
  <c r="CA875" i="2"/>
  <c r="BZ875" i="2"/>
  <c r="AE875" i="2"/>
  <c r="AA875" i="2"/>
  <c r="CA874" i="2"/>
  <c r="BZ874" i="2"/>
  <c r="AE874" i="2"/>
  <c r="AA874" i="2"/>
  <c r="CA873" i="2"/>
  <c r="BZ873" i="2"/>
  <c r="AE873" i="2"/>
  <c r="AA873" i="2"/>
  <c r="CA872" i="2"/>
  <c r="BZ872" i="2"/>
  <c r="AE872" i="2"/>
  <c r="AA872" i="2"/>
  <c r="CA871" i="2"/>
  <c r="BZ871" i="2"/>
  <c r="AE871" i="2"/>
  <c r="AA871" i="2"/>
  <c r="CA870" i="2"/>
  <c r="BZ870" i="2"/>
  <c r="AE870" i="2"/>
  <c r="AA870" i="2"/>
  <c r="CA869" i="2"/>
  <c r="BZ869" i="2"/>
  <c r="AE869" i="2"/>
  <c r="AA869" i="2"/>
  <c r="CA868" i="2"/>
  <c r="BZ868" i="2"/>
  <c r="AE868" i="2"/>
  <c r="AA868" i="2"/>
  <c r="CA867" i="2"/>
  <c r="BZ867" i="2"/>
  <c r="AE867" i="2"/>
  <c r="AA867" i="2"/>
  <c r="CA866" i="2"/>
  <c r="BZ866" i="2"/>
  <c r="AE866" i="2"/>
  <c r="AA866" i="2"/>
  <c r="CA865" i="2"/>
  <c r="BZ865" i="2"/>
  <c r="AE865" i="2"/>
  <c r="AA865" i="2"/>
  <c r="CA864" i="2"/>
  <c r="BZ864" i="2"/>
  <c r="AE864" i="2"/>
  <c r="AA864" i="2"/>
  <c r="CA863" i="2"/>
  <c r="BZ863" i="2"/>
  <c r="AE863" i="2"/>
  <c r="AA863" i="2"/>
  <c r="CA862" i="2"/>
  <c r="BZ862" i="2"/>
  <c r="AE862" i="2"/>
  <c r="AA862" i="2"/>
  <c r="CA861" i="2"/>
  <c r="BZ861" i="2"/>
  <c r="AE861" i="2"/>
  <c r="AA861" i="2"/>
  <c r="CA860" i="2"/>
  <c r="BZ860" i="2"/>
  <c r="AE860" i="2"/>
  <c r="AA860" i="2"/>
  <c r="CA859" i="2"/>
  <c r="BZ859" i="2"/>
  <c r="AE859" i="2"/>
  <c r="AA859" i="2"/>
  <c r="CA858" i="2"/>
  <c r="BZ858" i="2"/>
  <c r="AE858" i="2"/>
  <c r="AA858" i="2"/>
  <c r="CA857" i="2"/>
  <c r="BZ857" i="2"/>
  <c r="AE857" i="2"/>
  <c r="AA857" i="2"/>
  <c r="CA856" i="2"/>
  <c r="BZ856" i="2"/>
  <c r="AE856" i="2"/>
  <c r="AA856" i="2"/>
  <c r="CA855" i="2"/>
  <c r="BZ855" i="2"/>
  <c r="AE855" i="2"/>
  <c r="AA855" i="2"/>
  <c r="CA854" i="2"/>
  <c r="BZ854" i="2"/>
  <c r="AE854" i="2"/>
  <c r="AA854" i="2"/>
  <c r="CA853" i="2"/>
  <c r="BZ853" i="2"/>
  <c r="AE853" i="2"/>
  <c r="AA853" i="2"/>
  <c r="CA852" i="2"/>
  <c r="BZ852" i="2"/>
  <c r="AE852" i="2"/>
  <c r="AA852" i="2"/>
  <c r="CA851" i="2"/>
  <c r="BZ851" i="2"/>
  <c r="AE851" i="2"/>
  <c r="AA851" i="2"/>
  <c r="CA850" i="2"/>
  <c r="BZ850" i="2"/>
  <c r="AE850" i="2"/>
  <c r="AA850" i="2"/>
  <c r="CA849" i="2"/>
  <c r="BZ849" i="2"/>
  <c r="AE849" i="2"/>
  <c r="AA849" i="2"/>
  <c r="CA848" i="2"/>
  <c r="BZ848" i="2"/>
  <c r="AE848" i="2"/>
  <c r="AA848" i="2"/>
  <c r="CA847" i="2"/>
  <c r="BZ847" i="2"/>
  <c r="AE847" i="2"/>
  <c r="AA847" i="2"/>
  <c r="CA846" i="2"/>
  <c r="BZ846" i="2"/>
  <c r="AE846" i="2"/>
  <c r="AA846" i="2"/>
  <c r="CA845" i="2"/>
  <c r="BZ845" i="2"/>
  <c r="AE845" i="2"/>
  <c r="AA845" i="2"/>
  <c r="CA844" i="2"/>
  <c r="BZ844" i="2"/>
  <c r="AE844" i="2"/>
  <c r="AA844" i="2"/>
  <c r="CA843" i="2"/>
  <c r="BZ843" i="2"/>
  <c r="AE843" i="2"/>
  <c r="AA843" i="2"/>
  <c r="CA842" i="2"/>
  <c r="BZ842" i="2"/>
  <c r="AE842" i="2"/>
  <c r="AA842" i="2"/>
  <c r="CA841" i="2"/>
  <c r="BZ841" i="2"/>
  <c r="AE841" i="2"/>
  <c r="AA841" i="2"/>
  <c r="CA840" i="2"/>
  <c r="BZ840" i="2"/>
  <c r="AE840" i="2"/>
  <c r="AA840" i="2"/>
  <c r="CA839" i="2"/>
  <c r="BZ839" i="2"/>
  <c r="AE839" i="2"/>
  <c r="AA839" i="2"/>
  <c r="CA838" i="2"/>
  <c r="BZ838" i="2"/>
  <c r="AE838" i="2"/>
  <c r="AA838" i="2"/>
  <c r="CA837" i="2"/>
  <c r="BZ837" i="2"/>
  <c r="AE837" i="2"/>
  <c r="AA837" i="2"/>
  <c r="CA836" i="2"/>
  <c r="BZ836" i="2"/>
  <c r="AE836" i="2"/>
  <c r="AA836" i="2"/>
  <c r="CA835" i="2"/>
  <c r="BZ835" i="2"/>
  <c r="AE835" i="2"/>
  <c r="AA835" i="2"/>
  <c r="CA834" i="2"/>
  <c r="BZ834" i="2"/>
  <c r="AE834" i="2"/>
  <c r="AA834" i="2"/>
  <c r="CA833" i="2"/>
  <c r="BZ833" i="2"/>
  <c r="AE833" i="2"/>
  <c r="AA833" i="2"/>
  <c r="CA832" i="2"/>
  <c r="BZ832" i="2"/>
  <c r="AE832" i="2"/>
  <c r="AA832" i="2"/>
  <c r="CA831" i="2"/>
  <c r="BZ831" i="2"/>
  <c r="AE831" i="2"/>
  <c r="AA831" i="2"/>
  <c r="CA830" i="2"/>
  <c r="BZ830" i="2"/>
  <c r="AE830" i="2"/>
  <c r="AA830" i="2"/>
  <c r="CA829" i="2"/>
  <c r="BZ829" i="2"/>
  <c r="AE829" i="2"/>
  <c r="AA829" i="2"/>
  <c r="CA828" i="2"/>
  <c r="BZ828" i="2"/>
  <c r="AE828" i="2"/>
  <c r="AA828" i="2"/>
  <c r="CA827" i="2"/>
  <c r="BZ827" i="2"/>
  <c r="AE827" i="2"/>
  <c r="AA827" i="2"/>
  <c r="CA826" i="2"/>
  <c r="BZ826" i="2"/>
  <c r="AE826" i="2"/>
  <c r="AA826" i="2"/>
  <c r="CA825" i="2"/>
  <c r="BZ825" i="2"/>
  <c r="AE825" i="2"/>
  <c r="AA825" i="2"/>
  <c r="CA824" i="2"/>
  <c r="BZ824" i="2"/>
  <c r="AE824" i="2"/>
  <c r="AA824" i="2"/>
  <c r="CA823" i="2"/>
  <c r="BZ823" i="2"/>
  <c r="AE823" i="2"/>
  <c r="AA823" i="2"/>
  <c r="CA822" i="2"/>
  <c r="BZ822" i="2"/>
  <c r="AE822" i="2"/>
  <c r="AA822" i="2"/>
  <c r="CA821" i="2"/>
  <c r="BZ821" i="2"/>
  <c r="AE821" i="2"/>
  <c r="AA821" i="2"/>
  <c r="CA820" i="2"/>
  <c r="BZ820" i="2"/>
  <c r="AE820" i="2"/>
  <c r="AA820" i="2"/>
  <c r="CA819" i="2"/>
  <c r="BZ819" i="2"/>
  <c r="AE819" i="2"/>
  <c r="AA819" i="2"/>
  <c r="CA818" i="2"/>
  <c r="BZ818" i="2"/>
  <c r="AE818" i="2"/>
  <c r="AA818" i="2"/>
  <c r="CA817" i="2"/>
  <c r="BZ817" i="2"/>
  <c r="AE817" i="2"/>
  <c r="AA817" i="2"/>
  <c r="CA816" i="2"/>
  <c r="BZ816" i="2"/>
  <c r="AE816" i="2"/>
  <c r="AA816" i="2"/>
  <c r="CA815" i="2"/>
  <c r="BZ815" i="2"/>
  <c r="AE815" i="2"/>
  <c r="AA815" i="2"/>
  <c r="CA814" i="2"/>
  <c r="BZ814" i="2"/>
  <c r="AE814" i="2"/>
  <c r="AA814" i="2"/>
  <c r="CA813" i="2"/>
  <c r="BZ813" i="2"/>
  <c r="AE813" i="2"/>
  <c r="AA813" i="2"/>
  <c r="CA812" i="2"/>
  <c r="BZ812" i="2"/>
  <c r="AE812" i="2"/>
  <c r="AA812" i="2"/>
  <c r="CA811" i="2"/>
  <c r="BZ811" i="2"/>
  <c r="AE811" i="2"/>
  <c r="AA811" i="2"/>
  <c r="CA810" i="2"/>
  <c r="BZ810" i="2"/>
  <c r="AE810" i="2"/>
  <c r="AA810" i="2"/>
  <c r="CA809" i="2"/>
  <c r="BZ809" i="2"/>
  <c r="AE809" i="2"/>
  <c r="AA809" i="2"/>
  <c r="CA808" i="2"/>
  <c r="BZ808" i="2"/>
  <c r="AE808" i="2"/>
  <c r="AA808" i="2"/>
  <c r="CA807" i="2"/>
  <c r="BZ807" i="2"/>
  <c r="AE807" i="2"/>
  <c r="AA807" i="2"/>
  <c r="CA806" i="2"/>
  <c r="BZ806" i="2"/>
  <c r="AE806" i="2"/>
  <c r="AA806" i="2"/>
  <c r="CA805" i="2"/>
  <c r="BZ805" i="2"/>
  <c r="AE805" i="2"/>
  <c r="AA805" i="2"/>
  <c r="CA804" i="2"/>
  <c r="BZ804" i="2"/>
  <c r="AE804" i="2"/>
  <c r="AA804" i="2"/>
  <c r="CA803" i="2"/>
  <c r="BZ803" i="2"/>
  <c r="AE803" i="2"/>
  <c r="AA803" i="2"/>
  <c r="CA802" i="2"/>
  <c r="BZ802" i="2"/>
  <c r="AE802" i="2"/>
  <c r="AA802" i="2"/>
  <c r="CA801" i="2"/>
  <c r="BZ801" i="2"/>
  <c r="AE801" i="2"/>
  <c r="AA801" i="2"/>
  <c r="CA800" i="2"/>
  <c r="BZ800" i="2"/>
  <c r="AE800" i="2"/>
  <c r="AA800" i="2"/>
  <c r="CA799" i="2"/>
  <c r="BZ799" i="2"/>
  <c r="AE799" i="2"/>
  <c r="AA799" i="2"/>
  <c r="CA798" i="2"/>
  <c r="BZ798" i="2"/>
  <c r="AE798" i="2"/>
  <c r="AA798" i="2"/>
  <c r="CA797" i="2"/>
  <c r="BZ797" i="2"/>
  <c r="AE797" i="2"/>
  <c r="AA797" i="2"/>
  <c r="CA796" i="2"/>
  <c r="BZ796" i="2"/>
  <c r="AE796" i="2"/>
  <c r="AA796" i="2"/>
  <c r="CA795" i="2"/>
  <c r="BZ795" i="2"/>
  <c r="AE795" i="2"/>
  <c r="AA795" i="2"/>
  <c r="CA794" i="2"/>
  <c r="BZ794" i="2"/>
  <c r="AE794" i="2"/>
  <c r="AA794" i="2"/>
  <c r="CA793" i="2"/>
  <c r="BZ793" i="2"/>
  <c r="AE793" i="2"/>
  <c r="AA793" i="2"/>
  <c r="CA792" i="2"/>
  <c r="BZ792" i="2"/>
  <c r="AE792" i="2"/>
  <c r="AA792" i="2"/>
  <c r="CA791" i="2"/>
  <c r="BZ791" i="2"/>
  <c r="AE791" i="2"/>
  <c r="AA791" i="2"/>
  <c r="CA790" i="2"/>
  <c r="BZ790" i="2"/>
  <c r="AE790" i="2"/>
  <c r="AA790" i="2"/>
  <c r="CA789" i="2"/>
  <c r="BZ789" i="2"/>
  <c r="AE789" i="2"/>
  <c r="AA789" i="2"/>
  <c r="CA788" i="2"/>
  <c r="BZ788" i="2"/>
  <c r="AE788" i="2"/>
  <c r="AA788" i="2"/>
  <c r="CA787" i="2"/>
  <c r="BZ787" i="2"/>
  <c r="AE787" i="2"/>
  <c r="AA787" i="2"/>
  <c r="CA786" i="2"/>
  <c r="BZ786" i="2"/>
  <c r="AE786" i="2"/>
  <c r="AA786" i="2"/>
  <c r="CA785" i="2"/>
  <c r="BZ785" i="2"/>
  <c r="AE785" i="2"/>
  <c r="AA785" i="2"/>
  <c r="CA784" i="2"/>
  <c r="BZ784" i="2"/>
  <c r="AE784" i="2"/>
  <c r="AA784" i="2"/>
  <c r="CA783" i="2"/>
  <c r="BZ783" i="2"/>
  <c r="AE783" i="2"/>
  <c r="AA783" i="2"/>
  <c r="CA782" i="2"/>
  <c r="BZ782" i="2"/>
  <c r="AE782" i="2"/>
  <c r="AA782" i="2"/>
  <c r="CA781" i="2"/>
  <c r="BZ781" i="2"/>
  <c r="AE781" i="2"/>
  <c r="AA781" i="2"/>
  <c r="CA780" i="2"/>
  <c r="BZ780" i="2"/>
  <c r="AE780" i="2"/>
  <c r="AA780" i="2"/>
  <c r="CA779" i="2"/>
  <c r="BZ779" i="2"/>
  <c r="AE779" i="2"/>
  <c r="AA779" i="2"/>
  <c r="CA778" i="2"/>
  <c r="BZ778" i="2"/>
  <c r="AE778" i="2"/>
  <c r="AA778" i="2"/>
  <c r="CA777" i="2"/>
  <c r="BZ777" i="2"/>
  <c r="AE777" i="2"/>
  <c r="AA777" i="2"/>
  <c r="CA776" i="2"/>
  <c r="BZ776" i="2"/>
  <c r="AE776" i="2"/>
  <c r="AA776" i="2"/>
  <c r="CA775" i="2"/>
  <c r="BZ775" i="2"/>
  <c r="AE775" i="2"/>
  <c r="AA775" i="2"/>
  <c r="CA774" i="2"/>
  <c r="BZ774" i="2"/>
  <c r="AE774" i="2"/>
  <c r="AA774" i="2"/>
  <c r="CA773" i="2"/>
  <c r="BZ773" i="2"/>
  <c r="AE773" i="2"/>
  <c r="AA773" i="2"/>
  <c r="CA772" i="2"/>
  <c r="BZ772" i="2"/>
  <c r="AE772" i="2"/>
  <c r="AA772" i="2"/>
  <c r="CA771" i="2"/>
  <c r="BZ771" i="2"/>
  <c r="AE771" i="2"/>
  <c r="AA771" i="2"/>
  <c r="CA770" i="2"/>
  <c r="BZ770" i="2"/>
  <c r="AE770" i="2"/>
  <c r="AA770" i="2"/>
  <c r="CA769" i="2"/>
  <c r="BZ769" i="2"/>
  <c r="AE769" i="2"/>
  <c r="AA769" i="2"/>
  <c r="CA768" i="2"/>
  <c r="BZ768" i="2"/>
  <c r="AE768" i="2"/>
  <c r="AA768" i="2"/>
  <c r="CA767" i="2"/>
  <c r="BZ767" i="2"/>
  <c r="AE767" i="2"/>
  <c r="AA767" i="2"/>
  <c r="CA766" i="2"/>
  <c r="BZ766" i="2"/>
  <c r="AE766" i="2"/>
  <c r="AA766" i="2"/>
  <c r="CA765" i="2"/>
  <c r="BZ765" i="2"/>
  <c r="AE765" i="2"/>
  <c r="AA765" i="2"/>
  <c r="CA764" i="2"/>
  <c r="BZ764" i="2"/>
  <c r="AE764" i="2"/>
  <c r="AA764" i="2"/>
  <c r="CA763" i="2"/>
  <c r="BZ763" i="2"/>
  <c r="AE763" i="2"/>
  <c r="AA763" i="2"/>
  <c r="CA762" i="2"/>
  <c r="BZ762" i="2"/>
  <c r="AE762" i="2"/>
  <c r="AA762" i="2"/>
  <c r="CA761" i="2"/>
  <c r="BZ761" i="2"/>
  <c r="AE761" i="2"/>
  <c r="AA761" i="2"/>
  <c r="CA760" i="2"/>
  <c r="BZ760" i="2"/>
  <c r="AE760" i="2"/>
  <c r="AA760" i="2"/>
  <c r="CA759" i="2"/>
  <c r="BZ759" i="2"/>
  <c r="AE759" i="2"/>
  <c r="AA759" i="2"/>
  <c r="CA758" i="2"/>
  <c r="BZ758" i="2"/>
  <c r="AE758" i="2"/>
  <c r="AA758" i="2"/>
  <c r="CA757" i="2"/>
  <c r="BZ757" i="2"/>
  <c r="AE757" i="2"/>
  <c r="AA757" i="2"/>
  <c r="CA756" i="2"/>
  <c r="BZ756" i="2"/>
  <c r="AE756" i="2"/>
  <c r="AA756" i="2"/>
  <c r="CA755" i="2"/>
  <c r="BZ755" i="2"/>
  <c r="AE755" i="2"/>
  <c r="AA755" i="2"/>
  <c r="CA754" i="2"/>
  <c r="BZ754" i="2"/>
  <c r="AE754" i="2"/>
  <c r="AA754" i="2"/>
  <c r="CA753" i="2"/>
  <c r="BZ753" i="2"/>
  <c r="AE753" i="2"/>
  <c r="AA753" i="2"/>
  <c r="CA752" i="2"/>
  <c r="BZ752" i="2"/>
  <c r="AE752" i="2"/>
  <c r="AA752" i="2"/>
  <c r="CA751" i="2"/>
  <c r="BZ751" i="2"/>
  <c r="AE751" i="2"/>
  <c r="AA751" i="2"/>
  <c r="CA750" i="2"/>
  <c r="BZ750" i="2"/>
  <c r="AE750" i="2"/>
  <c r="AA750" i="2"/>
  <c r="CA749" i="2"/>
  <c r="BZ749" i="2"/>
  <c r="AE749" i="2"/>
  <c r="AA749" i="2"/>
  <c r="CA748" i="2"/>
  <c r="BZ748" i="2"/>
  <c r="AE748" i="2"/>
  <c r="AA748" i="2"/>
  <c r="CA747" i="2"/>
  <c r="BZ747" i="2"/>
  <c r="AE747" i="2"/>
  <c r="AA747" i="2"/>
  <c r="CA746" i="2"/>
  <c r="BZ746" i="2"/>
  <c r="AE746" i="2"/>
  <c r="AA746" i="2"/>
  <c r="CA745" i="2"/>
  <c r="BZ745" i="2"/>
  <c r="AE745" i="2"/>
  <c r="AA745" i="2"/>
  <c r="CA744" i="2"/>
  <c r="BZ744" i="2"/>
  <c r="AE744" i="2"/>
  <c r="AA744" i="2"/>
  <c r="CA743" i="2"/>
  <c r="BZ743" i="2"/>
  <c r="AE743" i="2"/>
  <c r="AA743" i="2"/>
  <c r="CA742" i="2"/>
  <c r="BZ742" i="2"/>
  <c r="AE742" i="2"/>
  <c r="AA742" i="2"/>
  <c r="CA741" i="2"/>
  <c r="BZ741" i="2"/>
  <c r="AE741" i="2"/>
  <c r="AA741" i="2"/>
  <c r="CA740" i="2"/>
  <c r="BZ740" i="2"/>
  <c r="AE740" i="2"/>
  <c r="AA740" i="2"/>
  <c r="CA739" i="2"/>
  <c r="BZ739" i="2"/>
  <c r="AE739" i="2"/>
  <c r="AA739" i="2"/>
  <c r="CA738" i="2"/>
  <c r="BZ738" i="2"/>
  <c r="AE738" i="2"/>
  <c r="AA738" i="2"/>
  <c r="CA737" i="2"/>
  <c r="BZ737" i="2"/>
  <c r="AE737" i="2"/>
  <c r="AA737" i="2"/>
  <c r="CA736" i="2"/>
  <c r="BZ736" i="2"/>
  <c r="AE736" i="2"/>
  <c r="AA736" i="2"/>
  <c r="CA735" i="2"/>
  <c r="BZ735" i="2"/>
  <c r="AE735" i="2"/>
  <c r="AA735" i="2"/>
  <c r="CA734" i="2"/>
  <c r="BZ734" i="2"/>
  <c r="AE734" i="2"/>
  <c r="AA734" i="2"/>
  <c r="CA733" i="2"/>
  <c r="BZ733" i="2"/>
  <c r="AE733" i="2"/>
  <c r="AA733" i="2"/>
  <c r="CA732" i="2"/>
  <c r="BZ732" i="2"/>
  <c r="AE732" i="2"/>
  <c r="AA732" i="2"/>
  <c r="CA731" i="2"/>
  <c r="BZ731" i="2"/>
  <c r="AE731" i="2"/>
  <c r="AA731" i="2"/>
  <c r="CA730" i="2"/>
  <c r="BZ730" i="2"/>
  <c r="AE730" i="2"/>
  <c r="AA730" i="2"/>
  <c r="CA729" i="2"/>
  <c r="BZ729" i="2"/>
  <c r="AE729" i="2"/>
  <c r="AA729" i="2"/>
  <c r="CA728" i="2"/>
  <c r="BZ728" i="2"/>
  <c r="AE728" i="2"/>
  <c r="AA728" i="2"/>
  <c r="CA727" i="2"/>
  <c r="BZ727" i="2"/>
  <c r="AE727" i="2"/>
  <c r="AA727" i="2"/>
  <c r="CA726" i="2"/>
  <c r="BZ726" i="2"/>
  <c r="AE726" i="2"/>
  <c r="AA726" i="2"/>
  <c r="CA725" i="2"/>
  <c r="BZ725" i="2"/>
  <c r="AE725" i="2"/>
  <c r="AA725" i="2"/>
  <c r="CA724" i="2"/>
  <c r="BZ724" i="2"/>
  <c r="AE724" i="2"/>
  <c r="AA724" i="2"/>
  <c r="CA723" i="2"/>
  <c r="BZ723" i="2"/>
  <c r="AE723" i="2"/>
  <c r="AA723" i="2"/>
  <c r="CA722" i="2"/>
  <c r="BZ722" i="2"/>
  <c r="AE722" i="2"/>
  <c r="AA722" i="2"/>
  <c r="CA721" i="2"/>
  <c r="BZ721" i="2"/>
  <c r="AE721" i="2"/>
  <c r="AA721" i="2"/>
  <c r="CA720" i="2"/>
  <c r="BZ720" i="2"/>
  <c r="AE720" i="2"/>
  <c r="AA720" i="2"/>
  <c r="CA719" i="2"/>
  <c r="BZ719" i="2"/>
  <c r="AE719" i="2"/>
  <c r="AA719" i="2"/>
  <c r="CA718" i="2"/>
  <c r="BZ718" i="2"/>
  <c r="AE718" i="2"/>
  <c r="AA718" i="2"/>
  <c r="CA717" i="2"/>
  <c r="BZ717" i="2"/>
  <c r="AE717" i="2"/>
  <c r="AA717" i="2"/>
  <c r="CA716" i="2"/>
  <c r="BZ716" i="2"/>
  <c r="AE716" i="2"/>
  <c r="AA716" i="2"/>
  <c r="CA715" i="2"/>
  <c r="BZ715" i="2"/>
  <c r="AE715" i="2"/>
  <c r="AA715" i="2"/>
  <c r="CA714" i="2"/>
  <c r="BZ714" i="2"/>
  <c r="AE714" i="2"/>
  <c r="AA714" i="2"/>
  <c r="CA713" i="2"/>
  <c r="BZ713" i="2"/>
  <c r="AE713" i="2"/>
  <c r="AA713" i="2"/>
  <c r="CA712" i="2"/>
  <c r="BZ712" i="2"/>
  <c r="AE712" i="2"/>
  <c r="AA712" i="2"/>
  <c r="CA711" i="2"/>
  <c r="BZ711" i="2"/>
  <c r="AE711" i="2"/>
  <c r="AA711" i="2"/>
  <c r="CA710" i="2"/>
  <c r="BZ710" i="2"/>
  <c r="AE710" i="2"/>
  <c r="AA710" i="2"/>
  <c r="CA709" i="2"/>
  <c r="BZ709" i="2"/>
  <c r="AE709" i="2"/>
  <c r="AA709" i="2"/>
  <c r="CA708" i="2"/>
  <c r="BZ708" i="2"/>
  <c r="AE708" i="2"/>
  <c r="AA708" i="2"/>
  <c r="CA707" i="2"/>
  <c r="BZ707" i="2"/>
  <c r="AE707" i="2"/>
  <c r="AA707" i="2"/>
  <c r="CA706" i="2"/>
  <c r="BZ706" i="2"/>
  <c r="AE706" i="2"/>
  <c r="AA706" i="2"/>
  <c r="CA705" i="2"/>
  <c r="BZ705" i="2"/>
  <c r="AE705" i="2"/>
  <c r="AA705" i="2"/>
  <c r="CA704" i="2"/>
  <c r="BZ704" i="2"/>
  <c r="AE704" i="2"/>
  <c r="AA704" i="2"/>
  <c r="CA703" i="2"/>
  <c r="BZ703" i="2"/>
  <c r="AE703" i="2"/>
  <c r="AA703" i="2"/>
  <c r="CA702" i="2"/>
  <c r="BZ702" i="2"/>
  <c r="AE702" i="2"/>
  <c r="AA702" i="2"/>
  <c r="CA701" i="2"/>
  <c r="BZ701" i="2"/>
  <c r="AE701" i="2"/>
  <c r="AA701" i="2"/>
  <c r="CA700" i="2"/>
  <c r="BZ700" i="2"/>
  <c r="AE700" i="2"/>
  <c r="AA700" i="2"/>
  <c r="CA699" i="2"/>
  <c r="BZ699" i="2"/>
  <c r="AE699" i="2"/>
  <c r="AA699" i="2"/>
  <c r="CA698" i="2"/>
  <c r="BZ698" i="2"/>
  <c r="AE698" i="2"/>
  <c r="AA698" i="2"/>
  <c r="CA697" i="2"/>
  <c r="BZ697" i="2"/>
  <c r="AE697" i="2"/>
  <c r="AA697" i="2"/>
  <c r="CA696" i="2"/>
  <c r="BZ696" i="2"/>
  <c r="AE696" i="2"/>
  <c r="AA696" i="2"/>
  <c r="CA695" i="2"/>
  <c r="BZ695" i="2"/>
  <c r="AE695" i="2"/>
  <c r="AA695" i="2"/>
  <c r="CA694" i="2"/>
  <c r="BZ694" i="2"/>
  <c r="AE694" i="2"/>
  <c r="AA694" i="2"/>
  <c r="CA693" i="2"/>
  <c r="BZ693" i="2"/>
  <c r="AE693" i="2"/>
  <c r="AA693" i="2"/>
  <c r="CA692" i="2"/>
  <c r="BZ692" i="2"/>
  <c r="AE692" i="2"/>
  <c r="AA692" i="2"/>
  <c r="CA691" i="2"/>
  <c r="BZ691" i="2"/>
  <c r="AE691" i="2"/>
  <c r="AA691" i="2"/>
  <c r="CA690" i="2"/>
  <c r="BZ690" i="2"/>
  <c r="AE690" i="2"/>
  <c r="AA690" i="2"/>
  <c r="CA689" i="2"/>
  <c r="BZ689" i="2"/>
  <c r="AE689" i="2"/>
  <c r="AA689" i="2"/>
  <c r="CA688" i="2"/>
  <c r="BZ688" i="2"/>
  <c r="AE688" i="2"/>
  <c r="AA688" i="2"/>
  <c r="CA687" i="2"/>
  <c r="BZ687" i="2"/>
  <c r="AE687" i="2"/>
  <c r="AA687" i="2"/>
  <c r="CA686" i="2"/>
  <c r="BZ686" i="2"/>
  <c r="AE686" i="2"/>
  <c r="AA686" i="2"/>
  <c r="CA685" i="2"/>
  <c r="BZ685" i="2"/>
  <c r="AE685" i="2"/>
  <c r="AA685" i="2"/>
  <c r="CA684" i="2"/>
  <c r="BZ684" i="2"/>
  <c r="AE684" i="2"/>
  <c r="AA684" i="2"/>
  <c r="CA683" i="2"/>
  <c r="BZ683" i="2"/>
  <c r="AE683" i="2"/>
  <c r="AA683" i="2"/>
  <c r="CA682" i="2"/>
  <c r="BZ682" i="2"/>
  <c r="AE682" i="2"/>
  <c r="AA682" i="2"/>
  <c r="CA681" i="2"/>
  <c r="BZ681" i="2"/>
  <c r="AE681" i="2"/>
  <c r="AA681" i="2"/>
  <c r="CA680" i="2"/>
  <c r="BZ680" i="2"/>
  <c r="AE680" i="2"/>
  <c r="AA680" i="2"/>
  <c r="CA679" i="2"/>
  <c r="BZ679" i="2"/>
  <c r="AE679" i="2"/>
  <c r="AA679" i="2"/>
  <c r="CA678" i="2"/>
  <c r="BZ678" i="2"/>
  <c r="AE678" i="2"/>
  <c r="AA678" i="2"/>
  <c r="CA677" i="2"/>
  <c r="BZ677" i="2"/>
  <c r="AE677" i="2"/>
  <c r="AA677" i="2"/>
  <c r="CA676" i="2"/>
  <c r="BZ676" i="2"/>
  <c r="AE676" i="2"/>
  <c r="AA676" i="2"/>
  <c r="CA675" i="2"/>
  <c r="BZ675" i="2"/>
  <c r="AE675" i="2"/>
  <c r="AA675" i="2"/>
  <c r="CA674" i="2"/>
  <c r="BZ674" i="2"/>
  <c r="AE674" i="2"/>
  <c r="AA674" i="2"/>
  <c r="CA673" i="2"/>
  <c r="BZ673" i="2"/>
  <c r="AE673" i="2"/>
  <c r="AA673" i="2"/>
  <c r="CA672" i="2"/>
  <c r="BZ672" i="2"/>
  <c r="AE672" i="2"/>
  <c r="AA672" i="2"/>
  <c r="CA671" i="2"/>
  <c r="BZ671" i="2"/>
  <c r="AE671" i="2"/>
  <c r="AA671" i="2"/>
  <c r="CA670" i="2"/>
  <c r="BZ670" i="2"/>
  <c r="AE670" i="2"/>
  <c r="AA670" i="2"/>
  <c r="CA669" i="2"/>
  <c r="BZ669" i="2"/>
  <c r="AE669" i="2"/>
  <c r="AA669" i="2"/>
  <c r="CA668" i="2"/>
  <c r="BZ668" i="2"/>
  <c r="AE668" i="2"/>
  <c r="AA668" i="2"/>
  <c r="CA667" i="2"/>
  <c r="BZ667" i="2"/>
  <c r="AE667" i="2"/>
  <c r="AA667" i="2"/>
  <c r="CA666" i="2"/>
  <c r="BZ666" i="2"/>
  <c r="AE666" i="2"/>
  <c r="AA666" i="2"/>
  <c r="CA665" i="2"/>
  <c r="BZ665" i="2"/>
  <c r="AE665" i="2"/>
  <c r="AA665" i="2"/>
  <c r="CA664" i="2"/>
  <c r="BZ664" i="2"/>
  <c r="AE664" i="2"/>
  <c r="AA664" i="2"/>
  <c r="CA663" i="2"/>
  <c r="BZ663" i="2"/>
  <c r="AE663" i="2"/>
  <c r="AA663" i="2"/>
  <c r="CA662" i="2"/>
  <c r="BZ662" i="2"/>
  <c r="AE662" i="2"/>
  <c r="AA662" i="2"/>
  <c r="CA661" i="2"/>
  <c r="BZ661" i="2"/>
  <c r="AE661" i="2"/>
  <c r="AA661" i="2"/>
  <c r="CA660" i="2"/>
  <c r="BZ660" i="2"/>
  <c r="AE660" i="2"/>
  <c r="AA660" i="2"/>
  <c r="CA659" i="2"/>
  <c r="BZ659" i="2"/>
  <c r="AE659" i="2"/>
  <c r="AA659" i="2"/>
  <c r="CA658" i="2"/>
  <c r="BZ658" i="2"/>
  <c r="AE658" i="2"/>
  <c r="AA658" i="2"/>
  <c r="CA657" i="2"/>
  <c r="BZ657" i="2"/>
  <c r="AE657" i="2"/>
  <c r="AA657" i="2"/>
  <c r="CA656" i="2"/>
  <c r="BZ656" i="2"/>
  <c r="AE656" i="2"/>
  <c r="AA656" i="2"/>
  <c r="CA655" i="2"/>
  <c r="BZ655" i="2"/>
  <c r="AE655" i="2"/>
  <c r="AA655" i="2"/>
  <c r="CA654" i="2"/>
  <c r="BZ654" i="2"/>
  <c r="AE654" i="2"/>
  <c r="AA654" i="2"/>
  <c r="CA653" i="2"/>
  <c r="BZ653" i="2"/>
  <c r="AE653" i="2"/>
  <c r="AA653" i="2"/>
  <c r="CA652" i="2"/>
  <c r="BZ652" i="2"/>
  <c r="AE652" i="2"/>
  <c r="AA652" i="2"/>
  <c r="CA651" i="2"/>
  <c r="BZ651" i="2"/>
  <c r="AE651" i="2"/>
  <c r="AA651" i="2"/>
  <c r="CA650" i="2"/>
  <c r="BZ650" i="2"/>
  <c r="AE650" i="2"/>
  <c r="AA650" i="2"/>
  <c r="CA649" i="2"/>
  <c r="BZ649" i="2"/>
  <c r="AE649" i="2"/>
  <c r="AA649" i="2"/>
  <c r="CA648" i="2"/>
  <c r="BZ648" i="2"/>
  <c r="AE648" i="2"/>
  <c r="AA648" i="2"/>
  <c r="CA647" i="2"/>
  <c r="BZ647" i="2"/>
  <c r="AE647" i="2"/>
  <c r="AA647" i="2"/>
  <c r="CA646" i="2"/>
  <c r="BZ646" i="2"/>
  <c r="AE646" i="2"/>
  <c r="AA646" i="2"/>
  <c r="CA645" i="2"/>
  <c r="BZ645" i="2"/>
  <c r="AE645" i="2"/>
  <c r="AA645" i="2"/>
  <c r="CA644" i="2"/>
  <c r="BZ644" i="2"/>
  <c r="AE644" i="2"/>
  <c r="AA644" i="2"/>
  <c r="CA643" i="2"/>
  <c r="BZ643" i="2"/>
  <c r="AE643" i="2"/>
  <c r="AA643" i="2"/>
  <c r="CA642" i="2"/>
  <c r="BZ642" i="2"/>
  <c r="AE642" i="2"/>
  <c r="AA642" i="2"/>
  <c r="CA641" i="2"/>
  <c r="BZ641" i="2"/>
  <c r="AE641" i="2"/>
  <c r="AA641" i="2"/>
  <c r="CA640" i="2"/>
  <c r="BZ640" i="2"/>
  <c r="AE640" i="2"/>
  <c r="AA640" i="2"/>
  <c r="CA639" i="2"/>
  <c r="BZ639" i="2"/>
  <c r="AE639" i="2"/>
  <c r="AA639" i="2"/>
  <c r="CA638" i="2"/>
  <c r="BZ638" i="2"/>
  <c r="AE638" i="2"/>
  <c r="AA638" i="2"/>
  <c r="CA637" i="2"/>
  <c r="BZ637" i="2"/>
  <c r="AE637" i="2"/>
  <c r="AA637" i="2"/>
  <c r="CA636" i="2"/>
  <c r="BZ636" i="2"/>
  <c r="AE636" i="2"/>
  <c r="AA636" i="2"/>
  <c r="CA635" i="2"/>
  <c r="BZ635" i="2"/>
  <c r="AE635" i="2"/>
  <c r="AA635" i="2"/>
  <c r="CA634" i="2"/>
  <c r="BZ634" i="2"/>
  <c r="AE634" i="2"/>
  <c r="AA634" i="2"/>
  <c r="CA633" i="2"/>
  <c r="BZ633" i="2"/>
  <c r="AE633" i="2"/>
  <c r="AA633" i="2"/>
  <c r="CA632" i="2"/>
  <c r="BZ632" i="2"/>
  <c r="AE632" i="2"/>
  <c r="AA632" i="2"/>
  <c r="CA631" i="2"/>
  <c r="BZ631" i="2"/>
  <c r="AE631" i="2"/>
  <c r="AA631" i="2"/>
  <c r="CA630" i="2"/>
  <c r="BZ630" i="2"/>
  <c r="AE630" i="2"/>
  <c r="AA630" i="2"/>
  <c r="CA629" i="2"/>
  <c r="BZ629" i="2"/>
  <c r="AE629" i="2"/>
  <c r="AA629" i="2"/>
  <c r="CA628" i="2"/>
  <c r="BZ628" i="2"/>
  <c r="AE628" i="2"/>
  <c r="AA628" i="2"/>
  <c r="CA627" i="2"/>
  <c r="BZ627" i="2"/>
  <c r="AE627" i="2"/>
  <c r="AA627" i="2"/>
  <c r="CA626" i="2"/>
  <c r="BZ626" i="2"/>
  <c r="AE626" i="2"/>
  <c r="AA626" i="2"/>
  <c r="CA625" i="2"/>
  <c r="BZ625" i="2"/>
  <c r="AE625" i="2"/>
  <c r="AA625" i="2"/>
  <c r="CA624" i="2"/>
  <c r="BZ624" i="2"/>
  <c r="AE624" i="2"/>
  <c r="AA624" i="2"/>
  <c r="CA623" i="2"/>
  <c r="BZ623" i="2"/>
  <c r="AE623" i="2"/>
  <c r="AA623" i="2"/>
  <c r="CA622" i="2"/>
  <c r="BZ622" i="2"/>
  <c r="AE622" i="2"/>
  <c r="AA622" i="2"/>
  <c r="CA621" i="2"/>
  <c r="BZ621" i="2"/>
  <c r="AE621" i="2"/>
  <c r="AA621" i="2"/>
  <c r="CA620" i="2"/>
  <c r="BZ620" i="2"/>
  <c r="AE620" i="2"/>
  <c r="AA620" i="2"/>
  <c r="CA619" i="2"/>
  <c r="BZ619" i="2"/>
  <c r="AE619" i="2"/>
  <c r="AA619" i="2"/>
  <c r="CA618" i="2"/>
  <c r="BZ618" i="2"/>
  <c r="AE618" i="2"/>
  <c r="AA618" i="2"/>
  <c r="CA617" i="2"/>
  <c r="BZ617" i="2"/>
  <c r="AE617" i="2"/>
  <c r="AA617" i="2"/>
  <c r="CA616" i="2"/>
  <c r="BZ616" i="2"/>
  <c r="AE616" i="2"/>
  <c r="AA616" i="2"/>
  <c r="CA615" i="2"/>
  <c r="BZ615" i="2"/>
  <c r="AE615" i="2"/>
  <c r="AA615" i="2"/>
  <c r="CA614" i="2"/>
  <c r="BZ614" i="2"/>
  <c r="AE614" i="2"/>
  <c r="AA614" i="2"/>
  <c r="CA613" i="2"/>
  <c r="BZ613" i="2"/>
  <c r="AE613" i="2"/>
  <c r="AA613" i="2"/>
  <c r="CA612" i="2"/>
  <c r="BZ612" i="2"/>
  <c r="AE612" i="2"/>
  <c r="AA612" i="2"/>
  <c r="CA611" i="2"/>
  <c r="BZ611" i="2"/>
  <c r="AE611" i="2"/>
  <c r="AA611" i="2"/>
  <c r="CA610" i="2"/>
  <c r="BZ610" i="2"/>
  <c r="AE610" i="2"/>
  <c r="AA610" i="2"/>
  <c r="CA609" i="2"/>
  <c r="BZ609" i="2"/>
  <c r="AE609" i="2"/>
  <c r="AA609" i="2"/>
  <c r="CA608" i="2"/>
  <c r="BZ608" i="2"/>
  <c r="AE608" i="2"/>
  <c r="AA608" i="2"/>
  <c r="CA607" i="2"/>
  <c r="BZ607" i="2"/>
  <c r="AE607" i="2"/>
  <c r="AA607" i="2"/>
  <c r="CA606" i="2"/>
  <c r="BZ606" i="2"/>
  <c r="AE606" i="2"/>
  <c r="AA606" i="2"/>
  <c r="CA605" i="2"/>
  <c r="BZ605" i="2"/>
  <c r="AE605" i="2"/>
  <c r="AA605" i="2"/>
  <c r="CA604" i="2"/>
  <c r="BZ604" i="2"/>
  <c r="AE604" i="2"/>
  <c r="AA604" i="2"/>
  <c r="CA603" i="2"/>
  <c r="BZ603" i="2"/>
  <c r="AE603" i="2"/>
  <c r="AA603" i="2"/>
  <c r="CA602" i="2"/>
  <c r="BZ602" i="2"/>
  <c r="AE602" i="2"/>
  <c r="AA602" i="2"/>
  <c r="CA601" i="2"/>
  <c r="BZ601" i="2"/>
  <c r="AE601" i="2"/>
  <c r="AA601" i="2"/>
  <c r="CA600" i="2"/>
  <c r="BZ600" i="2"/>
  <c r="AE600" i="2"/>
  <c r="AA600" i="2"/>
  <c r="CA599" i="2"/>
  <c r="BZ599" i="2"/>
  <c r="AE599" i="2"/>
  <c r="AA599" i="2"/>
  <c r="CA598" i="2"/>
  <c r="BZ598" i="2"/>
  <c r="AE598" i="2"/>
  <c r="AA598" i="2"/>
  <c r="CA597" i="2"/>
  <c r="BZ597" i="2"/>
  <c r="AE597" i="2"/>
  <c r="AA597" i="2"/>
  <c r="CA596" i="2"/>
  <c r="BZ596" i="2"/>
  <c r="AE596" i="2"/>
  <c r="AA596" i="2"/>
  <c r="CA595" i="2"/>
  <c r="BZ595" i="2"/>
  <c r="AE595" i="2"/>
  <c r="AA595" i="2"/>
  <c r="CA594" i="2"/>
  <c r="BZ594" i="2"/>
  <c r="AE594" i="2"/>
  <c r="AA594" i="2"/>
  <c r="CA593" i="2"/>
  <c r="BZ593" i="2"/>
  <c r="AE593" i="2"/>
  <c r="AA593" i="2"/>
  <c r="CA592" i="2"/>
  <c r="BZ592" i="2"/>
  <c r="AE592" i="2"/>
  <c r="AA592" i="2"/>
  <c r="CA591" i="2"/>
  <c r="BZ591" i="2"/>
  <c r="AE591" i="2"/>
  <c r="AA591" i="2"/>
  <c r="CA590" i="2"/>
  <c r="BZ590" i="2"/>
  <c r="AE590" i="2"/>
  <c r="AA590" i="2"/>
  <c r="CA589" i="2"/>
  <c r="BZ589" i="2"/>
  <c r="AE589" i="2"/>
  <c r="AA589" i="2"/>
  <c r="CA588" i="2"/>
  <c r="BZ588" i="2"/>
  <c r="AE588" i="2"/>
  <c r="AA588" i="2"/>
  <c r="CA587" i="2"/>
  <c r="BZ587" i="2"/>
  <c r="AE587" i="2"/>
  <c r="AA587" i="2"/>
  <c r="CA586" i="2"/>
  <c r="BZ586" i="2"/>
  <c r="AE586" i="2"/>
  <c r="AA586" i="2"/>
  <c r="CA585" i="2"/>
  <c r="BZ585" i="2"/>
  <c r="AE585" i="2"/>
  <c r="AA585" i="2"/>
  <c r="CA584" i="2"/>
  <c r="BZ584" i="2"/>
  <c r="AE584" i="2"/>
  <c r="AA584" i="2"/>
  <c r="CA583" i="2"/>
  <c r="BZ583" i="2"/>
  <c r="AE583" i="2"/>
  <c r="AA583" i="2"/>
  <c r="CA582" i="2"/>
  <c r="BZ582" i="2"/>
  <c r="AE582" i="2"/>
  <c r="AA582" i="2"/>
  <c r="CA581" i="2"/>
  <c r="BZ581" i="2"/>
  <c r="AE581" i="2"/>
  <c r="AA581" i="2"/>
  <c r="CA580" i="2"/>
  <c r="BZ580" i="2"/>
  <c r="AE580" i="2"/>
  <c r="AA580" i="2"/>
  <c r="CA579" i="2"/>
  <c r="BZ579" i="2"/>
  <c r="AE579" i="2"/>
  <c r="AA579" i="2"/>
  <c r="CA578" i="2"/>
  <c r="BZ578" i="2"/>
  <c r="AE578" i="2"/>
  <c r="AA578" i="2"/>
  <c r="CA577" i="2"/>
  <c r="BZ577" i="2"/>
  <c r="AE577" i="2"/>
  <c r="AA577" i="2"/>
  <c r="CA576" i="2"/>
  <c r="BZ576" i="2"/>
  <c r="AE576" i="2"/>
  <c r="AA576" i="2"/>
  <c r="CA575" i="2"/>
  <c r="BZ575" i="2"/>
  <c r="AE575" i="2"/>
  <c r="AA575" i="2"/>
  <c r="CA574" i="2"/>
  <c r="BZ574" i="2"/>
  <c r="AE574" i="2"/>
  <c r="AA574" i="2"/>
  <c r="CA573" i="2"/>
  <c r="BZ573" i="2"/>
  <c r="AE573" i="2"/>
  <c r="AA573" i="2"/>
  <c r="CA572" i="2"/>
  <c r="BZ572" i="2"/>
  <c r="AE572" i="2"/>
  <c r="AA572" i="2"/>
  <c r="CA571" i="2"/>
  <c r="BZ571" i="2"/>
  <c r="AE571" i="2"/>
  <c r="AA571" i="2"/>
  <c r="CA570" i="2"/>
  <c r="BZ570" i="2"/>
  <c r="AE570" i="2"/>
  <c r="AA570" i="2"/>
  <c r="CA569" i="2"/>
  <c r="BZ569" i="2"/>
  <c r="AE569" i="2"/>
  <c r="AA569" i="2"/>
  <c r="CA568" i="2"/>
  <c r="BZ568" i="2"/>
  <c r="AE568" i="2"/>
  <c r="AA568" i="2"/>
  <c r="CA567" i="2"/>
  <c r="BZ567" i="2"/>
  <c r="AE567" i="2"/>
  <c r="AA567" i="2"/>
  <c r="CA566" i="2"/>
  <c r="BZ566" i="2"/>
  <c r="AE566" i="2"/>
  <c r="AA566" i="2"/>
  <c r="CA565" i="2"/>
  <c r="BZ565" i="2"/>
  <c r="AE565" i="2"/>
  <c r="AA565" i="2"/>
  <c r="CA564" i="2"/>
  <c r="BZ564" i="2"/>
  <c r="AE564" i="2"/>
  <c r="AA564" i="2"/>
  <c r="CA563" i="2"/>
  <c r="BZ563" i="2"/>
  <c r="AE563" i="2"/>
  <c r="AA563" i="2"/>
  <c r="CA562" i="2"/>
  <c r="BZ562" i="2"/>
  <c r="AE562" i="2"/>
  <c r="AA562" i="2"/>
  <c r="CA561" i="2"/>
  <c r="BZ561" i="2"/>
  <c r="AE561" i="2"/>
  <c r="AA561" i="2"/>
  <c r="CA560" i="2"/>
  <c r="BZ560" i="2"/>
  <c r="AE560" i="2"/>
  <c r="AA560" i="2"/>
  <c r="CA559" i="2"/>
  <c r="BZ559" i="2"/>
  <c r="AE559" i="2"/>
  <c r="AA559" i="2"/>
  <c r="CA558" i="2"/>
  <c r="BZ558" i="2"/>
  <c r="AE558" i="2"/>
  <c r="AA558" i="2"/>
  <c r="CA557" i="2"/>
  <c r="BZ557" i="2"/>
  <c r="AE557" i="2"/>
  <c r="AA557" i="2"/>
  <c r="CA556" i="2"/>
  <c r="BZ556" i="2"/>
  <c r="AE556" i="2"/>
  <c r="AA556" i="2"/>
  <c r="CA555" i="2"/>
  <c r="BZ555" i="2"/>
  <c r="AE555" i="2"/>
  <c r="AA555" i="2"/>
  <c r="CA554" i="2"/>
  <c r="BZ554" i="2"/>
  <c r="AE554" i="2"/>
  <c r="AA554" i="2"/>
  <c r="CA553" i="2"/>
  <c r="BZ553" i="2"/>
  <c r="AE553" i="2"/>
  <c r="AA553" i="2"/>
  <c r="CA552" i="2"/>
  <c r="BZ552" i="2"/>
  <c r="AE552" i="2"/>
  <c r="AA552" i="2"/>
  <c r="CA551" i="2"/>
  <c r="BZ551" i="2"/>
  <c r="AE551" i="2"/>
  <c r="AA551" i="2"/>
  <c r="CA550" i="2"/>
  <c r="BZ550" i="2"/>
  <c r="AE550" i="2"/>
  <c r="AA550" i="2"/>
  <c r="CA549" i="2"/>
  <c r="BZ549" i="2"/>
  <c r="AE549" i="2"/>
  <c r="AA549" i="2"/>
  <c r="CA548" i="2"/>
  <c r="BZ548" i="2"/>
  <c r="AE548" i="2"/>
  <c r="AA548" i="2"/>
  <c r="CA547" i="2"/>
  <c r="BZ547" i="2"/>
  <c r="AE547" i="2"/>
  <c r="AA547" i="2"/>
  <c r="CA546" i="2"/>
  <c r="BZ546" i="2"/>
  <c r="AE546" i="2"/>
  <c r="AA546" i="2"/>
  <c r="CA545" i="2"/>
  <c r="BZ545" i="2"/>
  <c r="AE545" i="2"/>
  <c r="AA545" i="2"/>
  <c r="CA544" i="2"/>
  <c r="BZ544" i="2"/>
  <c r="AE544" i="2"/>
  <c r="AA544" i="2"/>
  <c r="CA543" i="2"/>
  <c r="BZ543" i="2"/>
  <c r="AE543" i="2"/>
  <c r="AA543" i="2"/>
  <c r="CA542" i="2"/>
  <c r="BZ542" i="2"/>
  <c r="AE542" i="2"/>
  <c r="AA542" i="2"/>
  <c r="CA541" i="2"/>
  <c r="BZ541" i="2"/>
  <c r="AE541" i="2"/>
  <c r="AA541" i="2"/>
  <c r="CA540" i="2"/>
  <c r="BZ540" i="2"/>
  <c r="AE540" i="2"/>
  <c r="AA540" i="2"/>
  <c r="CA539" i="2"/>
  <c r="BZ539" i="2"/>
  <c r="AE539" i="2"/>
  <c r="AA539" i="2"/>
  <c r="CA538" i="2"/>
  <c r="BZ538" i="2"/>
  <c r="AE538" i="2"/>
  <c r="AA538" i="2"/>
  <c r="CA537" i="2"/>
  <c r="BZ537" i="2"/>
  <c r="AE537" i="2"/>
  <c r="AA537" i="2"/>
  <c r="CA536" i="2"/>
  <c r="BZ536" i="2"/>
  <c r="AE536" i="2"/>
  <c r="AA536" i="2"/>
  <c r="CA535" i="2"/>
  <c r="BZ535" i="2"/>
  <c r="AE535" i="2"/>
  <c r="AA535" i="2"/>
  <c r="CA534" i="2"/>
  <c r="BZ534" i="2"/>
  <c r="AE534" i="2"/>
  <c r="AA534" i="2"/>
  <c r="CA533" i="2"/>
  <c r="BZ533" i="2"/>
  <c r="AE533" i="2"/>
  <c r="AA533" i="2"/>
  <c r="CA532" i="2"/>
  <c r="BZ532" i="2"/>
  <c r="AE532" i="2"/>
  <c r="AA532" i="2"/>
  <c r="CA531" i="2"/>
  <c r="BZ531" i="2"/>
  <c r="AE531" i="2"/>
  <c r="AA531" i="2"/>
  <c r="CA530" i="2"/>
  <c r="BZ530" i="2"/>
  <c r="AE530" i="2"/>
  <c r="AA530" i="2"/>
  <c r="CA529" i="2"/>
  <c r="BZ529" i="2"/>
  <c r="AE529" i="2"/>
  <c r="AA529" i="2"/>
  <c r="CA528" i="2"/>
  <c r="BZ528" i="2"/>
  <c r="AE528" i="2"/>
  <c r="AA528" i="2"/>
  <c r="CA527" i="2"/>
  <c r="BZ527" i="2"/>
  <c r="AE527" i="2"/>
  <c r="AA527" i="2"/>
  <c r="CA526" i="2"/>
  <c r="BZ526" i="2"/>
  <c r="AE526" i="2"/>
  <c r="AA526" i="2"/>
  <c r="CA525" i="2"/>
  <c r="BZ525" i="2"/>
  <c r="AE525" i="2"/>
  <c r="AA525" i="2"/>
  <c r="CA524" i="2"/>
  <c r="BZ524" i="2"/>
  <c r="AE524" i="2"/>
  <c r="AA524" i="2"/>
  <c r="CA523" i="2"/>
  <c r="BZ523" i="2"/>
  <c r="AE523" i="2"/>
  <c r="AA523" i="2"/>
  <c r="CA522" i="2"/>
  <c r="BZ522" i="2"/>
  <c r="AE522" i="2"/>
  <c r="AA522" i="2"/>
  <c r="CA521" i="2"/>
  <c r="BZ521" i="2"/>
  <c r="AE521" i="2"/>
  <c r="AA521" i="2"/>
  <c r="CA520" i="2"/>
  <c r="BZ520" i="2"/>
  <c r="AE520" i="2"/>
  <c r="AA520" i="2"/>
  <c r="CA519" i="2"/>
  <c r="BZ519" i="2"/>
  <c r="AE519" i="2"/>
  <c r="AA519" i="2"/>
  <c r="CA518" i="2"/>
  <c r="BZ518" i="2"/>
  <c r="AE518" i="2"/>
  <c r="AA518" i="2"/>
  <c r="CA517" i="2"/>
  <c r="BZ517" i="2"/>
  <c r="AE517" i="2"/>
  <c r="AA517" i="2"/>
  <c r="CA516" i="2"/>
  <c r="BZ516" i="2"/>
  <c r="AE516" i="2"/>
  <c r="AA516" i="2"/>
  <c r="CA515" i="2"/>
  <c r="BZ515" i="2"/>
  <c r="AE515" i="2"/>
  <c r="AA515" i="2"/>
  <c r="CA514" i="2"/>
  <c r="BZ514" i="2"/>
  <c r="AE514" i="2"/>
  <c r="AA514" i="2"/>
  <c r="CA513" i="2"/>
  <c r="BZ513" i="2"/>
  <c r="BB513" i="2"/>
  <c r="AZ513" i="2"/>
  <c r="AX513" i="2"/>
  <c r="AV513" i="2"/>
  <c r="AE513" i="2"/>
  <c r="AA513" i="2"/>
  <c r="F513" i="2"/>
  <c r="E513" i="2"/>
  <c r="D513" i="2"/>
  <c r="CA512" i="2"/>
  <c r="BZ512" i="2"/>
  <c r="BY512" i="2"/>
  <c r="BX512" i="2"/>
  <c r="BW512" i="2"/>
  <c r="BV512" i="2"/>
  <c r="BU512" i="2"/>
  <c r="BT512" i="2"/>
  <c r="BS512" i="2"/>
  <c r="BR512" i="2"/>
  <c r="BQ512" i="2"/>
  <c r="BP512" i="2"/>
  <c r="BO512" i="2"/>
  <c r="BN512" i="2"/>
  <c r="BM512" i="2"/>
  <c r="BL512" i="2"/>
  <c r="BK512" i="2"/>
  <c r="BJ512" i="2"/>
  <c r="BI512" i="2"/>
  <c r="BH512" i="2"/>
  <c r="BG512" i="2"/>
  <c r="BF512" i="2"/>
  <c r="BE512" i="2"/>
  <c r="BD512" i="2"/>
  <c r="BC512" i="2"/>
  <c r="BB512" i="2"/>
  <c r="BA512" i="2"/>
  <c r="AZ512" i="2"/>
  <c r="AY512" i="2"/>
  <c r="AX512" i="2"/>
  <c r="AW512" i="2"/>
  <c r="AV512" i="2"/>
  <c r="AU512" i="2"/>
  <c r="AT512" i="2"/>
  <c r="AS512" i="2"/>
  <c r="AR512" i="2"/>
  <c r="AQ512" i="2"/>
  <c r="AP512" i="2"/>
  <c r="AO512" i="2"/>
  <c r="AN512" i="2"/>
  <c r="AM512" i="2"/>
  <c r="AL512" i="2"/>
  <c r="AK512" i="2"/>
  <c r="AE512" i="2"/>
  <c r="AA512" i="2"/>
  <c r="F512" i="2"/>
  <c r="E512" i="2"/>
  <c r="D512" i="2"/>
  <c r="CA511" i="2"/>
  <c r="BZ511" i="2"/>
  <c r="BY511" i="2"/>
  <c r="BX511" i="2"/>
  <c r="BW511" i="2"/>
  <c r="BV511" i="2"/>
  <c r="BU511" i="2"/>
  <c r="BT511" i="2"/>
  <c r="BS511" i="2"/>
  <c r="BR511" i="2"/>
  <c r="BQ511" i="2"/>
  <c r="BP511" i="2"/>
  <c r="BO511" i="2"/>
  <c r="BN511" i="2"/>
  <c r="BM511" i="2"/>
  <c r="BL511" i="2"/>
  <c r="BK511" i="2"/>
  <c r="BJ511" i="2"/>
  <c r="BI511" i="2"/>
  <c r="BH511" i="2"/>
  <c r="BG511" i="2"/>
  <c r="BF511" i="2"/>
  <c r="BE511" i="2"/>
  <c r="BD511" i="2"/>
  <c r="BC511" i="2"/>
  <c r="BB511" i="2"/>
  <c r="BA511" i="2"/>
  <c r="AZ511" i="2"/>
  <c r="AY511" i="2"/>
  <c r="AX511" i="2"/>
  <c r="AW511" i="2"/>
  <c r="AV511" i="2"/>
  <c r="AU511" i="2"/>
  <c r="AT511" i="2"/>
  <c r="AS511" i="2"/>
  <c r="AR511" i="2"/>
  <c r="AQ511" i="2"/>
  <c r="AP511" i="2"/>
  <c r="AO511" i="2"/>
  <c r="AN511" i="2"/>
  <c r="AM511" i="2"/>
  <c r="AL511" i="2"/>
  <c r="AK511" i="2"/>
  <c r="AE511" i="2"/>
  <c r="AA511" i="2"/>
  <c r="F511" i="2"/>
  <c r="E511" i="2"/>
  <c r="D511" i="2"/>
  <c r="CA510" i="2"/>
  <c r="BZ510" i="2"/>
  <c r="BY510" i="2"/>
  <c r="BX510" i="2"/>
  <c r="BW510" i="2"/>
  <c r="BV510" i="2"/>
  <c r="BU510" i="2"/>
  <c r="BT510" i="2"/>
  <c r="BS510" i="2"/>
  <c r="BR510" i="2"/>
  <c r="BQ510" i="2"/>
  <c r="BP510" i="2"/>
  <c r="BO510" i="2"/>
  <c r="BN510" i="2"/>
  <c r="BM510" i="2"/>
  <c r="BL510" i="2"/>
  <c r="BK510" i="2"/>
  <c r="BJ510" i="2"/>
  <c r="BI510" i="2"/>
  <c r="BH510" i="2"/>
  <c r="BG510" i="2"/>
  <c r="BF510" i="2"/>
  <c r="BE510" i="2"/>
  <c r="BD510" i="2"/>
  <c r="BC510" i="2"/>
  <c r="BB510" i="2"/>
  <c r="BA510" i="2"/>
  <c r="AZ510" i="2"/>
  <c r="AY510" i="2"/>
  <c r="AX510" i="2"/>
  <c r="AW510" i="2"/>
  <c r="AV510" i="2"/>
  <c r="AU510" i="2"/>
  <c r="AT510" i="2"/>
  <c r="AS510" i="2"/>
  <c r="AR510" i="2"/>
  <c r="AQ510" i="2"/>
  <c r="AP510" i="2"/>
  <c r="AO510" i="2"/>
  <c r="AN510" i="2"/>
  <c r="AM510" i="2"/>
  <c r="AL510" i="2"/>
  <c r="AK510" i="2"/>
  <c r="AE510" i="2"/>
  <c r="AA510" i="2"/>
  <c r="F510" i="2"/>
  <c r="E510" i="2"/>
  <c r="D510" i="2"/>
  <c r="CA509" i="2"/>
  <c r="BZ509" i="2"/>
  <c r="BY509" i="2"/>
  <c r="BX509" i="2"/>
  <c r="BW509" i="2"/>
  <c r="BV509" i="2"/>
  <c r="BU509" i="2"/>
  <c r="BT509" i="2"/>
  <c r="BS509" i="2"/>
  <c r="BR509" i="2"/>
  <c r="BQ509" i="2"/>
  <c r="BP509" i="2"/>
  <c r="BO509" i="2"/>
  <c r="BN509" i="2"/>
  <c r="BM509" i="2"/>
  <c r="BL509" i="2"/>
  <c r="BK509" i="2"/>
  <c r="BJ509" i="2"/>
  <c r="BI509" i="2"/>
  <c r="BH509" i="2"/>
  <c r="BG509" i="2"/>
  <c r="BF509" i="2"/>
  <c r="BE509" i="2"/>
  <c r="BD509" i="2"/>
  <c r="BC509" i="2"/>
  <c r="BB509" i="2"/>
  <c r="BA509" i="2"/>
  <c r="AZ509" i="2"/>
  <c r="AY509" i="2"/>
  <c r="AX509" i="2"/>
  <c r="AW509" i="2"/>
  <c r="AV509" i="2"/>
  <c r="AU509" i="2"/>
  <c r="AT509" i="2"/>
  <c r="AS509" i="2"/>
  <c r="AR509" i="2"/>
  <c r="AQ509" i="2"/>
  <c r="AP509" i="2"/>
  <c r="AO509" i="2"/>
  <c r="AN509" i="2"/>
  <c r="AM509" i="2"/>
  <c r="AL509" i="2"/>
  <c r="AK509" i="2"/>
  <c r="AE509" i="2"/>
  <c r="AA509" i="2"/>
  <c r="F509" i="2"/>
  <c r="E509" i="2"/>
  <c r="D509" i="2"/>
  <c r="CA508" i="2"/>
  <c r="BZ508" i="2"/>
  <c r="BY508" i="2"/>
  <c r="BX508" i="2"/>
  <c r="BW508" i="2"/>
  <c r="BV508" i="2"/>
  <c r="BU508" i="2"/>
  <c r="BT508" i="2"/>
  <c r="BS508" i="2"/>
  <c r="BR508" i="2"/>
  <c r="BQ508" i="2"/>
  <c r="BP508" i="2"/>
  <c r="BO508" i="2"/>
  <c r="BN508" i="2"/>
  <c r="BM508" i="2"/>
  <c r="BL508" i="2"/>
  <c r="BK508" i="2"/>
  <c r="BJ508" i="2"/>
  <c r="BI508" i="2"/>
  <c r="BH508" i="2"/>
  <c r="BG508" i="2"/>
  <c r="BF508" i="2"/>
  <c r="BE508" i="2"/>
  <c r="BD508" i="2"/>
  <c r="BC508" i="2"/>
  <c r="BB508" i="2"/>
  <c r="BA508" i="2"/>
  <c r="AZ508" i="2"/>
  <c r="AY508" i="2"/>
  <c r="AX508" i="2"/>
  <c r="AW508" i="2"/>
  <c r="AV508" i="2"/>
  <c r="AU508" i="2"/>
  <c r="AT508" i="2"/>
  <c r="AS508" i="2"/>
  <c r="AR508" i="2"/>
  <c r="AQ508" i="2"/>
  <c r="AP508" i="2"/>
  <c r="AO508" i="2"/>
  <c r="AN508" i="2"/>
  <c r="AM508" i="2"/>
  <c r="AL508" i="2"/>
  <c r="AK508" i="2"/>
  <c r="AE508" i="2"/>
  <c r="AA508" i="2"/>
  <c r="F508" i="2"/>
  <c r="E508" i="2"/>
  <c r="D508" i="2"/>
  <c r="CA507" i="2"/>
  <c r="BZ507" i="2"/>
  <c r="BY507" i="2"/>
  <c r="BX507" i="2"/>
  <c r="BW507" i="2"/>
  <c r="BV507" i="2"/>
  <c r="BU507" i="2"/>
  <c r="BT507" i="2"/>
  <c r="BS507" i="2"/>
  <c r="BR507" i="2"/>
  <c r="BQ507" i="2"/>
  <c r="BP507" i="2"/>
  <c r="BO507" i="2"/>
  <c r="BN507" i="2"/>
  <c r="BM507" i="2"/>
  <c r="BL507" i="2"/>
  <c r="BK507" i="2"/>
  <c r="BJ507" i="2"/>
  <c r="BI507" i="2"/>
  <c r="BH507" i="2"/>
  <c r="BG507" i="2"/>
  <c r="BF507" i="2"/>
  <c r="BE507" i="2"/>
  <c r="BD507" i="2"/>
  <c r="BC507" i="2"/>
  <c r="BB507" i="2"/>
  <c r="BA507" i="2"/>
  <c r="AZ507" i="2"/>
  <c r="AY507" i="2"/>
  <c r="AX507" i="2"/>
  <c r="AW507" i="2"/>
  <c r="AV507" i="2"/>
  <c r="AU507" i="2"/>
  <c r="AT507" i="2"/>
  <c r="AS507" i="2"/>
  <c r="AR507" i="2"/>
  <c r="AQ507" i="2"/>
  <c r="AP507" i="2"/>
  <c r="AO507" i="2"/>
  <c r="AN507" i="2"/>
  <c r="AM507" i="2"/>
  <c r="AL507" i="2"/>
  <c r="AK507" i="2"/>
  <c r="AE507" i="2"/>
  <c r="AA507" i="2"/>
  <c r="F507" i="2"/>
  <c r="E507" i="2"/>
  <c r="D507" i="2"/>
  <c r="CA506" i="2"/>
  <c r="BZ506" i="2"/>
  <c r="BY506" i="2"/>
  <c r="BX506" i="2"/>
  <c r="BW506" i="2"/>
  <c r="BV506" i="2"/>
  <c r="BU506" i="2"/>
  <c r="BT506" i="2"/>
  <c r="BS506" i="2"/>
  <c r="BR506" i="2"/>
  <c r="BQ506" i="2"/>
  <c r="BP506" i="2"/>
  <c r="BO506" i="2"/>
  <c r="BN506" i="2"/>
  <c r="BM506" i="2"/>
  <c r="BL506" i="2"/>
  <c r="BK506" i="2"/>
  <c r="BJ506" i="2"/>
  <c r="BI506" i="2"/>
  <c r="BH506" i="2"/>
  <c r="BG506" i="2"/>
  <c r="BF506" i="2"/>
  <c r="BE506" i="2"/>
  <c r="BD506" i="2"/>
  <c r="BC506" i="2"/>
  <c r="BB506" i="2"/>
  <c r="BA506" i="2"/>
  <c r="AZ506" i="2"/>
  <c r="AY506" i="2"/>
  <c r="AX506" i="2"/>
  <c r="AW506" i="2"/>
  <c r="AV506" i="2"/>
  <c r="AU506" i="2"/>
  <c r="AT506" i="2"/>
  <c r="AS506" i="2"/>
  <c r="AR506" i="2"/>
  <c r="AQ506" i="2"/>
  <c r="AP506" i="2"/>
  <c r="AO506" i="2"/>
  <c r="AN506" i="2"/>
  <c r="AM506" i="2"/>
  <c r="AL506" i="2"/>
  <c r="AK506" i="2"/>
  <c r="AE506" i="2"/>
  <c r="AA506" i="2"/>
  <c r="F506" i="2"/>
  <c r="E506" i="2"/>
  <c r="D506" i="2"/>
  <c r="CA505" i="2"/>
  <c r="BZ505" i="2"/>
  <c r="BY505" i="2"/>
  <c r="BX505" i="2"/>
  <c r="BW505" i="2"/>
  <c r="BV505" i="2"/>
  <c r="BU505" i="2"/>
  <c r="BT505" i="2"/>
  <c r="BS505" i="2"/>
  <c r="BR505" i="2"/>
  <c r="BQ505" i="2"/>
  <c r="BP505" i="2"/>
  <c r="BO505" i="2"/>
  <c r="BN505" i="2"/>
  <c r="BM505" i="2"/>
  <c r="BL505" i="2"/>
  <c r="BK505" i="2"/>
  <c r="BJ505" i="2"/>
  <c r="BI505" i="2"/>
  <c r="BH505" i="2"/>
  <c r="BG505" i="2"/>
  <c r="BF505" i="2"/>
  <c r="BE505" i="2"/>
  <c r="BD505" i="2"/>
  <c r="BC505" i="2"/>
  <c r="BB505" i="2"/>
  <c r="BA505" i="2"/>
  <c r="AZ505" i="2"/>
  <c r="AY505" i="2"/>
  <c r="AX505" i="2"/>
  <c r="AW505" i="2"/>
  <c r="AV505" i="2"/>
  <c r="AU505" i="2"/>
  <c r="AT505" i="2"/>
  <c r="AS505" i="2"/>
  <c r="AR505" i="2"/>
  <c r="AQ505" i="2"/>
  <c r="AP505" i="2"/>
  <c r="AO505" i="2"/>
  <c r="AN505" i="2"/>
  <c r="AM505" i="2"/>
  <c r="AL505" i="2"/>
  <c r="AK505" i="2"/>
  <c r="AE505" i="2"/>
  <c r="AA505" i="2"/>
  <c r="F505" i="2"/>
  <c r="E505" i="2"/>
  <c r="D505" i="2"/>
  <c r="CA504" i="2"/>
  <c r="BZ504" i="2"/>
  <c r="BY504" i="2"/>
  <c r="BX504" i="2"/>
  <c r="BW504" i="2"/>
  <c r="BV504" i="2"/>
  <c r="BU504" i="2"/>
  <c r="BT504" i="2"/>
  <c r="BS504" i="2"/>
  <c r="BR504" i="2"/>
  <c r="BQ504" i="2"/>
  <c r="BP504" i="2"/>
  <c r="BO504" i="2"/>
  <c r="BN504" i="2"/>
  <c r="BM504" i="2"/>
  <c r="BL504" i="2"/>
  <c r="BK504" i="2"/>
  <c r="BJ504" i="2"/>
  <c r="BI504" i="2"/>
  <c r="BH504" i="2"/>
  <c r="BG504" i="2"/>
  <c r="BF504" i="2"/>
  <c r="BE504" i="2"/>
  <c r="BD504" i="2"/>
  <c r="BC504" i="2"/>
  <c r="BB504" i="2"/>
  <c r="BA504" i="2"/>
  <c r="AZ504" i="2"/>
  <c r="AY504" i="2"/>
  <c r="AX504" i="2"/>
  <c r="AW504" i="2"/>
  <c r="AV504" i="2"/>
  <c r="AU504" i="2"/>
  <c r="AT504" i="2"/>
  <c r="AS504" i="2"/>
  <c r="AR504" i="2"/>
  <c r="AQ504" i="2"/>
  <c r="AP504" i="2"/>
  <c r="AO504" i="2"/>
  <c r="AN504" i="2"/>
  <c r="AM504" i="2"/>
  <c r="AL504" i="2"/>
  <c r="AK504" i="2"/>
  <c r="AE504" i="2"/>
  <c r="AA504" i="2"/>
  <c r="F504" i="2"/>
  <c r="E504" i="2"/>
  <c r="D504" i="2"/>
  <c r="CA503" i="2"/>
  <c r="BZ503" i="2"/>
  <c r="BY503" i="2"/>
  <c r="BX503" i="2"/>
  <c r="BW503" i="2"/>
  <c r="BV503" i="2"/>
  <c r="BU503" i="2"/>
  <c r="BT503" i="2"/>
  <c r="BS503" i="2"/>
  <c r="BR503" i="2"/>
  <c r="BQ503" i="2"/>
  <c r="BP503" i="2"/>
  <c r="BO503" i="2"/>
  <c r="BN503" i="2"/>
  <c r="BM503" i="2"/>
  <c r="BL503" i="2"/>
  <c r="BK503" i="2"/>
  <c r="BJ503" i="2"/>
  <c r="BI503" i="2"/>
  <c r="BH503" i="2"/>
  <c r="BG503" i="2"/>
  <c r="BF503" i="2"/>
  <c r="BE503" i="2"/>
  <c r="BD503" i="2"/>
  <c r="BC503" i="2"/>
  <c r="BB503" i="2"/>
  <c r="BA503" i="2"/>
  <c r="AZ503" i="2"/>
  <c r="AY503" i="2"/>
  <c r="AX503" i="2"/>
  <c r="AW503" i="2"/>
  <c r="AV503" i="2"/>
  <c r="AU503" i="2"/>
  <c r="AT503" i="2"/>
  <c r="AS503" i="2"/>
  <c r="AR503" i="2"/>
  <c r="AQ503" i="2"/>
  <c r="AP503" i="2"/>
  <c r="AO503" i="2"/>
  <c r="AN503" i="2"/>
  <c r="AM503" i="2"/>
  <c r="AL503" i="2"/>
  <c r="AK503" i="2"/>
  <c r="AE503" i="2"/>
  <c r="AA503" i="2"/>
  <c r="F503" i="2"/>
  <c r="E503" i="2"/>
  <c r="D503" i="2"/>
  <c r="CA502" i="2"/>
  <c r="BZ502" i="2"/>
  <c r="BY502" i="2"/>
  <c r="BX502" i="2"/>
  <c r="BW502" i="2"/>
  <c r="BV502" i="2"/>
  <c r="BU502" i="2"/>
  <c r="BT502" i="2"/>
  <c r="BS502" i="2"/>
  <c r="BR502" i="2"/>
  <c r="BQ502" i="2"/>
  <c r="BP502" i="2"/>
  <c r="BO502" i="2"/>
  <c r="BN502" i="2"/>
  <c r="BM502" i="2"/>
  <c r="BL502" i="2"/>
  <c r="BK502" i="2"/>
  <c r="BJ502" i="2"/>
  <c r="BI502" i="2"/>
  <c r="BH502" i="2"/>
  <c r="BG502" i="2"/>
  <c r="BF502" i="2"/>
  <c r="BE502" i="2"/>
  <c r="BD502" i="2"/>
  <c r="BC502" i="2"/>
  <c r="BB502" i="2"/>
  <c r="BA502" i="2"/>
  <c r="AZ502" i="2"/>
  <c r="AY502" i="2"/>
  <c r="AX502" i="2"/>
  <c r="AW502" i="2"/>
  <c r="AV502" i="2"/>
  <c r="AU502" i="2"/>
  <c r="AT502" i="2"/>
  <c r="AS502" i="2"/>
  <c r="AR502" i="2"/>
  <c r="AQ502" i="2"/>
  <c r="AP502" i="2"/>
  <c r="AO502" i="2"/>
  <c r="AN502" i="2"/>
  <c r="AM502" i="2"/>
  <c r="AL502" i="2"/>
  <c r="AK502" i="2"/>
  <c r="AE502" i="2"/>
  <c r="AA502" i="2"/>
  <c r="F502" i="2"/>
  <c r="E502" i="2"/>
  <c r="D502" i="2"/>
  <c r="CA501" i="2"/>
  <c r="BZ501" i="2"/>
  <c r="BY501" i="2"/>
  <c r="BX501" i="2"/>
  <c r="BW501" i="2"/>
  <c r="BV501" i="2"/>
  <c r="BU501" i="2"/>
  <c r="BT501" i="2"/>
  <c r="BS501" i="2"/>
  <c r="BR501" i="2"/>
  <c r="BQ501" i="2"/>
  <c r="BP501" i="2"/>
  <c r="BO501" i="2"/>
  <c r="BN501" i="2"/>
  <c r="BM501" i="2"/>
  <c r="BL501" i="2"/>
  <c r="BK501" i="2"/>
  <c r="BJ501" i="2"/>
  <c r="BI501" i="2"/>
  <c r="BH501" i="2"/>
  <c r="BG501" i="2"/>
  <c r="BF501" i="2"/>
  <c r="BE501" i="2"/>
  <c r="BD501" i="2"/>
  <c r="BC501" i="2"/>
  <c r="BB501" i="2"/>
  <c r="BA501" i="2"/>
  <c r="AZ501" i="2"/>
  <c r="AY501" i="2"/>
  <c r="AX501" i="2"/>
  <c r="AW501" i="2"/>
  <c r="AV501" i="2"/>
  <c r="AU501" i="2"/>
  <c r="AT501" i="2"/>
  <c r="AS501" i="2"/>
  <c r="AR501" i="2"/>
  <c r="AQ501" i="2"/>
  <c r="AP501" i="2"/>
  <c r="AO501" i="2"/>
  <c r="AN501" i="2"/>
  <c r="AM501" i="2"/>
  <c r="AL501" i="2"/>
  <c r="AK501" i="2"/>
  <c r="AE501" i="2"/>
  <c r="AA501" i="2"/>
  <c r="F501" i="2"/>
  <c r="E501" i="2"/>
  <c r="D501" i="2"/>
  <c r="CA500" i="2"/>
  <c r="BZ500" i="2"/>
  <c r="BY500" i="2"/>
  <c r="BX500" i="2"/>
  <c r="BW500" i="2"/>
  <c r="BV500" i="2"/>
  <c r="BU500" i="2"/>
  <c r="BT500" i="2"/>
  <c r="BS500" i="2"/>
  <c r="BR500" i="2"/>
  <c r="BQ500" i="2"/>
  <c r="BP500" i="2"/>
  <c r="BO500" i="2"/>
  <c r="BN500" i="2"/>
  <c r="BM500" i="2"/>
  <c r="BL500" i="2"/>
  <c r="BK500" i="2"/>
  <c r="BJ500" i="2"/>
  <c r="BI500" i="2"/>
  <c r="BH500" i="2"/>
  <c r="BG500" i="2"/>
  <c r="BF500" i="2"/>
  <c r="BE500" i="2"/>
  <c r="BD500" i="2"/>
  <c r="BC500" i="2"/>
  <c r="BB500" i="2"/>
  <c r="BA500" i="2"/>
  <c r="AZ500" i="2"/>
  <c r="AY500" i="2"/>
  <c r="AX500" i="2"/>
  <c r="AW500" i="2"/>
  <c r="AV500" i="2"/>
  <c r="AU500" i="2"/>
  <c r="AT500" i="2"/>
  <c r="AS500" i="2"/>
  <c r="AR500" i="2"/>
  <c r="AQ500" i="2"/>
  <c r="AP500" i="2"/>
  <c r="AO500" i="2"/>
  <c r="AN500" i="2"/>
  <c r="AM500" i="2"/>
  <c r="AL500" i="2"/>
  <c r="AK500" i="2"/>
  <c r="AE500" i="2"/>
  <c r="AA500" i="2"/>
  <c r="F500" i="2"/>
  <c r="E500" i="2"/>
  <c r="D500" i="2"/>
  <c r="CA499" i="2"/>
  <c r="BZ499" i="2"/>
  <c r="BY499" i="2"/>
  <c r="BX499" i="2"/>
  <c r="BW499" i="2"/>
  <c r="BV499" i="2"/>
  <c r="BU499" i="2"/>
  <c r="BT499" i="2"/>
  <c r="BS499" i="2"/>
  <c r="BR499" i="2"/>
  <c r="BQ499" i="2"/>
  <c r="BP499" i="2"/>
  <c r="BO499" i="2"/>
  <c r="BN499" i="2"/>
  <c r="BM499" i="2"/>
  <c r="BL499" i="2"/>
  <c r="BK499" i="2"/>
  <c r="BJ499" i="2"/>
  <c r="BI499" i="2"/>
  <c r="BH499" i="2"/>
  <c r="BG499" i="2"/>
  <c r="BF499" i="2"/>
  <c r="BE499" i="2"/>
  <c r="BD499" i="2"/>
  <c r="BC499" i="2"/>
  <c r="BB499" i="2"/>
  <c r="BA499" i="2"/>
  <c r="AZ499" i="2"/>
  <c r="AY499" i="2"/>
  <c r="AX499" i="2"/>
  <c r="AW499" i="2"/>
  <c r="AV499" i="2"/>
  <c r="AU499" i="2"/>
  <c r="AT499" i="2"/>
  <c r="AS499" i="2"/>
  <c r="AR499" i="2"/>
  <c r="AQ499" i="2"/>
  <c r="AP499" i="2"/>
  <c r="AO499" i="2"/>
  <c r="AN499" i="2"/>
  <c r="AM499" i="2"/>
  <c r="AL499" i="2"/>
  <c r="AK499" i="2"/>
  <c r="AE499" i="2"/>
  <c r="AA499" i="2"/>
  <c r="F499" i="2"/>
  <c r="E499" i="2"/>
  <c r="D499" i="2"/>
  <c r="CA498" i="2"/>
  <c r="BZ498" i="2"/>
  <c r="BY498" i="2"/>
  <c r="BX498" i="2"/>
  <c r="BW498" i="2"/>
  <c r="BV498" i="2"/>
  <c r="BU498" i="2"/>
  <c r="BT498" i="2"/>
  <c r="BS498" i="2"/>
  <c r="BR498" i="2"/>
  <c r="BQ498" i="2"/>
  <c r="BP498" i="2"/>
  <c r="BO498" i="2"/>
  <c r="BN498" i="2"/>
  <c r="BM498" i="2"/>
  <c r="BL498" i="2"/>
  <c r="BK498" i="2"/>
  <c r="BJ498" i="2"/>
  <c r="BI498" i="2"/>
  <c r="BH498" i="2"/>
  <c r="BG498" i="2"/>
  <c r="BF498" i="2"/>
  <c r="BE498" i="2"/>
  <c r="BD498" i="2"/>
  <c r="BC498" i="2"/>
  <c r="BB498" i="2"/>
  <c r="BA498" i="2"/>
  <c r="AZ498" i="2"/>
  <c r="AY498" i="2"/>
  <c r="AX498" i="2"/>
  <c r="AW498" i="2"/>
  <c r="AV498" i="2"/>
  <c r="AU498" i="2"/>
  <c r="AT498" i="2"/>
  <c r="AS498" i="2"/>
  <c r="AR498" i="2"/>
  <c r="AQ498" i="2"/>
  <c r="AP498" i="2"/>
  <c r="AO498" i="2"/>
  <c r="AN498" i="2"/>
  <c r="AM498" i="2"/>
  <c r="AL498" i="2"/>
  <c r="AK498" i="2"/>
  <c r="AE498" i="2"/>
  <c r="AA498" i="2"/>
  <c r="F498" i="2"/>
  <c r="E498" i="2"/>
  <c r="D498" i="2"/>
  <c r="CA497" i="2"/>
  <c r="BZ497" i="2"/>
  <c r="BY497" i="2"/>
  <c r="BX497" i="2"/>
  <c r="BW497" i="2"/>
  <c r="BV497" i="2"/>
  <c r="BU497" i="2"/>
  <c r="BT497" i="2"/>
  <c r="BS497" i="2"/>
  <c r="BR497" i="2"/>
  <c r="BQ497" i="2"/>
  <c r="BP497" i="2"/>
  <c r="BO497" i="2"/>
  <c r="BN497" i="2"/>
  <c r="BM497" i="2"/>
  <c r="BL497" i="2"/>
  <c r="BK497" i="2"/>
  <c r="BJ497" i="2"/>
  <c r="BI497" i="2"/>
  <c r="BH497" i="2"/>
  <c r="BG497" i="2"/>
  <c r="BF497" i="2"/>
  <c r="BE497" i="2"/>
  <c r="BD497" i="2"/>
  <c r="BC497" i="2"/>
  <c r="BB497" i="2"/>
  <c r="BA497" i="2"/>
  <c r="AZ497" i="2"/>
  <c r="AY497" i="2"/>
  <c r="AX497" i="2"/>
  <c r="AW497" i="2"/>
  <c r="AV497" i="2"/>
  <c r="AU497" i="2"/>
  <c r="AT497" i="2"/>
  <c r="AS497" i="2"/>
  <c r="AR497" i="2"/>
  <c r="AQ497" i="2"/>
  <c r="AP497" i="2"/>
  <c r="AO497" i="2"/>
  <c r="AN497" i="2"/>
  <c r="AM497" i="2"/>
  <c r="AL497" i="2"/>
  <c r="AK497" i="2"/>
  <c r="AE497" i="2"/>
  <c r="AA497" i="2"/>
  <c r="F497" i="2"/>
  <c r="E497" i="2"/>
  <c r="D497" i="2"/>
  <c r="CA496" i="2"/>
  <c r="BZ496" i="2"/>
  <c r="BY496" i="2"/>
  <c r="BX496" i="2"/>
  <c r="BW496" i="2"/>
  <c r="BV496" i="2"/>
  <c r="BU496" i="2"/>
  <c r="BT496" i="2"/>
  <c r="BS496" i="2"/>
  <c r="BR496" i="2"/>
  <c r="BQ496" i="2"/>
  <c r="BP496" i="2"/>
  <c r="BO496" i="2"/>
  <c r="BN496" i="2"/>
  <c r="BM496" i="2"/>
  <c r="BL496" i="2"/>
  <c r="BK496" i="2"/>
  <c r="BJ496" i="2"/>
  <c r="BI496" i="2"/>
  <c r="BH496" i="2"/>
  <c r="BG496" i="2"/>
  <c r="BF496" i="2"/>
  <c r="BE496" i="2"/>
  <c r="BD496" i="2"/>
  <c r="BC496" i="2"/>
  <c r="BB496" i="2"/>
  <c r="BA496" i="2"/>
  <c r="AZ496" i="2"/>
  <c r="AY496" i="2"/>
  <c r="AX496" i="2"/>
  <c r="AW496" i="2"/>
  <c r="AV496" i="2"/>
  <c r="AU496" i="2"/>
  <c r="AT496" i="2"/>
  <c r="AS496" i="2"/>
  <c r="AR496" i="2"/>
  <c r="AQ496" i="2"/>
  <c r="AP496" i="2"/>
  <c r="AO496" i="2"/>
  <c r="AN496" i="2"/>
  <c r="AM496" i="2"/>
  <c r="AL496" i="2"/>
  <c r="AK496" i="2"/>
  <c r="AE496" i="2"/>
  <c r="AA496" i="2"/>
  <c r="F496" i="2"/>
  <c r="E496" i="2"/>
  <c r="D496" i="2"/>
  <c r="CA495" i="2"/>
  <c r="BZ495" i="2"/>
  <c r="BY495" i="2"/>
  <c r="BX495" i="2"/>
  <c r="BW495" i="2"/>
  <c r="BV495" i="2"/>
  <c r="BU495" i="2"/>
  <c r="BT495" i="2"/>
  <c r="BS495" i="2"/>
  <c r="BR495" i="2"/>
  <c r="BQ495" i="2"/>
  <c r="BP495" i="2"/>
  <c r="BO495" i="2"/>
  <c r="BN495" i="2"/>
  <c r="BM495" i="2"/>
  <c r="BL495" i="2"/>
  <c r="BK495" i="2"/>
  <c r="BJ495" i="2"/>
  <c r="BI495" i="2"/>
  <c r="BH495" i="2"/>
  <c r="BG495" i="2"/>
  <c r="BF495" i="2"/>
  <c r="BE495" i="2"/>
  <c r="BD495" i="2"/>
  <c r="BC495" i="2"/>
  <c r="BB495" i="2"/>
  <c r="BA495" i="2"/>
  <c r="AZ495" i="2"/>
  <c r="AY495" i="2"/>
  <c r="AX495" i="2"/>
  <c r="AW495" i="2"/>
  <c r="AV495" i="2"/>
  <c r="AU495" i="2"/>
  <c r="AT495" i="2"/>
  <c r="AS495" i="2"/>
  <c r="AR495" i="2"/>
  <c r="AQ495" i="2"/>
  <c r="AP495" i="2"/>
  <c r="AO495" i="2"/>
  <c r="AN495" i="2"/>
  <c r="AM495" i="2"/>
  <c r="AL495" i="2"/>
  <c r="AK495" i="2"/>
  <c r="AE495" i="2"/>
  <c r="AA495" i="2"/>
  <c r="F495" i="2"/>
  <c r="E495" i="2"/>
  <c r="D495" i="2"/>
  <c r="CA494" i="2"/>
  <c r="BZ494" i="2"/>
  <c r="BY494" i="2"/>
  <c r="BX494" i="2"/>
  <c r="BW494" i="2"/>
  <c r="BV494" i="2"/>
  <c r="BU494" i="2"/>
  <c r="BT494" i="2"/>
  <c r="BS494" i="2"/>
  <c r="BR494" i="2"/>
  <c r="BQ494" i="2"/>
  <c r="BP494" i="2"/>
  <c r="BO494" i="2"/>
  <c r="BN494" i="2"/>
  <c r="BM494" i="2"/>
  <c r="BL494" i="2"/>
  <c r="BK494" i="2"/>
  <c r="BJ494" i="2"/>
  <c r="BI494" i="2"/>
  <c r="BH494" i="2"/>
  <c r="BG494" i="2"/>
  <c r="BF494" i="2"/>
  <c r="BE494" i="2"/>
  <c r="BD494" i="2"/>
  <c r="BC494" i="2"/>
  <c r="BB494" i="2"/>
  <c r="BA494" i="2"/>
  <c r="AZ494" i="2"/>
  <c r="AY494" i="2"/>
  <c r="AX494" i="2"/>
  <c r="AW494" i="2"/>
  <c r="AV494" i="2"/>
  <c r="AU494" i="2"/>
  <c r="AT494" i="2"/>
  <c r="AS494" i="2"/>
  <c r="AR494" i="2"/>
  <c r="AQ494" i="2"/>
  <c r="AP494" i="2"/>
  <c r="AO494" i="2"/>
  <c r="AN494" i="2"/>
  <c r="AM494" i="2"/>
  <c r="AL494" i="2"/>
  <c r="AK494" i="2"/>
  <c r="AE494" i="2"/>
  <c r="AA494" i="2"/>
  <c r="F494" i="2"/>
  <c r="E494" i="2"/>
  <c r="D494" i="2"/>
  <c r="CA493" i="2"/>
  <c r="BZ493" i="2"/>
  <c r="BY493" i="2"/>
  <c r="BX493" i="2"/>
  <c r="BW493" i="2"/>
  <c r="BV493" i="2"/>
  <c r="BU493" i="2"/>
  <c r="BT493" i="2"/>
  <c r="BS493" i="2"/>
  <c r="BR493" i="2"/>
  <c r="BQ493" i="2"/>
  <c r="BP493" i="2"/>
  <c r="BO493" i="2"/>
  <c r="BN493" i="2"/>
  <c r="BM493" i="2"/>
  <c r="BL493" i="2"/>
  <c r="BK493" i="2"/>
  <c r="BJ493" i="2"/>
  <c r="BI493" i="2"/>
  <c r="BH493" i="2"/>
  <c r="BG493" i="2"/>
  <c r="BF493" i="2"/>
  <c r="BE493" i="2"/>
  <c r="BD493" i="2"/>
  <c r="BC493" i="2"/>
  <c r="BB493" i="2"/>
  <c r="BA493" i="2"/>
  <c r="AZ493" i="2"/>
  <c r="AY493" i="2"/>
  <c r="AX493" i="2"/>
  <c r="AW493" i="2"/>
  <c r="AV493" i="2"/>
  <c r="AU493" i="2"/>
  <c r="AT493" i="2"/>
  <c r="AS493" i="2"/>
  <c r="AR493" i="2"/>
  <c r="AQ493" i="2"/>
  <c r="AP493" i="2"/>
  <c r="AO493" i="2"/>
  <c r="AN493" i="2"/>
  <c r="AM493" i="2"/>
  <c r="AL493" i="2"/>
  <c r="AK493" i="2"/>
  <c r="AE493" i="2"/>
  <c r="AA493" i="2"/>
  <c r="F493" i="2"/>
  <c r="E493" i="2"/>
  <c r="D493" i="2"/>
  <c r="CA492" i="2"/>
  <c r="BZ492" i="2"/>
  <c r="BY492" i="2"/>
  <c r="BX492" i="2"/>
  <c r="BW492" i="2"/>
  <c r="BV492" i="2"/>
  <c r="BU492" i="2"/>
  <c r="BT492" i="2"/>
  <c r="BS492" i="2"/>
  <c r="BR492" i="2"/>
  <c r="BQ492" i="2"/>
  <c r="BP492" i="2"/>
  <c r="BO492" i="2"/>
  <c r="BN492" i="2"/>
  <c r="BM492" i="2"/>
  <c r="BL492" i="2"/>
  <c r="BK492" i="2"/>
  <c r="BJ492" i="2"/>
  <c r="BI492" i="2"/>
  <c r="BH492" i="2"/>
  <c r="BG492" i="2"/>
  <c r="BF492" i="2"/>
  <c r="BE492" i="2"/>
  <c r="BD492" i="2"/>
  <c r="BC492" i="2"/>
  <c r="BB492" i="2"/>
  <c r="BA492" i="2"/>
  <c r="AZ492" i="2"/>
  <c r="AY492" i="2"/>
  <c r="AX492" i="2"/>
  <c r="AW492" i="2"/>
  <c r="AV492" i="2"/>
  <c r="AU492" i="2"/>
  <c r="AT492" i="2"/>
  <c r="AS492" i="2"/>
  <c r="AR492" i="2"/>
  <c r="AQ492" i="2"/>
  <c r="AP492" i="2"/>
  <c r="AO492" i="2"/>
  <c r="AN492" i="2"/>
  <c r="AM492" i="2"/>
  <c r="AL492" i="2"/>
  <c r="AK492" i="2"/>
  <c r="AE492" i="2"/>
  <c r="AA492" i="2"/>
  <c r="F492" i="2"/>
  <c r="E492" i="2"/>
  <c r="D492" i="2"/>
  <c r="CA491" i="2"/>
  <c r="BZ491" i="2"/>
  <c r="BY491" i="2"/>
  <c r="BX491" i="2"/>
  <c r="BW491" i="2"/>
  <c r="BV491" i="2"/>
  <c r="BU491" i="2"/>
  <c r="BT491" i="2"/>
  <c r="BS491" i="2"/>
  <c r="BR491" i="2"/>
  <c r="BQ491" i="2"/>
  <c r="BP491" i="2"/>
  <c r="BO491" i="2"/>
  <c r="BN491" i="2"/>
  <c r="BM491" i="2"/>
  <c r="BL491" i="2"/>
  <c r="BK491" i="2"/>
  <c r="BJ491" i="2"/>
  <c r="BI491" i="2"/>
  <c r="BH491" i="2"/>
  <c r="BG491" i="2"/>
  <c r="BF491" i="2"/>
  <c r="BE491" i="2"/>
  <c r="BD491" i="2"/>
  <c r="BC491" i="2"/>
  <c r="BB491" i="2"/>
  <c r="BA491" i="2"/>
  <c r="AZ491" i="2"/>
  <c r="AY491" i="2"/>
  <c r="AX491" i="2"/>
  <c r="AW491" i="2"/>
  <c r="AV491" i="2"/>
  <c r="AU491" i="2"/>
  <c r="AT491" i="2"/>
  <c r="AS491" i="2"/>
  <c r="AR491" i="2"/>
  <c r="AQ491" i="2"/>
  <c r="AP491" i="2"/>
  <c r="AO491" i="2"/>
  <c r="AN491" i="2"/>
  <c r="AM491" i="2"/>
  <c r="AL491" i="2"/>
  <c r="AK491" i="2"/>
  <c r="AE491" i="2"/>
  <c r="AA491" i="2"/>
  <c r="F491" i="2"/>
  <c r="E491" i="2"/>
  <c r="D491" i="2"/>
  <c r="CA490" i="2"/>
  <c r="BZ490" i="2"/>
  <c r="BY490" i="2"/>
  <c r="BX490" i="2"/>
  <c r="BW490" i="2"/>
  <c r="BV490" i="2"/>
  <c r="BU490" i="2"/>
  <c r="BT490" i="2"/>
  <c r="BS490" i="2"/>
  <c r="BR490" i="2"/>
  <c r="BQ490" i="2"/>
  <c r="BP490" i="2"/>
  <c r="BO490" i="2"/>
  <c r="BN490" i="2"/>
  <c r="BM490" i="2"/>
  <c r="BL490" i="2"/>
  <c r="BK490" i="2"/>
  <c r="BJ490" i="2"/>
  <c r="BI490" i="2"/>
  <c r="BH490" i="2"/>
  <c r="BG490" i="2"/>
  <c r="BF490" i="2"/>
  <c r="BE490" i="2"/>
  <c r="BD490" i="2"/>
  <c r="BC490" i="2"/>
  <c r="BB490" i="2"/>
  <c r="BA490" i="2"/>
  <c r="AZ490" i="2"/>
  <c r="AY490" i="2"/>
  <c r="AX490" i="2"/>
  <c r="AW490" i="2"/>
  <c r="AV490" i="2"/>
  <c r="AU490" i="2"/>
  <c r="AT490" i="2"/>
  <c r="AS490" i="2"/>
  <c r="AR490" i="2"/>
  <c r="AQ490" i="2"/>
  <c r="AP490" i="2"/>
  <c r="AO490" i="2"/>
  <c r="AN490" i="2"/>
  <c r="AM490" i="2"/>
  <c r="AL490" i="2"/>
  <c r="AK490" i="2"/>
  <c r="AE490" i="2"/>
  <c r="AA490" i="2"/>
  <c r="F490" i="2"/>
  <c r="E490" i="2"/>
  <c r="D490" i="2"/>
  <c r="CA489" i="2"/>
  <c r="BZ489" i="2"/>
  <c r="BY489" i="2"/>
  <c r="BX489" i="2"/>
  <c r="BW489" i="2"/>
  <c r="BV489" i="2"/>
  <c r="BU489" i="2"/>
  <c r="BT489" i="2"/>
  <c r="BS489" i="2"/>
  <c r="BR489" i="2"/>
  <c r="BQ489" i="2"/>
  <c r="BP489" i="2"/>
  <c r="BO489" i="2"/>
  <c r="BN489" i="2"/>
  <c r="BM489" i="2"/>
  <c r="BL489" i="2"/>
  <c r="BK489" i="2"/>
  <c r="BJ489" i="2"/>
  <c r="BI489" i="2"/>
  <c r="BH489" i="2"/>
  <c r="BG489" i="2"/>
  <c r="BF489" i="2"/>
  <c r="BE489" i="2"/>
  <c r="BD489" i="2"/>
  <c r="BC489" i="2"/>
  <c r="BB489" i="2"/>
  <c r="BA489" i="2"/>
  <c r="AZ489" i="2"/>
  <c r="AY489" i="2"/>
  <c r="AX489" i="2"/>
  <c r="AW489" i="2"/>
  <c r="AV489" i="2"/>
  <c r="AU489" i="2"/>
  <c r="AT489" i="2"/>
  <c r="AS489" i="2"/>
  <c r="AR489" i="2"/>
  <c r="AQ489" i="2"/>
  <c r="AP489" i="2"/>
  <c r="AO489" i="2"/>
  <c r="AN489" i="2"/>
  <c r="AM489" i="2"/>
  <c r="AL489" i="2"/>
  <c r="AK489" i="2"/>
  <c r="AE489" i="2"/>
  <c r="AA489" i="2"/>
  <c r="F489" i="2"/>
  <c r="E489" i="2"/>
  <c r="D489" i="2"/>
  <c r="CA488" i="2"/>
  <c r="BZ488" i="2"/>
  <c r="BY488" i="2"/>
  <c r="BX488" i="2"/>
  <c r="BW488" i="2"/>
  <c r="BV488" i="2"/>
  <c r="BU488" i="2"/>
  <c r="BT488" i="2"/>
  <c r="BS488" i="2"/>
  <c r="BR488" i="2"/>
  <c r="BQ488" i="2"/>
  <c r="BP488" i="2"/>
  <c r="BO488" i="2"/>
  <c r="BN488" i="2"/>
  <c r="BM488" i="2"/>
  <c r="BL488" i="2"/>
  <c r="BK488" i="2"/>
  <c r="BJ488" i="2"/>
  <c r="BI488" i="2"/>
  <c r="BH488" i="2"/>
  <c r="BG488" i="2"/>
  <c r="BF488" i="2"/>
  <c r="BE488" i="2"/>
  <c r="BD488" i="2"/>
  <c r="BC488" i="2"/>
  <c r="BB488" i="2"/>
  <c r="BA488" i="2"/>
  <c r="AZ488" i="2"/>
  <c r="AY488" i="2"/>
  <c r="AX488" i="2"/>
  <c r="AW488" i="2"/>
  <c r="AV488" i="2"/>
  <c r="AU488" i="2"/>
  <c r="AT488" i="2"/>
  <c r="AS488" i="2"/>
  <c r="AR488" i="2"/>
  <c r="AQ488" i="2"/>
  <c r="AP488" i="2"/>
  <c r="AO488" i="2"/>
  <c r="AN488" i="2"/>
  <c r="AM488" i="2"/>
  <c r="AL488" i="2"/>
  <c r="AK488" i="2"/>
  <c r="AE488" i="2"/>
  <c r="AA488" i="2"/>
  <c r="F488" i="2"/>
  <c r="E488" i="2"/>
  <c r="D488" i="2"/>
  <c r="CA487" i="2"/>
  <c r="BZ487" i="2"/>
  <c r="BY487" i="2"/>
  <c r="BX487" i="2"/>
  <c r="BW487" i="2"/>
  <c r="BV487" i="2"/>
  <c r="BU487" i="2"/>
  <c r="BT487" i="2"/>
  <c r="BS487" i="2"/>
  <c r="BR487" i="2"/>
  <c r="BQ487" i="2"/>
  <c r="BP487" i="2"/>
  <c r="BO487" i="2"/>
  <c r="BN487" i="2"/>
  <c r="BM487" i="2"/>
  <c r="BL487" i="2"/>
  <c r="BK487" i="2"/>
  <c r="BJ487" i="2"/>
  <c r="BI487" i="2"/>
  <c r="BH487" i="2"/>
  <c r="BG487" i="2"/>
  <c r="BF487" i="2"/>
  <c r="BE487" i="2"/>
  <c r="BD487" i="2"/>
  <c r="BC487" i="2"/>
  <c r="BB487" i="2"/>
  <c r="BA487" i="2"/>
  <c r="AZ487" i="2"/>
  <c r="AY487" i="2"/>
  <c r="AX487" i="2"/>
  <c r="AW487" i="2"/>
  <c r="AV487" i="2"/>
  <c r="AU487" i="2"/>
  <c r="AT487" i="2"/>
  <c r="AS487" i="2"/>
  <c r="AR487" i="2"/>
  <c r="AQ487" i="2"/>
  <c r="AP487" i="2"/>
  <c r="AO487" i="2"/>
  <c r="AN487" i="2"/>
  <c r="AM487" i="2"/>
  <c r="AL487" i="2"/>
  <c r="AK487" i="2"/>
  <c r="AE487" i="2"/>
  <c r="AA487" i="2"/>
  <c r="F487" i="2"/>
  <c r="E487" i="2"/>
  <c r="D487" i="2"/>
  <c r="CA486" i="2"/>
  <c r="BZ486" i="2"/>
  <c r="BY486" i="2"/>
  <c r="BX486" i="2"/>
  <c r="BW486" i="2"/>
  <c r="BV486" i="2"/>
  <c r="BU486" i="2"/>
  <c r="BT486" i="2"/>
  <c r="BS486" i="2"/>
  <c r="BR486" i="2"/>
  <c r="BQ486" i="2"/>
  <c r="BP486" i="2"/>
  <c r="BO486" i="2"/>
  <c r="BN486" i="2"/>
  <c r="BM486" i="2"/>
  <c r="BL486" i="2"/>
  <c r="BK486" i="2"/>
  <c r="BJ486" i="2"/>
  <c r="BI486" i="2"/>
  <c r="BH486" i="2"/>
  <c r="BG486" i="2"/>
  <c r="BF486" i="2"/>
  <c r="BE486" i="2"/>
  <c r="BD486" i="2"/>
  <c r="BC486" i="2"/>
  <c r="BB486" i="2"/>
  <c r="BA486" i="2"/>
  <c r="AZ486" i="2"/>
  <c r="AY486" i="2"/>
  <c r="AX486" i="2"/>
  <c r="AW486" i="2"/>
  <c r="AV486" i="2"/>
  <c r="AU486" i="2"/>
  <c r="AT486" i="2"/>
  <c r="AS486" i="2"/>
  <c r="AR486" i="2"/>
  <c r="AQ486" i="2"/>
  <c r="AP486" i="2"/>
  <c r="AO486" i="2"/>
  <c r="AN486" i="2"/>
  <c r="AM486" i="2"/>
  <c r="AL486" i="2"/>
  <c r="AK486" i="2"/>
  <c r="AE486" i="2"/>
  <c r="AA486" i="2"/>
  <c r="F486" i="2"/>
  <c r="E486" i="2"/>
  <c r="D486" i="2"/>
  <c r="CA485" i="2"/>
  <c r="BZ485" i="2"/>
  <c r="BY485" i="2"/>
  <c r="BX485" i="2"/>
  <c r="BW485" i="2"/>
  <c r="BV485" i="2"/>
  <c r="BU485" i="2"/>
  <c r="BT485" i="2"/>
  <c r="BS485" i="2"/>
  <c r="BR485" i="2"/>
  <c r="BQ485" i="2"/>
  <c r="BP485" i="2"/>
  <c r="BO485" i="2"/>
  <c r="BN485" i="2"/>
  <c r="BM485" i="2"/>
  <c r="BL485" i="2"/>
  <c r="BK485" i="2"/>
  <c r="BJ485" i="2"/>
  <c r="BI485" i="2"/>
  <c r="BH485" i="2"/>
  <c r="BG485" i="2"/>
  <c r="BF485" i="2"/>
  <c r="BE485" i="2"/>
  <c r="BD485" i="2"/>
  <c r="BC485" i="2"/>
  <c r="BB485" i="2"/>
  <c r="BA485" i="2"/>
  <c r="AZ485" i="2"/>
  <c r="AY485" i="2"/>
  <c r="AX485" i="2"/>
  <c r="AW485" i="2"/>
  <c r="AV485" i="2"/>
  <c r="AU485" i="2"/>
  <c r="AT485" i="2"/>
  <c r="AS485" i="2"/>
  <c r="AR485" i="2"/>
  <c r="AQ485" i="2"/>
  <c r="AP485" i="2"/>
  <c r="AO485" i="2"/>
  <c r="AN485" i="2"/>
  <c r="AM485" i="2"/>
  <c r="AL485" i="2"/>
  <c r="AK485" i="2"/>
  <c r="AE485" i="2"/>
  <c r="AA485" i="2"/>
  <c r="F485" i="2"/>
  <c r="E485" i="2"/>
  <c r="D485" i="2"/>
  <c r="CA484" i="2"/>
  <c r="BZ484" i="2"/>
  <c r="BY484" i="2"/>
  <c r="BX484" i="2"/>
  <c r="BW484" i="2"/>
  <c r="BV484" i="2"/>
  <c r="BU484" i="2"/>
  <c r="BT484" i="2"/>
  <c r="BS484" i="2"/>
  <c r="BR484" i="2"/>
  <c r="BQ484" i="2"/>
  <c r="BP484" i="2"/>
  <c r="BO484" i="2"/>
  <c r="BN484" i="2"/>
  <c r="BM484" i="2"/>
  <c r="BL484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Q484" i="2"/>
  <c r="AP484" i="2"/>
  <c r="AO484" i="2"/>
  <c r="AN484" i="2"/>
  <c r="AM484" i="2"/>
  <c r="AL484" i="2"/>
  <c r="AK484" i="2"/>
  <c r="AE484" i="2"/>
  <c r="AA484" i="2"/>
  <c r="F484" i="2"/>
  <c r="E484" i="2"/>
  <c r="D484" i="2"/>
  <c r="CA483" i="2"/>
  <c r="BZ483" i="2"/>
  <c r="BY483" i="2"/>
  <c r="BX483" i="2"/>
  <c r="BW483" i="2"/>
  <c r="BV483" i="2"/>
  <c r="BU483" i="2"/>
  <c r="BT483" i="2"/>
  <c r="BS483" i="2"/>
  <c r="BR483" i="2"/>
  <c r="BQ483" i="2"/>
  <c r="BP483" i="2"/>
  <c r="BO483" i="2"/>
  <c r="BN483" i="2"/>
  <c r="BM483" i="2"/>
  <c r="BL483" i="2"/>
  <c r="BK483" i="2"/>
  <c r="BJ483" i="2"/>
  <c r="BI483" i="2"/>
  <c r="BH483" i="2"/>
  <c r="BG483" i="2"/>
  <c r="BF483" i="2"/>
  <c r="BE483" i="2"/>
  <c r="BD483" i="2"/>
  <c r="BC483" i="2"/>
  <c r="BB483" i="2"/>
  <c r="BA483" i="2"/>
  <c r="AZ483" i="2"/>
  <c r="AY483" i="2"/>
  <c r="AX483" i="2"/>
  <c r="AW483" i="2"/>
  <c r="AV483" i="2"/>
  <c r="AU483" i="2"/>
  <c r="AT483" i="2"/>
  <c r="AS483" i="2"/>
  <c r="AR483" i="2"/>
  <c r="AQ483" i="2"/>
  <c r="AP483" i="2"/>
  <c r="AO483" i="2"/>
  <c r="AN483" i="2"/>
  <c r="AM483" i="2"/>
  <c r="AL483" i="2"/>
  <c r="AK483" i="2"/>
  <c r="AE483" i="2"/>
  <c r="AA483" i="2"/>
  <c r="F483" i="2"/>
  <c r="E483" i="2"/>
  <c r="D483" i="2"/>
  <c r="CA482" i="2"/>
  <c r="BZ482" i="2"/>
  <c r="BY482" i="2"/>
  <c r="BX482" i="2"/>
  <c r="BW482" i="2"/>
  <c r="BV482" i="2"/>
  <c r="BU482" i="2"/>
  <c r="BT482" i="2"/>
  <c r="BS482" i="2"/>
  <c r="BR482" i="2"/>
  <c r="BQ482" i="2"/>
  <c r="BP482" i="2"/>
  <c r="BO482" i="2"/>
  <c r="BN482" i="2"/>
  <c r="BM482" i="2"/>
  <c r="BL482" i="2"/>
  <c r="BK482" i="2"/>
  <c r="BJ482" i="2"/>
  <c r="BI482" i="2"/>
  <c r="BH482" i="2"/>
  <c r="BG482" i="2"/>
  <c r="BF482" i="2"/>
  <c r="BE482" i="2"/>
  <c r="BD482" i="2"/>
  <c r="BC482" i="2"/>
  <c r="BB482" i="2"/>
  <c r="BA482" i="2"/>
  <c r="AZ482" i="2"/>
  <c r="AY482" i="2"/>
  <c r="AX482" i="2"/>
  <c r="AW482" i="2"/>
  <c r="AV482" i="2"/>
  <c r="AU482" i="2"/>
  <c r="AT482" i="2"/>
  <c r="AS482" i="2"/>
  <c r="AR482" i="2"/>
  <c r="AQ482" i="2"/>
  <c r="AP482" i="2"/>
  <c r="AO482" i="2"/>
  <c r="AN482" i="2"/>
  <c r="AM482" i="2"/>
  <c r="AL482" i="2"/>
  <c r="AK482" i="2"/>
  <c r="AE482" i="2"/>
  <c r="AA482" i="2"/>
  <c r="F482" i="2"/>
  <c r="E482" i="2"/>
  <c r="D482" i="2"/>
  <c r="CA481" i="2"/>
  <c r="BZ481" i="2"/>
  <c r="BY481" i="2"/>
  <c r="BX481" i="2"/>
  <c r="BW481" i="2"/>
  <c r="BV481" i="2"/>
  <c r="BU481" i="2"/>
  <c r="BT481" i="2"/>
  <c r="BS481" i="2"/>
  <c r="BR481" i="2"/>
  <c r="BQ481" i="2"/>
  <c r="BP481" i="2"/>
  <c r="BO481" i="2"/>
  <c r="BN481" i="2"/>
  <c r="BM481" i="2"/>
  <c r="BL481" i="2"/>
  <c r="BK481" i="2"/>
  <c r="BJ481" i="2"/>
  <c r="BI481" i="2"/>
  <c r="BH481" i="2"/>
  <c r="BG481" i="2"/>
  <c r="BF481" i="2"/>
  <c r="BE481" i="2"/>
  <c r="BD481" i="2"/>
  <c r="BC481" i="2"/>
  <c r="BB481" i="2"/>
  <c r="BA481" i="2"/>
  <c r="AZ481" i="2"/>
  <c r="AY481" i="2"/>
  <c r="AX481" i="2"/>
  <c r="AW481" i="2"/>
  <c r="AV481" i="2"/>
  <c r="AU481" i="2"/>
  <c r="AT481" i="2"/>
  <c r="AS481" i="2"/>
  <c r="AR481" i="2"/>
  <c r="AQ481" i="2"/>
  <c r="AP481" i="2"/>
  <c r="AO481" i="2"/>
  <c r="AN481" i="2"/>
  <c r="AM481" i="2"/>
  <c r="AL481" i="2"/>
  <c r="AK481" i="2"/>
  <c r="AE481" i="2"/>
  <c r="AA481" i="2"/>
  <c r="F481" i="2"/>
  <c r="E481" i="2"/>
  <c r="D481" i="2"/>
  <c r="CA480" i="2"/>
  <c r="BZ480" i="2"/>
  <c r="BY480" i="2"/>
  <c r="BX480" i="2"/>
  <c r="BW480" i="2"/>
  <c r="BV480" i="2"/>
  <c r="BU480" i="2"/>
  <c r="BT480" i="2"/>
  <c r="BS480" i="2"/>
  <c r="BR480" i="2"/>
  <c r="BQ480" i="2"/>
  <c r="BP480" i="2"/>
  <c r="BO480" i="2"/>
  <c r="BN480" i="2"/>
  <c r="BM480" i="2"/>
  <c r="BL480" i="2"/>
  <c r="BK480" i="2"/>
  <c r="BJ480" i="2"/>
  <c r="BI480" i="2"/>
  <c r="BH480" i="2"/>
  <c r="BG480" i="2"/>
  <c r="BF480" i="2"/>
  <c r="BE480" i="2"/>
  <c r="BD480" i="2"/>
  <c r="BC480" i="2"/>
  <c r="BB480" i="2"/>
  <c r="BA480" i="2"/>
  <c r="AZ480" i="2"/>
  <c r="AY480" i="2"/>
  <c r="AX480" i="2"/>
  <c r="AW480" i="2"/>
  <c r="AV480" i="2"/>
  <c r="AU480" i="2"/>
  <c r="AT480" i="2"/>
  <c r="AS480" i="2"/>
  <c r="AR480" i="2"/>
  <c r="AQ480" i="2"/>
  <c r="AP480" i="2"/>
  <c r="AO480" i="2"/>
  <c r="AN480" i="2"/>
  <c r="AM480" i="2"/>
  <c r="AL480" i="2"/>
  <c r="AK480" i="2"/>
  <c r="AE480" i="2"/>
  <c r="AA480" i="2"/>
  <c r="F480" i="2"/>
  <c r="E480" i="2"/>
  <c r="D480" i="2"/>
  <c r="CA479" i="2"/>
  <c r="BZ479" i="2"/>
  <c r="BY479" i="2"/>
  <c r="BX479" i="2"/>
  <c r="BW479" i="2"/>
  <c r="BV479" i="2"/>
  <c r="BU479" i="2"/>
  <c r="BT479" i="2"/>
  <c r="BS479" i="2"/>
  <c r="BR479" i="2"/>
  <c r="BQ479" i="2"/>
  <c r="BP479" i="2"/>
  <c r="BO479" i="2"/>
  <c r="BN479" i="2"/>
  <c r="BM479" i="2"/>
  <c r="BL479" i="2"/>
  <c r="BK479" i="2"/>
  <c r="BJ479" i="2"/>
  <c r="BI479" i="2"/>
  <c r="BH479" i="2"/>
  <c r="BG479" i="2"/>
  <c r="BF479" i="2"/>
  <c r="BE479" i="2"/>
  <c r="BD479" i="2"/>
  <c r="BC479" i="2"/>
  <c r="BB479" i="2"/>
  <c r="BA479" i="2"/>
  <c r="AZ479" i="2"/>
  <c r="AY479" i="2"/>
  <c r="AX479" i="2"/>
  <c r="AW479" i="2"/>
  <c r="AV479" i="2"/>
  <c r="AU479" i="2"/>
  <c r="AT479" i="2"/>
  <c r="AS479" i="2"/>
  <c r="AR479" i="2"/>
  <c r="AQ479" i="2"/>
  <c r="AP479" i="2"/>
  <c r="AO479" i="2"/>
  <c r="AN479" i="2"/>
  <c r="AM479" i="2"/>
  <c r="AL479" i="2"/>
  <c r="AK479" i="2"/>
  <c r="AE479" i="2"/>
  <c r="AA479" i="2"/>
  <c r="F479" i="2"/>
  <c r="E479" i="2"/>
  <c r="D479" i="2"/>
  <c r="CA478" i="2"/>
  <c r="BZ478" i="2"/>
  <c r="BY478" i="2"/>
  <c r="BX478" i="2"/>
  <c r="BW478" i="2"/>
  <c r="BV478" i="2"/>
  <c r="BU478" i="2"/>
  <c r="BT478" i="2"/>
  <c r="BS478" i="2"/>
  <c r="BR478" i="2"/>
  <c r="BQ478" i="2"/>
  <c r="BP478" i="2"/>
  <c r="BO478" i="2"/>
  <c r="BN478" i="2"/>
  <c r="BM478" i="2"/>
  <c r="BL478" i="2"/>
  <c r="BK478" i="2"/>
  <c r="BJ478" i="2"/>
  <c r="BI478" i="2"/>
  <c r="BH478" i="2"/>
  <c r="BG478" i="2"/>
  <c r="BF478" i="2"/>
  <c r="BE478" i="2"/>
  <c r="BD478" i="2"/>
  <c r="BC478" i="2"/>
  <c r="BB478" i="2"/>
  <c r="BA478" i="2"/>
  <c r="AZ478" i="2"/>
  <c r="AY478" i="2"/>
  <c r="AX478" i="2"/>
  <c r="AW478" i="2"/>
  <c r="AV478" i="2"/>
  <c r="AU478" i="2"/>
  <c r="AT478" i="2"/>
  <c r="AS478" i="2"/>
  <c r="AR478" i="2"/>
  <c r="AQ478" i="2"/>
  <c r="AP478" i="2"/>
  <c r="AO478" i="2"/>
  <c r="AN478" i="2"/>
  <c r="AM478" i="2"/>
  <c r="AL478" i="2"/>
  <c r="AK478" i="2"/>
  <c r="AE478" i="2"/>
  <c r="AA478" i="2"/>
  <c r="F478" i="2"/>
  <c r="E478" i="2"/>
  <c r="D478" i="2"/>
  <c r="CA477" i="2"/>
  <c r="BZ477" i="2"/>
  <c r="BY477" i="2"/>
  <c r="BX477" i="2"/>
  <c r="BW477" i="2"/>
  <c r="BV477" i="2"/>
  <c r="BU477" i="2"/>
  <c r="BT477" i="2"/>
  <c r="BS477" i="2"/>
  <c r="BR477" i="2"/>
  <c r="BQ477" i="2"/>
  <c r="BP477" i="2"/>
  <c r="BO477" i="2"/>
  <c r="BN477" i="2"/>
  <c r="BM477" i="2"/>
  <c r="BL477" i="2"/>
  <c r="BK477" i="2"/>
  <c r="BJ477" i="2"/>
  <c r="BI477" i="2"/>
  <c r="BH477" i="2"/>
  <c r="BG477" i="2"/>
  <c r="BF477" i="2"/>
  <c r="BE477" i="2"/>
  <c r="BD477" i="2"/>
  <c r="BC477" i="2"/>
  <c r="BB477" i="2"/>
  <c r="BA477" i="2"/>
  <c r="AZ477" i="2"/>
  <c r="AY477" i="2"/>
  <c r="AX477" i="2"/>
  <c r="AW477" i="2"/>
  <c r="AV477" i="2"/>
  <c r="AU477" i="2"/>
  <c r="AT477" i="2"/>
  <c r="AS477" i="2"/>
  <c r="AR477" i="2"/>
  <c r="AQ477" i="2"/>
  <c r="AP477" i="2"/>
  <c r="AO477" i="2"/>
  <c r="AN477" i="2"/>
  <c r="AM477" i="2"/>
  <c r="AL477" i="2"/>
  <c r="AK477" i="2"/>
  <c r="AE477" i="2"/>
  <c r="AA477" i="2"/>
  <c r="F477" i="2"/>
  <c r="E477" i="2"/>
  <c r="D477" i="2"/>
  <c r="CA476" i="2"/>
  <c r="BZ476" i="2"/>
  <c r="BY476" i="2"/>
  <c r="BX476" i="2"/>
  <c r="BW476" i="2"/>
  <c r="BV476" i="2"/>
  <c r="BU476" i="2"/>
  <c r="BT476" i="2"/>
  <c r="BS476" i="2"/>
  <c r="BR476" i="2"/>
  <c r="BQ476" i="2"/>
  <c r="BP476" i="2"/>
  <c r="BO476" i="2"/>
  <c r="BN476" i="2"/>
  <c r="BM476" i="2"/>
  <c r="BL476" i="2"/>
  <c r="BK476" i="2"/>
  <c r="BJ476" i="2"/>
  <c r="BI476" i="2"/>
  <c r="BH476" i="2"/>
  <c r="BG476" i="2"/>
  <c r="BF476" i="2"/>
  <c r="BE476" i="2"/>
  <c r="BD476" i="2"/>
  <c r="BC476" i="2"/>
  <c r="BB476" i="2"/>
  <c r="BA476" i="2"/>
  <c r="AZ476" i="2"/>
  <c r="AY476" i="2"/>
  <c r="AX476" i="2"/>
  <c r="AW476" i="2"/>
  <c r="AV476" i="2"/>
  <c r="AU476" i="2"/>
  <c r="AT476" i="2"/>
  <c r="AS476" i="2"/>
  <c r="AR476" i="2"/>
  <c r="AQ476" i="2"/>
  <c r="AP476" i="2"/>
  <c r="AO476" i="2"/>
  <c r="AN476" i="2"/>
  <c r="AM476" i="2"/>
  <c r="AL476" i="2"/>
  <c r="AK476" i="2"/>
  <c r="AE476" i="2"/>
  <c r="AA476" i="2"/>
  <c r="F476" i="2"/>
  <c r="E476" i="2"/>
  <c r="D476" i="2"/>
  <c r="CA475" i="2"/>
  <c r="BZ475" i="2"/>
  <c r="BY475" i="2"/>
  <c r="BX475" i="2"/>
  <c r="BW475" i="2"/>
  <c r="BV475" i="2"/>
  <c r="BU475" i="2"/>
  <c r="BT475" i="2"/>
  <c r="BS475" i="2"/>
  <c r="BR475" i="2"/>
  <c r="BQ475" i="2"/>
  <c r="BP475" i="2"/>
  <c r="BO475" i="2"/>
  <c r="BN475" i="2"/>
  <c r="BM475" i="2"/>
  <c r="BL475" i="2"/>
  <c r="BK475" i="2"/>
  <c r="BJ475" i="2"/>
  <c r="BI475" i="2"/>
  <c r="BH475" i="2"/>
  <c r="BG475" i="2"/>
  <c r="BF475" i="2"/>
  <c r="BE475" i="2"/>
  <c r="BD475" i="2"/>
  <c r="BC475" i="2"/>
  <c r="BB475" i="2"/>
  <c r="BA475" i="2"/>
  <c r="AZ475" i="2"/>
  <c r="AY475" i="2"/>
  <c r="AX475" i="2"/>
  <c r="AW475" i="2"/>
  <c r="AV475" i="2"/>
  <c r="AU475" i="2"/>
  <c r="AT475" i="2"/>
  <c r="AS475" i="2"/>
  <c r="AR475" i="2"/>
  <c r="AQ475" i="2"/>
  <c r="AP475" i="2"/>
  <c r="AO475" i="2"/>
  <c r="AN475" i="2"/>
  <c r="AM475" i="2"/>
  <c r="AL475" i="2"/>
  <c r="AK475" i="2"/>
  <c r="AE475" i="2"/>
  <c r="AA475" i="2"/>
  <c r="F475" i="2"/>
  <c r="E475" i="2"/>
  <c r="D475" i="2"/>
  <c r="CA474" i="2"/>
  <c r="BZ474" i="2"/>
  <c r="BY474" i="2"/>
  <c r="BX474" i="2"/>
  <c r="BW474" i="2"/>
  <c r="BV474" i="2"/>
  <c r="BU474" i="2"/>
  <c r="BT474" i="2"/>
  <c r="BS474" i="2"/>
  <c r="BR474" i="2"/>
  <c r="BQ474" i="2"/>
  <c r="BP474" i="2"/>
  <c r="BO474" i="2"/>
  <c r="BN474" i="2"/>
  <c r="BM474" i="2"/>
  <c r="BL474" i="2"/>
  <c r="BK474" i="2"/>
  <c r="BJ474" i="2"/>
  <c r="BI474" i="2"/>
  <c r="BH474" i="2"/>
  <c r="BG474" i="2"/>
  <c r="BF474" i="2"/>
  <c r="BE474" i="2"/>
  <c r="BD474" i="2"/>
  <c r="BC474" i="2"/>
  <c r="BB474" i="2"/>
  <c r="BA474" i="2"/>
  <c r="AZ474" i="2"/>
  <c r="AY474" i="2"/>
  <c r="AX474" i="2"/>
  <c r="AW474" i="2"/>
  <c r="AV474" i="2"/>
  <c r="AU474" i="2"/>
  <c r="AT474" i="2"/>
  <c r="AS474" i="2"/>
  <c r="AR474" i="2"/>
  <c r="AQ474" i="2"/>
  <c r="AP474" i="2"/>
  <c r="AO474" i="2"/>
  <c r="AN474" i="2"/>
  <c r="AM474" i="2"/>
  <c r="AL474" i="2"/>
  <c r="AK474" i="2"/>
  <c r="AE474" i="2"/>
  <c r="AA474" i="2"/>
  <c r="F474" i="2"/>
  <c r="E474" i="2"/>
  <c r="D474" i="2"/>
  <c r="CA473" i="2"/>
  <c r="BZ473" i="2"/>
  <c r="BY473" i="2"/>
  <c r="BX473" i="2"/>
  <c r="BW473" i="2"/>
  <c r="BV473" i="2"/>
  <c r="BU473" i="2"/>
  <c r="BT473" i="2"/>
  <c r="BS473" i="2"/>
  <c r="BR473" i="2"/>
  <c r="BQ473" i="2"/>
  <c r="BP473" i="2"/>
  <c r="BO473" i="2"/>
  <c r="BN473" i="2"/>
  <c r="BM473" i="2"/>
  <c r="BL473" i="2"/>
  <c r="BK473" i="2"/>
  <c r="BJ473" i="2"/>
  <c r="BI473" i="2"/>
  <c r="BH473" i="2"/>
  <c r="BG473" i="2"/>
  <c r="BF473" i="2"/>
  <c r="BE473" i="2"/>
  <c r="BD473" i="2"/>
  <c r="BC473" i="2"/>
  <c r="BB473" i="2"/>
  <c r="BA473" i="2"/>
  <c r="AZ473" i="2"/>
  <c r="AY473" i="2"/>
  <c r="AX473" i="2"/>
  <c r="AW473" i="2"/>
  <c r="AV473" i="2"/>
  <c r="AU473" i="2"/>
  <c r="AT473" i="2"/>
  <c r="AS473" i="2"/>
  <c r="AR473" i="2"/>
  <c r="AQ473" i="2"/>
  <c r="AP473" i="2"/>
  <c r="AO473" i="2"/>
  <c r="AN473" i="2"/>
  <c r="AM473" i="2"/>
  <c r="AL473" i="2"/>
  <c r="AK473" i="2"/>
  <c r="AE473" i="2"/>
  <c r="AA473" i="2"/>
  <c r="F473" i="2"/>
  <c r="E473" i="2"/>
  <c r="D473" i="2"/>
  <c r="CA472" i="2"/>
  <c r="BZ472" i="2"/>
  <c r="BY472" i="2"/>
  <c r="BX472" i="2"/>
  <c r="BW472" i="2"/>
  <c r="BV472" i="2"/>
  <c r="BU472" i="2"/>
  <c r="BT472" i="2"/>
  <c r="BS472" i="2"/>
  <c r="BR472" i="2"/>
  <c r="BQ472" i="2"/>
  <c r="BP472" i="2"/>
  <c r="BO472" i="2"/>
  <c r="BN472" i="2"/>
  <c r="BM472" i="2"/>
  <c r="BL472" i="2"/>
  <c r="BK472" i="2"/>
  <c r="BJ472" i="2"/>
  <c r="BI472" i="2"/>
  <c r="BH472" i="2"/>
  <c r="BG472" i="2"/>
  <c r="BF472" i="2"/>
  <c r="BE472" i="2"/>
  <c r="BD472" i="2"/>
  <c r="BC472" i="2"/>
  <c r="BB472" i="2"/>
  <c r="BA472" i="2"/>
  <c r="AZ472" i="2"/>
  <c r="AY472" i="2"/>
  <c r="AX472" i="2"/>
  <c r="AW472" i="2"/>
  <c r="AV472" i="2"/>
  <c r="AU472" i="2"/>
  <c r="AT472" i="2"/>
  <c r="AS472" i="2"/>
  <c r="AR472" i="2"/>
  <c r="AQ472" i="2"/>
  <c r="AP472" i="2"/>
  <c r="AO472" i="2"/>
  <c r="AN472" i="2"/>
  <c r="AM472" i="2"/>
  <c r="AL472" i="2"/>
  <c r="AK472" i="2"/>
  <c r="AE472" i="2"/>
  <c r="AA472" i="2"/>
  <c r="F472" i="2"/>
  <c r="E472" i="2"/>
  <c r="D472" i="2"/>
  <c r="CA471" i="2"/>
  <c r="BZ471" i="2"/>
  <c r="BY471" i="2"/>
  <c r="BX471" i="2"/>
  <c r="BW471" i="2"/>
  <c r="BV471" i="2"/>
  <c r="BU471" i="2"/>
  <c r="BT471" i="2"/>
  <c r="BS471" i="2"/>
  <c r="BR471" i="2"/>
  <c r="BQ471" i="2"/>
  <c r="BP471" i="2"/>
  <c r="BO471" i="2"/>
  <c r="BN471" i="2"/>
  <c r="BM471" i="2"/>
  <c r="BL471" i="2"/>
  <c r="BK471" i="2"/>
  <c r="BJ471" i="2"/>
  <c r="BI471" i="2"/>
  <c r="BH471" i="2"/>
  <c r="BG471" i="2"/>
  <c r="BF471" i="2"/>
  <c r="BE471" i="2"/>
  <c r="BD471" i="2"/>
  <c r="BC471" i="2"/>
  <c r="BB471" i="2"/>
  <c r="BA471" i="2"/>
  <c r="AZ471" i="2"/>
  <c r="AY471" i="2"/>
  <c r="AX471" i="2"/>
  <c r="AW471" i="2"/>
  <c r="AV471" i="2"/>
  <c r="AU471" i="2"/>
  <c r="AT471" i="2"/>
  <c r="AS471" i="2"/>
  <c r="AR471" i="2"/>
  <c r="AQ471" i="2"/>
  <c r="AP471" i="2"/>
  <c r="AO471" i="2"/>
  <c r="AN471" i="2"/>
  <c r="AM471" i="2"/>
  <c r="AL471" i="2"/>
  <c r="AK471" i="2"/>
  <c r="AE471" i="2"/>
  <c r="AA471" i="2"/>
  <c r="F471" i="2"/>
  <c r="E471" i="2"/>
  <c r="D471" i="2"/>
  <c r="CA470" i="2"/>
  <c r="BZ470" i="2"/>
  <c r="BY470" i="2"/>
  <c r="BX470" i="2"/>
  <c r="BW470" i="2"/>
  <c r="BV470" i="2"/>
  <c r="BU470" i="2"/>
  <c r="BT470" i="2"/>
  <c r="BS470" i="2"/>
  <c r="BR470" i="2"/>
  <c r="BQ470" i="2"/>
  <c r="BP470" i="2"/>
  <c r="BO470" i="2"/>
  <c r="BN470" i="2"/>
  <c r="BM470" i="2"/>
  <c r="BL470" i="2"/>
  <c r="BK470" i="2"/>
  <c r="BJ470" i="2"/>
  <c r="BI470" i="2"/>
  <c r="BH470" i="2"/>
  <c r="BG470" i="2"/>
  <c r="BF470" i="2"/>
  <c r="BE470" i="2"/>
  <c r="BD470" i="2"/>
  <c r="BC470" i="2"/>
  <c r="BB470" i="2"/>
  <c r="BA470" i="2"/>
  <c r="AZ470" i="2"/>
  <c r="AY470" i="2"/>
  <c r="AX470" i="2"/>
  <c r="AW470" i="2"/>
  <c r="AV470" i="2"/>
  <c r="AU470" i="2"/>
  <c r="AT470" i="2"/>
  <c r="AS470" i="2"/>
  <c r="AR470" i="2"/>
  <c r="AQ470" i="2"/>
  <c r="AP470" i="2"/>
  <c r="AO470" i="2"/>
  <c r="AN470" i="2"/>
  <c r="AM470" i="2"/>
  <c r="AL470" i="2"/>
  <c r="AK470" i="2"/>
  <c r="AE470" i="2"/>
  <c r="AA470" i="2"/>
  <c r="F470" i="2"/>
  <c r="E470" i="2"/>
  <c r="D470" i="2"/>
  <c r="CA469" i="2"/>
  <c r="BZ469" i="2"/>
  <c r="BY469" i="2"/>
  <c r="BX469" i="2"/>
  <c r="BW469" i="2"/>
  <c r="BV469" i="2"/>
  <c r="BU469" i="2"/>
  <c r="BT469" i="2"/>
  <c r="BS469" i="2"/>
  <c r="BR469" i="2"/>
  <c r="BQ469" i="2"/>
  <c r="BP469" i="2"/>
  <c r="BO469" i="2"/>
  <c r="BN469" i="2"/>
  <c r="BM469" i="2"/>
  <c r="BL469" i="2"/>
  <c r="BK469" i="2"/>
  <c r="BJ469" i="2"/>
  <c r="BI469" i="2"/>
  <c r="BH469" i="2"/>
  <c r="BG469" i="2"/>
  <c r="BF469" i="2"/>
  <c r="BE469" i="2"/>
  <c r="BD469" i="2"/>
  <c r="BC469" i="2"/>
  <c r="BB469" i="2"/>
  <c r="BA469" i="2"/>
  <c r="AZ469" i="2"/>
  <c r="AY469" i="2"/>
  <c r="AX469" i="2"/>
  <c r="AW469" i="2"/>
  <c r="AV469" i="2"/>
  <c r="AU469" i="2"/>
  <c r="AT469" i="2"/>
  <c r="AS469" i="2"/>
  <c r="AR469" i="2"/>
  <c r="AQ469" i="2"/>
  <c r="AP469" i="2"/>
  <c r="AO469" i="2"/>
  <c r="AN469" i="2"/>
  <c r="AM469" i="2"/>
  <c r="AL469" i="2"/>
  <c r="AK469" i="2"/>
  <c r="AE469" i="2"/>
  <c r="AA469" i="2"/>
  <c r="F469" i="2"/>
  <c r="E469" i="2"/>
  <c r="D469" i="2"/>
  <c r="CA468" i="2"/>
  <c r="BZ468" i="2"/>
  <c r="BY468" i="2"/>
  <c r="BX468" i="2"/>
  <c r="BW468" i="2"/>
  <c r="BV468" i="2"/>
  <c r="BU468" i="2"/>
  <c r="BT468" i="2"/>
  <c r="BS468" i="2"/>
  <c r="BR468" i="2"/>
  <c r="BQ468" i="2"/>
  <c r="BP468" i="2"/>
  <c r="BO468" i="2"/>
  <c r="BN468" i="2"/>
  <c r="BM468" i="2"/>
  <c r="BL468" i="2"/>
  <c r="BK468" i="2"/>
  <c r="BJ468" i="2"/>
  <c r="BI468" i="2"/>
  <c r="BH468" i="2"/>
  <c r="BG468" i="2"/>
  <c r="BF468" i="2"/>
  <c r="BE468" i="2"/>
  <c r="BD468" i="2"/>
  <c r="BC468" i="2"/>
  <c r="BB468" i="2"/>
  <c r="BA468" i="2"/>
  <c r="AZ468" i="2"/>
  <c r="AY468" i="2"/>
  <c r="AX468" i="2"/>
  <c r="AW468" i="2"/>
  <c r="AV468" i="2"/>
  <c r="AU468" i="2"/>
  <c r="AT468" i="2"/>
  <c r="AS468" i="2"/>
  <c r="AR468" i="2"/>
  <c r="AQ468" i="2"/>
  <c r="AP468" i="2"/>
  <c r="AO468" i="2"/>
  <c r="AN468" i="2"/>
  <c r="AM468" i="2"/>
  <c r="AL468" i="2"/>
  <c r="AK468" i="2"/>
  <c r="AE468" i="2"/>
  <c r="AA468" i="2"/>
  <c r="F468" i="2"/>
  <c r="E468" i="2"/>
  <c r="D468" i="2"/>
  <c r="CA467" i="2"/>
  <c r="BZ467" i="2"/>
  <c r="BY467" i="2"/>
  <c r="BX467" i="2"/>
  <c r="BW467" i="2"/>
  <c r="BV467" i="2"/>
  <c r="BU467" i="2"/>
  <c r="BT467" i="2"/>
  <c r="BS467" i="2"/>
  <c r="BR467" i="2"/>
  <c r="BQ467" i="2"/>
  <c r="BP467" i="2"/>
  <c r="BO467" i="2"/>
  <c r="BN467" i="2"/>
  <c r="BM467" i="2"/>
  <c r="BL467" i="2"/>
  <c r="BK467" i="2"/>
  <c r="BJ467" i="2"/>
  <c r="BI467" i="2"/>
  <c r="BH467" i="2"/>
  <c r="BG467" i="2"/>
  <c r="BF467" i="2"/>
  <c r="BE467" i="2"/>
  <c r="BD467" i="2"/>
  <c r="BC467" i="2"/>
  <c r="BB467" i="2"/>
  <c r="BA467" i="2"/>
  <c r="AZ467" i="2"/>
  <c r="AY467" i="2"/>
  <c r="AX467" i="2"/>
  <c r="AW467" i="2"/>
  <c r="AV467" i="2"/>
  <c r="AU467" i="2"/>
  <c r="AT467" i="2"/>
  <c r="AS467" i="2"/>
  <c r="AR467" i="2"/>
  <c r="AQ467" i="2"/>
  <c r="AP467" i="2"/>
  <c r="AO467" i="2"/>
  <c r="AN467" i="2"/>
  <c r="AM467" i="2"/>
  <c r="AL467" i="2"/>
  <c r="AK467" i="2"/>
  <c r="AE467" i="2"/>
  <c r="AA467" i="2"/>
  <c r="F467" i="2"/>
  <c r="E467" i="2"/>
  <c r="D467" i="2"/>
  <c r="CA466" i="2"/>
  <c r="BZ466" i="2"/>
  <c r="BY466" i="2"/>
  <c r="BX466" i="2"/>
  <c r="BW466" i="2"/>
  <c r="BV466" i="2"/>
  <c r="BU466" i="2"/>
  <c r="BT466" i="2"/>
  <c r="BS466" i="2"/>
  <c r="BR466" i="2"/>
  <c r="BQ466" i="2"/>
  <c r="BP466" i="2"/>
  <c r="BO466" i="2"/>
  <c r="BN466" i="2"/>
  <c r="BM466" i="2"/>
  <c r="BL466" i="2"/>
  <c r="BK466" i="2"/>
  <c r="BJ466" i="2"/>
  <c r="BI466" i="2"/>
  <c r="BH466" i="2"/>
  <c r="BG466" i="2"/>
  <c r="BF466" i="2"/>
  <c r="BE466" i="2"/>
  <c r="BD466" i="2"/>
  <c r="BC466" i="2"/>
  <c r="BB466" i="2"/>
  <c r="BA466" i="2"/>
  <c r="AZ466" i="2"/>
  <c r="AY466" i="2"/>
  <c r="AX466" i="2"/>
  <c r="AW466" i="2"/>
  <c r="AV466" i="2"/>
  <c r="AU466" i="2"/>
  <c r="AT466" i="2"/>
  <c r="AS466" i="2"/>
  <c r="AR466" i="2"/>
  <c r="AQ466" i="2"/>
  <c r="AP466" i="2"/>
  <c r="AO466" i="2"/>
  <c r="AN466" i="2"/>
  <c r="AM466" i="2"/>
  <c r="AL466" i="2"/>
  <c r="AK466" i="2"/>
  <c r="AE466" i="2"/>
  <c r="AA466" i="2"/>
  <c r="F466" i="2"/>
  <c r="E466" i="2"/>
  <c r="D466" i="2"/>
  <c r="CA465" i="2"/>
  <c r="BZ465" i="2"/>
  <c r="BY465" i="2"/>
  <c r="BX465" i="2"/>
  <c r="BW465" i="2"/>
  <c r="BV465" i="2"/>
  <c r="BU465" i="2"/>
  <c r="BT465" i="2"/>
  <c r="BS465" i="2"/>
  <c r="BR465" i="2"/>
  <c r="BQ465" i="2"/>
  <c r="BP465" i="2"/>
  <c r="BO465" i="2"/>
  <c r="BN465" i="2"/>
  <c r="BM465" i="2"/>
  <c r="BL465" i="2"/>
  <c r="BK465" i="2"/>
  <c r="BJ465" i="2"/>
  <c r="BI465" i="2"/>
  <c r="BH465" i="2"/>
  <c r="BG465" i="2"/>
  <c r="BF465" i="2"/>
  <c r="BE465" i="2"/>
  <c r="BD465" i="2"/>
  <c r="BC465" i="2"/>
  <c r="BB465" i="2"/>
  <c r="BA465" i="2"/>
  <c r="AZ465" i="2"/>
  <c r="AY465" i="2"/>
  <c r="AX465" i="2"/>
  <c r="AW465" i="2"/>
  <c r="AV465" i="2"/>
  <c r="AU465" i="2"/>
  <c r="AT465" i="2"/>
  <c r="AS465" i="2"/>
  <c r="AR465" i="2"/>
  <c r="AQ465" i="2"/>
  <c r="AP465" i="2"/>
  <c r="AO465" i="2"/>
  <c r="AN465" i="2"/>
  <c r="AM465" i="2"/>
  <c r="AL465" i="2"/>
  <c r="AK465" i="2"/>
  <c r="AE465" i="2"/>
  <c r="AA465" i="2"/>
  <c r="F465" i="2"/>
  <c r="E465" i="2"/>
  <c r="D465" i="2"/>
  <c r="CA464" i="2"/>
  <c r="BZ464" i="2"/>
  <c r="BY464" i="2"/>
  <c r="BX464" i="2"/>
  <c r="BW464" i="2"/>
  <c r="BV464" i="2"/>
  <c r="BU464" i="2"/>
  <c r="BT464" i="2"/>
  <c r="BS464" i="2"/>
  <c r="BR464" i="2"/>
  <c r="BQ464" i="2"/>
  <c r="BP464" i="2"/>
  <c r="BO464" i="2"/>
  <c r="BN464" i="2"/>
  <c r="BM464" i="2"/>
  <c r="BL464" i="2"/>
  <c r="BK464" i="2"/>
  <c r="BJ464" i="2"/>
  <c r="BI464" i="2"/>
  <c r="BH464" i="2"/>
  <c r="BG464" i="2"/>
  <c r="BF464" i="2"/>
  <c r="BE464" i="2"/>
  <c r="BD464" i="2"/>
  <c r="BC464" i="2"/>
  <c r="BB464" i="2"/>
  <c r="BA464" i="2"/>
  <c r="AZ464" i="2"/>
  <c r="AY464" i="2"/>
  <c r="AX464" i="2"/>
  <c r="AW464" i="2"/>
  <c r="AV464" i="2"/>
  <c r="AU464" i="2"/>
  <c r="AT464" i="2"/>
  <c r="AS464" i="2"/>
  <c r="AR464" i="2"/>
  <c r="AQ464" i="2"/>
  <c r="AP464" i="2"/>
  <c r="AO464" i="2"/>
  <c r="AN464" i="2"/>
  <c r="AM464" i="2"/>
  <c r="AL464" i="2"/>
  <c r="AK464" i="2"/>
  <c r="AE464" i="2"/>
  <c r="AA464" i="2"/>
  <c r="F464" i="2"/>
  <c r="E464" i="2"/>
  <c r="D464" i="2"/>
  <c r="CA463" i="2"/>
  <c r="BZ463" i="2"/>
  <c r="BY463" i="2"/>
  <c r="BX463" i="2"/>
  <c r="BW463" i="2"/>
  <c r="BV463" i="2"/>
  <c r="BU463" i="2"/>
  <c r="BT463" i="2"/>
  <c r="BS463" i="2"/>
  <c r="BR463" i="2"/>
  <c r="BQ463" i="2"/>
  <c r="BP463" i="2"/>
  <c r="BO463" i="2"/>
  <c r="BN463" i="2"/>
  <c r="BM463" i="2"/>
  <c r="BL463" i="2"/>
  <c r="BK463" i="2"/>
  <c r="BJ463" i="2"/>
  <c r="BI463" i="2"/>
  <c r="BH463" i="2"/>
  <c r="BG463" i="2"/>
  <c r="BF463" i="2"/>
  <c r="BE463" i="2"/>
  <c r="BD463" i="2"/>
  <c r="BC463" i="2"/>
  <c r="BB463" i="2"/>
  <c r="BA463" i="2"/>
  <c r="AZ463" i="2"/>
  <c r="AY463" i="2"/>
  <c r="AX463" i="2"/>
  <c r="AW463" i="2"/>
  <c r="AV463" i="2"/>
  <c r="AU463" i="2"/>
  <c r="AT463" i="2"/>
  <c r="AS463" i="2"/>
  <c r="AR463" i="2"/>
  <c r="AQ463" i="2"/>
  <c r="AP463" i="2"/>
  <c r="AO463" i="2"/>
  <c r="AN463" i="2"/>
  <c r="AM463" i="2"/>
  <c r="AL463" i="2"/>
  <c r="AK463" i="2"/>
  <c r="AE463" i="2"/>
  <c r="AA463" i="2"/>
  <c r="F463" i="2"/>
  <c r="E463" i="2"/>
  <c r="D463" i="2"/>
  <c r="CA462" i="2"/>
  <c r="BZ462" i="2"/>
  <c r="BY462" i="2"/>
  <c r="BX462" i="2"/>
  <c r="BW462" i="2"/>
  <c r="BV462" i="2"/>
  <c r="BU462" i="2"/>
  <c r="BT462" i="2"/>
  <c r="BS462" i="2"/>
  <c r="BR462" i="2"/>
  <c r="BQ462" i="2"/>
  <c r="BP462" i="2"/>
  <c r="BO462" i="2"/>
  <c r="BN462" i="2"/>
  <c r="BM462" i="2"/>
  <c r="BL462" i="2"/>
  <c r="BK462" i="2"/>
  <c r="BJ462" i="2"/>
  <c r="BI462" i="2"/>
  <c r="BH462" i="2"/>
  <c r="BG462" i="2"/>
  <c r="BF462" i="2"/>
  <c r="BE462" i="2"/>
  <c r="BD462" i="2"/>
  <c r="BC462" i="2"/>
  <c r="BB462" i="2"/>
  <c r="BA462" i="2"/>
  <c r="AZ462" i="2"/>
  <c r="AY462" i="2"/>
  <c r="AX462" i="2"/>
  <c r="AW462" i="2"/>
  <c r="AV462" i="2"/>
  <c r="AU462" i="2"/>
  <c r="AT462" i="2"/>
  <c r="AS462" i="2"/>
  <c r="AR462" i="2"/>
  <c r="AQ462" i="2"/>
  <c r="AP462" i="2"/>
  <c r="AO462" i="2"/>
  <c r="AN462" i="2"/>
  <c r="AM462" i="2"/>
  <c r="AL462" i="2"/>
  <c r="AK462" i="2"/>
  <c r="AE462" i="2"/>
  <c r="AA462" i="2"/>
  <c r="F462" i="2"/>
  <c r="E462" i="2"/>
  <c r="D462" i="2"/>
  <c r="CA461" i="2"/>
  <c r="BZ461" i="2"/>
  <c r="BY461" i="2"/>
  <c r="BX461" i="2"/>
  <c r="BW461" i="2"/>
  <c r="BV461" i="2"/>
  <c r="BU461" i="2"/>
  <c r="BT461" i="2"/>
  <c r="BS461" i="2"/>
  <c r="BR461" i="2"/>
  <c r="BQ461" i="2"/>
  <c r="BP461" i="2"/>
  <c r="BO461" i="2"/>
  <c r="BN461" i="2"/>
  <c r="BM461" i="2"/>
  <c r="BL461" i="2"/>
  <c r="BK461" i="2"/>
  <c r="BJ461" i="2"/>
  <c r="BI461" i="2"/>
  <c r="BH461" i="2"/>
  <c r="BG461" i="2"/>
  <c r="BF461" i="2"/>
  <c r="BE461" i="2"/>
  <c r="BD461" i="2"/>
  <c r="BC461" i="2"/>
  <c r="BB461" i="2"/>
  <c r="BA461" i="2"/>
  <c r="AZ461" i="2"/>
  <c r="AY461" i="2"/>
  <c r="AX461" i="2"/>
  <c r="AW461" i="2"/>
  <c r="AV461" i="2"/>
  <c r="AU461" i="2"/>
  <c r="AT461" i="2"/>
  <c r="AS461" i="2"/>
  <c r="AR461" i="2"/>
  <c r="AQ461" i="2"/>
  <c r="AP461" i="2"/>
  <c r="AO461" i="2"/>
  <c r="AN461" i="2"/>
  <c r="AM461" i="2"/>
  <c r="AL461" i="2"/>
  <c r="AK461" i="2"/>
  <c r="AE461" i="2"/>
  <c r="AA461" i="2"/>
  <c r="F461" i="2"/>
  <c r="E461" i="2"/>
  <c r="D461" i="2"/>
  <c r="CA460" i="2"/>
  <c r="BZ460" i="2"/>
  <c r="BY460" i="2"/>
  <c r="BX460" i="2"/>
  <c r="BW460" i="2"/>
  <c r="BV460" i="2"/>
  <c r="BU460" i="2"/>
  <c r="BT460" i="2"/>
  <c r="BS460" i="2"/>
  <c r="BR460" i="2"/>
  <c r="BQ460" i="2"/>
  <c r="BP460" i="2"/>
  <c r="BO460" i="2"/>
  <c r="BN460" i="2"/>
  <c r="BM460" i="2"/>
  <c r="BL460" i="2"/>
  <c r="BK460" i="2"/>
  <c r="BJ460" i="2"/>
  <c r="BI460" i="2"/>
  <c r="BH460" i="2"/>
  <c r="BG460" i="2"/>
  <c r="BF460" i="2"/>
  <c r="BE460" i="2"/>
  <c r="BD460" i="2"/>
  <c r="BC460" i="2"/>
  <c r="BB460" i="2"/>
  <c r="BA460" i="2"/>
  <c r="AZ460" i="2"/>
  <c r="AY460" i="2"/>
  <c r="AX460" i="2"/>
  <c r="AW460" i="2"/>
  <c r="AV460" i="2"/>
  <c r="AU460" i="2"/>
  <c r="AT460" i="2"/>
  <c r="AS460" i="2"/>
  <c r="AR460" i="2"/>
  <c r="AQ460" i="2"/>
  <c r="AP460" i="2"/>
  <c r="AO460" i="2"/>
  <c r="AN460" i="2"/>
  <c r="AM460" i="2"/>
  <c r="AL460" i="2"/>
  <c r="AK460" i="2"/>
  <c r="AE460" i="2"/>
  <c r="AA460" i="2"/>
  <c r="F460" i="2"/>
  <c r="E460" i="2"/>
  <c r="D460" i="2"/>
  <c r="CA459" i="2"/>
  <c r="BZ459" i="2"/>
  <c r="BY459" i="2"/>
  <c r="BX459" i="2"/>
  <c r="BW459" i="2"/>
  <c r="BV459" i="2"/>
  <c r="BU459" i="2"/>
  <c r="BT459" i="2"/>
  <c r="BS459" i="2"/>
  <c r="BR459" i="2"/>
  <c r="BQ459" i="2"/>
  <c r="BP459" i="2"/>
  <c r="BO459" i="2"/>
  <c r="BN459" i="2"/>
  <c r="BM459" i="2"/>
  <c r="BL459" i="2"/>
  <c r="BK459" i="2"/>
  <c r="BJ459" i="2"/>
  <c r="BI459" i="2"/>
  <c r="BH459" i="2"/>
  <c r="BG459" i="2"/>
  <c r="BF459" i="2"/>
  <c r="BE459" i="2"/>
  <c r="BD459" i="2"/>
  <c r="BC459" i="2"/>
  <c r="BB459" i="2"/>
  <c r="BA459" i="2"/>
  <c r="AZ459" i="2"/>
  <c r="AY459" i="2"/>
  <c r="AX459" i="2"/>
  <c r="AW459" i="2"/>
  <c r="AV459" i="2"/>
  <c r="AU459" i="2"/>
  <c r="AT459" i="2"/>
  <c r="AS459" i="2"/>
  <c r="AR459" i="2"/>
  <c r="AQ459" i="2"/>
  <c r="AP459" i="2"/>
  <c r="AO459" i="2"/>
  <c r="AN459" i="2"/>
  <c r="AM459" i="2"/>
  <c r="AL459" i="2"/>
  <c r="AK459" i="2"/>
  <c r="AE459" i="2"/>
  <c r="AA459" i="2"/>
  <c r="F459" i="2"/>
  <c r="E459" i="2"/>
  <c r="D459" i="2"/>
  <c r="CA458" i="2"/>
  <c r="BZ458" i="2"/>
  <c r="BY458" i="2"/>
  <c r="BX458" i="2"/>
  <c r="BW458" i="2"/>
  <c r="BV458" i="2"/>
  <c r="BU458" i="2"/>
  <c r="BT458" i="2"/>
  <c r="BS458" i="2"/>
  <c r="BR458" i="2"/>
  <c r="BQ458" i="2"/>
  <c r="BP458" i="2"/>
  <c r="BO458" i="2"/>
  <c r="BN458" i="2"/>
  <c r="BM458" i="2"/>
  <c r="BL458" i="2"/>
  <c r="BK458" i="2"/>
  <c r="BJ458" i="2"/>
  <c r="BI458" i="2"/>
  <c r="BH458" i="2"/>
  <c r="BG458" i="2"/>
  <c r="BF458" i="2"/>
  <c r="BE458" i="2"/>
  <c r="BD458" i="2"/>
  <c r="BC458" i="2"/>
  <c r="BB458" i="2"/>
  <c r="BA458" i="2"/>
  <c r="AZ458" i="2"/>
  <c r="AY458" i="2"/>
  <c r="AX458" i="2"/>
  <c r="AW458" i="2"/>
  <c r="AV458" i="2"/>
  <c r="AU458" i="2"/>
  <c r="AT458" i="2"/>
  <c r="AS458" i="2"/>
  <c r="AR458" i="2"/>
  <c r="AQ458" i="2"/>
  <c r="AP458" i="2"/>
  <c r="AO458" i="2"/>
  <c r="AN458" i="2"/>
  <c r="AM458" i="2"/>
  <c r="AL458" i="2"/>
  <c r="AK458" i="2"/>
  <c r="AE458" i="2"/>
  <c r="AA458" i="2"/>
  <c r="F458" i="2"/>
  <c r="E458" i="2"/>
  <c r="D458" i="2"/>
  <c r="CA457" i="2"/>
  <c r="BZ457" i="2"/>
  <c r="BY457" i="2"/>
  <c r="BX457" i="2"/>
  <c r="BW457" i="2"/>
  <c r="BV457" i="2"/>
  <c r="BU457" i="2"/>
  <c r="BT457" i="2"/>
  <c r="BS457" i="2"/>
  <c r="BR457" i="2"/>
  <c r="BQ457" i="2"/>
  <c r="BP457" i="2"/>
  <c r="BO457" i="2"/>
  <c r="BN457" i="2"/>
  <c r="BM457" i="2"/>
  <c r="BL457" i="2"/>
  <c r="BK457" i="2"/>
  <c r="BJ457" i="2"/>
  <c r="BI457" i="2"/>
  <c r="BH457" i="2"/>
  <c r="BG457" i="2"/>
  <c r="BF457" i="2"/>
  <c r="BE457" i="2"/>
  <c r="BD457" i="2"/>
  <c r="BC457" i="2"/>
  <c r="BB457" i="2"/>
  <c r="BA457" i="2"/>
  <c r="AZ457" i="2"/>
  <c r="AY457" i="2"/>
  <c r="AX457" i="2"/>
  <c r="AW457" i="2"/>
  <c r="AV457" i="2"/>
  <c r="AU457" i="2"/>
  <c r="AT457" i="2"/>
  <c r="AS457" i="2"/>
  <c r="AR457" i="2"/>
  <c r="AQ457" i="2"/>
  <c r="AP457" i="2"/>
  <c r="AO457" i="2"/>
  <c r="AN457" i="2"/>
  <c r="AM457" i="2"/>
  <c r="AL457" i="2"/>
  <c r="AK457" i="2"/>
  <c r="AE457" i="2"/>
  <c r="AA457" i="2"/>
  <c r="F457" i="2"/>
  <c r="E457" i="2"/>
  <c r="D457" i="2"/>
  <c r="CA456" i="2"/>
  <c r="BZ456" i="2"/>
  <c r="BY456" i="2"/>
  <c r="BX456" i="2"/>
  <c r="BW456" i="2"/>
  <c r="BV456" i="2"/>
  <c r="BU456" i="2"/>
  <c r="BT456" i="2"/>
  <c r="BS456" i="2"/>
  <c r="BR456" i="2"/>
  <c r="BQ456" i="2"/>
  <c r="BP456" i="2"/>
  <c r="BO456" i="2"/>
  <c r="BN456" i="2"/>
  <c r="BM456" i="2"/>
  <c r="BL456" i="2"/>
  <c r="BK456" i="2"/>
  <c r="BJ456" i="2"/>
  <c r="BI456" i="2"/>
  <c r="BH456" i="2"/>
  <c r="BG456" i="2"/>
  <c r="BF456" i="2"/>
  <c r="BE456" i="2"/>
  <c r="BD456" i="2"/>
  <c r="BC456" i="2"/>
  <c r="BB456" i="2"/>
  <c r="BA456" i="2"/>
  <c r="AZ456" i="2"/>
  <c r="AY456" i="2"/>
  <c r="AX456" i="2"/>
  <c r="AW456" i="2"/>
  <c r="AV456" i="2"/>
  <c r="AU456" i="2"/>
  <c r="AT456" i="2"/>
  <c r="AS456" i="2"/>
  <c r="AR456" i="2"/>
  <c r="AQ456" i="2"/>
  <c r="AP456" i="2"/>
  <c r="AO456" i="2"/>
  <c r="AN456" i="2"/>
  <c r="AM456" i="2"/>
  <c r="AL456" i="2"/>
  <c r="AK456" i="2"/>
  <c r="AE456" i="2"/>
  <c r="AA456" i="2"/>
  <c r="F456" i="2"/>
  <c r="E456" i="2"/>
  <c r="D456" i="2"/>
  <c r="CA455" i="2"/>
  <c r="BZ455" i="2"/>
  <c r="BY455" i="2"/>
  <c r="BX455" i="2"/>
  <c r="BW455" i="2"/>
  <c r="BV455" i="2"/>
  <c r="BU455" i="2"/>
  <c r="BT455" i="2"/>
  <c r="BS455" i="2"/>
  <c r="BR455" i="2"/>
  <c r="BQ455" i="2"/>
  <c r="BP455" i="2"/>
  <c r="BO455" i="2"/>
  <c r="BN455" i="2"/>
  <c r="BM455" i="2"/>
  <c r="BL455" i="2"/>
  <c r="BK455" i="2"/>
  <c r="BJ455" i="2"/>
  <c r="BI455" i="2"/>
  <c r="BH455" i="2"/>
  <c r="BG455" i="2"/>
  <c r="BF455" i="2"/>
  <c r="BE455" i="2"/>
  <c r="BD455" i="2"/>
  <c r="BC455" i="2"/>
  <c r="BB455" i="2"/>
  <c r="BA455" i="2"/>
  <c r="AZ455" i="2"/>
  <c r="AY455" i="2"/>
  <c r="AX455" i="2"/>
  <c r="AW455" i="2"/>
  <c r="AV455" i="2"/>
  <c r="AU455" i="2"/>
  <c r="AT455" i="2"/>
  <c r="AS455" i="2"/>
  <c r="AR455" i="2"/>
  <c r="AQ455" i="2"/>
  <c r="AP455" i="2"/>
  <c r="AO455" i="2"/>
  <c r="AN455" i="2"/>
  <c r="AM455" i="2"/>
  <c r="AL455" i="2"/>
  <c r="AK455" i="2"/>
  <c r="AE455" i="2"/>
  <c r="AA455" i="2"/>
  <c r="F455" i="2"/>
  <c r="E455" i="2"/>
  <c r="D455" i="2"/>
  <c r="CA454" i="2"/>
  <c r="BZ454" i="2"/>
  <c r="BY454" i="2"/>
  <c r="BX454" i="2"/>
  <c r="BW454" i="2"/>
  <c r="BV454" i="2"/>
  <c r="BU454" i="2"/>
  <c r="BT454" i="2"/>
  <c r="BS454" i="2"/>
  <c r="BR454" i="2"/>
  <c r="BQ454" i="2"/>
  <c r="BP454" i="2"/>
  <c r="BO454" i="2"/>
  <c r="BN454" i="2"/>
  <c r="BM454" i="2"/>
  <c r="BL454" i="2"/>
  <c r="BK454" i="2"/>
  <c r="BJ454" i="2"/>
  <c r="BI454" i="2"/>
  <c r="BH454" i="2"/>
  <c r="BG454" i="2"/>
  <c r="BF454" i="2"/>
  <c r="BE454" i="2"/>
  <c r="BD454" i="2"/>
  <c r="BC454" i="2"/>
  <c r="BB454" i="2"/>
  <c r="BA454" i="2"/>
  <c r="AZ454" i="2"/>
  <c r="AY454" i="2"/>
  <c r="AX454" i="2"/>
  <c r="AW454" i="2"/>
  <c r="AV454" i="2"/>
  <c r="AU454" i="2"/>
  <c r="AT454" i="2"/>
  <c r="AS454" i="2"/>
  <c r="AR454" i="2"/>
  <c r="AQ454" i="2"/>
  <c r="AP454" i="2"/>
  <c r="AO454" i="2"/>
  <c r="AN454" i="2"/>
  <c r="AM454" i="2"/>
  <c r="AL454" i="2"/>
  <c r="AK454" i="2"/>
  <c r="AE454" i="2"/>
  <c r="AA454" i="2"/>
  <c r="F454" i="2"/>
  <c r="E454" i="2"/>
  <c r="D454" i="2"/>
  <c r="CA453" i="2"/>
  <c r="BZ453" i="2"/>
  <c r="BY453" i="2"/>
  <c r="BX453" i="2"/>
  <c r="BW453" i="2"/>
  <c r="BV453" i="2"/>
  <c r="BU453" i="2"/>
  <c r="BT453" i="2"/>
  <c r="BS453" i="2"/>
  <c r="BR453" i="2"/>
  <c r="BQ453" i="2"/>
  <c r="BP453" i="2"/>
  <c r="BO453" i="2"/>
  <c r="BN453" i="2"/>
  <c r="BM453" i="2"/>
  <c r="BL453" i="2"/>
  <c r="BK453" i="2"/>
  <c r="BJ453" i="2"/>
  <c r="BI453" i="2"/>
  <c r="BH453" i="2"/>
  <c r="BG453" i="2"/>
  <c r="BF453" i="2"/>
  <c r="BE453" i="2"/>
  <c r="BD453" i="2"/>
  <c r="BC453" i="2"/>
  <c r="BB453" i="2"/>
  <c r="BA453" i="2"/>
  <c r="AZ453" i="2"/>
  <c r="AY453" i="2"/>
  <c r="AX453" i="2"/>
  <c r="AW453" i="2"/>
  <c r="AV453" i="2"/>
  <c r="AU453" i="2"/>
  <c r="AT453" i="2"/>
  <c r="AS453" i="2"/>
  <c r="AR453" i="2"/>
  <c r="AQ453" i="2"/>
  <c r="AP453" i="2"/>
  <c r="AO453" i="2"/>
  <c r="AN453" i="2"/>
  <c r="AM453" i="2"/>
  <c r="AL453" i="2"/>
  <c r="AK453" i="2"/>
  <c r="AE453" i="2"/>
  <c r="AA453" i="2"/>
  <c r="F453" i="2"/>
  <c r="E453" i="2"/>
  <c r="D453" i="2"/>
  <c r="CA452" i="2"/>
  <c r="BZ452" i="2"/>
  <c r="BY452" i="2"/>
  <c r="BX452" i="2"/>
  <c r="BW452" i="2"/>
  <c r="BV452" i="2"/>
  <c r="BU452" i="2"/>
  <c r="BT452" i="2"/>
  <c r="BS452" i="2"/>
  <c r="BR452" i="2"/>
  <c r="BQ452" i="2"/>
  <c r="BP452" i="2"/>
  <c r="BO452" i="2"/>
  <c r="BN452" i="2"/>
  <c r="BM452" i="2"/>
  <c r="BL452" i="2"/>
  <c r="BK452" i="2"/>
  <c r="BJ452" i="2"/>
  <c r="BI452" i="2"/>
  <c r="BH452" i="2"/>
  <c r="BG452" i="2"/>
  <c r="BF452" i="2"/>
  <c r="BE452" i="2"/>
  <c r="BD452" i="2"/>
  <c r="BC452" i="2"/>
  <c r="BB452" i="2"/>
  <c r="BA452" i="2"/>
  <c r="AZ452" i="2"/>
  <c r="AY452" i="2"/>
  <c r="AX452" i="2"/>
  <c r="AW452" i="2"/>
  <c r="AV452" i="2"/>
  <c r="AU452" i="2"/>
  <c r="AT452" i="2"/>
  <c r="AS452" i="2"/>
  <c r="AR452" i="2"/>
  <c r="AQ452" i="2"/>
  <c r="AP452" i="2"/>
  <c r="AO452" i="2"/>
  <c r="AN452" i="2"/>
  <c r="AM452" i="2"/>
  <c r="AL452" i="2"/>
  <c r="AK452" i="2"/>
  <c r="AE452" i="2"/>
  <c r="AA452" i="2"/>
  <c r="F452" i="2"/>
  <c r="E452" i="2"/>
  <c r="D452" i="2"/>
  <c r="CA451" i="2"/>
  <c r="BZ451" i="2"/>
  <c r="BY451" i="2"/>
  <c r="BX451" i="2"/>
  <c r="BW451" i="2"/>
  <c r="BV451" i="2"/>
  <c r="BU451" i="2"/>
  <c r="BT451" i="2"/>
  <c r="BS451" i="2"/>
  <c r="BR451" i="2"/>
  <c r="BQ451" i="2"/>
  <c r="BP451" i="2"/>
  <c r="BO451" i="2"/>
  <c r="BN451" i="2"/>
  <c r="BM451" i="2"/>
  <c r="BL451" i="2"/>
  <c r="BK451" i="2"/>
  <c r="BJ451" i="2"/>
  <c r="BI451" i="2"/>
  <c r="BH451" i="2"/>
  <c r="BG451" i="2"/>
  <c r="BF451" i="2"/>
  <c r="BE451" i="2"/>
  <c r="BD451" i="2"/>
  <c r="BC451" i="2"/>
  <c r="BB451" i="2"/>
  <c r="BA451" i="2"/>
  <c r="AZ451" i="2"/>
  <c r="AY451" i="2"/>
  <c r="AX451" i="2"/>
  <c r="AW451" i="2"/>
  <c r="AV451" i="2"/>
  <c r="AU451" i="2"/>
  <c r="AT451" i="2"/>
  <c r="AS451" i="2"/>
  <c r="AR451" i="2"/>
  <c r="AQ451" i="2"/>
  <c r="AP451" i="2"/>
  <c r="AO451" i="2"/>
  <c r="AN451" i="2"/>
  <c r="AM451" i="2"/>
  <c r="AL451" i="2"/>
  <c r="AK451" i="2"/>
  <c r="AE451" i="2"/>
  <c r="AA451" i="2"/>
  <c r="F451" i="2"/>
  <c r="E451" i="2"/>
  <c r="D451" i="2"/>
  <c r="CA450" i="2"/>
  <c r="BZ450" i="2"/>
  <c r="BY450" i="2"/>
  <c r="BX450" i="2"/>
  <c r="BW450" i="2"/>
  <c r="BV450" i="2"/>
  <c r="BU450" i="2"/>
  <c r="BT450" i="2"/>
  <c r="BS450" i="2"/>
  <c r="BR450" i="2"/>
  <c r="BQ450" i="2"/>
  <c r="BP450" i="2"/>
  <c r="BO450" i="2"/>
  <c r="BN450" i="2"/>
  <c r="BM450" i="2"/>
  <c r="BL450" i="2"/>
  <c r="BK450" i="2"/>
  <c r="BJ450" i="2"/>
  <c r="BI450" i="2"/>
  <c r="BH450" i="2"/>
  <c r="BG450" i="2"/>
  <c r="BF450" i="2"/>
  <c r="BE450" i="2"/>
  <c r="BD450" i="2"/>
  <c r="BC450" i="2"/>
  <c r="BB450" i="2"/>
  <c r="BA450" i="2"/>
  <c r="AZ450" i="2"/>
  <c r="AY450" i="2"/>
  <c r="AX450" i="2"/>
  <c r="AW450" i="2"/>
  <c r="AV450" i="2"/>
  <c r="AU450" i="2"/>
  <c r="AT450" i="2"/>
  <c r="AS450" i="2"/>
  <c r="AR450" i="2"/>
  <c r="AQ450" i="2"/>
  <c r="AP450" i="2"/>
  <c r="AO450" i="2"/>
  <c r="AN450" i="2"/>
  <c r="AM450" i="2"/>
  <c r="AL450" i="2"/>
  <c r="AK450" i="2"/>
  <c r="AE450" i="2"/>
  <c r="AA450" i="2"/>
  <c r="F450" i="2"/>
  <c r="E450" i="2"/>
  <c r="D450" i="2"/>
  <c r="CA449" i="2"/>
  <c r="BZ449" i="2"/>
  <c r="BY449" i="2"/>
  <c r="BX449" i="2"/>
  <c r="BW449" i="2"/>
  <c r="BV449" i="2"/>
  <c r="BU449" i="2"/>
  <c r="BT449" i="2"/>
  <c r="BS449" i="2"/>
  <c r="BR449" i="2"/>
  <c r="BQ449" i="2"/>
  <c r="BP449" i="2"/>
  <c r="BO449" i="2"/>
  <c r="BN449" i="2"/>
  <c r="BM449" i="2"/>
  <c r="BL449" i="2"/>
  <c r="BK449" i="2"/>
  <c r="BJ449" i="2"/>
  <c r="BI449" i="2"/>
  <c r="BH449" i="2"/>
  <c r="BG449" i="2"/>
  <c r="BF449" i="2"/>
  <c r="BE449" i="2"/>
  <c r="BD449" i="2"/>
  <c r="BC449" i="2"/>
  <c r="BB449" i="2"/>
  <c r="BA449" i="2"/>
  <c r="AZ449" i="2"/>
  <c r="AY449" i="2"/>
  <c r="AX449" i="2"/>
  <c r="AW449" i="2"/>
  <c r="AV449" i="2"/>
  <c r="AU449" i="2"/>
  <c r="AT449" i="2"/>
  <c r="AS449" i="2"/>
  <c r="AR449" i="2"/>
  <c r="AQ449" i="2"/>
  <c r="AP449" i="2"/>
  <c r="AO449" i="2"/>
  <c r="AN449" i="2"/>
  <c r="AM449" i="2"/>
  <c r="AL449" i="2"/>
  <c r="AK449" i="2"/>
  <c r="AE449" i="2"/>
  <c r="AA449" i="2"/>
  <c r="F449" i="2"/>
  <c r="E449" i="2"/>
  <c r="D449" i="2"/>
  <c r="CA448" i="2"/>
  <c r="BZ448" i="2"/>
  <c r="BY448" i="2"/>
  <c r="BX448" i="2"/>
  <c r="BW448" i="2"/>
  <c r="BV448" i="2"/>
  <c r="BU448" i="2"/>
  <c r="BT448" i="2"/>
  <c r="BS448" i="2"/>
  <c r="BR448" i="2"/>
  <c r="BQ448" i="2"/>
  <c r="BP448" i="2"/>
  <c r="BO448" i="2"/>
  <c r="BN448" i="2"/>
  <c r="BM448" i="2"/>
  <c r="BL448" i="2"/>
  <c r="BK448" i="2"/>
  <c r="BJ448" i="2"/>
  <c r="BI448" i="2"/>
  <c r="BH448" i="2"/>
  <c r="BG448" i="2"/>
  <c r="BF448" i="2"/>
  <c r="BE448" i="2"/>
  <c r="BD448" i="2"/>
  <c r="BC448" i="2"/>
  <c r="BB448" i="2"/>
  <c r="BA448" i="2"/>
  <c r="AZ448" i="2"/>
  <c r="AY448" i="2"/>
  <c r="AX448" i="2"/>
  <c r="AW448" i="2"/>
  <c r="AV448" i="2"/>
  <c r="AU448" i="2"/>
  <c r="AT448" i="2"/>
  <c r="AS448" i="2"/>
  <c r="AR448" i="2"/>
  <c r="AQ448" i="2"/>
  <c r="AP448" i="2"/>
  <c r="AO448" i="2"/>
  <c r="AN448" i="2"/>
  <c r="AM448" i="2"/>
  <c r="AL448" i="2"/>
  <c r="AK448" i="2"/>
  <c r="AE448" i="2"/>
  <c r="AA448" i="2"/>
  <c r="F448" i="2"/>
  <c r="E448" i="2"/>
  <c r="D448" i="2"/>
  <c r="CA447" i="2"/>
  <c r="BZ447" i="2"/>
  <c r="BY447" i="2"/>
  <c r="BX447" i="2"/>
  <c r="BW447" i="2"/>
  <c r="BV447" i="2"/>
  <c r="BU447" i="2"/>
  <c r="BT447" i="2"/>
  <c r="BS447" i="2"/>
  <c r="BR447" i="2"/>
  <c r="BQ447" i="2"/>
  <c r="BP447" i="2"/>
  <c r="BO447" i="2"/>
  <c r="BN447" i="2"/>
  <c r="BM447" i="2"/>
  <c r="BL447" i="2"/>
  <c r="BK447" i="2"/>
  <c r="BJ447" i="2"/>
  <c r="BI447" i="2"/>
  <c r="BH447" i="2"/>
  <c r="BG447" i="2"/>
  <c r="BF447" i="2"/>
  <c r="BE447" i="2"/>
  <c r="BD447" i="2"/>
  <c r="BC447" i="2"/>
  <c r="BB447" i="2"/>
  <c r="BA447" i="2"/>
  <c r="AZ447" i="2"/>
  <c r="AY447" i="2"/>
  <c r="AX447" i="2"/>
  <c r="AW447" i="2"/>
  <c r="AV447" i="2"/>
  <c r="AU447" i="2"/>
  <c r="AT447" i="2"/>
  <c r="AS447" i="2"/>
  <c r="AR447" i="2"/>
  <c r="AQ447" i="2"/>
  <c r="AP447" i="2"/>
  <c r="AO447" i="2"/>
  <c r="AN447" i="2"/>
  <c r="AM447" i="2"/>
  <c r="AL447" i="2"/>
  <c r="AK447" i="2"/>
  <c r="AE447" i="2"/>
  <c r="AA447" i="2"/>
  <c r="F447" i="2"/>
  <c r="E447" i="2"/>
  <c r="D447" i="2"/>
  <c r="CA446" i="2"/>
  <c r="BZ446" i="2"/>
  <c r="BY446" i="2"/>
  <c r="BX446" i="2"/>
  <c r="BW446" i="2"/>
  <c r="BV446" i="2"/>
  <c r="BU446" i="2"/>
  <c r="BT446" i="2"/>
  <c r="BS446" i="2"/>
  <c r="BR446" i="2"/>
  <c r="BQ446" i="2"/>
  <c r="BP446" i="2"/>
  <c r="BO446" i="2"/>
  <c r="BN446" i="2"/>
  <c r="BM446" i="2"/>
  <c r="BL446" i="2"/>
  <c r="BK446" i="2"/>
  <c r="BJ446" i="2"/>
  <c r="BI446" i="2"/>
  <c r="BH446" i="2"/>
  <c r="BG446" i="2"/>
  <c r="BF446" i="2"/>
  <c r="BE446" i="2"/>
  <c r="BD446" i="2"/>
  <c r="BC446" i="2"/>
  <c r="BB446" i="2"/>
  <c r="BA446" i="2"/>
  <c r="AZ446" i="2"/>
  <c r="AY446" i="2"/>
  <c r="AX446" i="2"/>
  <c r="AW446" i="2"/>
  <c r="AV446" i="2"/>
  <c r="AU446" i="2"/>
  <c r="AT446" i="2"/>
  <c r="AS446" i="2"/>
  <c r="AR446" i="2"/>
  <c r="AQ446" i="2"/>
  <c r="AP446" i="2"/>
  <c r="AO446" i="2"/>
  <c r="AN446" i="2"/>
  <c r="AM446" i="2"/>
  <c r="AL446" i="2"/>
  <c r="AK446" i="2"/>
  <c r="AE446" i="2"/>
  <c r="AA446" i="2"/>
  <c r="F446" i="2"/>
  <c r="E446" i="2"/>
  <c r="D446" i="2"/>
  <c r="CA445" i="2"/>
  <c r="BZ445" i="2"/>
  <c r="BY445" i="2"/>
  <c r="BX445" i="2"/>
  <c r="BW445" i="2"/>
  <c r="BV445" i="2"/>
  <c r="BU445" i="2"/>
  <c r="BT445" i="2"/>
  <c r="BS445" i="2"/>
  <c r="BR445" i="2"/>
  <c r="BQ445" i="2"/>
  <c r="BP445" i="2"/>
  <c r="BO445" i="2"/>
  <c r="BN445" i="2"/>
  <c r="BM445" i="2"/>
  <c r="BL445" i="2"/>
  <c r="BK445" i="2"/>
  <c r="BJ445" i="2"/>
  <c r="BI445" i="2"/>
  <c r="BH445" i="2"/>
  <c r="BG445" i="2"/>
  <c r="BF445" i="2"/>
  <c r="BE445" i="2"/>
  <c r="BD445" i="2"/>
  <c r="BC445" i="2"/>
  <c r="BB445" i="2"/>
  <c r="BA445" i="2"/>
  <c r="AZ445" i="2"/>
  <c r="AY445" i="2"/>
  <c r="AX445" i="2"/>
  <c r="AW445" i="2"/>
  <c r="AV445" i="2"/>
  <c r="AU445" i="2"/>
  <c r="AT445" i="2"/>
  <c r="AS445" i="2"/>
  <c r="AR445" i="2"/>
  <c r="AQ445" i="2"/>
  <c r="AP445" i="2"/>
  <c r="AO445" i="2"/>
  <c r="AN445" i="2"/>
  <c r="AM445" i="2"/>
  <c r="AL445" i="2"/>
  <c r="AK445" i="2"/>
  <c r="AE445" i="2"/>
  <c r="AA445" i="2"/>
  <c r="F445" i="2"/>
  <c r="E445" i="2"/>
  <c r="D445" i="2"/>
  <c r="CA444" i="2"/>
  <c r="BZ444" i="2"/>
  <c r="BY444" i="2"/>
  <c r="BX444" i="2"/>
  <c r="BW444" i="2"/>
  <c r="BV444" i="2"/>
  <c r="BU444" i="2"/>
  <c r="BT444" i="2"/>
  <c r="BS444" i="2"/>
  <c r="BR444" i="2"/>
  <c r="BQ444" i="2"/>
  <c r="BP444" i="2"/>
  <c r="BO444" i="2"/>
  <c r="BN444" i="2"/>
  <c r="BM444" i="2"/>
  <c r="BL444" i="2"/>
  <c r="BK444" i="2"/>
  <c r="BJ444" i="2"/>
  <c r="BI444" i="2"/>
  <c r="BH444" i="2"/>
  <c r="BG444" i="2"/>
  <c r="BF444" i="2"/>
  <c r="BE444" i="2"/>
  <c r="BD444" i="2"/>
  <c r="BC444" i="2"/>
  <c r="BB444" i="2"/>
  <c r="BA444" i="2"/>
  <c r="AZ444" i="2"/>
  <c r="AY444" i="2"/>
  <c r="AX444" i="2"/>
  <c r="AW444" i="2"/>
  <c r="AV444" i="2"/>
  <c r="AU444" i="2"/>
  <c r="AT444" i="2"/>
  <c r="AS444" i="2"/>
  <c r="AR444" i="2"/>
  <c r="AQ444" i="2"/>
  <c r="AP444" i="2"/>
  <c r="AO444" i="2"/>
  <c r="AN444" i="2"/>
  <c r="AM444" i="2"/>
  <c r="AL444" i="2"/>
  <c r="AK444" i="2"/>
  <c r="AE444" i="2"/>
  <c r="AA444" i="2"/>
  <c r="F444" i="2"/>
  <c r="E444" i="2"/>
  <c r="D444" i="2"/>
  <c r="CA443" i="2"/>
  <c r="BZ443" i="2"/>
  <c r="BY443" i="2"/>
  <c r="BX443" i="2"/>
  <c r="BW443" i="2"/>
  <c r="BV443" i="2"/>
  <c r="BU443" i="2"/>
  <c r="BT443" i="2"/>
  <c r="BS443" i="2"/>
  <c r="BR443" i="2"/>
  <c r="BQ443" i="2"/>
  <c r="BP443" i="2"/>
  <c r="BO443" i="2"/>
  <c r="BN443" i="2"/>
  <c r="BM443" i="2"/>
  <c r="BL443" i="2"/>
  <c r="BK443" i="2"/>
  <c r="BJ443" i="2"/>
  <c r="BI443" i="2"/>
  <c r="BH443" i="2"/>
  <c r="BG443" i="2"/>
  <c r="BF443" i="2"/>
  <c r="BE443" i="2"/>
  <c r="BD443" i="2"/>
  <c r="BC443" i="2"/>
  <c r="BB443" i="2"/>
  <c r="BA443" i="2"/>
  <c r="AZ443" i="2"/>
  <c r="AY443" i="2"/>
  <c r="AX443" i="2"/>
  <c r="AW443" i="2"/>
  <c r="AV443" i="2"/>
  <c r="AU443" i="2"/>
  <c r="AT443" i="2"/>
  <c r="AS443" i="2"/>
  <c r="AR443" i="2"/>
  <c r="AQ443" i="2"/>
  <c r="AP443" i="2"/>
  <c r="AO443" i="2"/>
  <c r="AN443" i="2"/>
  <c r="AM443" i="2"/>
  <c r="AL443" i="2"/>
  <c r="AK443" i="2"/>
  <c r="AE443" i="2"/>
  <c r="AA443" i="2"/>
  <c r="F443" i="2"/>
  <c r="E443" i="2"/>
  <c r="D443" i="2"/>
  <c r="CA442" i="2"/>
  <c r="BZ442" i="2"/>
  <c r="BY442" i="2"/>
  <c r="BX442" i="2"/>
  <c r="BW442" i="2"/>
  <c r="BV442" i="2"/>
  <c r="BU442" i="2"/>
  <c r="BT442" i="2"/>
  <c r="BS442" i="2"/>
  <c r="BR442" i="2"/>
  <c r="BQ442" i="2"/>
  <c r="BP442" i="2"/>
  <c r="BO442" i="2"/>
  <c r="BN442" i="2"/>
  <c r="BM442" i="2"/>
  <c r="BL442" i="2"/>
  <c r="BK442" i="2"/>
  <c r="BJ442" i="2"/>
  <c r="BI442" i="2"/>
  <c r="BH442" i="2"/>
  <c r="BG442" i="2"/>
  <c r="BF442" i="2"/>
  <c r="BE442" i="2"/>
  <c r="BD442" i="2"/>
  <c r="BC442" i="2"/>
  <c r="BB442" i="2"/>
  <c r="BA442" i="2"/>
  <c r="AZ442" i="2"/>
  <c r="AY442" i="2"/>
  <c r="AX442" i="2"/>
  <c r="AW442" i="2"/>
  <c r="AV442" i="2"/>
  <c r="AU442" i="2"/>
  <c r="AT442" i="2"/>
  <c r="AS442" i="2"/>
  <c r="AR442" i="2"/>
  <c r="AQ442" i="2"/>
  <c r="AP442" i="2"/>
  <c r="AO442" i="2"/>
  <c r="AN442" i="2"/>
  <c r="AM442" i="2"/>
  <c r="AL442" i="2"/>
  <c r="AK442" i="2"/>
  <c r="AE442" i="2"/>
  <c r="AA442" i="2"/>
  <c r="F442" i="2"/>
  <c r="E442" i="2"/>
  <c r="D442" i="2"/>
  <c r="CA441" i="2"/>
  <c r="BZ441" i="2"/>
  <c r="BY441" i="2"/>
  <c r="BX441" i="2"/>
  <c r="BW441" i="2"/>
  <c r="BV441" i="2"/>
  <c r="BU441" i="2"/>
  <c r="BT441" i="2"/>
  <c r="BS441" i="2"/>
  <c r="BR441" i="2"/>
  <c r="BQ441" i="2"/>
  <c r="BP441" i="2"/>
  <c r="BO441" i="2"/>
  <c r="BN441" i="2"/>
  <c r="BM441" i="2"/>
  <c r="BL441" i="2"/>
  <c r="BK441" i="2"/>
  <c r="BJ441" i="2"/>
  <c r="BI441" i="2"/>
  <c r="BH441" i="2"/>
  <c r="BG441" i="2"/>
  <c r="BF441" i="2"/>
  <c r="BE441" i="2"/>
  <c r="BD441" i="2"/>
  <c r="BC441" i="2"/>
  <c r="BB441" i="2"/>
  <c r="BA441" i="2"/>
  <c r="AZ441" i="2"/>
  <c r="AY441" i="2"/>
  <c r="AX441" i="2"/>
  <c r="AW441" i="2"/>
  <c r="AV441" i="2"/>
  <c r="AU441" i="2"/>
  <c r="AT441" i="2"/>
  <c r="AS441" i="2"/>
  <c r="AR441" i="2"/>
  <c r="AQ441" i="2"/>
  <c r="AP441" i="2"/>
  <c r="AO441" i="2"/>
  <c r="AN441" i="2"/>
  <c r="AM441" i="2"/>
  <c r="AL441" i="2"/>
  <c r="AK441" i="2"/>
  <c r="AE441" i="2"/>
  <c r="AA441" i="2"/>
  <c r="F441" i="2"/>
  <c r="E441" i="2"/>
  <c r="D441" i="2"/>
  <c r="CA440" i="2"/>
  <c r="BZ440" i="2"/>
  <c r="BY440" i="2"/>
  <c r="BX440" i="2"/>
  <c r="BW440" i="2"/>
  <c r="BV440" i="2"/>
  <c r="BU440" i="2"/>
  <c r="BT440" i="2"/>
  <c r="BS440" i="2"/>
  <c r="BR440" i="2"/>
  <c r="BQ440" i="2"/>
  <c r="BP440" i="2"/>
  <c r="BO440" i="2"/>
  <c r="BN440" i="2"/>
  <c r="BM440" i="2"/>
  <c r="BL440" i="2"/>
  <c r="BK440" i="2"/>
  <c r="BJ440" i="2"/>
  <c r="BI440" i="2"/>
  <c r="BH440" i="2"/>
  <c r="BG440" i="2"/>
  <c r="BF440" i="2"/>
  <c r="BE440" i="2"/>
  <c r="BD440" i="2"/>
  <c r="BC440" i="2"/>
  <c r="BB440" i="2"/>
  <c r="BA440" i="2"/>
  <c r="AZ440" i="2"/>
  <c r="AY440" i="2"/>
  <c r="AX440" i="2"/>
  <c r="AW440" i="2"/>
  <c r="AV440" i="2"/>
  <c r="AU440" i="2"/>
  <c r="AT440" i="2"/>
  <c r="AS440" i="2"/>
  <c r="AR440" i="2"/>
  <c r="AQ440" i="2"/>
  <c r="AP440" i="2"/>
  <c r="AO440" i="2"/>
  <c r="AN440" i="2"/>
  <c r="AM440" i="2"/>
  <c r="AL440" i="2"/>
  <c r="AK440" i="2"/>
  <c r="AE440" i="2"/>
  <c r="AA440" i="2"/>
  <c r="F440" i="2"/>
  <c r="E440" i="2"/>
  <c r="D440" i="2"/>
  <c r="CA439" i="2"/>
  <c r="BZ439" i="2"/>
  <c r="BY439" i="2"/>
  <c r="BX439" i="2"/>
  <c r="BW439" i="2"/>
  <c r="BV439" i="2"/>
  <c r="BU439" i="2"/>
  <c r="BT439" i="2"/>
  <c r="BS439" i="2"/>
  <c r="BR439" i="2"/>
  <c r="BQ439" i="2"/>
  <c r="BP439" i="2"/>
  <c r="BO439" i="2"/>
  <c r="BN439" i="2"/>
  <c r="BM439" i="2"/>
  <c r="BL439" i="2"/>
  <c r="BK439" i="2"/>
  <c r="BJ439" i="2"/>
  <c r="BI439" i="2"/>
  <c r="BH439" i="2"/>
  <c r="BG439" i="2"/>
  <c r="BF439" i="2"/>
  <c r="BE439" i="2"/>
  <c r="BD439" i="2"/>
  <c r="BC439" i="2"/>
  <c r="BB439" i="2"/>
  <c r="BA439" i="2"/>
  <c r="AZ439" i="2"/>
  <c r="AY439" i="2"/>
  <c r="AX439" i="2"/>
  <c r="AW439" i="2"/>
  <c r="AV439" i="2"/>
  <c r="AU439" i="2"/>
  <c r="AT439" i="2"/>
  <c r="AS439" i="2"/>
  <c r="AR439" i="2"/>
  <c r="AQ439" i="2"/>
  <c r="AP439" i="2"/>
  <c r="AO439" i="2"/>
  <c r="AN439" i="2"/>
  <c r="AM439" i="2"/>
  <c r="AL439" i="2"/>
  <c r="AK439" i="2"/>
  <c r="AE439" i="2"/>
  <c r="AA439" i="2"/>
  <c r="F439" i="2"/>
  <c r="E439" i="2"/>
  <c r="D439" i="2"/>
  <c r="CA438" i="2"/>
  <c r="BZ438" i="2"/>
  <c r="BY438" i="2"/>
  <c r="BX438" i="2"/>
  <c r="BW438" i="2"/>
  <c r="BV438" i="2"/>
  <c r="BU438" i="2"/>
  <c r="BT438" i="2"/>
  <c r="BS438" i="2"/>
  <c r="BR438" i="2"/>
  <c r="BQ438" i="2"/>
  <c r="BP438" i="2"/>
  <c r="BO438" i="2"/>
  <c r="BN438" i="2"/>
  <c r="BM438" i="2"/>
  <c r="BL438" i="2"/>
  <c r="BK438" i="2"/>
  <c r="BJ438" i="2"/>
  <c r="BI438" i="2"/>
  <c r="BH438" i="2"/>
  <c r="BG438" i="2"/>
  <c r="BF438" i="2"/>
  <c r="BE438" i="2"/>
  <c r="BD438" i="2"/>
  <c r="BC438" i="2"/>
  <c r="BB438" i="2"/>
  <c r="BA438" i="2"/>
  <c r="AZ438" i="2"/>
  <c r="AY438" i="2"/>
  <c r="AX438" i="2"/>
  <c r="AW438" i="2"/>
  <c r="AV438" i="2"/>
  <c r="AU438" i="2"/>
  <c r="AT438" i="2"/>
  <c r="AS438" i="2"/>
  <c r="AR438" i="2"/>
  <c r="AQ438" i="2"/>
  <c r="AP438" i="2"/>
  <c r="AO438" i="2"/>
  <c r="AN438" i="2"/>
  <c r="AM438" i="2"/>
  <c r="AL438" i="2"/>
  <c r="AK438" i="2"/>
  <c r="AE438" i="2"/>
  <c r="AA438" i="2"/>
  <c r="F438" i="2"/>
  <c r="E438" i="2"/>
  <c r="D438" i="2"/>
  <c r="CA437" i="2"/>
  <c r="BZ437" i="2"/>
  <c r="BY437" i="2"/>
  <c r="BX437" i="2"/>
  <c r="BW437" i="2"/>
  <c r="BV437" i="2"/>
  <c r="BU437" i="2"/>
  <c r="BT437" i="2"/>
  <c r="BS437" i="2"/>
  <c r="BR437" i="2"/>
  <c r="BQ437" i="2"/>
  <c r="BP437" i="2"/>
  <c r="BO437" i="2"/>
  <c r="BN437" i="2"/>
  <c r="BM437" i="2"/>
  <c r="BL437" i="2"/>
  <c r="BK437" i="2"/>
  <c r="BJ437" i="2"/>
  <c r="BI437" i="2"/>
  <c r="BH437" i="2"/>
  <c r="BG437" i="2"/>
  <c r="BF437" i="2"/>
  <c r="BE437" i="2"/>
  <c r="BD437" i="2"/>
  <c r="BC437" i="2"/>
  <c r="BB437" i="2"/>
  <c r="BA437" i="2"/>
  <c r="AZ437" i="2"/>
  <c r="AY437" i="2"/>
  <c r="AX437" i="2"/>
  <c r="AW437" i="2"/>
  <c r="AV437" i="2"/>
  <c r="AU437" i="2"/>
  <c r="AT437" i="2"/>
  <c r="AS437" i="2"/>
  <c r="AR437" i="2"/>
  <c r="AQ437" i="2"/>
  <c r="AP437" i="2"/>
  <c r="AO437" i="2"/>
  <c r="AN437" i="2"/>
  <c r="AM437" i="2"/>
  <c r="AL437" i="2"/>
  <c r="AK437" i="2"/>
  <c r="AE437" i="2"/>
  <c r="AA437" i="2"/>
  <c r="F437" i="2"/>
  <c r="E437" i="2"/>
  <c r="D437" i="2"/>
  <c r="CA436" i="2"/>
  <c r="BZ436" i="2"/>
  <c r="BY436" i="2"/>
  <c r="BX436" i="2"/>
  <c r="BW436" i="2"/>
  <c r="BV436" i="2"/>
  <c r="BU436" i="2"/>
  <c r="BT436" i="2"/>
  <c r="BS436" i="2"/>
  <c r="BR436" i="2"/>
  <c r="BQ436" i="2"/>
  <c r="BP436" i="2"/>
  <c r="BO436" i="2"/>
  <c r="BN436" i="2"/>
  <c r="BM436" i="2"/>
  <c r="BL436" i="2"/>
  <c r="BK436" i="2"/>
  <c r="BJ436" i="2"/>
  <c r="BI436" i="2"/>
  <c r="BH436" i="2"/>
  <c r="BG436" i="2"/>
  <c r="BF436" i="2"/>
  <c r="BE436" i="2"/>
  <c r="BD436" i="2"/>
  <c r="BC436" i="2"/>
  <c r="BB436" i="2"/>
  <c r="BA436" i="2"/>
  <c r="AZ436" i="2"/>
  <c r="AY436" i="2"/>
  <c r="AX436" i="2"/>
  <c r="AW436" i="2"/>
  <c r="AV436" i="2"/>
  <c r="AU436" i="2"/>
  <c r="AT436" i="2"/>
  <c r="AS436" i="2"/>
  <c r="AR436" i="2"/>
  <c r="AQ436" i="2"/>
  <c r="AP436" i="2"/>
  <c r="AO436" i="2"/>
  <c r="AN436" i="2"/>
  <c r="AM436" i="2"/>
  <c r="AL436" i="2"/>
  <c r="AK436" i="2"/>
  <c r="AE436" i="2"/>
  <c r="AA436" i="2"/>
  <c r="F436" i="2"/>
  <c r="E436" i="2"/>
  <c r="D436" i="2"/>
  <c r="CA435" i="2"/>
  <c r="BZ435" i="2"/>
  <c r="BY435" i="2"/>
  <c r="BX435" i="2"/>
  <c r="BW435" i="2"/>
  <c r="BV435" i="2"/>
  <c r="BU435" i="2"/>
  <c r="BT435" i="2"/>
  <c r="BS435" i="2"/>
  <c r="BR435" i="2"/>
  <c r="BQ435" i="2"/>
  <c r="BP435" i="2"/>
  <c r="BO435" i="2"/>
  <c r="BN435" i="2"/>
  <c r="BM435" i="2"/>
  <c r="BL435" i="2"/>
  <c r="BK435" i="2"/>
  <c r="BJ435" i="2"/>
  <c r="BI435" i="2"/>
  <c r="BH435" i="2"/>
  <c r="BG435" i="2"/>
  <c r="BF435" i="2"/>
  <c r="BE435" i="2"/>
  <c r="BD435" i="2"/>
  <c r="BC435" i="2"/>
  <c r="BB435" i="2"/>
  <c r="BA435" i="2"/>
  <c r="AZ435" i="2"/>
  <c r="AY435" i="2"/>
  <c r="AX435" i="2"/>
  <c r="AW435" i="2"/>
  <c r="AV435" i="2"/>
  <c r="AU435" i="2"/>
  <c r="AT435" i="2"/>
  <c r="AS435" i="2"/>
  <c r="AR435" i="2"/>
  <c r="AQ435" i="2"/>
  <c r="AP435" i="2"/>
  <c r="AO435" i="2"/>
  <c r="AN435" i="2"/>
  <c r="AM435" i="2"/>
  <c r="AL435" i="2"/>
  <c r="AK435" i="2"/>
  <c r="AE435" i="2"/>
  <c r="AA435" i="2"/>
  <c r="F435" i="2"/>
  <c r="E435" i="2"/>
  <c r="D435" i="2"/>
  <c r="CA434" i="2"/>
  <c r="BZ434" i="2"/>
  <c r="BY434" i="2"/>
  <c r="BX434" i="2"/>
  <c r="BW434" i="2"/>
  <c r="BV434" i="2"/>
  <c r="BU434" i="2"/>
  <c r="BT434" i="2"/>
  <c r="BS434" i="2"/>
  <c r="BR434" i="2"/>
  <c r="BQ434" i="2"/>
  <c r="BP434" i="2"/>
  <c r="BO434" i="2"/>
  <c r="BN434" i="2"/>
  <c r="BM434" i="2"/>
  <c r="BL434" i="2"/>
  <c r="BK434" i="2"/>
  <c r="BJ434" i="2"/>
  <c r="BI434" i="2"/>
  <c r="BH434" i="2"/>
  <c r="BG434" i="2"/>
  <c r="BF434" i="2"/>
  <c r="BE434" i="2"/>
  <c r="BD434" i="2"/>
  <c r="BC434" i="2"/>
  <c r="BB434" i="2"/>
  <c r="BA434" i="2"/>
  <c r="AZ434" i="2"/>
  <c r="AY434" i="2"/>
  <c r="AX434" i="2"/>
  <c r="AW434" i="2"/>
  <c r="AV434" i="2"/>
  <c r="AU434" i="2"/>
  <c r="AT434" i="2"/>
  <c r="AS434" i="2"/>
  <c r="AR434" i="2"/>
  <c r="AQ434" i="2"/>
  <c r="AP434" i="2"/>
  <c r="AO434" i="2"/>
  <c r="AN434" i="2"/>
  <c r="AM434" i="2"/>
  <c r="AL434" i="2"/>
  <c r="AK434" i="2"/>
  <c r="AE434" i="2"/>
  <c r="AA434" i="2"/>
  <c r="F434" i="2"/>
  <c r="E434" i="2"/>
  <c r="D434" i="2"/>
  <c r="CA433" i="2"/>
  <c r="BZ433" i="2"/>
  <c r="BY433" i="2"/>
  <c r="BX433" i="2"/>
  <c r="BW433" i="2"/>
  <c r="BV433" i="2"/>
  <c r="BU433" i="2"/>
  <c r="BT433" i="2"/>
  <c r="BS433" i="2"/>
  <c r="BR433" i="2"/>
  <c r="BQ433" i="2"/>
  <c r="BP433" i="2"/>
  <c r="BO433" i="2"/>
  <c r="BN433" i="2"/>
  <c r="BM433" i="2"/>
  <c r="BL433" i="2"/>
  <c r="BK433" i="2"/>
  <c r="BJ433" i="2"/>
  <c r="BI433" i="2"/>
  <c r="BH433" i="2"/>
  <c r="BG433" i="2"/>
  <c r="BF433" i="2"/>
  <c r="BE433" i="2"/>
  <c r="BD433" i="2"/>
  <c r="BC433" i="2"/>
  <c r="BB433" i="2"/>
  <c r="BA433" i="2"/>
  <c r="AZ433" i="2"/>
  <c r="AY433" i="2"/>
  <c r="AX433" i="2"/>
  <c r="AW433" i="2"/>
  <c r="AV433" i="2"/>
  <c r="AU433" i="2"/>
  <c r="AT433" i="2"/>
  <c r="AS433" i="2"/>
  <c r="AR433" i="2"/>
  <c r="AQ433" i="2"/>
  <c r="AP433" i="2"/>
  <c r="AO433" i="2"/>
  <c r="AN433" i="2"/>
  <c r="AM433" i="2"/>
  <c r="AL433" i="2"/>
  <c r="AK433" i="2"/>
  <c r="AE433" i="2"/>
  <c r="AA433" i="2"/>
  <c r="F433" i="2"/>
  <c r="E433" i="2"/>
  <c r="D433" i="2"/>
  <c r="CA432" i="2"/>
  <c r="BZ432" i="2"/>
  <c r="BY432" i="2"/>
  <c r="BX432" i="2"/>
  <c r="BW432" i="2"/>
  <c r="BV432" i="2"/>
  <c r="BU432" i="2"/>
  <c r="BT432" i="2"/>
  <c r="BS432" i="2"/>
  <c r="BR432" i="2"/>
  <c r="BQ432" i="2"/>
  <c r="BP432" i="2"/>
  <c r="BO432" i="2"/>
  <c r="BN432" i="2"/>
  <c r="BM432" i="2"/>
  <c r="BL432" i="2"/>
  <c r="BK432" i="2"/>
  <c r="BJ432" i="2"/>
  <c r="BI432" i="2"/>
  <c r="BH432" i="2"/>
  <c r="BG432" i="2"/>
  <c r="BF432" i="2"/>
  <c r="BE432" i="2"/>
  <c r="BD432" i="2"/>
  <c r="BC432" i="2"/>
  <c r="BB432" i="2"/>
  <c r="BA432" i="2"/>
  <c r="AZ432" i="2"/>
  <c r="AY432" i="2"/>
  <c r="AX432" i="2"/>
  <c r="AW432" i="2"/>
  <c r="AV432" i="2"/>
  <c r="AU432" i="2"/>
  <c r="AT432" i="2"/>
  <c r="AS432" i="2"/>
  <c r="AR432" i="2"/>
  <c r="AQ432" i="2"/>
  <c r="AP432" i="2"/>
  <c r="AO432" i="2"/>
  <c r="AN432" i="2"/>
  <c r="AM432" i="2"/>
  <c r="AL432" i="2"/>
  <c r="AK432" i="2"/>
  <c r="AE432" i="2"/>
  <c r="AA432" i="2"/>
  <c r="F432" i="2"/>
  <c r="E432" i="2"/>
  <c r="D432" i="2"/>
  <c r="CA431" i="2"/>
  <c r="BZ431" i="2"/>
  <c r="BY431" i="2"/>
  <c r="BX431" i="2"/>
  <c r="BW431" i="2"/>
  <c r="BV431" i="2"/>
  <c r="BU431" i="2"/>
  <c r="BT431" i="2"/>
  <c r="BS431" i="2"/>
  <c r="BR431" i="2"/>
  <c r="BQ431" i="2"/>
  <c r="BP431" i="2"/>
  <c r="BO431" i="2"/>
  <c r="BN431" i="2"/>
  <c r="BM431" i="2"/>
  <c r="BL431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Q431" i="2"/>
  <c r="AP431" i="2"/>
  <c r="AO431" i="2"/>
  <c r="AN431" i="2"/>
  <c r="AM431" i="2"/>
  <c r="AL431" i="2"/>
  <c r="AK431" i="2"/>
  <c r="AE431" i="2"/>
  <c r="AA431" i="2"/>
  <c r="F431" i="2"/>
  <c r="E431" i="2"/>
  <c r="D431" i="2"/>
  <c r="CA430" i="2"/>
  <c r="BZ430" i="2"/>
  <c r="BY430" i="2"/>
  <c r="BX430" i="2"/>
  <c r="BW430" i="2"/>
  <c r="BV430" i="2"/>
  <c r="BU430" i="2"/>
  <c r="BT430" i="2"/>
  <c r="BS430" i="2"/>
  <c r="BR430" i="2"/>
  <c r="BQ430" i="2"/>
  <c r="BP430" i="2"/>
  <c r="BO430" i="2"/>
  <c r="BN430" i="2"/>
  <c r="BM430" i="2"/>
  <c r="BL430" i="2"/>
  <c r="BK430" i="2"/>
  <c r="BJ430" i="2"/>
  <c r="BI430" i="2"/>
  <c r="BH430" i="2"/>
  <c r="BG430" i="2"/>
  <c r="BF430" i="2"/>
  <c r="BE430" i="2"/>
  <c r="BD430" i="2"/>
  <c r="BC430" i="2"/>
  <c r="BB430" i="2"/>
  <c r="BA430" i="2"/>
  <c r="AZ430" i="2"/>
  <c r="AY430" i="2"/>
  <c r="AX430" i="2"/>
  <c r="AW430" i="2"/>
  <c r="AV430" i="2"/>
  <c r="AU430" i="2"/>
  <c r="AT430" i="2"/>
  <c r="AS430" i="2"/>
  <c r="AR430" i="2"/>
  <c r="AQ430" i="2"/>
  <c r="AP430" i="2"/>
  <c r="AO430" i="2"/>
  <c r="AN430" i="2"/>
  <c r="AM430" i="2"/>
  <c r="AL430" i="2"/>
  <c r="AK430" i="2"/>
  <c r="AE430" i="2"/>
  <c r="AA430" i="2"/>
  <c r="F430" i="2"/>
  <c r="E430" i="2"/>
  <c r="D430" i="2"/>
  <c r="CA429" i="2"/>
  <c r="BZ429" i="2"/>
  <c r="BY429" i="2"/>
  <c r="BX429" i="2"/>
  <c r="BW429" i="2"/>
  <c r="BV429" i="2"/>
  <c r="BU429" i="2"/>
  <c r="BT429" i="2"/>
  <c r="BS429" i="2"/>
  <c r="BR429" i="2"/>
  <c r="BQ429" i="2"/>
  <c r="BP429" i="2"/>
  <c r="BO429" i="2"/>
  <c r="BN429" i="2"/>
  <c r="BM429" i="2"/>
  <c r="BL429" i="2"/>
  <c r="BK429" i="2"/>
  <c r="BJ429" i="2"/>
  <c r="BI429" i="2"/>
  <c r="BH429" i="2"/>
  <c r="BG429" i="2"/>
  <c r="BF429" i="2"/>
  <c r="BE429" i="2"/>
  <c r="BD429" i="2"/>
  <c r="BC429" i="2"/>
  <c r="BB429" i="2"/>
  <c r="BA429" i="2"/>
  <c r="AZ429" i="2"/>
  <c r="AY429" i="2"/>
  <c r="AX429" i="2"/>
  <c r="AW429" i="2"/>
  <c r="AV429" i="2"/>
  <c r="AU429" i="2"/>
  <c r="AT429" i="2"/>
  <c r="AS429" i="2"/>
  <c r="AR429" i="2"/>
  <c r="AQ429" i="2"/>
  <c r="AP429" i="2"/>
  <c r="AO429" i="2"/>
  <c r="AN429" i="2"/>
  <c r="AM429" i="2"/>
  <c r="AL429" i="2"/>
  <c r="AK429" i="2"/>
  <c r="AE429" i="2"/>
  <c r="AA429" i="2"/>
  <c r="F429" i="2"/>
  <c r="E429" i="2"/>
  <c r="D429" i="2"/>
  <c r="CA428" i="2"/>
  <c r="BZ428" i="2"/>
  <c r="BY428" i="2"/>
  <c r="BX428" i="2"/>
  <c r="BW428" i="2"/>
  <c r="BV428" i="2"/>
  <c r="BU428" i="2"/>
  <c r="BT428" i="2"/>
  <c r="BS428" i="2"/>
  <c r="BR428" i="2"/>
  <c r="BQ428" i="2"/>
  <c r="BP428" i="2"/>
  <c r="BO428" i="2"/>
  <c r="BN428" i="2"/>
  <c r="BM428" i="2"/>
  <c r="BL428" i="2"/>
  <c r="BK428" i="2"/>
  <c r="BJ428" i="2"/>
  <c r="BI428" i="2"/>
  <c r="BH428" i="2"/>
  <c r="BG428" i="2"/>
  <c r="BF428" i="2"/>
  <c r="BE428" i="2"/>
  <c r="BD428" i="2"/>
  <c r="BC428" i="2"/>
  <c r="BB428" i="2"/>
  <c r="BA428" i="2"/>
  <c r="AZ428" i="2"/>
  <c r="AY428" i="2"/>
  <c r="AX428" i="2"/>
  <c r="AW428" i="2"/>
  <c r="AV428" i="2"/>
  <c r="AU428" i="2"/>
  <c r="AT428" i="2"/>
  <c r="AS428" i="2"/>
  <c r="AR428" i="2"/>
  <c r="AQ428" i="2"/>
  <c r="AP428" i="2"/>
  <c r="AO428" i="2"/>
  <c r="AN428" i="2"/>
  <c r="AM428" i="2"/>
  <c r="AL428" i="2"/>
  <c r="AK428" i="2"/>
  <c r="AE428" i="2"/>
  <c r="AA428" i="2"/>
  <c r="F428" i="2"/>
  <c r="E428" i="2"/>
  <c r="D428" i="2"/>
  <c r="CA427" i="2"/>
  <c r="BZ427" i="2"/>
  <c r="BY427" i="2"/>
  <c r="BX427" i="2"/>
  <c r="BW427" i="2"/>
  <c r="BV427" i="2"/>
  <c r="BU427" i="2"/>
  <c r="BT427" i="2"/>
  <c r="BS427" i="2"/>
  <c r="BR427" i="2"/>
  <c r="BQ427" i="2"/>
  <c r="BP427" i="2"/>
  <c r="BO427" i="2"/>
  <c r="BN427" i="2"/>
  <c r="BM427" i="2"/>
  <c r="BL427" i="2"/>
  <c r="BK427" i="2"/>
  <c r="BJ427" i="2"/>
  <c r="BI427" i="2"/>
  <c r="BH427" i="2"/>
  <c r="BG427" i="2"/>
  <c r="BF427" i="2"/>
  <c r="BE427" i="2"/>
  <c r="BD427" i="2"/>
  <c r="BC427" i="2"/>
  <c r="BB427" i="2"/>
  <c r="BA427" i="2"/>
  <c r="AZ427" i="2"/>
  <c r="AY427" i="2"/>
  <c r="AX427" i="2"/>
  <c r="AW427" i="2"/>
  <c r="AV427" i="2"/>
  <c r="AU427" i="2"/>
  <c r="AT427" i="2"/>
  <c r="AS427" i="2"/>
  <c r="AR427" i="2"/>
  <c r="AQ427" i="2"/>
  <c r="AP427" i="2"/>
  <c r="AO427" i="2"/>
  <c r="AN427" i="2"/>
  <c r="AM427" i="2"/>
  <c r="AL427" i="2"/>
  <c r="AK427" i="2"/>
  <c r="AE427" i="2"/>
  <c r="AA427" i="2"/>
  <c r="F427" i="2"/>
  <c r="E427" i="2"/>
  <c r="D427" i="2"/>
  <c r="CA426" i="2"/>
  <c r="BZ426" i="2"/>
  <c r="BY426" i="2"/>
  <c r="BX426" i="2"/>
  <c r="BW426" i="2"/>
  <c r="BV426" i="2"/>
  <c r="BU426" i="2"/>
  <c r="BT426" i="2"/>
  <c r="BS426" i="2"/>
  <c r="BR426" i="2"/>
  <c r="BQ426" i="2"/>
  <c r="BP426" i="2"/>
  <c r="BO426" i="2"/>
  <c r="BN426" i="2"/>
  <c r="BM426" i="2"/>
  <c r="BL426" i="2"/>
  <c r="BK426" i="2"/>
  <c r="BJ426" i="2"/>
  <c r="BI426" i="2"/>
  <c r="BH426" i="2"/>
  <c r="BG426" i="2"/>
  <c r="BF426" i="2"/>
  <c r="BE426" i="2"/>
  <c r="BD426" i="2"/>
  <c r="BC426" i="2"/>
  <c r="BB426" i="2"/>
  <c r="BA426" i="2"/>
  <c r="AZ426" i="2"/>
  <c r="AY426" i="2"/>
  <c r="AX426" i="2"/>
  <c r="AW426" i="2"/>
  <c r="AV426" i="2"/>
  <c r="AU426" i="2"/>
  <c r="AT426" i="2"/>
  <c r="AS426" i="2"/>
  <c r="AR426" i="2"/>
  <c r="AQ426" i="2"/>
  <c r="AP426" i="2"/>
  <c r="AO426" i="2"/>
  <c r="AN426" i="2"/>
  <c r="AM426" i="2"/>
  <c r="AL426" i="2"/>
  <c r="AK426" i="2"/>
  <c r="AE426" i="2"/>
  <c r="AA426" i="2"/>
  <c r="F426" i="2"/>
  <c r="E426" i="2"/>
  <c r="D426" i="2"/>
  <c r="CA425" i="2"/>
  <c r="BZ425" i="2"/>
  <c r="BY425" i="2"/>
  <c r="BX425" i="2"/>
  <c r="BW425" i="2"/>
  <c r="BV425" i="2"/>
  <c r="BU425" i="2"/>
  <c r="BT425" i="2"/>
  <c r="BS425" i="2"/>
  <c r="BR425" i="2"/>
  <c r="BQ425" i="2"/>
  <c r="BP425" i="2"/>
  <c r="BO425" i="2"/>
  <c r="BN425" i="2"/>
  <c r="BM425" i="2"/>
  <c r="BL425" i="2"/>
  <c r="BK425" i="2"/>
  <c r="BJ425" i="2"/>
  <c r="BI425" i="2"/>
  <c r="BH425" i="2"/>
  <c r="BG425" i="2"/>
  <c r="BF425" i="2"/>
  <c r="BE425" i="2"/>
  <c r="BD425" i="2"/>
  <c r="BC425" i="2"/>
  <c r="BB425" i="2"/>
  <c r="BA425" i="2"/>
  <c r="AZ425" i="2"/>
  <c r="AY425" i="2"/>
  <c r="AX425" i="2"/>
  <c r="AW425" i="2"/>
  <c r="AV425" i="2"/>
  <c r="AU425" i="2"/>
  <c r="AT425" i="2"/>
  <c r="AS425" i="2"/>
  <c r="AR425" i="2"/>
  <c r="AQ425" i="2"/>
  <c r="AP425" i="2"/>
  <c r="AO425" i="2"/>
  <c r="AN425" i="2"/>
  <c r="AM425" i="2"/>
  <c r="AL425" i="2"/>
  <c r="AK425" i="2"/>
  <c r="AE425" i="2"/>
  <c r="AA425" i="2"/>
  <c r="F425" i="2"/>
  <c r="E425" i="2"/>
  <c r="D425" i="2"/>
  <c r="CA424" i="2"/>
  <c r="BZ424" i="2"/>
  <c r="BY424" i="2"/>
  <c r="BX424" i="2"/>
  <c r="BW424" i="2"/>
  <c r="BV424" i="2"/>
  <c r="BU424" i="2"/>
  <c r="BT424" i="2"/>
  <c r="BS424" i="2"/>
  <c r="BR424" i="2"/>
  <c r="BQ424" i="2"/>
  <c r="BP424" i="2"/>
  <c r="BO424" i="2"/>
  <c r="BN424" i="2"/>
  <c r="BM424" i="2"/>
  <c r="BL424" i="2"/>
  <c r="BK424" i="2"/>
  <c r="BJ424" i="2"/>
  <c r="BI424" i="2"/>
  <c r="BH424" i="2"/>
  <c r="BG424" i="2"/>
  <c r="BF424" i="2"/>
  <c r="BE424" i="2"/>
  <c r="BD424" i="2"/>
  <c r="BC424" i="2"/>
  <c r="BB424" i="2"/>
  <c r="BA424" i="2"/>
  <c r="AZ424" i="2"/>
  <c r="AY424" i="2"/>
  <c r="AX424" i="2"/>
  <c r="AW424" i="2"/>
  <c r="AV424" i="2"/>
  <c r="AU424" i="2"/>
  <c r="AT424" i="2"/>
  <c r="AS424" i="2"/>
  <c r="AR424" i="2"/>
  <c r="AQ424" i="2"/>
  <c r="AP424" i="2"/>
  <c r="AO424" i="2"/>
  <c r="AN424" i="2"/>
  <c r="AM424" i="2"/>
  <c r="AL424" i="2"/>
  <c r="AK424" i="2"/>
  <c r="AE424" i="2"/>
  <c r="AA424" i="2"/>
  <c r="F424" i="2"/>
  <c r="E424" i="2"/>
  <c r="D424" i="2"/>
  <c r="CA423" i="2"/>
  <c r="BZ423" i="2"/>
  <c r="BY423" i="2"/>
  <c r="BX423" i="2"/>
  <c r="BW423" i="2"/>
  <c r="BV423" i="2"/>
  <c r="BU423" i="2"/>
  <c r="BT423" i="2"/>
  <c r="BS423" i="2"/>
  <c r="BR423" i="2"/>
  <c r="BQ423" i="2"/>
  <c r="BP423" i="2"/>
  <c r="BO423" i="2"/>
  <c r="BN423" i="2"/>
  <c r="BM423" i="2"/>
  <c r="BL423" i="2"/>
  <c r="BK423" i="2"/>
  <c r="BJ423" i="2"/>
  <c r="BI423" i="2"/>
  <c r="BH423" i="2"/>
  <c r="BG423" i="2"/>
  <c r="BF423" i="2"/>
  <c r="BE423" i="2"/>
  <c r="BD423" i="2"/>
  <c r="BC423" i="2"/>
  <c r="BB423" i="2"/>
  <c r="BA423" i="2"/>
  <c r="AZ423" i="2"/>
  <c r="AY423" i="2"/>
  <c r="AX423" i="2"/>
  <c r="AW423" i="2"/>
  <c r="AV423" i="2"/>
  <c r="AU423" i="2"/>
  <c r="AT423" i="2"/>
  <c r="AS423" i="2"/>
  <c r="AR423" i="2"/>
  <c r="AQ423" i="2"/>
  <c r="AP423" i="2"/>
  <c r="AO423" i="2"/>
  <c r="AN423" i="2"/>
  <c r="AM423" i="2"/>
  <c r="AL423" i="2"/>
  <c r="AK423" i="2"/>
  <c r="AE423" i="2"/>
  <c r="AA423" i="2"/>
  <c r="F423" i="2"/>
  <c r="E423" i="2"/>
  <c r="D423" i="2"/>
  <c r="CA422" i="2"/>
  <c r="BZ422" i="2"/>
  <c r="BY422" i="2"/>
  <c r="BX422" i="2"/>
  <c r="BW422" i="2"/>
  <c r="BV422" i="2"/>
  <c r="BU422" i="2"/>
  <c r="BT422" i="2"/>
  <c r="BS422" i="2"/>
  <c r="BR422" i="2"/>
  <c r="BQ422" i="2"/>
  <c r="BP422" i="2"/>
  <c r="BO422" i="2"/>
  <c r="BN422" i="2"/>
  <c r="BM422" i="2"/>
  <c r="BL422" i="2"/>
  <c r="BK422" i="2"/>
  <c r="BJ422" i="2"/>
  <c r="BI422" i="2"/>
  <c r="BH422" i="2"/>
  <c r="BG422" i="2"/>
  <c r="BF422" i="2"/>
  <c r="BE422" i="2"/>
  <c r="BD422" i="2"/>
  <c r="BC422" i="2"/>
  <c r="BB422" i="2"/>
  <c r="BA422" i="2"/>
  <c r="AZ422" i="2"/>
  <c r="AY422" i="2"/>
  <c r="AX422" i="2"/>
  <c r="AW422" i="2"/>
  <c r="AV422" i="2"/>
  <c r="AU422" i="2"/>
  <c r="AT422" i="2"/>
  <c r="AS422" i="2"/>
  <c r="AR422" i="2"/>
  <c r="AQ422" i="2"/>
  <c r="AP422" i="2"/>
  <c r="AO422" i="2"/>
  <c r="AN422" i="2"/>
  <c r="AM422" i="2"/>
  <c r="AL422" i="2"/>
  <c r="AK422" i="2"/>
  <c r="AE422" i="2"/>
  <c r="AA422" i="2"/>
  <c r="F422" i="2"/>
  <c r="E422" i="2"/>
  <c r="D422" i="2"/>
  <c r="CA421" i="2"/>
  <c r="BZ421" i="2"/>
  <c r="BY421" i="2"/>
  <c r="BX421" i="2"/>
  <c r="BW421" i="2"/>
  <c r="BV421" i="2"/>
  <c r="BU421" i="2"/>
  <c r="BT421" i="2"/>
  <c r="BS421" i="2"/>
  <c r="BR421" i="2"/>
  <c r="BQ421" i="2"/>
  <c r="BP421" i="2"/>
  <c r="BO421" i="2"/>
  <c r="BN421" i="2"/>
  <c r="BM421" i="2"/>
  <c r="BL421" i="2"/>
  <c r="BK421" i="2"/>
  <c r="BJ421" i="2"/>
  <c r="BI421" i="2"/>
  <c r="BH421" i="2"/>
  <c r="BG421" i="2"/>
  <c r="BF421" i="2"/>
  <c r="BE421" i="2"/>
  <c r="BD421" i="2"/>
  <c r="BC421" i="2"/>
  <c r="BB421" i="2"/>
  <c r="BA421" i="2"/>
  <c r="AZ421" i="2"/>
  <c r="AY421" i="2"/>
  <c r="AX421" i="2"/>
  <c r="AW421" i="2"/>
  <c r="AV421" i="2"/>
  <c r="AU421" i="2"/>
  <c r="AT421" i="2"/>
  <c r="AS421" i="2"/>
  <c r="AR421" i="2"/>
  <c r="AQ421" i="2"/>
  <c r="AP421" i="2"/>
  <c r="AO421" i="2"/>
  <c r="AN421" i="2"/>
  <c r="AM421" i="2"/>
  <c r="AL421" i="2"/>
  <c r="AK421" i="2"/>
  <c r="AE421" i="2"/>
  <c r="AA421" i="2"/>
  <c r="F421" i="2"/>
  <c r="E421" i="2"/>
  <c r="D421" i="2"/>
  <c r="CA420" i="2"/>
  <c r="BZ420" i="2"/>
  <c r="BY420" i="2"/>
  <c r="BX420" i="2"/>
  <c r="BW420" i="2"/>
  <c r="BV420" i="2"/>
  <c r="BU420" i="2"/>
  <c r="BT420" i="2"/>
  <c r="BS420" i="2"/>
  <c r="BR420" i="2"/>
  <c r="BQ420" i="2"/>
  <c r="BP420" i="2"/>
  <c r="BO420" i="2"/>
  <c r="BN420" i="2"/>
  <c r="BM420" i="2"/>
  <c r="BL420" i="2"/>
  <c r="BK420" i="2"/>
  <c r="BJ420" i="2"/>
  <c r="BI420" i="2"/>
  <c r="BH420" i="2"/>
  <c r="BG420" i="2"/>
  <c r="BF420" i="2"/>
  <c r="BE420" i="2"/>
  <c r="BD420" i="2"/>
  <c r="BC420" i="2"/>
  <c r="BB420" i="2"/>
  <c r="BA420" i="2"/>
  <c r="AZ420" i="2"/>
  <c r="AY420" i="2"/>
  <c r="AX420" i="2"/>
  <c r="AW420" i="2"/>
  <c r="AV420" i="2"/>
  <c r="AU420" i="2"/>
  <c r="AT420" i="2"/>
  <c r="AS420" i="2"/>
  <c r="AR420" i="2"/>
  <c r="AQ420" i="2"/>
  <c r="AP420" i="2"/>
  <c r="AO420" i="2"/>
  <c r="AN420" i="2"/>
  <c r="AM420" i="2"/>
  <c r="AL420" i="2"/>
  <c r="AK420" i="2"/>
  <c r="AE420" i="2"/>
  <c r="AA420" i="2"/>
  <c r="F420" i="2"/>
  <c r="E420" i="2"/>
  <c r="D420" i="2"/>
  <c r="CA419" i="2"/>
  <c r="BZ419" i="2"/>
  <c r="BY419" i="2"/>
  <c r="BX419" i="2"/>
  <c r="BW419" i="2"/>
  <c r="BV419" i="2"/>
  <c r="BU419" i="2"/>
  <c r="BT419" i="2"/>
  <c r="BS419" i="2"/>
  <c r="BR419" i="2"/>
  <c r="BQ419" i="2"/>
  <c r="BP419" i="2"/>
  <c r="BO419" i="2"/>
  <c r="BN419" i="2"/>
  <c r="BM419" i="2"/>
  <c r="BL419" i="2"/>
  <c r="BK419" i="2"/>
  <c r="BJ419" i="2"/>
  <c r="BI419" i="2"/>
  <c r="BH419" i="2"/>
  <c r="BG419" i="2"/>
  <c r="BF419" i="2"/>
  <c r="BE419" i="2"/>
  <c r="BD419" i="2"/>
  <c r="BC419" i="2"/>
  <c r="BB419" i="2"/>
  <c r="BA419" i="2"/>
  <c r="AZ419" i="2"/>
  <c r="AY419" i="2"/>
  <c r="AX419" i="2"/>
  <c r="AW419" i="2"/>
  <c r="AV419" i="2"/>
  <c r="AU419" i="2"/>
  <c r="AT419" i="2"/>
  <c r="AS419" i="2"/>
  <c r="AR419" i="2"/>
  <c r="AQ419" i="2"/>
  <c r="AP419" i="2"/>
  <c r="AO419" i="2"/>
  <c r="AN419" i="2"/>
  <c r="AM419" i="2"/>
  <c r="AL419" i="2"/>
  <c r="AK419" i="2"/>
  <c r="AE419" i="2"/>
  <c r="AA419" i="2"/>
  <c r="F419" i="2"/>
  <c r="E419" i="2"/>
  <c r="D419" i="2"/>
  <c r="CA418" i="2"/>
  <c r="BZ418" i="2"/>
  <c r="BY418" i="2"/>
  <c r="BX418" i="2"/>
  <c r="BW418" i="2"/>
  <c r="BV418" i="2"/>
  <c r="BU418" i="2"/>
  <c r="BT418" i="2"/>
  <c r="BS418" i="2"/>
  <c r="BR418" i="2"/>
  <c r="BQ418" i="2"/>
  <c r="BP418" i="2"/>
  <c r="BO418" i="2"/>
  <c r="BN418" i="2"/>
  <c r="BM418" i="2"/>
  <c r="BL418" i="2"/>
  <c r="BK418" i="2"/>
  <c r="BJ418" i="2"/>
  <c r="BI418" i="2"/>
  <c r="BH418" i="2"/>
  <c r="BG418" i="2"/>
  <c r="BF418" i="2"/>
  <c r="BE418" i="2"/>
  <c r="BD418" i="2"/>
  <c r="BC418" i="2"/>
  <c r="BB418" i="2"/>
  <c r="BA418" i="2"/>
  <c r="AZ418" i="2"/>
  <c r="AY418" i="2"/>
  <c r="AX418" i="2"/>
  <c r="AW418" i="2"/>
  <c r="AV418" i="2"/>
  <c r="AU418" i="2"/>
  <c r="AT418" i="2"/>
  <c r="AS418" i="2"/>
  <c r="AR418" i="2"/>
  <c r="AQ418" i="2"/>
  <c r="AP418" i="2"/>
  <c r="AO418" i="2"/>
  <c r="AN418" i="2"/>
  <c r="AM418" i="2"/>
  <c r="AL418" i="2"/>
  <c r="AK418" i="2"/>
  <c r="AE418" i="2"/>
  <c r="AA418" i="2"/>
  <c r="F418" i="2"/>
  <c r="E418" i="2"/>
  <c r="D418" i="2"/>
  <c r="CA417" i="2"/>
  <c r="BZ417" i="2"/>
  <c r="BY417" i="2"/>
  <c r="BX417" i="2"/>
  <c r="BW417" i="2"/>
  <c r="BV417" i="2"/>
  <c r="BU417" i="2"/>
  <c r="BT417" i="2"/>
  <c r="BS417" i="2"/>
  <c r="BR417" i="2"/>
  <c r="BQ417" i="2"/>
  <c r="BP417" i="2"/>
  <c r="BO417" i="2"/>
  <c r="BN417" i="2"/>
  <c r="BM417" i="2"/>
  <c r="BL417" i="2"/>
  <c r="BK417" i="2"/>
  <c r="BJ417" i="2"/>
  <c r="BI417" i="2"/>
  <c r="BH417" i="2"/>
  <c r="BG417" i="2"/>
  <c r="BF417" i="2"/>
  <c r="BE417" i="2"/>
  <c r="BD417" i="2"/>
  <c r="BC417" i="2"/>
  <c r="BB417" i="2"/>
  <c r="BA417" i="2"/>
  <c r="AZ417" i="2"/>
  <c r="AY417" i="2"/>
  <c r="AX417" i="2"/>
  <c r="AW417" i="2"/>
  <c r="AV417" i="2"/>
  <c r="AU417" i="2"/>
  <c r="AT417" i="2"/>
  <c r="AS417" i="2"/>
  <c r="AR417" i="2"/>
  <c r="AQ417" i="2"/>
  <c r="AP417" i="2"/>
  <c r="AO417" i="2"/>
  <c r="AN417" i="2"/>
  <c r="AM417" i="2"/>
  <c r="AL417" i="2"/>
  <c r="AK417" i="2"/>
  <c r="AE417" i="2"/>
  <c r="AA417" i="2"/>
  <c r="F417" i="2"/>
  <c r="E417" i="2"/>
  <c r="D417" i="2"/>
  <c r="CA416" i="2"/>
  <c r="BZ416" i="2"/>
  <c r="BY416" i="2"/>
  <c r="BX416" i="2"/>
  <c r="BW416" i="2"/>
  <c r="BV416" i="2"/>
  <c r="BU416" i="2"/>
  <c r="BT416" i="2"/>
  <c r="BS416" i="2"/>
  <c r="BR416" i="2"/>
  <c r="BQ416" i="2"/>
  <c r="BP416" i="2"/>
  <c r="BO416" i="2"/>
  <c r="BN416" i="2"/>
  <c r="BM416" i="2"/>
  <c r="BL416" i="2"/>
  <c r="BK416" i="2"/>
  <c r="BJ416" i="2"/>
  <c r="BI416" i="2"/>
  <c r="BH416" i="2"/>
  <c r="BG416" i="2"/>
  <c r="BF416" i="2"/>
  <c r="BE416" i="2"/>
  <c r="BD416" i="2"/>
  <c r="BC416" i="2"/>
  <c r="BB416" i="2"/>
  <c r="BA416" i="2"/>
  <c r="AZ416" i="2"/>
  <c r="AY416" i="2"/>
  <c r="AX416" i="2"/>
  <c r="AW416" i="2"/>
  <c r="AV416" i="2"/>
  <c r="AU416" i="2"/>
  <c r="AT416" i="2"/>
  <c r="AS416" i="2"/>
  <c r="AR416" i="2"/>
  <c r="AQ416" i="2"/>
  <c r="AP416" i="2"/>
  <c r="AO416" i="2"/>
  <c r="AN416" i="2"/>
  <c r="AM416" i="2"/>
  <c r="AL416" i="2"/>
  <c r="AK416" i="2"/>
  <c r="AE416" i="2"/>
  <c r="AA416" i="2"/>
  <c r="F416" i="2"/>
  <c r="E416" i="2"/>
  <c r="D416" i="2"/>
  <c r="CA415" i="2"/>
  <c r="BZ415" i="2"/>
  <c r="BY415" i="2"/>
  <c r="BX415" i="2"/>
  <c r="BW415" i="2"/>
  <c r="BV415" i="2"/>
  <c r="BU415" i="2"/>
  <c r="BT415" i="2"/>
  <c r="BS415" i="2"/>
  <c r="BR415" i="2"/>
  <c r="BQ415" i="2"/>
  <c r="BP415" i="2"/>
  <c r="BO415" i="2"/>
  <c r="BN415" i="2"/>
  <c r="BM415" i="2"/>
  <c r="BL415" i="2"/>
  <c r="BK415" i="2"/>
  <c r="BJ415" i="2"/>
  <c r="BI415" i="2"/>
  <c r="BH415" i="2"/>
  <c r="BG415" i="2"/>
  <c r="BF415" i="2"/>
  <c r="BE415" i="2"/>
  <c r="BD415" i="2"/>
  <c r="BC415" i="2"/>
  <c r="BB415" i="2"/>
  <c r="BA415" i="2"/>
  <c r="AZ415" i="2"/>
  <c r="AY415" i="2"/>
  <c r="AX415" i="2"/>
  <c r="AW415" i="2"/>
  <c r="AV415" i="2"/>
  <c r="AU415" i="2"/>
  <c r="AT415" i="2"/>
  <c r="AS415" i="2"/>
  <c r="AR415" i="2"/>
  <c r="AQ415" i="2"/>
  <c r="AP415" i="2"/>
  <c r="AO415" i="2"/>
  <c r="AN415" i="2"/>
  <c r="AM415" i="2"/>
  <c r="AL415" i="2"/>
  <c r="AK415" i="2"/>
  <c r="AE415" i="2"/>
  <c r="AA415" i="2"/>
  <c r="F415" i="2"/>
  <c r="E415" i="2"/>
  <c r="D415" i="2"/>
  <c r="CA414" i="2"/>
  <c r="BZ414" i="2"/>
  <c r="BY414" i="2"/>
  <c r="BX414" i="2"/>
  <c r="BW414" i="2"/>
  <c r="BV414" i="2"/>
  <c r="BU414" i="2"/>
  <c r="BT414" i="2"/>
  <c r="BS414" i="2"/>
  <c r="BR414" i="2"/>
  <c r="BQ414" i="2"/>
  <c r="BP414" i="2"/>
  <c r="BO414" i="2"/>
  <c r="BN414" i="2"/>
  <c r="BM414" i="2"/>
  <c r="BL414" i="2"/>
  <c r="BK414" i="2"/>
  <c r="BJ414" i="2"/>
  <c r="BI414" i="2"/>
  <c r="BH414" i="2"/>
  <c r="BG414" i="2"/>
  <c r="BF414" i="2"/>
  <c r="BE414" i="2"/>
  <c r="BD414" i="2"/>
  <c r="BC414" i="2"/>
  <c r="BB414" i="2"/>
  <c r="BA414" i="2"/>
  <c r="AZ414" i="2"/>
  <c r="AY414" i="2"/>
  <c r="AX414" i="2"/>
  <c r="AW414" i="2"/>
  <c r="AV414" i="2"/>
  <c r="AU414" i="2"/>
  <c r="AT414" i="2"/>
  <c r="AS414" i="2"/>
  <c r="AR414" i="2"/>
  <c r="AQ414" i="2"/>
  <c r="AP414" i="2"/>
  <c r="AO414" i="2"/>
  <c r="AN414" i="2"/>
  <c r="AM414" i="2"/>
  <c r="AL414" i="2"/>
  <c r="AK414" i="2"/>
  <c r="AE414" i="2"/>
  <c r="AA414" i="2"/>
  <c r="F414" i="2"/>
  <c r="E414" i="2"/>
  <c r="D414" i="2"/>
  <c r="CA413" i="2"/>
  <c r="BZ413" i="2"/>
  <c r="BY413" i="2"/>
  <c r="BX413" i="2"/>
  <c r="BW413" i="2"/>
  <c r="BV413" i="2"/>
  <c r="BU413" i="2"/>
  <c r="BT413" i="2"/>
  <c r="BS413" i="2"/>
  <c r="BR413" i="2"/>
  <c r="BQ413" i="2"/>
  <c r="BP413" i="2"/>
  <c r="BO413" i="2"/>
  <c r="BN413" i="2"/>
  <c r="BM413" i="2"/>
  <c r="BL413" i="2"/>
  <c r="BK413" i="2"/>
  <c r="BJ413" i="2"/>
  <c r="BI413" i="2"/>
  <c r="BH413" i="2"/>
  <c r="BG413" i="2"/>
  <c r="BF413" i="2"/>
  <c r="BE413" i="2"/>
  <c r="BD413" i="2"/>
  <c r="BC413" i="2"/>
  <c r="BB413" i="2"/>
  <c r="BA413" i="2"/>
  <c r="AZ413" i="2"/>
  <c r="AY413" i="2"/>
  <c r="AX413" i="2"/>
  <c r="AW413" i="2"/>
  <c r="AV413" i="2"/>
  <c r="AU413" i="2"/>
  <c r="AT413" i="2"/>
  <c r="AS413" i="2"/>
  <c r="AR413" i="2"/>
  <c r="AQ413" i="2"/>
  <c r="AP413" i="2"/>
  <c r="AO413" i="2"/>
  <c r="AN413" i="2"/>
  <c r="AM413" i="2"/>
  <c r="AL413" i="2"/>
  <c r="AK413" i="2"/>
  <c r="AE413" i="2"/>
  <c r="AA413" i="2"/>
  <c r="F413" i="2"/>
  <c r="E413" i="2"/>
  <c r="D413" i="2"/>
  <c r="CA412" i="2"/>
  <c r="BZ412" i="2"/>
  <c r="BY412" i="2"/>
  <c r="BX412" i="2"/>
  <c r="BW412" i="2"/>
  <c r="BV412" i="2"/>
  <c r="BU412" i="2"/>
  <c r="BT412" i="2"/>
  <c r="BS412" i="2"/>
  <c r="BR412" i="2"/>
  <c r="BQ412" i="2"/>
  <c r="BP412" i="2"/>
  <c r="BO412" i="2"/>
  <c r="BN412" i="2"/>
  <c r="BM412" i="2"/>
  <c r="BL412" i="2"/>
  <c r="BK412" i="2"/>
  <c r="BJ412" i="2"/>
  <c r="BI412" i="2"/>
  <c r="BH412" i="2"/>
  <c r="BG412" i="2"/>
  <c r="BF412" i="2"/>
  <c r="BE412" i="2"/>
  <c r="BD412" i="2"/>
  <c r="BC412" i="2"/>
  <c r="BB412" i="2"/>
  <c r="BA412" i="2"/>
  <c r="AZ412" i="2"/>
  <c r="AY412" i="2"/>
  <c r="AX412" i="2"/>
  <c r="AW412" i="2"/>
  <c r="AV412" i="2"/>
  <c r="AU412" i="2"/>
  <c r="AT412" i="2"/>
  <c r="AS412" i="2"/>
  <c r="AR412" i="2"/>
  <c r="AQ412" i="2"/>
  <c r="AP412" i="2"/>
  <c r="AO412" i="2"/>
  <c r="AN412" i="2"/>
  <c r="AM412" i="2"/>
  <c r="AL412" i="2"/>
  <c r="AK412" i="2"/>
  <c r="AE412" i="2"/>
  <c r="AA412" i="2"/>
  <c r="F412" i="2"/>
  <c r="E412" i="2"/>
  <c r="D412" i="2"/>
  <c r="CA411" i="2"/>
  <c r="BZ411" i="2"/>
  <c r="BY411" i="2"/>
  <c r="BX411" i="2"/>
  <c r="BW411" i="2"/>
  <c r="BV411" i="2"/>
  <c r="BU411" i="2"/>
  <c r="BT411" i="2"/>
  <c r="BS411" i="2"/>
  <c r="BR411" i="2"/>
  <c r="BQ411" i="2"/>
  <c r="BP411" i="2"/>
  <c r="BO411" i="2"/>
  <c r="BN411" i="2"/>
  <c r="BM411" i="2"/>
  <c r="BL411" i="2"/>
  <c r="BK411" i="2"/>
  <c r="BJ411" i="2"/>
  <c r="BI411" i="2"/>
  <c r="BH411" i="2"/>
  <c r="BG411" i="2"/>
  <c r="BF411" i="2"/>
  <c r="BE411" i="2"/>
  <c r="BD411" i="2"/>
  <c r="BC411" i="2"/>
  <c r="BB411" i="2"/>
  <c r="BA411" i="2"/>
  <c r="AZ411" i="2"/>
  <c r="AY411" i="2"/>
  <c r="AX411" i="2"/>
  <c r="AW411" i="2"/>
  <c r="AV411" i="2"/>
  <c r="AU411" i="2"/>
  <c r="AT411" i="2"/>
  <c r="AS411" i="2"/>
  <c r="AR411" i="2"/>
  <c r="AQ411" i="2"/>
  <c r="AP411" i="2"/>
  <c r="AO411" i="2"/>
  <c r="AN411" i="2"/>
  <c r="AM411" i="2"/>
  <c r="AL411" i="2"/>
  <c r="AK411" i="2"/>
  <c r="AE411" i="2"/>
  <c r="AA411" i="2"/>
  <c r="F411" i="2"/>
  <c r="E411" i="2"/>
  <c r="D411" i="2"/>
  <c r="CA410" i="2"/>
  <c r="BZ410" i="2"/>
  <c r="BY410" i="2"/>
  <c r="BX410" i="2"/>
  <c r="BW410" i="2"/>
  <c r="BV410" i="2"/>
  <c r="BU410" i="2"/>
  <c r="BT410" i="2"/>
  <c r="BS410" i="2"/>
  <c r="BR410" i="2"/>
  <c r="BQ410" i="2"/>
  <c r="BP410" i="2"/>
  <c r="BO410" i="2"/>
  <c r="BN410" i="2"/>
  <c r="BM410" i="2"/>
  <c r="BL410" i="2"/>
  <c r="BK410" i="2"/>
  <c r="BJ410" i="2"/>
  <c r="BI410" i="2"/>
  <c r="BH410" i="2"/>
  <c r="BG410" i="2"/>
  <c r="BF410" i="2"/>
  <c r="BE410" i="2"/>
  <c r="BD410" i="2"/>
  <c r="BC410" i="2"/>
  <c r="BB410" i="2"/>
  <c r="BA410" i="2"/>
  <c r="AZ410" i="2"/>
  <c r="AY410" i="2"/>
  <c r="AX410" i="2"/>
  <c r="AW410" i="2"/>
  <c r="AV410" i="2"/>
  <c r="AU410" i="2"/>
  <c r="AT410" i="2"/>
  <c r="AS410" i="2"/>
  <c r="AR410" i="2"/>
  <c r="AQ410" i="2"/>
  <c r="AP410" i="2"/>
  <c r="AO410" i="2"/>
  <c r="AN410" i="2"/>
  <c r="AM410" i="2"/>
  <c r="AL410" i="2"/>
  <c r="AK410" i="2"/>
  <c r="AE410" i="2"/>
  <c r="AA410" i="2"/>
  <c r="F410" i="2"/>
  <c r="E410" i="2"/>
  <c r="D410" i="2"/>
  <c r="CA409" i="2"/>
  <c r="BZ409" i="2"/>
  <c r="BY409" i="2"/>
  <c r="BX409" i="2"/>
  <c r="BW409" i="2"/>
  <c r="BV409" i="2"/>
  <c r="BU409" i="2"/>
  <c r="BT409" i="2"/>
  <c r="BS409" i="2"/>
  <c r="BR409" i="2"/>
  <c r="BQ409" i="2"/>
  <c r="BP409" i="2"/>
  <c r="BO409" i="2"/>
  <c r="BN409" i="2"/>
  <c r="BM409" i="2"/>
  <c r="BL409" i="2"/>
  <c r="BK409" i="2"/>
  <c r="BJ409" i="2"/>
  <c r="BI409" i="2"/>
  <c r="BH409" i="2"/>
  <c r="BG409" i="2"/>
  <c r="BF409" i="2"/>
  <c r="BE409" i="2"/>
  <c r="BD409" i="2"/>
  <c r="BC409" i="2"/>
  <c r="BB409" i="2"/>
  <c r="BA409" i="2"/>
  <c r="AZ409" i="2"/>
  <c r="AY409" i="2"/>
  <c r="AX409" i="2"/>
  <c r="AW409" i="2"/>
  <c r="AV409" i="2"/>
  <c r="AU409" i="2"/>
  <c r="AT409" i="2"/>
  <c r="AS409" i="2"/>
  <c r="AR409" i="2"/>
  <c r="AQ409" i="2"/>
  <c r="AP409" i="2"/>
  <c r="AO409" i="2"/>
  <c r="AN409" i="2"/>
  <c r="AM409" i="2"/>
  <c r="AL409" i="2"/>
  <c r="AK409" i="2"/>
  <c r="AE409" i="2"/>
  <c r="AA409" i="2"/>
  <c r="F409" i="2"/>
  <c r="E409" i="2"/>
  <c r="D409" i="2"/>
  <c r="CA408" i="2"/>
  <c r="BZ408" i="2"/>
  <c r="BY408" i="2"/>
  <c r="BX408" i="2"/>
  <c r="BW408" i="2"/>
  <c r="BV408" i="2"/>
  <c r="BU408" i="2"/>
  <c r="BT408" i="2"/>
  <c r="BS408" i="2"/>
  <c r="BR408" i="2"/>
  <c r="BQ408" i="2"/>
  <c r="BP408" i="2"/>
  <c r="BO408" i="2"/>
  <c r="BN408" i="2"/>
  <c r="BM408" i="2"/>
  <c r="BL408" i="2"/>
  <c r="BK408" i="2"/>
  <c r="BJ408" i="2"/>
  <c r="BI408" i="2"/>
  <c r="BH408" i="2"/>
  <c r="BG408" i="2"/>
  <c r="BF408" i="2"/>
  <c r="BE408" i="2"/>
  <c r="BD408" i="2"/>
  <c r="BC408" i="2"/>
  <c r="BB408" i="2"/>
  <c r="BA408" i="2"/>
  <c r="AZ408" i="2"/>
  <c r="AY408" i="2"/>
  <c r="AX408" i="2"/>
  <c r="AW408" i="2"/>
  <c r="AV408" i="2"/>
  <c r="AU408" i="2"/>
  <c r="AT408" i="2"/>
  <c r="AS408" i="2"/>
  <c r="AR408" i="2"/>
  <c r="AQ408" i="2"/>
  <c r="AP408" i="2"/>
  <c r="AO408" i="2"/>
  <c r="AN408" i="2"/>
  <c r="AM408" i="2"/>
  <c r="AL408" i="2"/>
  <c r="AK408" i="2"/>
  <c r="AE408" i="2"/>
  <c r="AA408" i="2"/>
  <c r="F408" i="2"/>
  <c r="E408" i="2"/>
  <c r="D408" i="2"/>
  <c r="CA407" i="2"/>
  <c r="BZ407" i="2"/>
  <c r="BY407" i="2"/>
  <c r="BX407" i="2"/>
  <c r="BW407" i="2"/>
  <c r="BV407" i="2"/>
  <c r="BU407" i="2"/>
  <c r="BT407" i="2"/>
  <c r="BS407" i="2"/>
  <c r="BR407" i="2"/>
  <c r="BQ407" i="2"/>
  <c r="BP407" i="2"/>
  <c r="BO407" i="2"/>
  <c r="BN407" i="2"/>
  <c r="BM407" i="2"/>
  <c r="BL407" i="2"/>
  <c r="BK407" i="2"/>
  <c r="BJ407" i="2"/>
  <c r="BI407" i="2"/>
  <c r="BH407" i="2"/>
  <c r="BG407" i="2"/>
  <c r="BF407" i="2"/>
  <c r="BE407" i="2"/>
  <c r="BD407" i="2"/>
  <c r="BC407" i="2"/>
  <c r="BB407" i="2"/>
  <c r="BA407" i="2"/>
  <c r="AZ407" i="2"/>
  <c r="AY407" i="2"/>
  <c r="AX407" i="2"/>
  <c r="AW407" i="2"/>
  <c r="AV407" i="2"/>
  <c r="AU407" i="2"/>
  <c r="AT407" i="2"/>
  <c r="AS407" i="2"/>
  <c r="AR407" i="2"/>
  <c r="AQ407" i="2"/>
  <c r="AP407" i="2"/>
  <c r="AO407" i="2"/>
  <c r="AN407" i="2"/>
  <c r="AM407" i="2"/>
  <c r="AL407" i="2"/>
  <c r="AK407" i="2"/>
  <c r="AE407" i="2"/>
  <c r="AA407" i="2"/>
  <c r="F407" i="2"/>
  <c r="E407" i="2"/>
  <c r="D407" i="2"/>
  <c r="CA406" i="2"/>
  <c r="BZ406" i="2"/>
  <c r="BY406" i="2"/>
  <c r="BX406" i="2"/>
  <c r="BW406" i="2"/>
  <c r="BV406" i="2"/>
  <c r="BU406" i="2"/>
  <c r="BT406" i="2"/>
  <c r="BS406" i="2"/>
  <c r="BR406" i="2"/>
  <c r="BQ406" i="2"/>
  <c r="BP406" i="2"/>
  <c r="BO406" i="2"/>
  <c r="BN406" i="2"/>
  <c r="BM406" i="2"/>
  <c r="BL406" i="2"/>
  <c r="BK406" i="2"/>
  <c r="BJ406" i="2"/>
  <c r="BI406" i="2"/>
  <c r="BH406" i="2"/>
  <c r="BG406" i="2"/>
  <c r="BF406" i="2"/>
  <c r="BE406" i="2"/>
  <c r="BD406" i="2"/>
  <c r="BC406" i="2"/>
  <c r="BB406" i="2"/>
  <c r="BA406" i="2"/>
  <c r="AZ406" i="2"/>
  <c r="AY406" i="2"/>
  <c r="AX406" i="2"/>
  <c r="AW406" i="2"/>
  <c r="AV406" i="2"/>
  <c r="AU406" i="2"/>
  <c r="AT406" i="2"/>
  <c r="AS406" i="2"/>
  <c r="AR406" i="2"/>
  <c r="AQ406" i="2"/>
  <c r="AP406" i="2"/>
  <c r="AO406" i="2"/>
  <c r="AN406" i="2"/>
  <c r="AM406" i="2"/>
  <c r="AL406" i="2"/>
  <c r="AK406" i="2"/>
  <c r="AE406" i="2"/>
  <c r="AA406" i="2"/>
  <c r="F406" i="2"/>
  <c r="E406" i="2"/>
  <c r="D406" i="2"/>
  <c r="CA405" i="2"/>
  <c r="BZ405" i="2"/>
  <c r="BY405" i="2"/>
  <c r="BX405" i="2"/>
  <c r="BW405" i="2"/>
  <c r="BV405" i="2"/>
  <c r="BU405" i="2"/>
  <c r="BT405" i="2"/>
  <c r="BS405" i="2"/>
  <c r="BR405" i="2"/>
  <c r="BQ405" i="2"/>
  <c r="BP405" i="2"/>
  <c r="BO405" i="2"/>
  <c r="BN405" i="2"/>
  <c r="BM405" i="2"/>
  <c r="BL405" i="2"/>
  <c r="BK405" i="2"/>
  <c r="BJ405" i="2"/>
  <c r="BI405" i="2"/>
  <c r="BH405" i="2"/>
  <c r="BG405" i="2"/>
  <c r="BF405" i="2"/>
  <c r="BE405" i="2"/>
  <c r="BD405" i="2"/>
  <c r="BC405" i="2"/>
  <c r="BB405" i="2"/>
  <c r="BA405" i="2"/>
  <c r="AZ405" i="2"/>
  <c r="AY405" i="2"/>
  <c r="AX405" i="2"/>
  <c r="AW405" i="2"/>
  <c r="AV405" i="2"/>
  <c r="AU405" i="2"/>
  <c r="AT405" i="2"/>
  <c r="AS405" i="2"/>
  <c r="AR405" i="2"/>
  <c r="AQ405" i="2"/>
  <c r="AP405" i="2"/>
  <c r="AO405" i="2"/>
  <c r="AN405" i="2"/>
  <c r="AM405" i="2"/>
  <c r="AL405" i="2"/>
  <c r="AK405" i="2"/>
  <c r="AE405" i="2"/>
  <c r="AA405" i="2"/>
  <c r="F405" i="2"/>
  <c r="E405" i="2"/>
  <c r="D405" i="2"/>
  <c r="CA404" i="2"/>
  <c r="BZ404" i="2"/>
  <c r="BY404" i="2"/>
  <c r="BX404" i="2"/>
  <c r="BW404" i="2"/>
  <c r="BV404" i="2"/>
  <c r="BU404" i="2"/>
  <c r="BT404" i="2"/>
  <c r="BS404" i="2"/>
  <c r="BR404" i="2"/>
  <c r="BQ404" i="2"/>
  <c r="BP404" i="2"/>
  <c r="BO404" i="2"/>
  <c r="BN404" i="2"/>
  <c r="BM404" i="2"/>
  <c r="BL404" i="2"/>
  <c r="BK404" i="2"/>
  <c r="BJ404" i="2"/>
  <c r="BI404" i="2"/>
  <c r="BH404" i="2"/>
  <c r="BG404" i="2"/>
  <c r="BF404" i="2"/>
  <c r="BE404" i="2"/>
  <c r="BD404" i="2"/>
  <c r="BC404" i="2"/>
  <c r="BB404" i="2"/>
  <c r="BA404" i="2"/>
  <c r="AZ404" i="2"/>
  <c r="AY404" i="2"/>
  <c r="AX404" i="2"/>
  <c r="AW404" i="2"/>
  <c r="AV404" i="2"/>
  <c r="AU404" i="2"/>
  <c r="AT404" i="2"/>
  <c r="AS404" i="2"/>
  <c r="AR404" i="2"/>
  <c r="AQ404" i="2"/>
  <c r="AP404" i="2"/>
  <c r="AO404" i="2"/>
  <c r="AN404" i="2"/>
  <c r="AM404" i="2"/>
  <c r="AL404" i="2"/>
  <c r="AK404" i="2"/>
  <c r="AE404" i="2"/>
  <c r="AA404" i="2"/>
  <c r="F404" i="2"/>
  <c r="E404" i="2"/>
  <c r="D404" i="2"/>
  <c r="CA403" i="2"/>
  <c r="BZ403" i="2"/>
  <c r="BY403" i="2"/>
  <c r="BX403" i="2"/>
  <c r="BW403" i="2"/>
  <c r="BV403" i="2"/>
  <c r="BU403" i="2"/>
  <c r="BT403" i="2"/>
  <c r="BS403" i="2"/>
  <c r="BR403" i="2"/>
  <c r="BQ403" i="2"/>
  <c r="BP403" i="2"/>
  <c r="BO403" i="2"/>
  <c r="BN403" i="2"/>
  <c r="BM403" i="2"/>
  <c r="BL403" i="2"/>
  <c r="BK403" i="2"/>
  <c r="BJ403" i="2"/>
  <c r="BI403" i="2"/>
  <c r="BH403" i="2"/>
  <c r="BG403" i="2"/>
  <c r="BF403" i="2"/>
  <c r="BE403" i="2"/>
  <c r="BD403" i="2"/>
  <c r="BC403" i="2"/>
  <c r="BB403" i="2"/>
  <c r="BA403" i="2"/>
  <c r="AZ403" i="2"/>
  <c r="AY403" i="2"/>
  <c r="AX403" i="2"/>
  <c r="AW403" i="2"/>
  <c r="AV403" i="2"/>
  <c r="AU403" i="2"/>
  <c r="AT403" i="2"/>
  <c r="AS403" i="2"/>
  <c r="AR403" i="2"/>
  <c r="AQ403" i="2"/>
  <c r="AP403" i="2"/>
  <c r="AO403" i="2"/>
  <c r="AN403" i="2"/>
  <c r="AM403" i="2"/>
  <c r="AL403" i="2"/>
  <c r="AK403" i="2"/>
  <c r="AE403" i="2"/>
  <c r="AA403" i="2"/>
  <c r="F403" i="2"/>
  <c r="E403" i="2"/>
  <c r="D403" i="2"/>
  <c r="CA402" i="2"/>
  <c r="BZ402" i="2"/>
  <c r="BY402" i="2"/>
  <c r="BX402" i="2"/>
  <c r="BW402" i="2"/>
  <c r="BV402" i="2"/>
  <c r="BU402" i="2"/>
  <c r="BT402" i="2"/>
  <c r="BS402" i="2"/>
  <c r="BR402" i="2"/>
  <c r="BQ402" i="2"/>
  <c r="BP402" i="2"/>
  <c r="BO402" i="2"/>
  <c r="BN402" i="2"/>
  <c r="BM402" i="2"/>
  <c r="BL402" i="2"/>
  <c r="BK402" i="2"/>
  <c r="BJ402" i="2"/>
  <c r="BI402" i="2"/>
  <c r="BH402" i="2"/>
  <c r="BG402" i="2"/>
  <c r="BF402" i="2"/>
  <c r="BE402" i="2"/>
  <c r="BD402" i="2"/>
  <c r="BC402" i="2"/>
  <c r="BB402" i="2"/>
  <c r="BA402" i="2"/>
  <c r="AZ402" i="2"/>
  <c r="AY402" i="2"/>
  <c r="AX402" i="2"/>
  <c r="AW402" i="2"/>
  <c r="AV402" i="2"/>
  <c r="AU402" i="2"/>
  <c r="AT402" i="2"/>
  <c r="AS402" i="2"/>
  <c r="AR402" i="2"/>
  <c r="AQ402" i="2"/>
  <c r="AP402" i="2"/>
  <c r="AO402" i="2"/>
  <c r="AN402" i="2"/>
  <c r="AM402" i="2"/>
  <c r="AL402" i="2"/>
  <c r="AK402" i="2"/>
  <c r="AE402" i="2"/>
  <c r="AA402" i="2"/>
  <c r="F402" i="2"/>
  <c r="E402" i="2"/>
  <c r="D402" i="2"/>
  <c r="CA401" i="2"/>
  <c r="BZ401" i="2"/>
  <c r="BY401" i="2"/>
  <c r="BX401" i="2"/>
  <c r="BW401" i="2"/>
  <c r="BV401" i="2"/>
  <c r="BU401" i="2"/>
  <c r="BT401" i="2"/>
  <c r="BS401" i="2"/>
  <c r="BR401" i="2"/>
  <c r="BQ401" i="2"/>
  <c r="BP401" i="2"/>
  <c r="BO401" i="2"/>
  <c r="BN401" i="2"/>
  <c r="BM401" i="2"/>
  <c r="BL401" i="2"/>
  <c r="BK401" i="2"/>
  <c r="BJ401" i="2"/>
  <c r="BI401" i="2"/>
  <c r="BH401" i="2"/>
  <c r="BG401" i="2"/>
  <c r="BF401" i="2"/>
  <c r="BE401" i="2"/>
  <c r="BD401" i="2"/>
  <c r="BC401" i="2"/>
  <c r="BB401" i="2"/>
  <c r="BA401" i="2"/>
  <c r="AZ401" i="2"/>
  <c r="AY401" i="2"/>
  <c r="AX401" i="2"/>
  <c r="AW401" i="2"/>
  <c r="AV401" i="2"/>
  <c r="AU401" i="2"/>
  <c r="AT401" i="2"/>
  <c r="AS401" i="2"/>
  <c r="AR401" i="2"/>
  <c r="AQ401" i="2"/>
  <c r="AP401" i="2"/>
  <c r="AO401" i="2"/>
  <c r="AN401" i="2"/>
  <c r="AM401" i="2"/>
  <c r="AL401" i="2"/>
  <c r="AK401" i="2"/>
  <c r="AE401" i="2"/>
  <c r="AA401" i="2"/>
  <c r="F401" i="2"/>
  <c r="E401" i="2"/>
  <c r="D401" i="2"/>
  <c r="CA400" i="2"/>
  <c r="BZ400" i="2"/>
  <c r="BY400" i="2"/>
  <c r="BX400" i="2"/>
  <c r="BW400" i="2"/>
  <c r="BV400" i="2"/>
  <c r="BU400" i="2"/>
  <c r="BT400" i="2"/>
  <c r="BS400" i="2"/>
  <c r="BR400" i="2"/>
  <c r="BQ400" i="2"/>
  <c r="BP400" i="2"/>
  <c r="BO400" i="2"/>
  <c r="BN400" i="2"/>
  <c r="BM400" i="2"/>
  <c r="BL400" i="2"/>
  <c r="BK400" i="2"/>
  <c r="BJ400" i="2"/>
  <c r="BI400" i="2"/>
  <c r="BH400" i="2"/>
  <c r="BG400" i="2"/>
  <c r="BF400" i="2"/>
  <c r="BE400" i="2"/>
  <c r="BD400" i="2"/>
  <c r="BC400" i="2"/>
  <c r="BB400" i="2"/>
  <c r="BA400" i="2"/>
  <c r="AZ400" i="2"/>
  <c r="AY400" i="2"/>
  <c r="AX400" i="2"/>
  <c r="AW400" i="2"/>
  <c r="AV400" i="2"/>
  <c r="AU400" i="2"/>
  <c r="AT400" i="2"/>
  <c r="AS400" i="2"/>
  <c r="AR400" i="2"/>
  <c r="AQ400" i="2"/>
  <c r="AP400" i="2"/>
  <c r="AO400" i="2"/>
  <c r="AN400" i="2"/>
  <c r="AM400" i="2"/>
  <c r="AL400" i="2"/>
  <c r="AK400" i="2"/>
  <c r="AE400" i="2"/>
  <c r="AA400" i="2"/>
  <c r="F400" i="2"/>
  <c r="E400" i="2"/>
  <c r="D400" i="2"/>
  <c r="CA399" i="2"/>
  <c r="BZ399" i="2"/>
  <c r="BY399" i="2"/>
  <c r="BX399" i="2"/>
  <c r="BW399" i="2"/>
  <c r="BV399" i="2"/>
  <c r="BU399" i="2"/>
  <c r="BT399" i="2"/>
  <c r="BS399" i="2"/>
  <c r="BR399" i="2"/>
  <c r="BQ399" i="2"/>
  <c r="BP399" i="2"/>
  <c r="BO399" i="2"/>
  <c r="BN399" i="2"/>
  <c r="BM399" i="2"/>
  <c r="BL399" i="2"/>
  <c r="BK399" i="2"/>
  <c r="BJ399" i="2"/>
  <c r="BI399" i="2"/>
  <c r="BH399" i="2"/>
  <c r="BG399" i="2"/>
  <c r="BF399" i="2"/>
  <c r="BE399" i="2"/>
  <c r="BD399" i="2"/>
  <c r="BC399" i="2"/>
  <c r="BB399" i="2"/>
  <c r="BA399" i="2"/>
  <c r="AZ399" i="2"/>
  <c r="AY399" i="2"/>
  <c r="AX399" i="2"/>
  <c r="AW399" i="2"/>
  <c r="AV399" i="2"/>
  <c r="AU399" i="2"/>
  <c r="AT399" i="2"/>
  <c r="AS399" i="2"/>
  <c r="AR399" i="2"/>
  <c r="AQ399" i="2"/>
  <c r="AP399" i="2"/>
  <c r="AO399" i="2"/>
  <c r="AN399" i="2"/>
  <c r="AM399" i="2"/>
  <c r="AL399" i="2"/>
  <c r="AK399" i="2"/>
  <c r="AE399" i="2"/>
  <c r="AA399" i="2"/>
  <c r="F399" i="2"/>
  <c r="E399" i="2"/>
  <c r="D399" i="2"/>
  <c r="CA398" i="2"/>
  <c r="BZ398" i="2"/>
  <c r="BY398" i="2"/>
  <c r="BX398" i="2"/>
  <c r="BW398" i="2"/>
  <c r="BV398" i="2"/>
  <c r="BU398" i="2"/>
  <c r="BT398" i="2"/>
  <c r="BS398" i="2"/>
  <c r="BR398" i="2"/>
  <c r="BQ398" i="2"/>
  <c r="BP398" i="2"/>
  <c r="BO398" i="2"/>
  <c r="BN398" i="2"/>
  <c r="BM398" i="2"/>
  <c r="BL398" i="2"/>
  <c r="BK398" i="2"/>
  <c r="BJ398" i="2"/>
  <c r="BI398" i="2"/>
  <c r="BH398" i="2"/>
  <c r="BG398" i="2"/>
  <c r="BF398" i="2"/>
  <c r="BE398" i="2"/>
  <c r="BD398" i="2"/>
  <c r="BC398" i="2"/>
  <c r="BB398" i="2"/>
  <c r="BA398" i="2"/>
  <c r="AZ398" i="2"/>
  <c r="AY398" i="2"/>
  <c r="AX398" i="2"/>
  <c r="AW398" i="2"/>
  <c r="AV398" i="2"/>
  <c r="AU398" i="2"/>
  <c r="AT398" i="2"/>
  <c r="AS398" i="2"/>
  <c r="AR398" i="2"/>
  <c r="AQ398" i="2"/>
  <c r="AP398" i="2"/>
  <c r="AO398" i="2"/>
  <c r="AN398" i="2"/>
  <c r="AM398" i="2"/>
  <c r="AL398" i="2"/>
  <c r="AK398" i="2"/>
  <c r="AE398" i="2"/>
  <c r="AA398" i="2"/>
  <c r="F398" i="2"/>
  <c r="E398" i="2"/>
  <c r="D398" i="2"/>
  <c r="CA397" i="2"/>
  <c r="BZ397" i="2"/>
  <c r="BY397" i="2"/>
  <c r="BX397" i="2"/>
  <c r="BW397" i="2"/>
  <c r="BV397" i="2"/>
  <c r="BU397" i="2"/>
  <c r="BT397" i="2"/>
  <c r="BS397" i="2"/>
  <c r="BR397" i="2"/>
  <c r="BQ397" i="2"/>
  <c r="BP397" i="2"/>
  <c r="BO397" i="2"/>
  <c r="BN397" i="2"/>
  <c r="BM397" i="2"/>
  <c r="BL397" i="2"/>
  <c r="BK397" i="2"/>
  <c r="BJ397" i="2"/>
  <c r="BI397" i="2"/>
  <c r="BH397" i="2"/>
  <c r="BG397" i="2"/>
  <c r="BF397" i="2"/>
  <c r="BE397" i="2"/>
  <c r="BD397" i="2"/>
  <c r="BC397" i="2"/>
  <c r="BB397" i="2"/>
  <c r="BA397" i="2"/>
  <c r="AZ397" i="2"/>
  <c r="AY397" i="2"/>
  <c r="AX397" i="2"/>
  <c r="AW397" i="2"/>
  <c r="AV397" i="2"/>
  <c r="AU397" i="2"/>
  <c r="AT397" i="2"/>
  <c r="AS397" i="2"/>
  <c r="AR397" i="2"/>
  <c r="AQ397" i="2"/>
  <c r="AP397" i="2"/>
  <c r="AO397" i="2"/>
  <c r="AN397" i="2"/>
  <c r="AM397" i="2"/>
  <c r="AL397" i="2"/>
  <c r="AK397" i="2"/>
  <c r="AE397" i="2"/>
  <c r="AA397" i="2"/>
  <c r="F397" i="2"/>
  <c r="E397" i="2"/>
  <c r="D397" i="2"/>
  <c r="CA396" i="2"/>
  <c r="BZ396" i="2"/>
  <c r="BY396" i="2"/>
  <c r="BX396" i="2"/>
  <c r="BW396" i="2"/>
  <c r="BV396" i="2"/>
  <c r="BU396" i="2"/>
  <c r="BT396" i="2"/>
  <c r="BS396" i="2"/>
  <c r="BR396" i="2"/>
  <c r="BQ396" i="2"/>
  <c r="BP396" i="2"/>
  <c r="BO396" i="2"/>
  <c r="BN396" i="2"/>
  <c r="BM396" i="2"/>
  <c r="BL396" i="2"/>
  <c r="BK396" i="2"/>
  <c r="BJ396" i="2"/>
  <c r="BI396" i="2"/>
  <c r="BH396" i="2"/>
  <c r="BG396" i="2"/>
  <c r="BF396" i="2"/>
  <c r="BE396" i="2"/>
  <c r="BD396" i="2"/>
  <c r="BC396" i="2"/>
  <c r="BB396" i="2"/>
  <c r="BA396" i="2"/>
  <c r="AZ396" i="2"/>
  <c r="AY396" i="2"/>
  <c r="AX396" i="2"/>
  <c r="AW396" i="2"/>
  <c r="AV396" i="2"/>
  <c r="AU396" i="2"/>
  <c r="AT396" i="2"/>
  <c r="AS396" i="2"/>
  <c r="AR396" i="2"/>
  <c r="AQ396" i="2"/>
  <c r="AP396" i="2"/>
  <c r="AO396" i="2"/>
  <c r="AN396" i="2"/>
  <c r="AM396" i="2"/>
  <c r="AL396" i="2"/>
  <c r="AK396" i="2"/>
  <c r="AE396" i="2"/>
  <c r="AA396" i="2"/>
  <c r="F396" i="2"/>
  <c r="E396" i="2"/>
  <c r="D396" i="2"/>
  <c r="CA395" i="2"/>
  <c r="BZ395" i="2"/>
  <c r="BY395" i="2"/>
  <c r="BX395" i="2"/>
  <c r="BW395" i="2"/>
  <c r="BV395" i="2"/>
  <c r="BU395" i="2"/>
  <c r="BT395" i="2"/>
  <c r="BS395" i="2"/>
  <c r="BR395" i="2"/>
  <c r="BQ395" i="2"/>
  <c r="BP395" i="2"/>
  <c r="BO395" i="2"/>
  <c r="BN395" i="2"/>
  <c r="BM395" i="2"/>
  <c r="BL395" i="2"/>
  <c r="BK395" i="2"/>
  <c r="BJ395" i="2"/>
  <c r="BI395" i="2"/>
  <c r="BH395" i="2"/>
  <c r="BG395" i="2"/>
  <c r="BF395" i="2"/>
  <c r="BE395" i="2"/>
  <c r="BD395" i="2"/>
  <c r="BC395" i="2"/>
  <c r="BB395" i="2"/>
  <c r="BA395" i="2"/>
  <c r="AZ395" i="2"/>
  <c r="AY395" i="2"/>
  <c r="AX395" i="2"/>
  <c r="AW395" i="2"/>
  <c r="AV395" i="2"/>
  <c r="AU395" i="2"/>
  <c r="AT395" i="2"/>
  <c r="AS395" i="2"/>
  <c r="AR395" i="2"/>
  <c r="AQ395" i="2"/>
  <c r="AP395" i="2"/>
  <c r="AO395" i="2"/>
  <c r="AN395" i="2"/>
  <c r="AM395" i="2"/>
  <c r="AL395" i="2"/>
  <c r="AK395" i="2"/>
  <c r="AE395" i="2"/>
  <c r="AA395" i="2"/>
  <c r="F395" i="2"/>
  <c r="E395" i="2"/>
  <c r="D395" i="2"/>
  <c r="CA394" i="2"/>
  <c r="BZ394" i="2"/>
  <c r="BY394" i="2"/>
  <c r="BX394" i="2"/>
  <c r="BW394" i="2"/>
  <c r="BV394" i="2"/>
  <c r="BU394" i="2"/>
  <c r="BT394" i="2"/>
  <c r="BS394" i="2"/>
  <c r="BR394" i="2"/>
  <c r="BQ394" i="2"/>
  <c r="BP394" i="2"/>
  <c r="BO394" i="2"/>
  <c r="BN394" i="2"/>
  <c r="BM394" i="2"/>
  <c r="BL394" i="2"/>
  <c r="BK394" i="2"/>
  <c r="BJ394" i="2"/>
  <c r="BI394" i="2"/>
  <c r="BH394" i="2"/>
  <c r="BG394" i="2"/>
  <c r="BF394" i="2"/>
  <c r="BE394" i="2"/>
  <c r="BD394" i="2"/>
  <c r="BC394" i="2"/>
  <c r="BB394" i="2"/>
  <c r="BA394" i="2"/>
  <c r="AZ394" i="2"/>
  <c r="AY394" i="2"/>
  <c r="AX394" i="2"/>
  <c r="AW394" i="2"/>
  <c r="AV394" i="2"/>
  <c r="AU394" i="2"/>
  <c r="AT394" i="2"/>
  <c r="AS394" i="2"/>
  <c r="AR394" i="2"/>
  <c r="AQ394" i="2"/>
  <c r="AP394" i="2"/>
  <c r="AO394" i="2"/>
  <c r="AN394" i="2"/>
  <c r="AM394" i="2"/>
  <c r="AL394" i="2"/>
  <c r="AK394" i="2"/>
  <c r="AE394" i="2"/>
  <c r="AA394" i="2"/>
  <c r="F394" i="2"/>
  <c r="E394" i="2"/>
  <c r="D394" i="2"/>
  <c r="CA393" i="2"/>
  <c r="BZ393" i="2"/>
  <c r="BY393" i="2"/>
  <c r="BX393" i="2"/>
  <c r="BW393" i="2"/>
  <c r="BV393" i="2"/>
  <c r="BU393" i="2"/>
  <c r="BT393" i="2"/>
  <c r="BS393" i="2"/>
  <c r="BR393" i="2"/>
  <c r="BQ393" i="2"/>
  <c r="BP393" i="2"/>
  <c r="BO393" i="2"/>
  <c r="BN393" i="2"/>
  <c r="BM393" i="2"/>
  <c r="BL393" i="2"/>
  <c r="BK393" i="2"/>
  <c r="BJ393" i="2"/>
  <c r="BI393" i="2"/>
  <c r="BH393" i="2"/>
  <c r="BG393" i="2"/>
  <c r="BF393" i="2"/>
  <c r="BE393" i="2"/>
  <c r="BD393" i="2"/>
  <c r="BC393" i="2"/>
  <c r="BB393" i="2"/>
  <c r="BA393" i="2"/>
  <c r="AZ393" i="2"/>
  <c r="AY393" i="2"/>
  <c r="AX393" i="2"/>
  <c r="AW393" i="2"/>
  <c r="AV393" i="2"/>
  <c r="AU393" i="2"/>
  <c r="AT393" i="2"/>
  <c r="AS393" i="2"/>
  <c r="AR393" i="2"/>
  <c r="AQ393" i="2"/>
  <c r="AP393" i="2"/>
  <c r="AO393" i="2"/>
  <c r="AN393" i="2"/>
  <c r="AM393" i="2"/>
  <c r="AL393" i="2"/>
  <c r="AK393" i="2"/>
  <c r="AE393" i="2"/>
  <c r="AA393" i="2"/>
  <c r="F393" i="2"/>
  <c r="E393" i="2"/>
  <c r="D393" i="2"/>
  <c r="CA392" i="2"/>
  <c r="BZ392" i="2"/>
  <c r="BY392" i="2"/>
  <c r="BX392" i="2"/>
  <c r="BW392" i="2"/>
  <c r="BV392" i="2"/>
  <c r="BU392" i="2"/>
  <c r="BT392" i="2"/>
  <c r="BS392" i="2"/>
  <c r="BR392" i="2"/>
  <c r="BQ392" i="2"/>
  <c r="BP392" i="2"/>
  <c r="BO392" i="2"/>
  <c r="BN392" i="2"/>
  <c r="BM392" i="2"/>
  <c r="BL392" i="2"/>
  <c r="BK392" i="2"/>
  <c r="BJ392" i="2"/>
  <c r="BI392" i="2"/>
  <c r="BH392" i="2"/>
  <c r="BG392" i="2"/>
  <c r="BF392" i="2"/>
  <c r="BE392" i="2"/>
  <c r="BD392" i="2"/>
  <c r="BC392" i="2"/>
  <c r="BB392" i="2"/>
  <c r="BA392" i="2"/>
  <c r="AZ392" i="2"/>
  <c r="AY392" i="2"/>
  <c r="AX392" i="2"/>
  <c r="AW392" i="2"/>
  <c r="AV392" i="2"/>
  <c r="AU392" i="2"/>
  <c r="AT392" i="2"/>
  <c r="AS392" i="2"/>
  <c r="AR392" i="2"/>
  <c r="AQ392" i="2"/>
  <c r="AP392" i="2"/>
  <c r="AO392" i="2"/>
  <c r="AN392" i="2"/>
  <c r="AM392" i="2"/>
  <c r="AL392" i="2"/>
  <c r="AK392" i="2"/>
  <c r="AE392" i="2"/>
  <c r="AA392" i="2"/>
  <c r="F392" i="2"/>
  <c r="E392" i="2"/>
  <c r="D392" i="2"/>
  <c r="CA391" i="2"/>
  <c r="BZ391" i="2"/>
  <c r="BY391" i="2"/>
  <c r="BX391" i="2"/>
  <c r="BW391" i="2"/>
  <c r="BV391" i="2"/>
  <c r="BU391" i="2"/>
  <c r="BT391" i="2"/>
  <c r="BS391" i="2"/>
  <c r="BR391" i="2"/>
  <c r="BQ391" i="2"/>
  <c r="BP391" i="2"/>
  <c r="BO391" i="2"/>
  <c r="BN391" i="2"/>
  <c r="BM391" i="2"/>
  <c r="BL391" i="2"/>
  <c r="BK391" i="2"/>
  <c r="BJ391" i="2"/>
  <c r="BI391" i="2"/>
  <c r="BH391" i="2"/>
  <c r="BG391" i="2"/>
  <c r="BF391" i="2"/>
  <c r="BE391" i="2"/>
  <c r="BD391" i="2"/>
  <c r="BC391" i="2"/>
  <c r="BB391" i="2"/>
  <c r="BA391" i="2"/>
  <c r="AZ391" i="2"/>
  <c r="AY391" i="2"/>
  <c r="AX391" i="2"/>
  <c r="AW391" i="2"/>
  <c r="AV391" i="2"/>
  <c r="AU391" i="2"/>
  <c r="AT391" i="2"/>
  <c r="AS391" i="2"/>
  <c r="AR391" i="2"/>
  <c r="AQ391" i="2"/>
  <c r="AP391" i="2"/>
  <c r="AO391" i="2"/>
  <c r="AN391" i="2"/>
  <c r="AM391" i="2"/>
  <c r="AL391" i="2"/>
  <c r="AK391" i="2"/>
  <c r="AE391" i="2"/>
  <c r="AA391" i="2"/>
  <c r="F391" i="2"/>
  <c r="E391" i="2"/>
  <c r="D391" i="2"/>
  <c r="CA390" i="2"/>
  <c r="BZ390" i="2"/>
  <c r="BY390" i="2"/>
  <c r="BX390" i="2"/>
  <c r="BW390" i="2"/>
  <c r="BV390" i="2"/>
  <c r="BU390" i="2"/>
  <c r="BT390" i="2"/>
  <c r="BS390" i="2"/>
  <c r="BR390" i="2"/>
  <c r="BQ390" i="2"/>
  <c r="BP390" i="2"/>
  <c r="BO390" i="2"/>
  <c r="BN390" i="2"/>
  <c r="BM390" i="2"/>
  <c r="BL390" i="2"/>
  <c r="BK390" i="2"/>
  <c r="BJ390" i="2"/>
  <c r="BI390" i="2"/>
  <c r="BH390" i="2"/>
  <c r="BG390" i="2"/>
  <c r="BF390" i="2"/>
  <c r="BE390" i="2"/>
  <c r="BD390" i="2"/>
  <c r="BC390" i="2"/>
  <c r="BB390" i="2"/>
  <c r="BA390" i="2"/>
  <c r="AZ390" i="2"/>
  <c r="AY390" i="2"/>
  <c r="AX390" i="2"/>
  <c r="AW390" i="2"/>
  <c r="AV390" i="2"/>
  <c r="AU390" i="2"/>
  <c r="AT390" i="2"/>
  <c r="AS390" i="2"/>
  <c r="AR390" i="2"/>
  <c r="AQ390" i="2"/>
  <c r="AP390" i="2"/>
  <c r="AO390" i="2"/>
  <c r="AN390" i="2"/>
  <c r="AM390" i="2"/>
  <c r="AL390" i="2"/>
  <c r="AK390" i="2"/>
  <c r="AE390" i="2"/>
  <c r="AA390" i="2"/>
  <c r="F390" i="2"/>
  <c r="E390" i="2"/>
  <c r="D390" i="2"/>
  <c r="CA389" i="2"/>
  <c r="BZ389" i="2"/>
  <c r="BY389" i="2"/>
  <c r="BX389" i="2"/>
  <c r="BW389" i="2"/>
  <c r="BV389" i="2"/>
  <c r="BU389" i="2"/>
  <c r="BT389" i="2"/>
  <c r="BS389" i="2"/>
  <c r="BR389" i="2"/>
  <c r="BQ389" i="2"/>
  <c r="BP389" i="2"/>
  <c r="BO389" i="2"/>
  <c r="BN389" i="2"/>
  <c r="BM389" i="2"/>
  <c r="BL389" i="2"/>
  <c r="BK389" i="2"/>
  <c r="BJ389" i="2"/>
  <c r="BI389" i="2"/>
  <c r="BH389" i="2"/>
  <c r="BG389" i="2"/>
  <c r="BF389" i="2"/>
  <c r="BE389" i="2"/>
  <c r="BD389" i="2"/>
  <c r="BC389" i="2"/>
  <c r="BB389" i="2"/>
  <c r="BA389" i="2"/>
  <c r="AZ389" i="2"/>
  <c r="AY389" i="2"/>
  <c r="AX389" i="2"/>
  <c r="AW389" i="2"/>
  <c r="AV389" i="2"/>
  <c r="AU389" i="2"/>
  <c r="AT389" i="2"/>
  <c r="AS389" i="2"/>
  <c r="AR389" i="2"/>
  <c r="AQ389" i="2"/>
  <c r="AP389" i="2"/>
  <c r="AO389" i="2"/>
  <c r="AN389" i="2"/>
  <c r="AM389" i="2"/>
  <c r="AL389" i="2"/>
  <c r="AK389" i="2"/>
  <c r="AE389" i="2"/>
  <c r="AA389" i="2"/>
  <c r="F389" i="2"/>
  <c r="E389" i="2"/>
  <c r="D389" i="2"/>
  <c r="CA388" i="2"/>
  <c r="BZ388" i="2"/>
  <c r="BY388" i="2"/>
  <c r="BX388" i="2"/>
  <c r="BW388" i="2"/>
  <c r="BV388" i="2"/>
  <c r="BU388" i="2"/>
  <c r="BT388" i="2"/>
  <c r="BS388" i="2"/>
  <c r="BR388" i="2"/>
  <c r="BQ388" i="2"/>
  <c r="BP388" i="2"/>
  <c r="BO388" i="2"/>
  <c r="BN388" i="2"/>
  <c r="BM388" i="2"/>
  <c r="BL388" i="2"/>
  <c r="BK388" i="2"/>
  <c r="BJ388" i="2"/>
  <c r="BI388" i="2"/>
  <c r="BH388" i="2"/>
  <c r="BG388" i="2"/>
  <c r="BF388" i="2"/>
  <c r="BE388" i="2"/>
  <c r="BD388" i="2"/>
  <c r="BC388" i="2"/>
  <c r="BB388" i="2"/>
  <c r="BA388" i="2"/>
  <c r="AZ388" i="2"/>
  <c r="AY388" i="2"/>
  <c r="AX388" i="2"/>
  <c r="AW388" i="2"/>
  <c r="AV388" i="2"/>
  <c r="AU388" i="2"/>
  <c r="AT388" i="2"/>
  <c r="AS388" i="2"/>
  <c r="AR388" i="2"/>
  <c r="AQ388" i="2"/>
  <c r="AP388" i="2"/>
  <c r="AO388" i="2"/>
  <c r="AN388" i="2"/>
  <c r="AM388" i="2"/>
  <c r="AL388" i="2"/>
  <c r="AK388" i="2"/>
  <c r="AE388" i="2"/>
  <c r="AA388" i="2"/>
  <c r="F388" i="2"/>
  <c r="E388" i="2"/>
  <c r="D388" i="2"/>
  <c r="CA387" i="2"/>
  <c r="BZ387" i="2"/>
  <c r="BY387" i="2"/>
  <c r="BX387" i="2"/>
  <c r="BW387" i="2"/>
  <c r="BV387" i="2"/>
  <c r="BU387" i="2"/>
  <c r="BT387" i="2"/>
  <c r="BS387" i="2"/>
  <c r="BR387" i="2"/>
  <c r="BQ387" i="2"/>
  <c r="BP387" i="2"/>
  <c r="BO387" i="2"/>
  <c r="BN387" i="2"/>
  <c r="BM387" i="2"/>
  <c r="BL387" i="2"/>
  <c r="BK387" i="2"/>
  <c r="BJ387" i="2"/>
  <c r="BI387" i="2"/>
  <c r="BH387" i="2"/>
  <c r="BG387" i="2"/>
  <c r="BF387" i="2"/>
  <c r="BE387" i="2"/>
  <c r="BD387" i="2"/>
  <c r="BC387" i="2"/>
  <c r="BB387" i="2"/>
  <c r="BA387" i="2"/>
  <c r="AZ387" i="2"/>
  <c r="AY387" i="2"/>
  <c r="AX387" i="2"/>
  <c r="AW387" i="2"/>
  <c r="AV387" i="2"/>
  <c r="AU387" i="2"/>
  <c r="AT387" i="2"/>
  <c r="AS387" i="2"/>
  <c r="AR387" i="2"/>
  <c r="AQ387" i="2"/>
  <c r="AP387" i="2"/>
  <c r="AO387" i="2"/>
  <c r="AN387" i="2"/>
  <c r="AM387" i="2"/>
  <c r="AL387" i="2"/>
  <c r="AK387" i="2"/>
  <c r="AE387" i="2"/>
  <c r="AA387" i="2"/>
  <c r="F387" i="2"/>
  <c r="E387" i="2"/>
  <c r="D387" i="2"/>
  <c r="CA386" i="2"/>
  <c r="BZ386" i="2"/>
  <c r="BY386" i="2"/>
  <c r="BX386" i="2"/>
  <c r="BW386" i="2"/>
  <c r="BV386" i="2"/>
  <c r="BU386" i="2"/>
  <c r="BT386" i="2"/>
  <c r="BS386" i="2"/>
  <c r="BR386" i="2"/>
  <c r="BQ386" i="2"/>
  <c r="BP386" i="2"/>
  <c r="BO386" i="2"/>
  <c r="BN386" i="2"/>
  <c r="BM386" i="2"/>
  <c r="BL386" i="2"/>
  <c r="BK386" i="2"/>
  <c r="BJ386" i="2"/>
  <c r="BI386" i="2"/>
  <c r="BH386" i="2"/>
  <c r="BG386" i="2"/>
  <c r="BF386" i="2"/>
  <c r="BE386" i="2"/>
  <c r="BD386" i="2"/>
  <c r="BC386" i="2"/>
  <c r="BB386" i="2"/>
  <c r="BA386" i="2"/>
  <c r="AZ386" i="2"/>
  <c r="AY386" i="2"/>
  <c r="AX386" i="2"/>
  <c r="AW386" i="2"/>
  <c r="AV386" i="2"/>
  <c r="AU386" i="2"/>
  <c r="AT386" i="2"/>
  <c r="AS386" i="2"/>
  <c r="AR386" i="2"/>
  <c r="AQ386" i="2"/>
  <c r="AP386" i="2"/>
  <c r="AO386" i="2"/>
  <c r="AN386" i="2"/>
  <c r="AM386" i="2"/>
  <c r="AL386" i="2"/>
  <c r="AK386" i="2"/>
  <c r="AE386" i="2"/>
  <c r="AA386" i="2"/>
  <c r="F386" i="2"/>
  <c r="E386" i="2"/>
  <c r="D386" i="2"/>
  <c r="CA385" i="2"/>
  <c r="BZ385" i="2"/>
  <c r="BY385" i="2"/>
  <c r="BX385" i="2"/>
  <c r="BW385" i="2"/>
  <c r="BV385" i="2"/>
  <c r="BU385" i="2"/>
  <c r="BT385" i="2"/>
  <c r="BS385" i="2"/>
  <c r="BR385" i="2"/>
  <c r="BQ385" i="2"/>
  <c r="BP385" i="2"/>
  <c r="BO385" i="2"/>
  <c r="BN385" i="2"/>
  <c r="BM385" i="2"/>
  <c r="BL385" i="2"/>
  <c r="BK385" i="2"/>
  <c r="BJ385" i="2"/>
  <c r="BI385" i="2"/>
  <c r="BH385" i="2"/>
  <c r="BG385" i="2"/>
  <c r="BF385" i="2"/>
  <c r="BE385" i="2"/>
  <c r="BD385" i="2"/>
  <c r="BC385" i="2"/>
  <c r="BB385" i="2"/>
  <c r="BA385" i="2"/>
  <c r="AZ385" i="2"/>
  <c r="AY385" i="2"/>
  <c r="AX385" i="2"/>
  <c r="AW385" i="2"/>
  <c r="AV385" i="2"/>
  <c r="AU385" i="2"/>
  <c r="AT385" i="2"/>
  <c r="AS385" i="2"/>
  <c r="AR385" i="2"/>
  <c r="AQ385" i="2"/>
  <c r="AP385" i="2"/>
  <c r="AO385" i="2"/>
  <c r="AN385" i="2"/>
  <c r="AM385" i="2"/>
  <c r="AL385" i="2"/>
  <c r="AK385" i="2"/>
  <c r="AE385" i="2"/>
  <c r="AA385" i="2"/>
  <c r="F385" i="2"/>
  <c r="E385" i="2"/>
  <c r="D385" i="2"/>
  <c r="CA384" i="2"/>
  <c r="BZ384" i="2"/>
  <c r="BY384" i="2"/>
  <c r="BX384" i="2"/>
  <c r="BW384" i="2"/>
  <c r="BV384" i="2"/>
  <c r="BU384" i="2"/>
  <c r="BT384" i="2"/>
  <c r="BS384" i="2"/>
  <c r="BR384" i="2"/>
  <c r="BQ384" i="2"/>
  <c r="BP384" i="2"/>
  <c r="BO384" i="2"/>
  <c r="BN384" i="2"/>
  <c r="BM384" i="2"/>
  <c r="BL384" i="2"/>
  <c r="BK384" i="2"/>
  <c r="BJ384" i="2"/>
  <c r="BI384" i="2"/>
  <c r="BH384" i="2"/>
  <c r="BG384" i="2"/>
  <c r="BF384" i="2"/>
  <c r="BE384" i="2"/>
  <c r="BD384" i="2"/>
  <c r="BC384" i="2"/>
  <c r="BB384" i="2"/>
  <c r="BA384" i="2"/>
  <c r="AZ384" i="2"/>
  <c r="AY384" i="2"/>
  <c r="AX384" i="2"/>
  <c r="AW384" i="2"/>
  <c r="AV384" i="2"/>
  <c r="AU384" i="2"/>
  <c r="AT384" i="2"/>
  <c r="AS384" i="2"/>
  <c r="AR384" i="2"/>
  <c r="AQ384" i="2"/>
  <c r="AP384" i="2"/>
  <c r="AO384" i="2"/>
  <c r="AN384" i="2"/>
  <c r="AM384" i="2"/>
  <c r="AL384" i="2"/>
  <c r="AK384" i="2"/>
  <c r="AE384" i="2"/>
  <c r="AA384" i="2"/>
  <c r="F384" i="2"/>
  <c r="E384" i="2"/>
  <c r="D384" i="2"/>
  <c r="CA383" i="2"/>
  <c r="BZ383" i="2"/>
  <c r="BY383" i="2"/>
  <c r="BX383" i="2"/>
  <c r="BW383" i="2"/>
  <c r="BV383" i="2"/>
  <c r="BU383" i="2"/>
  <c r="BT383" i="2"/>
  <c r="BS383" i="2"/>
  <c r="BR383" i="2"/>
  <c r="BQ383" i="2"/>
  <c r="BP383" i="2"/>
  <c r="BO383" i="2"/>
  <c r="BN383" i="2"/>
  <c r="BM383" i="2"/>
  <c r="BL383" i="2"/>
  <c r="BK383" i="2"/>
  <c r="BJ383" i="2"/>
  <c r="BI383" i="2"/>
  <c r="BH383" i="2"/>
  <c r="BG383" i="2"/>
  <c r="BF383" i="2"/>
  <c r="BE383" i="2"/>
  <c r="BD383" i="2"/>
  <c r="BC383" i="2"/>
  <c r="BB383" i="2"/>
  <c r="BA383" i="2"/>
  <c r="AZ383" i="2"/>
  <c r="AY383" i="2"/>
  <c r="AX383" i="2"/>
  <c r="AW383" i="2"/>
  <c r="AV383" i="2"/>
  <c r="AU383" i="2"/>
  <c r="AT383" i="2"/>
  <c r="AS383" i="2"/>
  <c r="AR383" i="2"/>
  <c r="AQ383" i="2"/>
  <c r="AP383" i="2"/>
  <c r="AO383" i="2"/>
  <c r="AN383" i="2"/>
  <c r="AM383" i="2"/>
  <c r="AL383" i="2"/>
  <c r="AK383" i="2"/>
  <c r="AE383" i="2"/>
  <c r="AA383" i="2"/>
  <c r="F383" i="2"/>
  <c r="E383" i="2"/>
  <c r="D383" i="2"/>
  <c r="CA382" i="2"/>
  <c r="BZ382" i="2"/>
  <c r="BY382" i="2"/>
  <c r="BX382" i="2"/>
  <c r="BW382" i="2"/>
  <c r="BV382" i="2"/>
  <c r="BU382" i="2"/>
  <c r="BT382" i="2"/>
  <c r="BS382" i="2"/>
  <c r="BR382" i="2"/>
  <c r="BQ382" i="2"/>
  <c r="BP382" i="2"/>
  <c r="BO382" i="2"/>
  <c r="BN382" i="2"/>
  <c r="BM382" i="2"/>
  <c r="BL382" i="2"/>
  <c r="BK382" i="2"/>
  <c r="BJ382" i="2"/>
  <c r="BI382" i="2"/>
  <c r="BH382" i="2"/>
  <c r="BG382" i="2"/>
  <c r="BF382" i="2"/>
  <c r="BE382" i="2"/>
  <c r="BD382" i="2"/>
  <c r="BC382" i="2"/>
  <c r="BB382" i="2"/>
  <c r="BA382" i="2"/>
  <c r="AZ382" i="2"/>
  <c r="AY382" i="2"/>
  <c r="AX382" i="2"/>
  <c r="AW382" i="2"/>
  <c r="AV382" i="2"/>
  <c r="AU382" i="2"/>
  <c r="AT382" i="2"/>
  <c r="AS382" i="2"/>
  <c r="AR382" i="2"/>
  <c r="AQ382" i="2"/>
  <c r="AP382" i="2"/>
  <c r="AO382" i="2"/>
  <c r="AN382" i="2"/>
  <c r="AM382" i="2"/>
  <c r="AL382" i="2"/>
  <c r="AK382" i="2"/>
  <c r="AE382" i="2"/>
  <c r="AA382" i="2"/>
  <c r="F382" i="2"/>
  <c r="E382" i="2"/>
  <c r="D382" i="2"/>
  <c r="CA381" i="2"/>
  <c r="BZ381" i="2"/>
  <c r="BY381" i="2"/>
  <c r="BX381" i="2"/>
  <c r="BW381" i="2"/>
  <c r="BV381" i="2"/>
  <c r="BU381" i="2"/>
  <c r="BT381" i="2"/>
  <c r="BS381" i="2"/>
  <c r="BR381" i="2"/>
  <c r="BQ381" i="2"/>
  <c r="BP381" i="2"/>
  <c r="BO381" i="2"/>
  <c r="BN381" i="2"/>
  <c r="BM381" i="2"/>
  <c r="BL381" i="2"/>
  <c r="BK381" i="2"/>
  <c r="BJ381" i="2"/>
  <c r="BI381" i="2"/>
  <c r="BH381" i="2"/>
  <c r="BG381" i="2"/>
  <c r="BF381" i="2"/>
  <c r="BE381" i="2"/>
  <c r="BD381" i="2"/>
  <c r="BC381" i="2"/>
  <c r="BB381" i="2"/>
  <c r="BA381" i="2"/>
  <c r="AZ381" i="2"/>
  <c r="AY381" i="2"/>
  <c r="AX381" i="2"/>
  <c r="AW381" i="2"/>
  <c r="AV381" i="2"/>
  <c r="AU381" i="2"/>
  <c r="AT381" i="2"/>
  <c r="AS381" i="2"/>
  <c r="AR381" i="2"/>
  <c r="AQ381" i="2"/>
  <c r="AP381" i="2"/>
  <c r="AO381" i="2"/>
  <c r="AN381" i="2"/>
  <c r="AM381" i="2"/>
  <c r="AL381" i="2"/>
  <c r="AK381" i="2"/>
  <c r="AE381" i="2"/>
  <c r="AA381" i="2"/>
  <c r="F381" i="2"/>
  <c r="E381" i="2"/>
  <c r="D381" i="2"/>
  <c r="CA380" i="2"/>
  <c r="BZ380" i="2"/>
  <c r="BY380" i="2"/>
  <c r="BX380" i="2"/>
  <c r="BW380" i="2"/>
  <c r="BV380" i="2"/>
  <c r="BU380" i="2"/>
  <c r="BT380" i="2"/>
  <c r="BS380" i="2"/>
  <c r="BR380" i="2"/>
  <c r="BQ380" i="2"/>
  <c r="BP380" i="2"/>
  <c r="BO380" i="2"/>
  <c r="BN380" i="2"/>
  <c r="BM380" i="2"/>
  <c r="BL380" i="2"/>
  <c r="BK380" i="2"/>
  <c r="BJ380" i="2"/>
  <c r="BI380" i="2"/>
  <c r="BH380" i="2"/>
  <c r="BG380" i="2"/>
  <c r="BF380" i="2"/>
  <c r="BE380" i="2"/>
  <c r="BD380" i="2"/>
  <c r="BC380" i="2"/>
  <c r="BB380" i="2"/>
  <c r="BA380" i="2"/>
  <c r="AZ380" i="2"/>
  <c r="AY380" i="2"/>
  <c r="AX380" i="2"/>
  <c r="AW380" i="2"/>
  <c r="AV380" i="2"/>
  <c r="AU380" i="2"/>
  <c r="AT380" i="2"/>
  <c r="AS380" i="2"/>
  <c r="AR380" i="2"/>
  <c r="AQ380" i="2"/>
  <c r="AP380" i="2"/>
  <c r="AO380" i="2"/>
  <c r="AN380" i="2"/>
  <c r="AM380" i="2"/>
  <c r="AL380" i="2"/>
  <c r="AK380" i="2"/>
  <c r="AE380" i="2"/>
  <c r="AA380" i="2"/>
  <c r="F380" i="2"/>
  <c r="E380" i="2"/>
  <c r="D380" i="2"/>
  <c r="CA379" i="2"/>
  <c r="BZ379" i="2"/>
  <c r="BY379" i="2"/>
  <c r="BX379" i="2"/>
  <c r="BW379" i="2"/>
  <c r="BV379" i="2"/>
  <c r="BU379" i="2"/>
  <c r="BT379" i="2"/>
  <c r="BS379" i="2"/>
  <c r="BR379" i="2"/>
  <c r="BQ379" i="2"/>
  <c r="BP379" i="2"/>
  <c r="BO379" i="2"/>
  <c r="BN379" i="2"/>
  <c r="BM379" i="2"/>
  <c r="BL379" i="2"/>
  <c r="BK379" i="2"/>
  <c r="BJ379" i="2"/>
  <c r="BI379" i="2"/>
  <c r="BH379" i="2"/>
  <c r="BG379" i="2"/>
  <c r="BF379" i="2"/>
  <c r="BE379" i="2"/>
  <c r="BD379" i="2"/>
  <c r="BC379" i="2"/>
  <c r="BB379" i="2"/>
  <c r="BA379" i="2"/>
  <c r="AZ379" i="2"/>
  <c r="AY379" i="2"/>
  <c r="AX379" i="2"/>
  <c r="AW379" i="2"/>
  <c r="AV379" i="2"/>
  <c r="AU379" i="2"/>
  <c r="AT379" i="2"/>
  <c r="AS379" i="2"/>
  <c r="AR379" i="2"/>
  <c r="AQ379" i="2"/>
  <c r="AP379" i="2"/>
  <c r="AO379" i="2"/>
  <c r="AN379" i="2"/>
  <c r="AM379" i="2"/>
  <c r="AL379" i="2"/>
  <c r="AK379" i="2"/>
  <c r="AE379" i="2"/>
  <c r="AA379" i="2"/>
  <c r="F379" i="2"/>
  <c r="E379" i="2"/>
  <c r="D379" i="2"/>
  <c r="CA378" i="2"/>
  <c r="BZ378" i="2"/>
  <c r="BY378" i="2"/>
  <c r="BX378" i="2"/>
  <c r="BW378" i="2"/>
  <c r="BV378" i="2"/>
  <c r="BU378" i="2"/>
  <c r="BT378" i="2"/>
  <c r="BS378" i="2"/>
  <c r="BR378" i="2"/>
  <c r="BQ378" i="2"/>
  <c r="BP378" i="2"/>
  <c r="BO378" i="2"/>
  <c r="BN378" i="2"/>
  <c r="BM378" i="2"/>
  <c r="BL378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Q378" i="2"/>
  <c r="AP378" i="2"/>
  <c r="AO378" i="2"/>
  <c r="AN378" i="2"/>
  <c r="AM378" i="2"/>
  <c r="AL378" i="2"/>
  <c r="AK378" i="2"/>
  <c r="AE378" i="2"/>
  <c r="AA378" i="2"/>
  <c r="F378" i="2"/>
  <c r="E378" i="2"/>
  <c r="D378" i="2"/>
  <c r="CA377" i="2"/>
  <c r="BZ377" i="2"/>
  <c r="BY377" i="2"/>
  <c r="BX377" i="2"/>
  <c r="BW377" i="2"/>
  <c r="BV377" i="2"/>
  <c r="BU377" i="2"/>
  <c r="BT377" i="2"/>
  <c r="BS377" i="2"/>
  <c r="BR377" i="2"/>
  <c r="BQ377" i="2"/>
  <c r="BP377" i="2"/>
  <c r="BO377" i="2"/>
  <c r="BN377" i="2"/>
  <c r="BM377" i="2"/>
  <c r="BL377" i="2"/>
  <c r="BK377" i="2"/>
  <c r="BJ377" i="2"/>
  <c r="BI377" i="2"/>
  <c r="BH377" i="2"/>
  <c r="BG377" i="2"/>
  <c r="BF377" i="2"/>
  <c r="BE377" i="2"/>
  <c r="BD377" i="2"/>
  <c r="BC377" i="2"/>
  <c r="BB377" i="2"/>
  <c r="BA377" i="2"/>
  <c r="AZ377" i="2"/>
  <c r="AY377" i="2"/>
  <c r="AX377" i="2"/>
  <c r="AW377" i="2"/>
  <c r="AV377" i="2"/>
  <c r="AU377" i="2"/>
  <c r="AT377" i="2"/>
  <c r="AS377" i="2"/>
  <c r="AR377" i="2"/>
  <c r="AQ377" i="2"/>
  <c r="AP377" i="2"/>
  <c r="AO377" i="2"/>
  <c r="AN377" i="2"/>
  <c r="AM377" i="2"/>
  <c r="AL377" i="2"/>
  <c r="AK377" i="2"/>
  <c r="AE377" i="2"/>
  <c r="AA377" i="2"/>
  <c r="F377" i="2"/>
  <c r="E377" i="2"/>
  <c r="D377" i="2"/>
  <c r="CA376" i="2"/>
  <c r="BZ376" i="2"/>
  <c r="BY376" i="2"/>
  <c r="BX376" i="2"/>
  <c r="BW376" i="2"/>
  <c r="BV376" i="2"/>
  <c r="BU376" i="2"/>
  <c r="BT376" i="2"/>
  <c r="BS376" i="2"/>
  <c r="BR376" i="2"/>
  <c r="BQ376" i="2"/>
  <c r="BP376" i="2"/>
  <c r="BO376" i="2"/>
  <c r="BN376" i="2"/>
  <c r="BM376" i="2"/>
  <c r="BL376" i="2"/>
  <c r="BK376" i="2"/>
  <c r="BJ376" i="2"/>
  <c r="BI376" i="2"/>
  <c r="BH376" i="2"/>
  <c r="BG376" i="2"/>
  <c r="BF376" i="2"/>
  <c r="BE376" i="2"/>
  <c r="BD376" i="2"/>
  <c r="BC376" i="2"/>
  <c r="BB376" i="2"/>
  <c r="BA376" i="2"/>
  <c r="AZ376" i="2"/>
  <c r="AY376" i="2"/>
  <c r="AX376" i="2"/>
  <c r="AW376" i="2"/>
  <c r="AV376" i="2"/>
  <c r="AU376" i="2"/>
  <c r="AT376" i="2"/>
  <c r="AS376" i="2"/>
  <c r="AR376" i="2"/>
  <c r="AQ376" i="2"/>
  <c r="AP376" i="2"/>
  <c r="AO376" i="2"/>
  <c r="AN376" i="2"/>
  <c r="AM376" i="2"/>
  <c r="AL376" i="2"/>
  <c r="AK376" i="2"/>
  <c r="AE376" i="2"/>
  <c r="AA376" i="2"/>
  <c r="F376" i="2"/>
  <c r="E376" i="2"/>
  <c r="D376" i="2"/>
  <c r="CA375" i="2"/>
  <c r="BZ375" i="2"/>
  <c r="BY375" i="2"/>
  <c r="BX375" i="2"/>
  <c r="BW375" i="2"/>
  <c r="BV375" i="2"/>
  <c r="BU375" i="2"/>
  <c r="BT375" i="2"/>
  <c r="BS375" i="2"/>
  <c r="BR375" i="2"/>
  <c r="BQ375" i="2"/>
  <c r="BP375" i="2"/>
  <c r="BO375" i="2"/>
  <c r="BN375" i="2"/>
  <c r="BM375" i="2"/>
  <c r="BL375" i="2"/>
  <c r="BK375" i="2"/>
  <c r="BJ375" i="2"/>
  <c r="BI375" i="2"/>
  <c r="BH375" i="2"/>
  <c r="BG375" i="2"/>
  <c r="BF375" i="2"/>
  <c r="BE375" i="2"/>
  <c r="BD375" i="2"/>
  <c r="BC375" i="2"/>
  <c r="BB375" i="2"/>
  <c r="BA375" i="2"/>
  <c r="AZ375" i="2"/>
  <c r="AY375" i="2"/>
  <c r="AX375" i="2"/>
  <c r="AW375" i="2"/>
  <c r="AV375" i="2"/>
  <c r="AU375" i="2"/>
  <c r="AT375" i="2"/>
  <c r="AS375" i="2"/>
  <c r="AR375" i="2"/>
  <c r="AQ375" i="2"/>
  <c r="AP375" i="2"/>
  <c r="AO375" i="2"/>
  <c r="AN375" i="2"/>
  <c r="AM375" i="2"/>
  <c r="AL375" i="2"/>
  <c r="AK375" i="2"/>
  <c r="AE375" i="2"/>
  <c r="AA375" i="2"/>
  <c r="F375" i="2"/>
  <c r="E375" i="2"/>
  <c r="D375" i="2"/>
  <c r="CA374" i="2"/>
  <c r="BZ374" i="2"/>
  <c r="BY374" i="2"/>
  <c r="BX374" i="2"/>
  <c r="BW374" i="2"/>
  <c r="BV374" i="2"/>
  <c r="BU374" i="2"/>
  <c r="BT374" i="2"/>
  <c r="BS374" i="2"/>
  <c r="BR374" i="2"/>
  <c r="BQ374" i="2"/>
  <c r="BP374" i="2"/>
  <c r="BO374" i="2"/>
  <c r="BN374" i="2"/>
  <c r="BM374" i="2"/>
  <c r="BL374" i="2"/>
  <c r="BK374" i="2"/>
  <c r="BJ374" i="2"/>
  <c r="BI374" i="2"/>
  <c r="BH374" i="2"/>
  <c r="BG374" i="2"/>
  <c r="BF374" i="2"/>
  <c r="BE374" i="2"/>
  <c r="BD374" i="2"/>
  <c r="BC374" i="2"/>
  <c r="BB374" i="2"/>
  <c r="BA374" i="2"/>
  <c r="AZ374" i="2"/>
  <c r="AY374" i="2"/>
  <c r="AX374" i="2"/>
  <c r="AW374" i="2"/>
  <c r="AV374" i="2"/>
  <c r="AU374" i="2"/>
  <c r="AT374" i="2"/>
  <c r="AS374" i="2"/>
  <c r="AR374" i="2"/>
  <c r="AQ374" i="2"/>
  <c r="AP374" i="2"/>
  <c r="AO374" i="2"/>
  <c r="AN374" i="2"/>
  <c r="AM374" i="2"/>
  <c r="AL374" i="2"/>
  <c r="AK374" i="2"/>
  <c r="AE374" i="2"/>
  <c r="AA374" i="2"/>
  <c r="F374" i="2"/>
  <c r="E374" i="2"/>
  <c r="D374" i="2"/>
  <c r="CA373" i="2"/>
  <c r="BZ373" i="2"/>
  <c r="BY373" i="2"/>
  <c r="BX373" i="2"/>
  <c r="BW373" i="2"/>
  <c r="BV373" i="2"/>
  <c r="BU373" i="2"/>
  <c r="BT373" i="2"/>
  <c r="BS373" i="2"/>
  <c r="BR373" i="2"/>
  <c r="BQ373" i="2"/>
  <c r="BP373" i="2"/>
  <c r="BO373" i="2"/>
  <c r="BN373" i="2"/>
  <c r="BM373" i="2"/>
  <c r="BL373" i="2"/>
  <c r="BK373" i="2"/>
  <c r="BJ373" i="2"/>
  <c r="BI373" i="2"/>
  <c r="BH373" i="2"/>
  <c r="BG373" i="2"/>
  <c r="BF373" i="2"/>
  <c r="BE373" i="2"/>
  <c r="BD373" i="2"/>
  <c r="BC373" i="2"/>
  <c r="BB373" i="2"/>
  <c r="BA373" i="2"/>
  <c r="AZ373" i="2"/>
  <c r="AY373" i="2"/>
  <c r="AX373" i="2"/>
  <c r="AW373" i="2"/>
  <c r="AV373" i="2"/>
  <c r="AU373" i="2"/>
  <c r="AT373" i="2"/>
  <c r="AS373" i="2"/>
  <c r="AR373" i="2"/>
  <c r="AQ373" i="2"/>
  <c r="AP373" i="2"/>
  <c r="AO373" i="2"/>
  <c r="AN373" i="2"/>
  <c r="AM373" i="2"/>
  <c r="AL373" i="2"/>
  <c r="AK373" i="2"/>
  <c r="AE373" i="2"/>
  <c r="AA373" i="2"/>
  <c r="F373" i="2"/>
  <c r="E373" i="2"/>
  <c r="D373" i="2"/>
  <c r="CA372" i="2"/>
  <c r="BZ372" i="2"/>
  <c r="BY372" i="2"/>
  <c r="BX372" i="2"/>
  <c r="BW372" i="2"/>
  <c r="BV372" i="2"/>
  <c r="BU372" i="2"/>
  <c r="BT372" i="2"/>
  <c r="BS372" i="2"/>
  <c r="BR372" i="2"/>
  <c r="BQ372" i="2"/>
  <c r="BP372" i="2"/>
  <c r="BO372" i="2"/>
  <c r="BN372" i="2"/>
  <c r="BM372" i="2"/>
  <c r="BL372" i="2"/>
  <c r="BK372" i="2"/>
  <c r="BJ372" i="2"/>
  <c r="BI372" i="2"/>
  <c r="BH372" i="2"/>
  <c r="BG372" i="2"/>
  <c r="BF372" i="2"/>
  <c r="BE372" i="2"/>
  <c r="BD372" i="2"/>
  <c r="BC372" i="2"/>
  <c r="BB372" i="2"/>
  <c r="BA372" i="2"/>
  <c r="AZ372" i="2"/>
  <c r="AY372" i="2"/>
  <c r="AX372" i="2"/>
  <c r="AW372" i="2"/>
  <c r="AV372" i="2"/>
  <c r="AU372" i="2"/>
  <c r="AT372" i="2"/>
  <c r="AS372" i="2"/>
  <c r="AR372" i="2"/>
  <c r="AQ372" i="2"/>
  <c r="AP372" i="2"/>
  <c r="AO372" i="2"/>
  <c r="AN372" i="2"/>
  <c r="AM372" i="2"/>
  <c r="AL372" i="2"/>
  <c r="AK372" i="2"/>
  <c r="AE372" i="2"/>
  <c r="AA372" i="2"/>
  <c r="F372" i="2"/>
  <c r="E372" i="2"/>
  <c r="D372" i="2"/>
  <c r="CA371" i="2"/>
  <c r="BZ371" i="2"/>
  <c r="BY371" i="2"/>
  <c r="BX371" i="2"/>
  <c r="BW371" i="2"/>
  <c r="BV371" i="2"/>
  <c r="BU371" i="2"/>
  <c r="BT371" i="2"/>
  <c r="BS371" i="2"/>
  <c r="BR371" i="2"/>
  <c r="BQ371" i="2"/>
  <c r="BP371" i="2"/>
  <c r="BO371" i="2"/>
  <c r="BN371" i="2"/>
  <c r="BM371" i="2"/>
  <c r="BL371" i="2"/>
  <c r="BK371" i="2"/>
  <c r="BJ371" i="2"/>
  <c r="BI371" i="2"/>
  <c r="BH371" i="2"/>
  <c r="BG371" i="2"/>
  <c r="BF371" i="2"/>
  <c r="BE371" i="2"/>
  <c r="BD371" i="2"/>
  <c r="BC371" i="2"/>
  <c r="BB371" i="2"/>
  <c r="BA371" i="2"/>
  <c r="AZ371" i="2"/>
  <c r="AY371" i="2"/>
  <c r="AX371" i="2"/>
  <c r="AW371" i="2"/>
  <c r="AV371" i="2"/>
  <c r="AU371" i="2"/>
  <c r="AT371" i="2"/>
  <c r="AS371" i="2"/>
  <c r="AR371" i="2"/>
  <c r="AQ371" i="2"/>
  <c r="AP371" i="2"/>
  <c r="AO371" i="2"/>
  <c r="AN371" i="2"/>
  <c r="AM371" i="2"/>
  <c r="AL371" i="2"/>
  <c r="AK371" i="2"/>
  <c r="AE371" i="2"/>
  <c r="AA371" i="2"/>
  <c r="F371" i="2"/>
  <c r="E371" i="2"/>
  <c r="D371" i="2"/>
  <c r="CA370" i="2"/>
  <c r="BZ370" i="2"/>
  <c r="BY370" i="2"/>
  <c r="BX370" i="2"/>
  <c r="BW370" i="2"/>
  <c r="BV370" i="2"/>
  <c r="BU370" i="2"/>
  <c r="BT370" i="2"/>
  <c r="BS370" i="2"/>
  <c r="BR370" i="2"/>
  <c r="BQ370" i="2"/>
  <c r="BP370" i="2"/>
  <c r="BO370" i="2"/>
  <c r="BN370" i="2"/>
  <c r="BM370" i="2"/>
  <c r="BL370" i="2"/>
  <c r="BK370" i="2"/>
  <c r="BJ370" i="2"/>
  <c r="BI370" i="2"/>
  <c r="BH370" i="2"/>
  <c r="BG370" i="2"/>
  <c r="BF370" i="2"/>
  <c r="BE370" i="2"/>
  <c r="BD370" i="2"/>
  <c r="BC370" i="2"/>
  <c r="BB370" i="2"/>
  <c r="BA370" i="2"/>
  <c r="AZ370" i="2"/>
  <c r="AY370" i="2"/>
  <c r="AX370" i="2"/>
  <c r="AW370" i="2"/>
  <c r="AV370" i="2"/>
  <c r="AU370" i="2"/>
  <c r="AT370" i="2"/>
  <c r="AS370" i="2"/>
  <c r="AR370" i="2"/>
  <c r="AQ370" i="2"/>
  <c r="AP370" i="2"/>
  <c r="AO370" i="2"/>
  <c r="AN370" i="2"/>
  <c r="AM370" i="2"/>
  <c r="AL370" i="2"/>
  <c r="AK370" i="2"/>
  <c r="AE370" i="2"/>
  <c r="AA370" i="2"/>
  <c r="F370" i="2"/>
  <c r="E370" i="2"/>
  <c r="D370" i="2"/>
  <c r="CA369" i="2"/>
  <c r="BZ369" i="2"/>
  <c r="BY369" i="2"/>
  <c r="BX369" i="2"/>
  <c r="BW369" i="2"/>
  <c r="BV369" i="2"/>
  <c r="BU369" i="2"/>
  <c r="BT369" i="2"/>
  <c r="BS369" i="2"/>
  <c r="BR369" i="2"/>
  <c r="BQ369" i="2"/>
  <c r="BP369" i="2"/>
  <c r="BO369" i="2"/>
  <c r="BN369" i="2"/>
  <c r="BM369" i="2"/>
  <c r="BL369" i="2"/>
  <c r="BK369" i="2"/>
  <c r="BJ369" i="2"/>
  <c r="BI369" i="2"/>
  <c r="BH369" i="2"/>
  <c r="BG369" i="2"/>
  <c r="BF369" i="2"/>
  <c r="BE369" i="2"/>
  <c r="BD369" i="2"/>
  <c r="BC369" i="2"/>
  <c r="BB369" i="2"/>
  <c r="BA369" i="2"/>
  <c r="AZ369" i="2"/>
  <c r="AY369" i="2"/>
  <c r="AX369" i="2"/>
  <c r="AW369" i="2"/>
  <c r="AV369" i="2"/>
  <c r="AU369" i="2"/>
  <c r="AT369" i="2"/>
  <c r="AS369" i="2"/>
  <c r="AR369" i="2"/>
  <c r="AQ369" i="2"/>
  <c r="AP369" i="2"/>
  <c r="AO369" i="2"/>
  <c r="AN369" i="2"/>
  <c r="AM369" i="2"/>
  <c r="AL369" i="2"/>
  <c r="AK369" i="2"/>
  <c r="AE369" i="2"/>
  <c r="AA369" i="2"/>
  <c r="F369" i="2"/>
  <c r="E369" i="2"/>
  <c r="D369" i="2"/>
  <c r="CA368" i="2"/>
  <c r="BZ368" i="2"/>
  <c r="BY368" i="2"/>
  <c r="BX368" i="2"/>
  <c r="BW368" i="2"/>
  <c r="BV368" i="2"/>
  <c r="BU368" i="2"/>
  <c r="BT368" i="2"/>
  <c r="BS368" i="2"/>
  <c r="BR368" i="2"/>
  <c r="BQ368" i="2"/>
  <c r="BP368" i="2"/>
  <c r="BO368" i="2"/>
  <c r="BN368" i="2"/>
  <c r="BM368" i="2"/>
  <c r="BL368" i="2"/>
  <c r="BK368" i="2"/>
  <c r="BJ368" i="2"/>
  <c r="BI368" i="2"/>
  <c r="BH368" i="2"/>
  <c r="BG368" i="2"/>
  <c r="BF368" i="2"/>
  <c r="BE368" i="2"/>
  <c r="BD368" i="2"/>
  <c r="BC368" i="2"/>
  <c r="BB368" i="2"/>
  <c r="BA368" i="2"/>
  <c r="AZ368" i="2"/>
  <c r="AY368" i="2"/>
  <c r="AX368" i="2"/>
  <c r="AW368" i="2"/>
  <c r="AV368" i="2"/>
  <c r="AU368" i="2"/>
  <c r="AT368" i="2"/>
  <c r="AS368" i="2"/>
  <c r="AR368" i="2"/>
  <c r="AQ368" i="2"/>
  <c r="AP368" i="2"/>
  <c r="AO368" i="2"/>
  <c r="AN368" i="2"/>
  <c r="AM368" i="2"/>
  <c r="AL368" i="2"/>
  <c r="AK368" i="2"/>
  <c r="AE368" i="2"/>
  <c r="AA368" i="2"/>
  <c r="F368" i="2"/>
  <c r="E368" i="2"/>
  <c r="D368" i="2"/>
  <c r="CA367" i="2"/>
  <c r="BZ367" i="2"/>
  <c r="BY367" i="2"/>
  <c r="BX367" i="2"/>
  <c r="BW367" i="2"/>
  <c r="BV367" i="2"/>
  <c r="BU367" i="2"/>
  <c r="BT367" i="2"/>
  <c r="BS367" i="2"/>
  <c r="BR367" i="2"/>
  <c r="BQ367" i="2"/>
  <c r="BP367" i="2"/>
  <c r="BO367" i="2"/>
  <c r="BN367" i="2"/>
  <c r="BM367" i="2"/>
  <c r="BL367" i="2"/>
  <c r="BK367" i="2"/>
  <c r="BJ367" i="2"/>
  <c r="BI367" i="2"/>
  <c r="BH367" i="2"/>
  <c r="BG367" i="2"/>
  <c r="BF367" i="2"/>
  <c r="BE367" i="2"/>
  <c r="BD367" i="2"/>
  <c r="BC367" i="2"/>
  <c r="BB367" i="2"/>
  <c r="BA367" i="2"/>
  <c r="AZ367" i="2"/>
  <c r="AY367" i="2"/>
  <c r="AX367" i="2"/>
  <c r="AW367" i="2"/>
  <c r="AV367" i="2"/>
  <c r="AU367" i="2"/>
  <c r="AT367" i="2"/>
  <c r="AS367" i="2"/>
  <c r="AR367" i="2"/>
  <c r="AQ367" i="2"/>
  <c r="AP367" i="2"/>
  <c r="AO367" i="2"/>
  <c r="AN367" i="2"/>
  <c r="AM367" i="2"/>
  <c r="AL367" i="2"/>
  <c r="AK367" i="2"/>
  <c r="AE367" i="2"/>
  <c r="AA367" i="2"/>
  <c r="F367" i="2"/>
  <c r="E367" i="2"/>
  <c r="D367" i="2"/>
  <c r="CA366" i="2"/>
  <c r="BZ366" i="2"/>
  <c r="BY366" i="2"/>
  <c r="BX366" i="2"/>
  <c r="BW366" i="2"/>
  <c r="BV366" i="2"/>
  <c r="BU366" i="2"/>
  <c r="BT366" i="2"/>
  <c r="BS366" i="2"/>
  <c r="BR366" i="2"/>
  <c r="BQ366" i="2"/>
  <c r="BP366" i="2"/>
  <c r="BO366" i="2"/>
  <c r="BN366" i="2"/>
  <c r="BM366" i="2"/>
  <c r="BL366" i="2"/>
  <c r="BK366" i="2"/>
  <c r="BJ366" i="2"/>
  <c r="BI366" i="2"/>
  <c r="BH366" i="2"/>
  <c r="BG366" i="2"/>
  <c r="BF366" i="2"/>
  <c r="BE366" i="2"/>
  <c r="BD366" i="2"/>
  <c r="BC366" i="2"/>
  <c r="BB366" i="2"/>
  <c r="BA366" i="2"/>
  <c r="AZ366" i="2"/>
  <c r="AY366" i="2"/>
  <c r="AX366" i="2"/>
  <c r="AW366" i="2"/>
  <c r="AV366" i="2"/>
  <c r="AU366" i="2"/>
  <c r="AT366" i="2"/>
  <c r="AS366" i="2"/>
  <c r="AR366" i="2"/>
  <c r="AQ366" i="2"/>
  <c r="AP366" i="2"/>
  <c r="AO366" i="2"/>
  <c r="AN366" i="2"/>
  <c r="AM366" i="2"/>
  <c r="AL366" i="2"/>
  <c r="AK366" i="2"/>
  <c r="AE366" i="2"/>
  <c r="AA366" i="2"/>
  <c r="F366" i="2"/>
  <c r="E366" i="2"/>
  <c r="D366" i="2"/>
  <c r="CA365" i="2"/>
  <c r="BZ365" i="2"/>
  <c r="BY365" i="2"/>
  <c r="BX365" i="2"/>
  <c r="BW365" i="2"/>
  <c r="BV365" i="2"/>
  <c r="BU365" i="2"/>
  <c r="BT365" i="2"/>
  <c r="BS365" i="2"/>
  <c r="BR365" i="2"/>
  <c r="BQ365" i="2"/>
  <c r="BP365" i="2"/>
  <c r="BO365" i="2"/>
  <c r="BN365" i="2"/>
  <c r="BM365" i="2"/>
  <c r="BL365" i="2"/>
  <c r="BK365" i="2"/>
  <c r="BJ365" i="2"/>
  <c r="BI365" i="2"/>
  <c r="BH365" i="2"/>
  <c r="BG365" i="2"/>
  <c r="BF365" i="2"/>
  <c r="BE365" i="2"/>
  <c r="BD365" i="2"/>
  <c r="BC365" i="2"/>
  <c r="BB365" i="2"/>
  <c r="BA365" i="2"/>
  <c r="AZ365" i="2"/>
  <c r="AY365" i="2"/>
  <c r="AX365" i="2"/>
  <c r="AW365" i="2"/>
  <c r="AV365" i="2"/>
  <c r="AU365" i="2"/>
  <c r="AT365" i="2"/>
  <c r="AS365" i="2"/>
  <c r="AR365" i="2"/>
  <c r="AQ365" i="2"/>
  <c r="AP365" i="2"/>
  <c r="AO365" i="2"/>
  <c r="AN365" i="2"/>
  <c r="AM365" i="2"/>
  <c r="AL365" i="2"/>
  <c r="AK365" i="2"/>
  <c r="AE365" i="2"/>
  <c r="AA365" i="2"/>
  <c r="F365" i="2"/>
  <c r="E365" i="2"/>
  <c r="D365" i="2"/>
  <c r="CA364" i="2"/>
  <c r="BZ364" i="2"/>
  <c r="BY364" i="2"/>
  <c r="BX364" i="2"/>
  <c r="BW364" i="2"/>
  <c r="BV364" i="2"/>
  <c r="BU364" i="2"/>
  <c r="BT364" i="2"/>
  <c r="BS364" i="2"/>
  <c r="BR364" i="2"/>
  <c r="BQ364" i="2"/>
  <c r="BP364" i="2"/>
  <c r="BO364" i="2"/>
  <c r="BN364" i="2"/>
  <c r="BM364" i="2"/>
  <c r="BL364" i="2"/>
  <c r="BK364" i="2"/>
  <c r="BJ364" i="2"/>
  <c r="BI364" i="2"/>
  <c r="BH364" i="2"/>
  <c r="BG364" i="2"/>
  <c r="BF364" i="2"/>
  <c r="BE364" i="2"/>
  <c r="BD364" i="2"/>
  <c r="BC364" i="2"/>
  <c r="BB364" i="2"/>
  <c r="BA364" i="2"/>
  <c r="AZ364" i="2"/>
  <c r="AY364" i="2"/>
  <c r="AX364" i="2"/>
  <c r="AW364" i="2"/>
  <c r="AV364" i="2"/>
  <c r="AU364" i="2"/>
  <c r="AT364" i="2"/>
  <c r="AS364" i="2"/>
  <c r="AR364" i="2"/>
  <c r="AQ364" i="2"/>
  <c r="AP364" i="2"/>
  <c r="AO364" i="2"/>
  <c r="AN364" i="2"/>
  <c r="AM364" i="2"/>
  <c r="AL364" i="2"/>
  <c r="AK364" i="2"/>
  <c r="AE364" i="2"/>
  <c r="AA364" i="2"/>
  <c r="F364" i="2"/>
  <c r="E364" i="2"/>
  <c r="D364" i="2"/>
  <c r="CA363" i="2"/>
  <c r="BZ363" i="2"/>
  <c r="BY363" i="2"/>
  <c r="BX363" i="2"/>
  <c r="BW363" i="2"/>
  <c r="BV363" i="2"/>
  <c r="BU363" i="2"/>
  <c r="BT363" i="2"/>
  <c r="BS363" i="2"/>
  <c r="BR363" i="2"/>
  <c r="BQ363" i="2"/>
  <c r="BP363" i="2"/>
  <c r="BO363" i="2"/>
  <c r="BN363" i="2"/>
  <c r="BM363" i="2"/>
  <c r="BL363" i="2"/>
  <c r="BK363" i="2"/>
  <c r="BJ363" i="2"/>
  <c r="BI363" i="2"/>
  <c r="BH363" i="2"/>
  <c r="BG363" i="2"/>
  <c r="BF363" i="2"/>
  <c r="BE363" i="2"/>
  <c r="BD363" i="2"/>
  <c r="BC363" i="2"/>
  <c r="BB363" i="2"/>
  <c r="BA363" i="2"/>
  <c r="AZ363" i="2"/>
  <c r="AY363" i="2"/>
  <c r="AX363" i="2"/>
  <c r="AW363" i="2"/>
  <c r="AV363" i="2"/>
  <c r="AU363" i="2"/>
  <c r="AT363" i="2"/>
  <c r="AS363" i="2"/>
  <c r="AR363" i="2"/>
  <c r="AQ363" i="2"/>
  <c r="AP363" i="2"/>
  <c r="AO363" i="2"/>
  <c r="AN363" i="2"/>
  <c r="AM363" i="2"/>
  <c r="AL363" i="2"/>
  <c r="AK363" i="2"/>
  <c r="AE363" i="2"/>
  <c r="AA363" i="2"/>
  <c r="F363" i="2"/>
  <c r="E363" i="2"/>
  <c r="D363" i="2"/>
  <c r="CA362" i="2"/>
  <c r="BZ362" i="2"/>
  <c r="BY362" i="2"/>
  <c r="BX362" i="2"/>
  <c r="BW362" i="2"/>
  <c r="BV362" i="2"/>
  <c r="BU362" i="2"/>
  <c r="BT362" i="2"/>
  <c r="BS362" i="2"/>
  <c r="BR362" i="2"/>
  <c r="BQ362" i="2"/>
  <c r="BP362" i="2"/>
  <c r="BO362" i="2"/>
  <c r="BN362" i="2"/>
  <c r="BM362" i="2"/>
  <c r="BL362" i="2"/>
  <c r="BK362" i="2"/>
  <c r="BJ362" i="2"/>
  <c r="BI362" i="2"/>
  <c r="BH362" i="2"/>
  <c r="BG362" i="2"/>
  <c r="BF362" i="2"/>
  <c r="BE362" i="2"/>
  <c r="BD362" i="2"/>
  <c r="BC362" i="2"/>
  <c r="BB362" i="2"/>
  <c r="BA362" i="2"/>
  <c r="AZ362" i="2"/>
  <c r="AY362" i="2"/>
  <c r="AX362" i="2"/>
  <c r="AW362" i="2"/>
  <c r="AV362" i="2"/>
  <c r="AU362" i="2"/>
  <c r="AT362" i="2"/>
  <c r="AS362" i="2"/>
  <c r="AR362" i="2"/>
  <c r="AQ362" i="2"/>
  <c r="AP362" i="2"/>
  <c r="AO362" i="2"/>
  <c r="AN362" i="2"/>
  <c r="AM362" i="2"/>
  <c r="AL362" i="2"/>
  <c r="AK362" i="2"/>
  <c r="AE362" i="2"/>
  <c r="AA362" i="2"/>
  <c r="F362" i="2"/>
  <c r="E362" i="2"/>
  <c r="D362" i="2"/>
  <c r="CA361" i="2"/>
  <c r="BZ361" i="2"/>
  <c r="BY361" i="2"/>
  <c r="BX361" i="2"/>
  <c r="BW361" i="2"/>
  <c r="BV361" i="2"/>
  <c r="BU361" i="2"/>
  <c r="BT361" i="2"/>
  <c r="BS361" i="2"/>
  <c r="BR361" i="2"/>
  <c r="BQ361" i="2"/>
  <c r="BP361" i="2"/>
  <c r="BO361" i="2"/>
  <c r="BN361" i="2"/>
  <c r="BM361" i="2"/>
  <c r="BL361" i="2"/>
  <c r="BK361" i="2"/>
  <c r="BJ361" i="2"/>
  <c r="BI361" i="2"/>
  <c r="BH361" i="2"/>
  <c r="BG361" i="2"/>
  <c r="BF361" i="2"/>
  <c r="BE361" i="2"/>
  <c r="BD361" i="2"/>
  <c r="BC361" i="2"/>
  <c r="BB361" i="2"/>
  <c r="BA361" i="2"/>
  <c r="AZ361" i="2"/>
  <c r="AY361" i="2"/>
  <c r="AX361" i="2"/>
  <c r="AW361" i="2"/>
  <c r="AV361" i="2"/>
  <c r="AU361" i="2"/>
  <c r="AT361" i="2"/>
  <c r="AS361" i="2"/>
  <c r="AR361" i="2"/>
  <c r="AQ361" i="2"/>
  <c r="AP361" i="2"/>
  <c r="AO361" i="2"/>
  <c r="AN361" i="2"/>
  <c r="AM361" i="2"/>
  <c r="AL361" i="2"/>
  <c r="AK361" i="2"/>
  <c r="AE361" i="2"/>
  <c r="AA361" i="2"/>
  <c r="F361" i="2"/>
  <c r="E361" i="2"/>
  <c r="D361" i="2"/>
  <c r="CA360" i="2"/>
  <c r="BZ360" i="2"/>
  <c r="BY360" i="2"/>
  <c r="BX360" i="2"/>
  <c r="BW360" i="2"/>
  <c r="BV360" i="2"/>
  <c r="BU360" i="2"/>
  <c r="BT360" i="2"/>
  <c r="BS360" i="2"/>
  <c r="BR360" i="2"/>
  <c r="BQ360" i="2"/>
  <c r="BP360" i="2"/>
  <c r="BO360" i="2"/>
  <c r="BN360" i="2"/>
  <c r="BM360" i="2"/>
  <c r="BL360" i="2"/>
  <c r="BK360" i="2"/>
  <c r="BJ360" i="2"/>
  <c r="BI360" i="2"/>
  <c r="BH360" i="2"/>
  <c r="BG360" i="2"/>
  <c r="BF360" i="2"/>
  <c r="BE360" i="2"/>
  <c r="BD360" i="2"/>
  <c r="BC360" i="2"/>
  <c r="BB360" i="2"/>
  <c r="BA360" i="2"/>
  <c r="AZ360" i="2"/>
  <c r="AY360" i="2"/>
  <c r="AX360" i="2"/>
  <c r="AW360" i="2"/>
  <c r="AV360" i="2"/>
  <c r="AU360" i="2"/>
  <c r="AT360" i="2"/>
  <c r="AS360" i="2"/>
  <c r="AR360" i="2"/>
  <c r="AQ360" i="2"/>
  <c r="AP360" i="2"/>
  <c r="AO360" i="2"/>
  <c r="AN360" i="2"/>
  <c r="AM360" i="2"/>
  <c r="AL360" i="2"/>
  <c r="AK360" i="2"/>
  <c r="AE360" i="2"/>
  <c r="AA360" i="2"/>
  <c r="F360" i="2"/>
  <c r="E360" i="2"/>
  <c r="D360" i="2"/>
  <c r="CA359" i="2"/>
  <c r="BZ359" i="2"/>
  <c r="BY359" i="2"/>
  <c r="BX359" i="2"/>
  <c r="BW359" i="2"/>
  <c r="BV359" i="2"/>
  <c r="BU359" i="2"/>
  <c r="BT359" i="2"/>
  <c r="BS359" i="2"/>
  <c r="BR359" i="2"/>
  <c r="BQ359" i="2"/>
  <c r="BP359" i="2"/>
  <c r="BO359" i="2"/>
  <c r="BN359" i="2"/>
  <c r="BM359" i="2"/>
  <c r="BL359" i="2"/>
  <c r="BK359" i="2"/>
  <c r="BJ359" i="2"/>
  <c r="BI359" i="2"/>
  <c r="BH359" i="2"/>
  <c r="BG359" i="2"/>
  <c r="BF359" i="2"/>
  <c r="BE359" i="2"/>
  <c r="BD359" i="2"/>
  <c r="BC359" i="2"/>
  <c r="BB359" i="2"/>
  <c r="BA359" i="2"/>
  <c r="AZ359" i="2"/>
  <c r="AY359" i="2"/>
  <c r="AX359" i="2"/>
  <c r="AW359" i="2"/>
  <c r="AV359" i="2"/>
  <c r="AU359" i="2"/>
  <c r="AT359" i="2"/>
  <c r="AS359" i="2"/>
  <c r="AR359" i="2"/>
  <c r="AQ359" i="2"/>
  <c r="AP359" i="2"/>
  <c r="AO359" i="2"/>
  <c r="AN359" i="2"/>
  <c r="AM359" i="2"/>
  <c r="AL359" i="2"/>
  <c r="AK359" i="2"/>
  <c r="AE359" i="2"/>
  <c r="AA359" i="2"/>
  <c r="F359" i="2"/>
  <c r="E359" i="2"/>
  <c r="D359" i="2"/>
  <c r="CA358" i="2"/>
  <c r="BZ358" i="2"/>
  <c r="BY358" i="2"/>
  <c r="BX358" i="2"/>
  <c r="BW358" i="2"/>
  <c r="BV358" i="2"/>
  <c r="BU358" i="2"/>
  <c r="BT358" i="2"/>
  <c r="BS358" i="2"/>
  <c r="BR358" i="2"/>
  <c r="BQ358" i="2"/>
  <c r="BP358" i="2"/>
  <c r="BO358" i="2"/>
  <c r="BN358" i="2"/>
  <c r="BM358" i="2"/>
  <c r="BL358" i="2"/>
  <c r="BK358" i="2"/>
  <c r="BJ358" i="2"/>
  <c r="BI358" i="2"/>
  <c r="BH358" i="2"/>
  <c r="BG358" i="2"/>
  <c r="BF358" i="2"/>
  <c r="BE358" i="2"/>
  <c r="BD358" i="2"/>
  <c r="BC358" i="2"/>
  <c r="BB358" i="2"/>
  <c r="BA358" i="2"/>
  <c r="AZ358" i="2"/>
  <c r="AY358" i="2"/>
  <c r="AX358" i="2"/>
  <c r="AW358" i="2"/>
  <c r="AV358" i="2"/>
  <c r="AU358" i="2"/>
  <c r="AT358" i="2"/>
  <c r="AS358" i="2"/>
  <c r="AR358" i="2"/>
  <c r="AQ358" i="2"/>
  <c r="AP358" i="2"/>
  <c r="AO358" i="2"/>
  <c r="AN358" i="2"/>
  <c r="AM358" i="2"/>
  <c r="AL358" i="2"/>
  <c r="AK358" i="2"/>
  <c r="AE358" i="2"/>
  <c r="AA358" i="2"/>
  <c r="F358" i="2"/>
  <c r="E358" i="2"/>
  <c r="D358" i="2"/>
  <c r="CA357" i="2"/>
  <c r="BZ357" i="2"/>
  <c r="BY357" i="2"/>
  <c r="BX357" i="2"/>
  <c r="BW357" i="2"/>
  <c r="BV357" i="2"/>
  <c r="BU357" i="2"/>
  <c r="BT357" i="2"/>
  <c r="BS357" i="2"/>
  <c r="BR357" i="2"/>
  <c r="BQ357" i="2"/>
  <c r="BP357" i="2"/>
  <c r="BO357" i="2"/>
  <c r="BN357" i="2"/>
  <c r="BM357" i="2"/>
  <c r="BL357" i="2"/>
  <c r="BK357" i="2"/>
  <c r="BJ357" i="2"/>
  <c r="BI357" i="2"/>
  <c r="BH357" i="2"/>
  <c r="BG357" i="2"/>
  <c r="BF357" i="2"/>
  <c r="BE357" i="2"/>
  <c r="BD357" i="2"/>
  <c r="BC357" i="2"/>
  <c r="BB357" i="2"/>
  <c r="BA357" i="2"/>
  <c r="AZ357" i="2"/>
  <c r="AY357" i="2"/>
  <c r="AX357" i="2"/>
  <c r="AW357" i="2"/>
  <c r="AV357" i="2"/>
  <c r="AU357" i="2"/>
  <c r="AT357" i="2"/>
  <c r="AS357" i="2"/>
  <c r="AR357" i="2"/>
  <c r="AQ357" i="2"/>
  <c r="AP357" i="2"/>
  <c r="AO357" i="2"/>
  <c r="AN357" i="2"/>
  <c r="AM357" i="2"/>
  <c r="AL357" i="2"/>
  <c r="AK357" i="2"/>
  <c r="AE357" i="2"/>
  <c r="AA357" i="2"/>
  <c r="F357" i="2"/>
  <c r="E357" i="2"/>
  <c r="D357" i="2"/>
  <c r="CA356" i="2"/>
  <c r="BZ356" i="2"/>
  <c r="BY356" i="2"/>
  <c r="BX356" i="2"/>
  <c r="BW356" i="2"/>
  <c r="BV356" i="2"/>
  <c r="BU356" i="2"/>
  <c r="BT356" i="2"/>
  <c r="BS356" i="2"/>
  <c r="BR356" i="2"/>
  <c r="BQ356" i="2"/>
  <c r="BP356" i="2"/>
  <c r="BO356" i="2"/>
  <c r="BN356" i="2"/>
  <c r="BM356" i="2"/>
  <c r="BL356" i="2"/>
  <c r="BK356" i="2"/>
  <c r="BJ356" i="2"/>
  <c r="BI356" i="2"/>
  <c r="BH356" i="2"/>
  <c r="BG356" i="2"/>
  <c r="BF356" i="2"/>
  <c r="BE356" i="2"/>
  <c r="BD356" i="2"/>
  <c r="BC356" i="2"/>
  <c r="BB356" i="2"/>
  <c r="BA356" i="2"/>
  <c r="AZ356" i="2"/>
  <c r="AY356" i="2"/>
  <c r="AX356" i="2"/>
  <c r="AW356" i="2"/>
  <c r="AV356" i="2"/>
  <c r="AU356" i="2"/>
  <c r="AT356" i="2"/>
  <c r="AS356" i="2"/>
  <c r="AR356" i="2"/>
  <c r="AQ356" i="2"/>
  <c r="AP356" i="2"/>
  <c r="AO356" i="2"/>
  <c r="AN356" i="2"/>
  <c r="AM356" i="2"/>
  <c r="AL356" i="2"/>
  <c r="AK356" i="2"/>
  <c r="AE356" i="2"/>
  <c r="AA356" i="2"/>
  <c r="F356" i="2"/>
  <c r="E356" i="2"/>
  <c r="D356" i="2"/>
  <c r="CA355" i="2"/>
  <c r="BZ355" i="2"/>
  <c r="BY355" i="2"/>
  <c r="BX355" i="2"/>
  <c r="BW355" i="2"/>
  <c r="BV355" i="2"/>
  <c r="BU355" i="2"/>
  <c r="BT355" i="2"/>
  <c r="BS355" i="2"/>
  <c r="BR355" i="2"/>
  <c r="BQ355" i="2"/>
  <c r="BP355" i="2"/>
  <c r="BO355" i="2"/>
  <c r="BN355" i="2"/>
  <c r="BM355" i="2"/>
  <c r="BL355" i="2"/>
  <c r="BK355" i="2"/>
  <c r="BJ355" i="2"/>
  <c r="BI355" i="2"/>
  <c r="BH355" i="2"/>
  <c r="BG355" i="2"/>
  <c r="BF355" i="2"/>
  <c r="BE355" i="2"/>
  <c r="BD355" i="2"/>
  <c r="BC355" i="2"/>
  <c r="BB355" i="2"/>
  <c r="BA355" i="2"/>
  <c r="AZ355" i="2"/>
  <c r="AY355" i="2"/>
  <c r="AX355" i="2"/>
  <c r="AW355" i="2"/>
  <c r="AV355" i="2"/>
  <c r="AU355" i="2"/>
  <c r="AT355" i="2"/>
  <c r="AS355" i="2"/>
  <c r="AR355" i="2"/>
  <c r="AQ355" i="2"/>
  <c r="AP355" i="2"/>
  <c r="AO355" i="2"/>
  <c r="AN355" i="2"/>
  <c r="AM355" i="2"/>
  <c r="AL355" i="2"/>
  <c r="AK355" i="2"/>
  <c r="AE355" i="2"/>
  <c r="AA355" i="2"/>
  <c r="F355" i="2"/>
  <c r="E355" i="2"/>
  <c r="D355" i="2"/>
  <c r="CA354" i="2"/>
  <c r="BZ354" i="2"/>
  <c r="BY354" i="2"/>
  <c r="BX354" i="2"/>
  <c r="BW354" i="2"/>
  <c r="BV354" i="2"/>
  <c r="BU354" i="2"/>
  <c r="BT354" i="2"/>
  <c r="BS354" i="2"/>
  <c r="BR354" i="2"/>
  <c r="BQ354" i="2"/>
  <c r="BP354" i="2"/>
  <c r="BO354" i="2"/>
  <c r="BN354" i="2"/>
  <c r="BM354" i="2"/>
  <c r="BL354" i="2"/>
  <c r="BK354" i="2"/>
  <c r="BJ354" i="2"/>
  <c r="BI354" i="2"/>
  <c r="BH354" i="2"/>
  <c r="BG354" i="2"/>
  <c r="BF354" i="2"/>
  <c r="BE354" i="2"/>
  <c r="BD354" i="2"/>
  <c r="BC354" i="2"/>
  <c r="BB354" i="2"/>
  <c r="BA354" i="2"/>
  <c r="AZ354" i="2"/>
  <c r="AY354" i="2"/>
  <c r="AX354" i="2"/>
  <c r="AW354" i="2"/>
  <c r="AV354" i="2"/>
  <c r="AU354" i="2"/>
  <c r="AT354" i="2"/>
  <c r="AS354" i="2"/>
  <c r="AR354" i="2"/>
  <c r="AQ354" i="2"/>
  <c r="AP354" i="2"/>
  <c r="AO354" i="2"/>
  <c r="AN354" i="2"/>
  <c r="AM354" i="2"/>
  <c r="AL354" i="2"/>
  <c r="AK354" i="2"/>
  <c r="AE354" i="2"/>
  <c r="AA354" i="2"/>
  <c r="F354" i="2"/>
  <c r="E354" i="2"/>
  <c r="D354" i="2"/>
  <c r="CA353" i="2"/>
  <c r="BZ353" i="2"/>
  <c r="BY353" i="2"/>
  <c r="BX353" i="2"/>
  <c r="BW353" i="2"/>
  <c r="BV353" i="2"/>
  <c r="BU353" i="2"/>
  <c r="BT353" i="2"/>
  <c r="BS353" i="2"/>
  <c r="BR353" i="2"/>
  <c r="BQ353" i="2"/>
  <c r="BP353" i="2"/>
  <c r="BO353" i="2"/>
  <c r="BN353" i="2"/>
  <c r="BM353" i="2"/>
  <c r="BL353" i="2"/>
  <c r="BK353" i="2"/>
  <c r="BJ353" i="2"/>
  <c r="BI353" i="2"/>
  <c r="BH353" i="2"/>
  <c r="BG353" i="2"/>
  <c r="BF353" i="2"/>
  <c r="BE353" i="2"/>
  <c r="BD353" i="2"/>
  <c r="BC353" i="2"/>
  <c r="BB353" i="2"/>
  <c r="BA353" i="2"/>
  <c r="AZ353" i="2"/>
  <c r="AY353" i="2"/>
  <c r="AX353" i="2"/>
  <c r="AW353" i="2"/>
  <c r="AV353" i="2"/>
  <c r="AU353" i="2"/>
  <c r="AT353" i="2"/>
  <c r="AS353" i="2"/>
  <c r="AR353" i="2"/>
  <c r="AQ353" i="2"/>
  <c r="AP353" i="2"/>
  <c r="AO353" i="2"/>
  <c r="AN353" i="2"/>
  <c r="AM353" i="2"/>
  <c r="AL353" i="2"/>
  <c r="AK353" i="2"/>
  <c r="AE353" i="2"/>
  <c r="AA353" i="2"/>
  <c r="F353" i="2"/>
  <c r="E353" i="2"/>
  <c r="D353" i="2"/>
  <c r="CA352" i="2"/>
  <c r="BZ352" i="2"/>
  <c r="BY352" i="2"/>
  <c r="BX352" i="2"/>
  <c r="BW352" i="2"/>
  <c r="BV352" i="2"/>
  <c r="BU352" i="2"/>
  <c r="BT352" i="2"/>
  <c r="BS352" i="2"/>
  <c r="BR352" i="2"/>
  <c r="BQ352" i="2"/>
  <c r="BP352" i="2"/>
  <c r="BO352" i="2"/>
  <c r="BN352" i="2"/>
  <c r="BM352" i="2"/>
  <c r="BL352" i="2"/>
  <c r="BK352" i="2"/>
  <c r="BJ352" i="2"/>
  <c r="BI352" i="2"/>
  <c r="BH352" i="2"/>
  <c r="BG352" i="2"/>
  <c r="BF352" i="2"/>
  <c r="BE352" i="2"/>
  <c r="BD352" i="2"/>
  <c r="BC352" i="2"/>
  <c r="BB352" i="2"/>
  <c r="BA352" i="2"/>
  <c r="AZ352" i="2"/>
  <c r="AY352" i="2"/>
  <c r="AX352" i="2"/>
  <c r="AW352" i="2"/>
  <c r="AV352" i="2"/>
  <c r="AU352" i="2"/>
  <c r="AT352" i="2"/>
  <c r="AS352" i="2"/>
  <c r="AR352" i="2"/>
  <c r="AQ352" i="2"/>
  <c r="AP352" i="2"/>
  <c r="AO352" i="2"/>
  <c r="AN352" i="2"/>
  <c r="AM352" i="2"/>
  <c r="AL352" i="2"/>
  <c r="AK352" i="2"/>
  <c r="AE352" i="2"/>
  <c r="AA352" i="2"/>
  <c r="F352" i="2"/>
  <c r="E352" i="2"/>
  <c r="D352" i="2"/>
  <c r="CA351" i="2"/>
  <c r="BZ351" i="2"/>
  <c r="BY351" i="2"/>
  <c r="BX351" i="2"/>
  <c r="BW351" i="2"/>
  <c r="BV351" i="2"/>
  <c r="BU351" i="2"/>
  <c r="BT351" i="2"/>
  <c r="BS351" i="2"/>
  <c r="BR351" i="2"/>
  <c r="BQ351" i="2"/>
  <c r="BP351" i="2"/>
  <c r="BO351" i="2"/>
  <c r="BN351" i="2"/>
  <c r="BM351" i="2"/>
  <c r="BL351" i="2"/>
  <c r="BK351" i="2"/>
  <c r="BJ351" i="2"/>
  <c r="BI351" i="2"/>
  <c r="BH351" i="2"/>
  <c r="BG351" i="2"/>
  <c r="BF351" i="2"/>
  <c r="BE351" i="2"/>
  <c r="BD351" i="2"/>
  <c r="BC351" i="2"/>
  <c r="BB351" i="2"/>
  <c r="BA351" i="2"/>
  <c r="AZ351" i="2"/>
  <c r="AY351" i="2"/>
  <c r="AX351" i="2"/>
  <c r="AW351" i="2"/>
  <c r="AV351" i="2"/>
  <c r="AU351" i="2"/>
  <c r="AT351" i="2"/>
  <c r="AS351" i="2"/>
  <c r="AR351" i="2"/>
  <c r="AQ351" i="2"/>
  <c r="AP351" i="2"/>
  <c r="AO351" i="2"/>
  <c r="AN351" i="2"/>
  <c r="AM351" i="2"/>
  <c r="AL351" i="2"/>
  <c r="AK351" i="2"/>
  <c r="AE351" i="2"/>
  <c r="AA351" i="2"/>
  <c r="F351" i="2"/>
  <c r="E351" i="2"/>
  <c r="D351" i="2"/>
  <c r="CA350" i="2"/>
  <c r="BZ350" i="2"/>
  <c r="BY350" i="2"/>
  <c r="BX350" i="2"/>
  <c r="BW350" i="2"/>
  <c r="BV350" i="2"/>
  <c r="BU350" i="2"/>
  <c r="BT350" i="2"/>
  <c r="BS350" i="2"/>
  <c r="BR350" i="2"/>
  <c r="BQ350" i="2"/>
  <c r="BP350" i="2"/>
  <c r="BO350" i="2"/>
  <c r="BN350" i="2"/>
  <c r="BM350" i="2"/>
  <c r="BL350" i="2"/>
  <c r="BK350" i="2"/>
  <c r="BJ350" i="2"/>
  <c r="BI350" i="2"/>
  <c r="BH350" i="2"/>
  <c r="BG350" i="2"/>
  <c r="BF350" i="2"/>
  <c r="BE350" i="2"/>
  <c r="BD350" i="2"/>
  <c r="BC350" i="2"/>
  <c r="BB350" i="2"/>
  <c r="BA350" i="2"/>
  <c r="AZ350" i="2"/>
  <c r="AY350" i="2"/>
  <c r="AX350" i="2"/>
  <c r="AW350" i="2"/>
  <c r="AV350" i="2"/>
  <c r="AU350" i="2"/>
  <c r="AT350" i="2"/>
  <c r="AS350" i="2"/>
  <c r="AR350" i="2"/>
  <c r="AQ350" i="2"/>
  <c r="AP350" i="2"/>
  <c r="AO350" i="2"/>
  <c r="AN350" i="2"/>
  <c r="AM350" i="2"/>
  <c r="AL350" i="2"/>
  <c r="AK350" i="2"/>
  <c r="AE350" i="2"/>
  <c r="AA350" i="2"/>
  <c r="F350" i="2"/>
  <c r="E350" i="2"/>
  <c r="D350" i="2"/>
  <c r="CA349" i="2"/>
  <c r="BZ349" i="2"/>
  <c r="BY349" i="2"/>
  <c r="BX349" i="2"/>
  <c r="BW349" i="2"/>
  <c r="BV349" i="2"/>
  <c r="BU349" i="2"/>
  <c r="BT349" i="2"/>
  <c r="BS349" i="2"/>
  <c r="BR349" i="2"/>
  <c r="BQ349" i="2"/>
  <c r="BP349" i="2"/>
  <c r="BO349" i="2"/>
  <c r="BN349" i="2"/>
  <c r="BM349" i="2"/>
  <c r="BL349" i="2"/>
  <c r="BK349" i="2"/>
  <c r="BJ349" i="2"/>
  <c r="BI349" i="2"/>
  <c r="BH349" i="2"/>
  <c r="BG349" i="2"/>
  <c r="BF349" i="2"/>
  <c r="BE349" i="2"/>
  <c r="BD349" i="2"/>
  <c r="BC349" i="2"/>
  <c r="BB349" i="2"/>
  <c r="BA349" i="2"/>
  <c r="AZ349" i="2"/>
  <c r="AY349" i="2"/>
  <c r="AX349" i="2"/>
  <c r="AW349" i="2"/>
  <c r="AV349" i="2"/>
  <c r="AU349" i="2"/>
  <c r="AT349" i="2"/>
  <c r="AS349" i="2"/>
  <c r="AR349" i="2"/>
  <c r="AQ349" i="2"/>
  <c r="AP349" i="2"/>
  <c r="AO349" i="2"/>
  <c r="AN349" i="2"/>
  <c r="AM349" i="2"/>
  <c r="AL349" i="2"/>
  <c r="AK349" i="2"/>
  <c r="AE349" i="2"/>
  <c r="AA349" i="2"/>
  <c r="F349" i="2"/>
  <c r="E349" i="2"/>
  <c r="D349" i="2"/>
  <c r="CA348" i="2"/>
  <c r="BZ348" i="2"/>
  <c r="BY348" i="2"/>
  <c r="BX348" i="2"/>
  <c r="BW348" i="2"/>
  <c r="BV348" i="2"/>
  <c r="BU348" i="2"/>
  <c r="BT348" i="2"/>
  <c r="BS348" i="2"/>
  <c r="BR348" i="2"/>
  <c r="BQ348" i="2"/>
  <c r="BP348" i="2"/>
  <c r="BO348" i="2"/>
  <c r="BN348" i="2"/>
  <c r="BM348" i="2"/>
  <c r="BL348" i="2"/>
  <c r="BK348" i="2"/>
  <c r="BJ348" i="2"/>
  <c r="BI348" i="2"/>
  <c r="BH348" i="2"/>
  <c r="BG348" i="2"/>
  <c r="BF348" i="2"/>
  <c r="BE348" i="2"/>
  <c r="BD348" i="2"/>
  <c r="BC348" i="2"/>
  <c r="BB348" i="2"/>
  <c r="BA348" i="2"/>
  <c r="AZ348" i="2"/>
  <c r="AY348" i="2"/>
  <c r="AX348" i="2"/>
  <c r="AW348" i="2"/>
  <c r="AV348" i="2"/>
  <c r="AU348" i="2"/>
  <c r="AT348" i="2"/>
  <c r="AS348" i="2"/>
  <c r="AR348" i="2"/>
  <c r="AQ348" i="2"/>
  <c r="AP348" i="2"/>
  <c r="AO348" i="2"/>
  <c r="AN348" i="2"/>
  <c r="AM348" i="2"/>
  <c r="AL348" i="2"/>
  <c r="AK348" i="2"/>
  <c r="AE348" i="2"/>
  <c r="AA348" i="2"/>
  <c r="F348" i="2"/>
  <c r="E348" i="2"/>
  <c r="D348" i="2"/>
  <c r="CA347" i="2"/>
  <c r="BZ347" i="2"/>
  <c r="BY347" i="2"/>
  <c r="BX347" i="2"/>
  <c r="BW347" i="2"/>
  <c r="BV347" i="2"/>
  <c r="BU347" i="2"/>
  <c r="BT347" i="2"/>
  <c r="BS347" i="2"/>
  <c r="BR347" i="2"/>
  <c r="BQ347" i="2"/>
  <c r="BP347" i="2"/>
  <c r="BO347" i="2"/>
  <c r="BN347" i="2"/>
  <c r="BM347" i="2"/>
  <c r="BL347" i="2"/>
  <c r="BK347" i="2"/>
  <c r="BJ347" i="2"/>
  <c r="BI347" i="2"/>
  <c r="BH347" i="2"/>
  <c r="BG347" i="2"/>
  <c r="BF347" i="2"/>
  <c r="BE347" i="2"/>
  <c r="BD347" i="2"/>
  <c r="BC347" i="2"/>
  <c r="BB347" i="2"/>
  <c r="BA347" i="2"/>
  <c r="AZ347" i="2"/>
  <c r="AY347" i="2"/>
  <c r="AX347" i="2"/>
  <c r="AW347" i="2"/>
  <c r="AV347" i="2"/>
  <c r="AU347" i="2"/>
  <c r="AT347" i="2"/>
  <c r="AS347" i="2"/>
  <c r="AR347" i="2"/>
  <c r="AQ347" i="2"/>
  <c r="AP347" i="2"/>
  <c r="AO347" i="2"/>
  <c r="AN347" i="2"/>
  <c r="AM347" i="2"/>
  <c r="AL347" i="2"/>
  <c r="AK347" i="2"/>
  <c r="AE347" i="2"/>
  <c r="AA347" i="2"/>
  <c r="F347" i="2"/>
  <c r="E347" i="2"/>
  <c r="D347" i="2"/>
  <c r="CA346" i="2"/>
  <c r="BZ346" i="2"/>
  <c r="BY346" i="2"/>
  <c r="BX346" i="2"/>
  <c r="BW346" i="2"/>
  <c r="BV346" i="2"/>
  <c r="BU346" i="2"/>
  <c r="BT346" i="2"/>
  <c r="BS346" i="2"/>
  <c r="BR346" i="2"/>
  <c r="BQ346" i="2"/>
  <c r="BP346" i="2"/>
  <c r="BO346" i="2"/>
  <c r="BN346" i="2"/>
  <c r="BM346" i="2"/>
  <c r="BL346" i="2"/>
  <c r="BK346" i="2"/>
  <c r="BJ346" i="2"/>
  <c r="BI346" i="2"/>
  <c r="BH346" i="2"/>
  <c r="BG346" i="2"/>
  <c r="BF346" i="2"/>
  <c r="BE346" i="2"/>
  <c r="BD346" i="2"/>
  <c r="BC346" i="2"/>
  <c r="BB346" i="2"/>
  <c r="BA346" i="2"/>
  <c r="AZ346" i="2"/>
  <c r="AY346" i="2"/>
  <c r="AX346" i="2"/>
  <c r="AW346" i="2"/>
  <c r="AV346" i="2"/>
  <c r="AU346" i="2"/>
  <c r="AT346" i="2"/>
  <c r="AS346" i="2"/>
  <c r="AR346" i="2"/>
  <c r="AQ346" i="2"/>
  <c r="AP346" i="2"/>
  <c r="AO346" i="2"/>
  <c r="AN346" i="2"/>
  <c r="AM346" i="2"/>
  <c r="AL346" i="2"/>
  <c r="AK346" i="2"/>
  <c r="AE346" i="2"/>
  <c r="AA346" i="2"/>
  <c r="F346" i="2"/>
  <c r="E346" i="2"/>
  <c r="D346" i="2"/>
  <c r="CA345" i="2"/>
  <c r="BZ345" i="2"/>
  <c r="BY345" i="2"/>
  <c r="BX345" i="2"/>
  <c r="BW345" i="2"/>
  <c r="BV345" i="2"/>
  <c r="BU345" i="2"/>
  <c r="BT345" i="2"/>
  <c r="BS345" i="2"/>
  <c r="BR345" i="2"/>
  <c r="BQ345" i="2"/>
  <c r="BP345" i="2"/>
  <c r="BO345" i="2"/>
  <c r="BN345" i="2"/>
  <c r="BM345" i="2"/>
  <c r="BL345" i="2"/>
  <c r="BK345" i="2"/>
  <c r="BJ345" i="2"/>
  <c r="BI345" i="2"/>
  <c r="BH345" i="2"/>
  <c r="BG345" i="2"/>
  <c r="BF345" i="2"/>
  <c r="BE345" i="2"/>
  <c r="BD345" i="2"/>
  <c r="BC345" i="2"/>
  <c r="BB345" i="2"/>
  <c r="BA345" i="2"/>
  <c r="AZ345" i="2"/>
  <c r="AY345" i="2"/>
  <c r="AX345" i="2"/>
  <c r="AW345" i="2"/>
  <c r="AV345" i="2"/>
  <c r="AU345" i="2"/>
  <c r="AT345" i="2"/>
  <c r="AS345" i="2"/>
  <c r="AR345" i="2"/>
  <c r="AQ345" i="2"/>
  <c r="AP345" i="2"/>
  <c r="AO345" i="2"/>
  <c r="AN345" i="2"/>
  <c r="AM345" i="2"/>
  <c r="AL345" i="2"/>
  <c r="AK345" i="2"/>
  <c r="AE345" i="2"/>
  <c r="AA345" i="2"/>
  <c r="F345" i="2"/>
  <c r="E345" i="2"/>
  <c r="D345" i="2"/>
  <c r="CA344" i="2"/>
  <c r="BZ344" i="2"/>
  <c r="BY344" i="2"/>
  <c r="BX344" i="2"/>
  <c r="BW344" i="2"/>
  <c r="BV344" i="2"/>
  <c r="BU344" i="2"/>
  <c r="BT344" i="2"/>
  <c r="BS344" i="2"/>
  <c r="BR344" i="2"/>
  <c r="BQ344" i="2"/>
  <c r="BP344" i="2"/>
  <c r="BO344" i="2"/>
  <c r="BN344" i="2"/>
  <c r="BM344" i="2"/>
  <c r="BL344" i="2"/>
  <c r="BK344" i="2"/>
  <c r="BJ344" i="2"/>
  <c r="BI344" i="2"/>
  <c r="BH344" i="2"/>
  <c r="BG344" i="2"/>
  <c r="BF344" i="2"/>
  <c r="BE344" i="2"/>
  <c r="BD344" i="2"/>
  <c r="BC344" i="2"/>
  <c r="BB344" i="2"/>
  <c r="BA344" i="2"/>
  <c r="AZ344" i="2"/>
  <c r="AY344" i="2"/>
  <c r="AX344" i="2"/>
  <c r="AW344" i="2"/>
  <c r="AV344" i="2"/>
  <c r="AU344" i="2"/>
  <c r="AT344" i="2"/>
  <c r="AS344" i="2"/>
  <c r="AR344" i="2"/>
  <c r="AQ344" i="2"/>
  <c r="AP344" i="2"/>
  <c r="AO344" i="2"/>
  <c r="AN344" i="2"/>
  <c r="AM344" i="2"/>
  <c r="AL344" i="2"/>
  <c r="AK344" i="2"/>
  <c r="AE344" i="2"/>
  <c r="AA344" i="2"/>
  <c r="F344" i="2"/>
  <c r="E344" i="2"/>
  <c r="D344" i="2"/>
  <c r="CA343" i="2"/>
  <c r="BZ343" i="2"/>
  <c r="BY343" i="2"/>
  <c r="BX343" i="2"/>
  <c r="BW343" i="2"/>
  <c r="BV343" i="2"/>
  <c r="BU343" i="2"/>
  <c r="BT343" i="2"/>
  <c r="BS343" i="2"/>
  <c r="BR343" i="2"/>
  <c r="BQ343" i="2"/>
  <c r="BP343" i="2"/>
  <c r="BO343" i="2"/>
  <c r="BN343" i="2"/>
  <c r="BM343" i="2"/>
  <c r="BL343" i="2"/>
  <c r="BK343" i="2"/>
  <c r="BJ343" i="2"/>
  <c r="BI343" i="2"/>
  <c r="BH343" i="2"/>
  <c r="BG343" i="2"/>
  <c r="BF343" i="2"/>
  <c r="BE343" i="2"/>
  <c r="BD343" i="2"/>
  <c r="BC343" i="2"/>
  <c r="BB343" i="2"/>
  <c r="BA343" i="2"/>
  <c r="AZ343" i="2"/>
  <c r="AY343" i="2"/>
  <c r="AX343" i="2"/>
  <c r="AW343" i="2"/>
  <c r="AV343" i="2"/>
  <c r="AU343" i="2"/>
  <c r="AT343" i="2"/>
  <c r="AS343" i="2"/>
  <c r="AR343" i="2"/>
  <c r="AQ343" i="2"/>
  <c r="AP343" i="2"/>
  <c r="AO343" i="2"/>
  <c r="AN343" i="2"/>
  <c r="AM343" i="2"/>
  <c r="AL343" i="2"/>
  <c r="AK343" i="2"/>
  <c r="AE343" i="2"/>
  <c r="AA343" i="2"/>
  <c r="F343" i="2"/>
  <c r="E343" i="2"/>
  <c r="D343" i="2"/>
  <c r="CA342" i="2"/>
  <c r="BZ342" i="2"/>
  <c r="BY342" i="2"/>
  <c r="BX342" i="2"/>
  <c r="BW342" i="2"/>
  <c r="BV342" i="2"/>
  <c r="BU342" i="2"/>
  <c r="BT342" i="2"/>
  <c r="BS342" i="2"/>
  <c r="BR342" i="2"/>
  <c r="BQ342" i="2"/>
  <c r="BP342" i="2"/>
  <c r="BO342" i="2"/>
  <c r="BN342" i="2"/>
  <c r="BM342" i="2"/>
  <c r="BL342" i="2"/>
  <c r="BK342" i="2"/>
  <c r="BJ342" i="2"/>
  <c r="BI342" i="2"/>
  <c r="BH342" i="2"/>
  <c r="BG342" i="2"/>
  <c r="BF342" i="2"/>
  <c r="BE342" i="2"/>
  <c r="BD342" i="2"/>
  <c r="BC342" i="2"/>
  <c r="BB342" i="2"/>
  <c r="BA342" i="2"/>
  <c r="AZ342" i="2"/>
  <c r="AY342" i="2"/>
  <c r="AX342" i="2"/>
  <c r="AW342" i="2"/>
  <c r="AV342" i="2"/>
  <c r="AU342" i="2"/>
  <c r="AT342" i="2"/>
  <c r="AS342" i="2"/>
  <c r="AR342" i="2"/>
  <c r="AQ342" i="2"/>
  <c r="AP342" i="2"/>
  <c r="AO342" i="2"/>
  <c r="AN342" i="2"/>
  <c r="AM342" i="2"/>
  <c r="AL342" i="2"/>
  <c r="AK342" i="2"/>
  <c r="AE342" i="2"/>
  <c r="AA342" i="2"/>
  <c r="F342" i="2"/>
  <c r="E342" i="2"/>
  <c r="D342" i="2"/>
  <c r="CA341" i="2"/>
  <c r="BZ341" i="2"/>
  <c r="BY341" i="2"/>
  <c r="BX341" i="2"/>
  <c r="BW341" i="2"/>
  <c r="BV341" i="2"/>
  <c r="BU341" i="2"/>
  <c r="BT341" i="2"/>
  <c r="BS341" i="2"/>
  <c r="BR341" i="2"/>
  <c r="BQ341" i="2"/>
  <c r="BP341" i="2"/>
  <c r="BO341" i="2"/>
  <c r="BN341" i="2"/>
  <c r="BM341" i="2"/>
  <c r="BL341" i="2"/>
  <c r="BK341" i="2"/>
  <c r="BJ341" i="2"/>
  <c r="BI341" i="2"/>
  <c r="BH341" i="2"/>
  <c r="BG341" i="2"/>
  <c r="BF341" i="2"/>
  <c r="BE341" i="2"/>
  <c r="BD341" i="2"/>
  <c r="BC341" i="2"/>
  <c r="BB341" i="2"/>
  <c r="BA341" i="2"/>
  <c r="AZ341" i="2"/>
  <c r="AY341" i="2"/>
  <c r="AX341" i="2"/>
  <c r="AW341" i="2"/>
  <c r="AV341" i="2"/>
  <c r="AU341" i="2"/>
  <c r="AT341" i="2"/>
  <c r="AS341" i="2"/>
  <c r="AR341" i="2"/>
  <c r="AQ341" i="2"/>
  <c r="AP341" i="2"/>
  <c r="AO341" i="2"/>
  <c r="AN341" i="2"/>
  <c r="AM341" i="2"/>
  <c r="AL341" i="2"/>
  <c r="AK341" i="2"/>
  <c r="AE341" i="2"/>
  <c r="AA341" i="2"/>
  <c r="F341" i="2"/>
  <c r="E341" i="2"/>
  <c r="D341" i="2"/>
  <c r="CA340" i="2"/>
  <c r="BZ340" i="2"/>
  <c r="BY340" i="2"/>
  <c r="BX340" i="2"/>
  <c r="BW340" i="2"/>
  <c r="BV340" i="2"/>
  <c r="BU340" i="2"/>
  <c r="BT340" i="2"/>
  <c r="BS340" i="2"/>
  <c r="BR340" i="2"/>
  <c r="BQ340" i="2"/>
  <c r="BP340" i="2"/>
  <c r="BO340" i="2"/>
  <c r="BN340" i="2"/>
  <c r="BM340" i="2"/>
  <c r="BL340" i="2"/>
  <c r="BK340" i="2"/>
  <c r="BJ340" i="2"/>
  <c r="BI340" i="2"/>
  <c r="BH340" i="2"/>
  <c r="BG340" i="2"/>
  <c r="BF340" i="2"/>
  <c r="BE340" i="2"/>
  <c r="BD340" i="2"/>
  <c r="BC340" i="2"/>
  <c r="BB340" i="2"/>
  <c r="BA340" i="2"/>
  <c r="AZ340" i="2"/>
  <c r="AY340" i="2"/>
  <c r="AX340" i="2"/>
  <c r="AW340" i="2"/>
  <c r="AV340" i="2"/>
  <c r="AU340" i="2"/>
  <c r="AT340" i="2"/>
  <c r="AS340" i="2"/>
  <c r="AR340" i="2"/>
  <c r="AQ340" i="2"/>
  <c r="AP340" i="2"/>
  <c r="AO340" i="2"/>
  <c r="AN340" i="2"/>
  <c r="AM340" i="2"/>
  <c r="AL340" i="2"/>
  <c r="AK340" i="2"/>
  <c r="AE340" i="2"/>
  <c r="AA340" i="2"/>
  <c r="F340" i="2"/>
  <c r="E340" i="2"/>
  <c r="D340" i="2"/>
  <c r="CA339" i="2"/>
  <c r="BZ339" i="2"/>
  <c r="BY339" i="2"/>
  <c r="BX339" i="2"/>
  <c r="BW339" i="2"/>
  <c r="BV339" i="2"/>
  <c r="BU339" i="2"/>
  <c r="BT339" i="2"/>
  <c r="BS339" i="2"/>
  <c r="BR339" i="2"/>
  <c r="BQ339" i="2"/>
  <c r="BP339" i="2"/>
  <c r="BO339" i="2"/>
  <c r="BN339" i="2"/>
  <c r="BM339" i="2"/>
  <c r="BL339" i="2"/>
  <c r="BK339" i="2"/>
  <c r="BJ339" i="2"/>
  <c r="BI339" i="2"/>
  <c r="BH339" i="2"/>
  <c r="BG339" i="2"/>
  <c r="BF339" i="2"/>
  <c r="BE339" i="2"/>
  <c r="BD339" i="2"/>
  <c r="BC339" i="2"/>
  <c r="BB339" i="2"/>
  <c r="BA339" i="2"/>
  <c r="AZ339" i="2"/>
  <c r="AY339" i="2"/>
  <c r="AX339" i="2"/>
  <c r="AW339" i="2"/>
  <c r="AV339" i="2"/>
  <c r="AU339" i="2"/>
  <c r="AT339" i="2"/>
  <c r="AS339" i="2"/>
  <c r="AR339" i="2"/>
  <c r="AQ339" i="2"/>
  <c r="AP339" i="2"/>
  <c r="AO339" i="2"/>
  <c r="AN339" i="2"/>
  <c r="AM339" i="2"/>
  <c r="AL339" i="2"/>
  <c r="AK339" i="2"/>
  <c r="AE339" i="2"/>
  <c r="AA339" i="2"/>
  <c r="F339" i="2"/>
  <c r="E339" i="2"/>
  <c r="D339" i="2"/>
  <c r="CA338" i="2"/>
  <c r="BZ338" i="2"/>
  <c r="BY338" i="2"/>
  <c r="BX338" i="2"/>
  <c r="BW338" i="2"/>
  <c r="BV338" i="2"/>
  <c r="BU338" i="2"/>
  <c r="BT338" i="2"/>
  <c r="BS338" i="2"/>
  <c r="BR338" i="2"/>
  <c r="BQ338" i="2"/>
  <c r="BP338" i="2"/>
  <c r="BO338" i="2"/>
  <c r="BN338" i="2"/>
  <c r="BM338" i="2"/>
  <c r="BL338" i="2"/>
  <c r="BK338" i="2"/>
  <c r="BJ338" i="2"/>
  <c r="BI338" i="2"/>
  <c r="BH338" i="2"/>
  <c r="BG338" i="2"/>
  <c r="BF338" i="2"/>
  <c r="BE338" i="2"/>
  <c r="BD338" i="2"/>
  <c r="BC338" i="2"/>
  <c r="BB338" i="2"/>
  <c r="BA338" i="2"/>
  <c r="AZ338" i="2"/>
  <c r="AY338" i="2"/>
  <c r="AX338" i="2"/>
  <c r="AW338" i="2"/>
  <c r="AV338" i="2"/>
  <c r="AU338" i="2"/>
  <c r="AT338" i="2"/>
  <c r="AS338" i="2"/>
  <c r="AR338" i="2"/>
  <c r="AQ338" i="2"/>
  <c r="AP338" i="2"/>
  <c r="AO338" i="2"/>
  <c r="AN338" i="2"/>
  <c r="AM338" i="2"/>
  <c r="AL338" i="2"/>
  <c r="AK338" i="2"/>
  <c r="AE338" i="2"/>
  <c r="AA338" i="2"/>
  <c r="F338" i="2"/>
  <c r="E338" i="2"/>
  <c r="D338" i="2"/>
  <c r="CA337" i="2"/>
  <c r="BZ337" i="2"/>
  <c r="BY337" i="2"/>
  <c r="BX337" i="2"/>
  <c r="BW337" i="2"/>
  <c r="BV337" i="2"/>
  <c r="BU337" i="2"/>
  <c r="BT337" i="2"/>
  <c r="BS337" i="2"/>
  <c r="BR337" i="2"/>
  <c r="BQ337" i="2"/>
  <c r="BP337" i="2"/>
  <c r="BO337" i="2"/>
  <c r="BN337" i="2"/>
  <c r="BM337" i="2"/>
  <c r="BL337" i="2"/>
  <c r="BK337" i="2"/>
  <c r="BJ337" i="2"/>
  <c r="BI337" i="2"/>
  <c r="BH337" i="2"/>
  <c r="BG337" i="2"/>
  <c r="BF337" i="2"/>
  <c r="BE337" i="2"/>
  <c r="BD337" i="2"/>
  <c r="BC337" i="2"/>
  <c r="BB337" i="2"/>
  <c r="BA337" i="2"/>
  <c r="AZ337" i="2"/>
  <c r="AY337" i="2"/>
  <c r="AX337" i="2"/>
  <c r="AW337" i="2"/>
  <c r="AV337" i="2"/>
  <c r="AU337" i="2"/>
  <c r="AT337" i="2"/>
  <c r="AS337" i="2"/>
  <c r="AR337" i="2"/>
  <c r="AQ337" i="2"/>
  <c r="AP337" i="2"/>
  <c r="AO337" i="2"/>
  <c r="AN337" i="2"/>
  <c r="AM337" i="2"/>
  <c r="AL337" i="2"/>
  <c r="AK337" i="2"/>
  <c r="AE337" i="2"/>
  <c r="AA337" i="2"/>
  <c r="F337" i="2"/>
  <c r="E337" i="2"/>
  <c r="D337" i="2"/>
  <c r="CA336" i="2"/>
  <c r="BZ336" i="2"/>
  <c r="BY336" i="2"/>
  <c r="BX336" i="2"/>
  <c r="BW336" i="2"/>
  <c r="BV336" i="2"/>
  <c r="BU336" i="2"/>
  <c r="BT336" i="2"/>
  <c r="BS336" i="2"/>
  <c r="BR336" i="2"/>
  <c r="BQ336" i="2"/>
  <c r="BP336" i="2"/>
  <c r="BO336" i="2"/>
  <c r="BN336" i="2"/>
  <c r="BM336" i="2"/>
  <c r="BL336" i="2"/>
  <c r="BK336" i="2"/>
  <c r="BJ336" i="2"/>
  <c r="BI336" i="2"/>
  <c r="BH336" i="2"/>
  <c r="BG336" i="2"/>
  <c r="BF336" i="2"/>
  <c r="BE336" i="2"/>
  <c r="BD336" i="2"/>
  <c r="BC336" i="2"/>
  <c r="BB336" i="2"/>
  <c r="BA336" i="2"/>
  <c r="AZ336" i="2"/>
  <c r="AY336" i="2"/>
  <c r="AX336" i="2"/>
  <c r="AW336" i="2"/>
  <c r="AV336" i="2"/>
  <c r="AU336" i="2"/>
  <c r="AT336" i="2"/>
  <c r="AS336" i="2"/>
  <c r="AR336" i="2"/>
  <c r="AQ336" i="2"/>
  <c r="AP336" i="2"/>
  <c r="AO336" i="2"/>
  <c r="AN336" i="2"/>
  <c r="AM336" i="2"/>
  <c r="AL336" i="2"/>
  <c r="AK336" i="2"/>
  <c r="AE336" i="2"/>
  <c r="AA336" i="2"/>
  <c r="F336" i="2"/>
  <c r="E336" i="2"/>
  <c r="D336" i="2"/>
  <c r="CA335" i="2"/>
  <c r="BZ335" i="2"/>
  <c r="BY335" i="2"/>
  <c r="BX335" i="2"/>
  <c r="BW335" i="2"/>
  <c r="BV335" i="2"/>
  <c r="BU335" i="2"/>
  <c r="BT335" i="2"/>
  <c r="BS335" i="2"/>
  <c r="BR335" i="2"/>
  <c r="BQ335" i="2"/>
  <c r="BP335" i="2"/>
  <c r="BO335" i="2"/>
  <c r="BN335" i="2"/>
  <c r="BM335" i="2"/>
  <c r="BL335" i="2"/>
  <c r="BK335" i="2"/>
  <c r="BJ335" i="2"/>
  <c r="BI335" i="2"/>
  <c r="BH335" i="2"/>
  <c r="BG335" i="2"/>
  <c r="BF335" i="2"/>
  <c r="BE335" i="2"/>
  <c r="BD335" i="2"/>
  <c r="BC335" i="2"/>
  <c r="BB335" i="2"/>
  <c r="BA335" i="2"/>
  <c r="AZ335" i="2"/>
  <c r="AY335" i="2"/>
  <c r="AX335" i="2"/>
  <c r="AW335" i="2"/>
  <c r="AV335" i="2"/>
  <c r="AU335" i="2"/>
  <c r="AT335" i="2"/>
  <c r="AS335" i="2"/>
  <c r="AR335" i="2"/>
  <c r="AQ335" i="2"/>
  <c r="AP335" i="2"/>
  <c r="AO335" i="2"/>
  <c r="AN335" i="2"/>
  <c r="AM335" i="2"/>
  <c r="AL335" i="2"/>
  <c r="AK335" i="2"/>
  <c r="AE335" i="2"/>
  <c r="AA335" i="2"/>
  <c r="F335" i="2"/>
  <c r="E335" i="2"/>
  <c r="D335" i="2"/>
  <c r="CA334" i="2"/>
  <c r="BZ334" i="2"/>
  <c r="BY334" i="2"/>
  <c r="BX334" i="2"/>
  <c r="BW334" i="2"/>
  <c r="BV334" i="2"/>
  <c r="BU334" i="2"/>
  <c r="BT334" i="2"/>
  <c r="BS334" i="2"/>
  <c r="BR334" i="2"/>
  <c r="BQ334" i="2"/>
  <c r="BP334" i="2"/>
  <c r="BO334" i="2"/>
  <c r="BN334" i="2"/>
  <c r="BM334" i="2"/>
  <c r="BL334" i="2"/>
  <c r="BK334" i="2"/>
  <c r="BJ334" i="2"/>
  <c r="BI334" i="2"/>
  <c r="BH334" i="2"/>
  <c r="BG334" i="2"/>
  <c r="BF334" i="2"/>
  <c r="BE334" i="2"/>
  <c r="BD334" i="2"/>
  <c r="BC334" i="2"/>
  <c r="BB334" i="2"/>
  <c r="BA334" i="2"/>
  <c r="AZ334" i="2"/>
  <c r="AY334" i="2"/>
  <c r="AX334" i="2"/>
  <c r="AW334" i="2"/>
  <c r="AV334" i="2"/>
  <c r="AU334" i="2"/>
  <c r="AT334" i="2"/>
  <c r="AS334" i="2"/>
  <c r="AR334" i="2"/>
  <c r="AQ334" i="2"/>
  <c r="AP334" i="2"/>
  <c r="AO334" i="2"/>
  <c r="AN334" i="2"/>
  <c r="AM334" i="2"/>
  <c r="AL334" i="2"/>
  <c r="AK334" i="2"/>
  <c r="AE334" i="2"/>
  <c r="AA334" i="2"/>
  <c r="F334" i="2"/>
  <c r="E334" i="2"/>
  <c r="D334" i="2"/>
  <c r="CA333" i="2"/>
  <c r="BZ333" i="2"/>
  <c r="BY333" i="2"/>
  <c r="BX333" i="2"/>
  <c r="BW333" i="2"/>
  <c r="BV333" i="2"/>
  <c r="BU333" i="2"/>
  <c r="BT333" i="2"/>
  <c r="BS333" i="2"/>
  <c r="BR333" i="2"/>
  <c r="BQ333" i="2"/>
  <c r="BP333" i="2"/>
  <c r="BO333" i="2"/>
  <c r="BN333" i="2"/>
  <c r="BM333" i="2"/>
  <c r="BL333" i="2"/>
  <c r="BK333" i="2"/>
  <c r="BJ333" i="2"/>
  <c r="BI333" i="2"/>
  <c r="BH333" i="2"/>
  <c r="BG333" i="2"/>
  <c r="BF333" i="2"/>
  <c r="BE333" i="2"/>
  <c r="BD333" i="2"/>
  <c r="BC333" i="2"/>
  <c r="BB333" i="2"/>
  <c r="BA333" i="2"/>
  <c r="AZ333" i="2"/>
  <c r="AY333" i="2"/>
  <c r="AX333" i="2"/>
  <c r="AW333" i="2"/>
  <c r="AV333" i="2"/>
  <c r="AU333" i="2"/>
  <c r="AT333" i="2"/>
  <c r="AS333" i="2"/>
  <c r="AR333" i="2"/>
  <c r="AQ333" i="2"/>
  <c r="AP333" i="2"/>
  <c r="AO333" i="2"/>
  <c r="AN333" i="2"/>
  <c r="AM333" i="2"/>
  <c r="AL333" i="2"/>
  <c r="AK333" i="2"/>
  <c r="AE333" i="2"/>
  <c r="AA333" i="2"/>
  <c r="F333" i="2"/>
  <c r="E333" i="2"/>
  <c r="D333" i="2"/>
  <c r="CA332" i="2"/>
  <c r="BZ332" i="2"/>
  <c r="BY332" i="2"/>
  <c r="BX332" i="2"/>
  <c r="BW332" i="2"/>
  <c r="BV332" i="2"/>
  <c r="BU332" i="2"/>
  <c r="BT332" i="2"/>
  <c r="BS332" i="2"/>
  <c r="BR332" i="2"/>
  <c r="BQ332" i="2"/>
  <c r="BP332" i="2"/>
  <c r="BO332" i="2"/>
  <c r="BN332" i="2"/>
  <c r="BM332" i="2"/>
  <c r="BL332" i="2"/>
  <c r="BK332" i="2"/>
  <c r="BJ332" i="2"/>
  <c r="BI332" i="2"/>
  <c r="BH332" i="2"/>
  <c r="BG332" i="2"/>
  <c r="BF332" i="2"/>
  <c r="BE332" i="2"/>
  <c r="BD332" i="2"/>
  <c r="BC332" i="2"/>
  <c r="BB332" i="2"/>
  <c r="BA332" i="2"/>
  <c r="AZ332" i="2"/>
  <c r="AY332" i="2"/>
  <c r="AX332" i="2"/>
  <c r="AW332" i="2"/>
  <c r="AV332" i="2"/>
  <c r="AU332" i="2"/>
  <c r="AT332" i="2"/>
  <c r="AS332" i="2"/>
  <c r="AR332" i="2"/>
  <c r="AQ332" i="2"/>
  <c r="AP332" i="2"/>
  <c r="AO332" i="2"/>
  <c r="AN332" i="2"/>
  <c r="AM332" i="2"/>
  <c r="AL332" i="2"/>
  <c r="AK332" i="2"/>
  <c r="AE332" i="2"/>
  <c r="AA332" i="2"/>
  <c r="F332" i="2"/>
  <c r="E332" i="2"/>
  <c r="D332" i="2"/>
  <c r="CA331" i="2"/>
  <c r="BZ331" i="2"/>
  <c r="BY331" i="2"/>
  <c r="BX331" i="2"/>
  <c r="BW331" i="2"/>
  <c r="BV331" i="2"/>
  <c r="BU331" i="2"/>
  <c r="BT331" i="2"/>
  <c r="BS331" i="2"/>
  <c r="BR331" i="2"/>
  <c r="BQ331" i="2"/>
  <c r="BP331" i="2"/>
  <c r="BO331" i="2"/>
  <c r="BN331" i="2"/>
  <c r="BM331" i="2"/>
  <c r="BL331" i="2"/>
  <c r="BK331" i="2"/>
  <c r="BJ331" i="2"/>
  <c r="BI331" i="2"/>
  <c r="BH331" i="2"/>
  <c r="BG331" i="2"/>
  <c r="BF331" i="2"/>
  <c r="BE331" i="2"/>
  <c r="BD331" i="2"/>
  <c r="BC331" i="2"/>
  <c r="BB331" i="2"/>
  <c r="BA331" i="2"/>
  <c r="AZ331" i="2"/>
  <c r="AY331" i="2"/>
  <c r="AX331" i="2"/>
  <c r="AW331" i="2"/>
  <c r="AV331" i="2"/>
  <c r="AU331" i="2"/>
  <c r="AT331" i="2"/>
  <c r="AS331" i="2"/>
  <c r="AR331" i="2"/>
  <c r="AQ331" i="2"/>
  <c r="AP331" i="2"/>
  <c r="AO331" i="2"/>
  <c r="AN331" i="2"/>
  <c r="AM331" i="2"/>
  <c r="AL331" i="2"/>
  <c r="AK331" i="2"/>
  <c r="AE331" i="2"/>
  <c r="AA331" i="2"/>
  <c r="F331" i="2"/>
  <c r="E331" i="2"/>
  <c r="D331" i="2"/>
  <c r="CA330" i="2"/>
  <c r="BZ330" i="2"/>
  <c r="BY330" i="2"/>
  <c r="BX330" i="2"/>
  <c r="BW330" i="2"/>
  <c r="BV330" i="2"/>
  <c r="BU330" i="2"/>
  <c r="BT330" i="2"/>
  <c r="BS330" i="2"/>
  <c r="BR330" i="2"/>
  <c r="BQ330" i="2"/>
  <c r="BP330" i="2"/>
  <c r="BO330" i="2"/>
  <c r="BN330" i="2"/>
  <c r="BM330" i="2"/>
  <c r="BL330" i="2"/>
  <c r="BK330" i="2"/>
  <c r="BJ330" i="2"/>
  <c r="BI330" i="2"/>
  <c r="BH330" i="2"/>
  <c r="BG330" i="2"/>
  <c r="BF330" i="2"/>
  <c r="BE330" i="2"/>
  <c r="BD330" i="2"/>
  <c r="BC330" i="2"/>
  <c r="BB330" i="2"/>
  <c r="BA330" i="2"/>
  <c r="AZ330" i="2"/>
  <c r="AY330" i="2"/>
  <c r="AX330" i="2"/>
  <c r="AW330" i="2"/>
  <c r="AV330" i="2"/>
  <c r="AU330" i="2"/>
  <c r="AT330" i="2"/>
  <c r="AS330" i="2"/>
  <c r="AR330" i="2"/>
  <c r="AQ330" i="2"/>
  <c r="AP330" i="2"/>
  <c r="AO330" i="2"/>
  <c r="AN330" i="2"/>
  <c r="AM330" i="2"/>
  <c r="AL330" i="2"/>
  <c r="AK330" i="2"/>
  <c r="AE330" i="2"/>
  <c r="AA330" i="2"/>
  <c r="F330" i="2"/>
  <c r="E330" i="2"/>
  <c r="D330" i="2"/>
  <c r="CA329" i="2"/>
  <c r="BZ329" i="2"/>
  <c r="BY329" i="2"/>
  <c r="BX329" i="2"/>
  <c r="BW329" i="2"/>
  <c r="BV329" i="2"/>
  <c r="BU329" i="2"/>
  <c r="BT329" i="2"/>
  <c r="BS329" i="2"/>
  <c r="BR329" i="2"/>
  <c r="BQ329" i="2"/>
  <c r="BP329" i="2"/>
  <c r="BO329" i="2"/>
  <c r="BN329" i="2"/>
  <c r="BM329" i="2"/>
  <c r="BL329" i="2"/>
  <c r="BK329" i="2"/>
  <c r="BJ329" i="2"/>
  <c r="BI329" i="2"/>
  <c r="BH329" i="2"/>
  <c r="BG329" i="2"/>
  <c r="BF329" i="2"/>
  <c r="BE329" i="2"/>
  <c r="BD329" i="2"/>
  <c r="BC329" i="2"/>
  <c r="BB329" i="2"/>
  <c r="BA329" i="2"/>
  <c r="AZ329" i="2"/>
  <c r="AY329" i="2"/>
  <c r="AX329" i="2"/>
  <c r="AW329" i="2"/>
  <c r="AV329" i="2"/>
  <c r="AU329" i="2"/>
  <c r="AT329" i="2"/>
  <c r="AS329" i="2"/>
  <c r="AR329" i="2"/>
  <c r="AQ329" i="2"/>
  <c r="AP329" i="2"/>
  <c r="AO329" i="2"/>
  <c r="AN329" i="2"/>
  <c r="AM329" i="2"/>
  <c r="AL329" i="2"/>
  <c r="AK329" i="2"/>
  <c r="AE329" i="2"/>
  <c r="AA329" i="2"/>
  <c r="F329" i="2"/>
  <c r="E329" i="2"/>
  <c r="D329" i="2"/>
  <c r="CA328" i="2"/>
  <c r="BZ328" i="2"/>
  <c r="BY328" i="2"/>
  <c r="BX328" i="2"/>
  <c r="BW328" i="2"/>
  <c r="BV328" i="2"/>
  <c r="BU328" i="2"/>
  <c r="BT328" i="2"/>
  <c r="BS328" i="2"/>
  <c r="BR328" i="2"/>
  <c r="BQ328" i="2"/>
  <c r="BP328" i="2"/>
  <c r="BO328" i="2"/>
  <c r="BN328" i="2"/>
  <c r="BM328" i="2"/>
  <c r="BL328" i="2"/>
  <c r="BK328" i="2"/>
  <c r="BJ328" i="2"/>
  <c r="BI328" i="2"/>
  <c r="BH328" i="2"/>
  <c r="BG328" i="2"/>
  <c r="BF328" i="2"/>
  <c r="BE328" i="2"/>
  <c r="BD328" i="2"/>
  <c r="BC328" i="2"/>
  <c r="BB328" i="2"/>
  <c r="BA328" i="2"/>
  <c r="AZ328" i="2"/>
  <c r="AY328" i="2"/>
  <c r="AX328" i="2"/>
  <c r="AW328" i="2"/>
  <c r="AV328" i="2"/>
  <c r="AU328" i="2"/>
  <c r="AT328" i="2"/>
  <c r="AS328" i="2"/>
  <c r="AR328" i="2"/>
  <c r="AQ328" i="2"/>
  <c r="AP328" i="2"/>
  <c r="AO328" i="2"/>
  <c r="AN328" i="2"/>
  <c r="AM328" i="2"/>
  <c r="AL328" i="2"/>
  <c r="AK328" i="2"/>
  <c r="AE328" i="2"/>
  <c r="AA328" i="2"/>
  <c r="F328" i="2"/>
  <c r="E328" i="2"/>
  <c r="D328" i="2"/>
  <c r="CA327" i="2"/>
  <c r="BZ327" i="2"/>
  <c r="BY327" i="2"/>
  <c r="BX327" i="2"/>
  <c r="BW327" i="2"/>
  <c r="BV327" i="2"/>
  <c r="BU327" i="2"/>
  <c r="BT327" i="2"/>
  <c r="BS327" i="2"/>
  <c r="BR327" i="2"/>
  <c r="BQ327" i="2"/>
  <c r="BP327" i="2"/>
  <c r="BO327" i="2"/>
  <c r="BN327" i="2"/>
  <c r="BM327" i="2"/>
  <c r="BL327" i="2"/>
  <c r="BK327" i="2"/>
  <c r="BJ327" i="2"/>
  <c r="BI327" i="2"/>
  <c r="BH327" i="2"/>
  <c r="BG327" i="2"/>
  <c r="BF327" i="2"/>
  <c r="BE327" i="2"/>
  <c r="BD327" i="2"/>
  <c r="BC327" i="2"/>
  <c r="BB327" i="2"/>
  <c r="BA327" i="2"/>
  <c r="AZ327" i="2"/>
  <c r="AY327" i="2"/>
  <c r="AX327" i="2"/>
  <c r="AW327" i="2"/>
  <c r="AV327" i="2"/>
  <c r="AU327" i="2"/>
  <c r="AT327" i="2"/>
  <c r="AS327" i="2"/>
  <c r="AR327" i="2"/>
  <c r="AQ327" i="2"/>
  <c r="AP327" i="2"/>
  <c r="AO327" i="2"/>
  <c r="AN327" i="2"/>
  <c r="AM327" i="2"/>
  <c r="AL327" i="2"/>
  <c r="AK327" i="2"/>
  <c r="AE327" i="2"/>
  <c r="AA327" i="2"/>
  <c r="F327" i="2"/>
  <c r="E327" i="2"/>
  <c r="D327" i="2"/>
  <c r="CA326" i="2"/>
  <c r="BZ326" i="2"/>
  <c r="BY326" i="2"/>
  <c r="BX326" i="2"/>
  <c r="BW326" i="2"/>
  <c r="BV326" i="2"/>
  <c r="BU326" i="2"/>
  <c r="BT326" i="2"/>
  <c r="BS326" i="2"/>
  <c r="BR326" i="2"/>
  <c r="BQ326" i="2"/>
  <c r="BP326" i="2"/>
  <c r="BO326" i="2"/>
  <c r="BN326" i="2"/>
  <c r="BM326" i="2"/>
  <c r="BL326" i="2"/>
  <c r="BK326" i="2"/>
  <c r="BJ326" i="2"/>
  <c r="BI326" i="2"/>
  <c r="BH326" i="2"/>
  <c r="BG326" i="2"/>
  <c r="BF326" i="2"/>
  <c r="BE326" i="2"/>
  <c r="BD326" i="2"/>
  <c r="BC326" i="2"/>
  <c r="BB326" i="2"/>
  <c r="BA326" i="2"/>
  <c r="AZ326" i="2"/>
  <c r="AY326" i="2"/>
  <c r="AX326" i="2"/>
  <c r="AW326" i="2"/>
  <c r="AV326" i="2"/>
  <c r="AU326" i="2"/>
  <c r="AT326" i="2"/>
  <c r="AS326" i="2"/>
  <c r="AR326" i="2"/>
  <c r="AQ326" i="2"/>
  <c r="AP326" i="2"/>
  <c r="AO326" i="2"/>
  <c r="AN326" i="2"/>
  <c r="AM326" i="2"/>
  <c r="AL326" i="2"/>
  <c r="AK326" i="2"/>
  <c r="AE326" i="2"/>
  <c r="AA326" i="2"/>
  <c r="F326" i="2"/>
  <c r="E326" i="2"/>
  <c r="D326" i="2"/>
  <c r="CA325" i="2"/>
  <c r="BZ325" i="2"/>
  <c r="BY325" i="2"/>
  <c r="BX325" i="2"/>
  <c r="BW325" i="2"/>
  <c r="BV325" i="2"/>
  <c r="BU325" i="2"/>
  <c r="BT325" i="2"/>
  <c r="BS325" i="2"/>
  <c r="BR325" i="2"/>
  <c r="BQ325" i="2"/>
  <c r="BP325" i="2"/>
  <c r="BO325" i="2"/>
  <c r="BN325" i="2"/>
  <c r="BM325" i="2"/>
  <c r="BL325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Q325" i="2"/>
  <c r="AP325" i="2"/>
  <c r="AO325" i="2"/>
  <c r="AN325" i="2"/>
  <c r="AM325" i="2"/>
  <c r="AL325" i="2"/>
  <c r="AK325" i="2"/>
  <c r="AE325" i="2"/>
  <c r="AA325" i="2"/>
  <c r="F325" i="2"/>
  <c r="E325" i="2"/>
  <c r="D325" i="2"/>
  <c r="CA324" i="2"/>
  <c r="BZ324" i="2"/>
  <c r="BY324" i="2"/>
  <c r="BX324" i="2"/>
  <c r="BW324" i="2"/>
  <c r="BV324" i="2"/>
  <c r="BU324" i="2"/>
  <c r="BT324" i="2"/>
  <c r="BS324" i="2"/>
  <c r="BR324" i="2"/>
  <c r="BQ324" i="2"/>
  <c r="BP324" i="2"/>
  <c r="BO324" i="2"/>
  <c r="BN324" i="2"/>
  <c r="BM324" i="2"/>
  <c r="BL324" i="2"/>
  <c r="BK324" i="2"/>
  <c r="BJ324" i="2"/>
  <c r="BI324" i="2"/>
  <c r="BH324" i="2"/>
  <c r="BG324" i="2"/>
  <c r="BF324" i="2"/>
  <c r="BE324" i="2"/>
  <c r="BD324" i="2"/>
  <c r="BC324" i="2"/>
  <c r="BB324" i="2"/>
  <c r="BA324" i="2"/>
  <c r="AZ324" i="2"/>
  <c r="AY324" i="2"/>
  <c r="AX324" i="2"/>
  <c r="AW324" i="2"/>
  <c r="AV324" i="2"/>
  <c r="AU324" i="2"/>
  <c r="AT324" i="2"/>
  <c r="AS324" i="2"/>
  <c r="AR324" i="2"/>
  <c r="AQ324" i="2"/>
  <c r="AP324" i="2"/>
  <c r="AO324" i="2"/>
  <c r="AN324" i="2"/>
  <c r="AM324" i="2"/>
  <c r="AL324" i="2"/>
  <c r="AK324" i="2"/>
  <c r="AE324" i="2"/>
  <c r="AA324" i="2"/>
  <c r="F324" i="2"/>
  <c r="E324" i="2"/>
  <c r="D324" i="2"/>
  <c r="CA323" i="2"/>
  <c r="BZ323" i="2"/>
  <c r="BY323" i="2"/>
  <c r="BX323" i="2"/>
  <c r="BW323" i="2"/>
  <c r="BV323" i="2"/>
  <c r="BU323" i="2"/>
  <c r="BT323" i="2"/>
  <c r="BS323" i="2"/>
  <c r="BR323" i="2"/>
  <c r="BQ323" i="2"/>
  <c r="BP323" i="2"/>
  <c r="BO323" i="2"/>
  <c r="BN323" i="2"/>
  <c r="BM323" i="2"/>
  <c r="BL323" i="2"/>
  <c r="BK323" i="2"/>
  <c r="BJ323" i="2"/>
  <c r="BI323" i="2"/>
  <c r="BH323" i="2"/>
  <c r="BG323" i="2"/>
  <c r="BF323" i="2"/>
  <c r="BE323" i="2"/>
  <c r="BD323" i="2"/>
  <c r="BC323" i="2"/>
  <c r="BB323" i="2"/>
  <c r="BA323" i="2"/>
  <c r="AZ323" i="2"/>
  <c r="AY323" i="2"/>
  <c r="AX323" i="2"/>
  <c r="AW323" i="2"/>
  <c r="AV323" i="2"/>
  <c r="AU323" i="2"/>
  <c r="AT323" i="2"/>
  <c r="AS323" i="2"/>
  <c r="AR323" i="2"/>
  <c r="AQ323" i="2"/>
  <c r="AP323" i="2"/>
  <c r="AO323" i="2"/>
  <c r="AN323" i="2"/>
  <c r="AM323" i="2"/>
  <c r="AL323" i="2"/>
  <c r="AK323" i="2"/>
  <c r="AE323" i="2"/>
  <c r="AA323" i="2"/>
  <c r="F323" i="2"/>
  <c r="E323" i="2"/>
  <c r="D323" i="2"/>
  <c r="CA322" i="2"/>
  <c r="BZ322" i="2"/>
  <c r="BY322" i="2"/>
  <c r="BX322" i="2"/>
  <c r="BW322" i="2"/>
  <c r="BV322" i="2"/>
  <c r="BU322" i="2"/>
  <c r="BT322" i="2"/>
  <c r="BS322" i="2"/>
  <c r="BR322" i="2"/>
  <c r="BQ322" i="2"/>
  <c r="BP322" i="2"/>
  <c r="BO322" i="2"/>
  <c r="BN322" i="2"/>
  <c r="BM322" i="2"/>
  <c r="BL322" i="2"/>
  <c r="BK322" i="2"/>
  <c r="BJ322" i="2"/>
  <c r="BI322" i="2"/>
  <c r="BH322" i="2"/>
  <c r="BG322" i="2"/>
  <c r="BF322" i="2"/>
  <c r="BE322" i="2"/>
  <c r="BD322" i="2"/>
  <c r="BC322" i="2"/>
  <c r="BB322" i="2"/>
  <c r="BA322" i="2"/>
  <c r="AZ322" i="2"/>
  <c r="AY322" i="2"/>
  <c r="AX322" i="2"/>
  <c r="AW322" i="2"/>
  <c r="AV322" i="2"/>
  <c r="AU322" i="2"/>
  <c r="AT322" i="2"/>
  <c r="AS322" i="2"/>
  <c r="AR322" i="2"/>
  <c r="AQ322" i="2"/>
  <c r="AP322" i="2"/>
  <c r="AO322" i="2"/>
  <c r="AN322" i="2"/>
  <c r="AM322" i="2"/>
  <c r="AL322" i="2"/>
  <c r="AK322" i="2"/>
  <c r="AE322" i="2"/>
  <c r="AA322" i="2"/>
  <c r="F322" i="2"/>
  <c r="E322" i="2"/>
  <c r="D322" i="2"/>
  <c r="CA321" i="2"/>
  <c r="BZ321" i="2"/>
  <c r="BY321" i="2"/>
  <c r="BX321" i="2"/>
  <c r="BW321" i="2"/>
  <c r="BV321" i="2"/>
  <c r="BU321" i="2"/>
  <c r="BT321" i="2"/>
  <c r="BS321" i="2"/>
  <c r="BR321" i="2"/>
  <c r="BQ321" i="2"/>
  <c r="BP321" i="2"/>
  <c r="BO321" i="2"/>
  <c r="BN321" i="2"/>
  <c r="BM321" i="2"/>
  <c r="BL321" i="2"/>
  <c r="BK321" i="2"/>
  <c r="BJ321" i="2"/>
  <c r="BI321" i="2"/>
  <c r="BH321" i="2"/>
  <c r="BG321" i="2"/>
  <c r="BF321" i="2"/>
  <c r="BE321" i="2"/>
  <c r="BD321" i="2"/>
  <c r="BC321" i="2"/>
  <c r="BB321" i="2"/>
  <c r="BA321" i="2"/>
  <c r="AZ321" i="2"/>
  <c r="AY321" i="2"/>
  <c r="AX321" i="2"/>
  <c r="AW321" i="2"/>
  <c r="AV321" i="2"/>
  <c r="AU321" i="2"/>
  <c r="AT321" i="2"/>
  <c r="AS321" i="2"/>
  <c r="AR321" i="2"/>
  <c r="AQ321" i="2"/>
  <c r="AP321" i="2"/>
  <c r="AO321" i="2"/>
  <c r="AN321" i="2"/>
  <c r="AM321" i="2"/>
  <c r="AL321" i="2"/>
  <c r="AK321" i="2"/>
  <c r="AE321" i="2"/>
  <c r="AA321" i="2"/>
  <c r="F321" i="2"/>
  <c r="E321" i="2"/>
  <c r="D321" i="2"/>
  <c r="CA320" i="2"/>
  <c r="BZ320" i="2"/>
  <c r="BY320" i="2"/>
  <c r="BX320" i="2"/>
  <c r="BW320" i="2"/>
  <c r="BV320" i="2"/>
  <c r="BU320" i="2"/>
  <c r="BT320" i="2"/>
  <c r="BS320" i="2"/>
  <c r="BR320" i="2"/>
  <c r="BQ320" i="2"/>
  <c r="BP320" i="2"/>
  <c r="BO320" i="2"/>
  <c r="BN320" i="2"/>
  <c r="BM320" i="2"/>
  <c r="BL320" i="2"/>
  <c r="BK320" i="2"/>
  <c r="BJ320" i="2"/>
  <c r="BI320" i="2"/>
  <c r="BH320" i="2"/>
  <c r="BG320" i="2"/>
  <c r="BF320" i="2"/>
  <c r="BE320" i="2"/>
  <c r="BD320" i="2"/>
  <c r="BC320" i="2"/>
  <c r="BB320" i="2"/>
  <c r="BA320" i="2"/>
  <c r="AZ320" i="2"/>
  <c r="AY320" i="2"/>
  <c r="AX320" i="2"/>
  <c r="AW320" i="2"/>
  <c r="AV320" i="2"/>
  <c r="AU320" i="2"/>
  <c r="AT320" i="2"/>
  <c r="AS320" i="2"/>
  <c r="AR320" i="2"/>
  <c r="AQ320" i="2"/>
  <c r="AP320" i="2"/>
  <c r="AO320" i="2"/>
  <c r="AN320" i="2"/>
  <c r="AM320" i="2"/>
  <c r="AL320" i="2"/>
  <c r="AK320" i="2"/>
  <c r="AE320" i="2"/>
  <c r="AA320" i="2"/>
  <c r="F320" i="2"/>
  <c r="E320" i="2"/>
  <c r="D320" i="2"/>
  <c r="CA319" i="2"/>
  <c r="BZ319" i="2"/>
  <c r="BY319" i="2"/>
  <c r="BX319" i="2"/>
  <c r="BW319" i="2"/>
  <c r="BV319" i="2"/>
  <c r="BU319" i="2"/>
  <c r="BT319" i="2"/>
  <c r="BS319" i="2"/>
  <c r="BR319" i="2"/>
  <c r="BQ319" i="2"/>
  <c r="BP319" i="2"/>
  <c r="BO319" i="2"/>
  <c r="BN319" i="2"/>
  <c r="BM319" i="2"/>
  <c r="BL319" i="2"/>
  <c r="BK319" i="2"/>
  <c r="BJ319" i="2"/>
  <c r="BI319" i="2"/>
  <c r="BH319" i="2"/>
  <c r="BG319" i="2"/>
  <c r="BF319" i="2"/>
  <c r="BE319" i="2"/>
  <c r="BD319" i="2"/>
  <c r="BC319" i="2"/>
  <c r="BB319" i="2"/>
  <c r="BA319" i="2"/>
  <c r="AZ319" i="2"/>
  <c r="AY319" i="2"/>
  <c r="AX319" i="2"/>
  <c r="AW319" i="2"/>
  <c r="AV319" i="2"/>
  <c r="AU319" i="2"/>
  <c r="AT319" i="2"/>
  <c r="AS319" i="2"/>
  <c r="AR319" i="2"/>
  <c r="AQ319" i="2"/>
  <c r="AP319" i="2"/>
  <c r="AO319" i="2"/>
  <c r="AN319" i="2"/>
  <c r="AM319" i="2"/>
  <c r="AL319" i="2"/>
  <c r="AK319" i="2"/>
  <c r="AE319" i="2"/>
  <c r="AA319" i="2"/>
  <c r="F319" i="2"/>
  <c r="E319" i="2"/>
  <c r="D319" i="2"/>
  <c r="CA318" i="2"/>
  <c r="BZ318" i="2"/>
  <c r="BY318" i="2"/>
  <c r="BX318" i="2"/>
  <c r="BW318" i="2"/>
  <c r="BV318" i="2"/>
  <c r="BU318" i="2"/>
  <c r="BT318" i="2"/>
  <c r="BS318" i="2"/>
  <c r="BR318" i="2"/>
  <c r="BQ318" i="2"/>
  <c r="BP318" i="2"/>
  <c r="BO318" i="2"/>
  <c r="BN318" i="2"/>
  <c r="BM318" i="2"/>
  <c r="BL318" i="2"/>
  <c r="BK318" i="2"/>
  <c r="BJ318" i="2"/>
  <c r="BI318" i="2"/>
  <c r="BH318" i="2"/>
  <c r="BG318" i="2"/>
  <c r="BF318" i="2"/>
  <c r="BE318" i="2"/>
  <c r="BD318" i="2"/>
  <c r="BC318" i="2"/>
  <c r="BB318" i="2"/>
  <c r="BA318" i="2"/>
  <c r="AZ318" i="2"/>
  <c r="AY318" i="2"/>
  <c r="AX318" i="2"/>
  <c r="AW318" i="2"/>
  <c r="AV318" i="2"/>
  <c r="AU318" i="2"/>
  <c r="AT318" i="2"/>
  <c r="AS318" i="2"/>
  <c r="AR318" i="2"/>
  <c r="AQ318" i="2"/>
  <c r="AP318" i="2"/>
  <c r="AO318" i="2"/>
  <c r="AN318" i="2"/>
  <c r="AM318" i="2"/>
  <c r="AL318" i="2"/>
  <c r="AK318" i="2"/>
  <c r="AE318" i="2"/>
  <c r="AA318" i="2"/>
  <c r="F318" i="2"/>
  <c r="E318" i="2"/>
  <c r="D318" i="2"/>
  <c r="CA317" i="2"/>
  <c r="BZ317" i="2"/>
  <c r="BY317" i="2"/>
  <c r="BX317" i="2"/>
  <c r="BW317" i="2"/>
  <c r="BV317" i="2"/>
  <c r="BU317" i="2"/>
  <c r="BT317" i="2"/>
  <c r="BS317" i="2"/>
  <c r="BR317" i="2"/>
  <c r="BQ317" i="2"/>
  <c r="BP317" i="2"/>
  <c r="BO317" i="2"/>
  <c r="BN317" i="2"/>
  <c r="BM317" i="2"/>
  <c r="BL317" i="2"/>
  <c r="BK317" i="2"/>
  <c r="BJ317" i="2"/>
  <c r="BI317" i="2"/>
  <c r="BH317" i="2"/>
  <c r="BG317" i="2"/>
  <c r="BF317" i="2"/>
  <c r="BE317" i="2"/>
  <c r="BD317" i="2"/>
  <c r="BC317" i="2"/>
  <c r="BB317" i="2"/>
  <c r="BA317" i="2"/>
  <c r="AZ317" i="2"/>
  <c r="AY317" i="2"/>
  <c r="AX317" i="2"/>
  <c r="AW317" i="2"/>
  <c r="AV317" i="2"/>
  <c r="AU317" i="2"/>
  <c r="AT317" i="2"/>
  <c r="AS317" i="2"/>
  <c r="AR317" i="2"/>
  <c r="AQ317" i="2"/>
  <c r="AP317" i="2"/>
  <c r="AO317" i="2"/>
  <c r="AN317" i="2"/>
  <c r="AM317" i="2"/>
  <c r="AL317" i="2"/>
  <c r="AK317" i="2"/>
  <c r="AE317" i="2"/>
  <c r="AA317" i="2"/>
  <c r="F317" i="2"/>
  <c r="E317" i="2"/>
  <c r="D317" i="2"/>
  <c r="CA316" i="2"/>
  <c r="BZ316" i="2"/>
  <c r="BY316" i="2"/>
  <c r="BX316" i="2"/>
  <c r="BW316" i="2"/>
  <c r="BV316" i="2"/>
  <c r="BU316" i="2"/>
  <c r="BT316" i="2"/>
  <c r="BS316" i="2"/>
  <c r="BR316" i="2"/>
  <c r="BQ316" i="2"/>
  <c r="BP316" i="2"/>
  <c r="BO316" i="2"/>
  <c r="BN316" i="2"/>
  <c r="BM316" i="2"/>
  <c r="BL316" i="2"/>
  <c r="BK316" i="2"/>
  <c r="BJ316" i="2"/>
  <c r="BI316" i="2"/>
  <c r="BH316" i="2"/>
  <c r="BG316" i="2"/>
  <c r="BF316" i="2"/>
  <c r="BE316" i="2"/>
  <c r="BD316" i="2"/>
  <c r="BC316" i="2"/>
  <c r="BB316" i="2"/>
  <c r="BA316" i="2"/>
  <c r="AZ316" i="2"/>
  <c r="AY316" i="2"/>
  <c r="AX316" i="2"/>
  <c r="AW316" i="2"/>
  <c r="AV316" i="2"/>
  <c r="AU316" i="2"/>
  <c r="AT316" i="2"/>
  <c r="AS316" i="2"/>
  <c r="AR316" i="2"/>
  <c r="AQ316" i="2"/>
  <c r="AP316" i="2"/>
  <c r="AO316" i="2"/>
  <c r="AN316" i="2"/>
  <c r="AM316" i="2"/>
  <c r="AL316" i="2"/>
  <c r="AK316" i="2"/>
  <c r="AE316" i="2"/>
  <c r="AA316" i="2"/>
  <c r="F316" i="2"/>
  <c r="E316" i="2"/>
  <c r="D316" i="2"/>
  <c r="CA315" i="2"/>
  <c r="BZ315" i="2"/>
  <c r="BY315" i="2"/>
  <c r="BX315" i="2"/>
  <c r="BW315" i="2"/>
  <c r="BV315" i="2"/>
  <c r="BU315" i="2"/>
  <c r="BT315" i="2"/>
  <c r="BS315" i="2"/>
  <c r="BR315" i="2"/>
  <c r="BQ315" i="2"/>
  <c r="BP315" i="2"/>
  <c r="BO315" i="2"/>
  <c r="BN315" i="2"/>
  <c r="BM315" i="2"/>
  <c r="BL315" i="2"/>
  <c r="BK315" i="2"/>
  <c r="BJ315" i="2"/>
  <c r="BI315" i="2"/>
  <c r="BH315" i="2"/>
  <c r="BG315" i="2"/>
  <c r="BF315" i="2"/>
  <c r="BE315" i="2"/>
  <c r="BD315" i="2"/>
  <c r="BC315" i="2"/>
  <c r="BB315" i="2"/>
  <c r="BA315" i="2"/>
  <c r="AZ315" i="2"/>
  <c r="AY315" i="2"/>
  <c r="AX315" i="2"/>
  <c r="AW315" i="2"/>
  <c r="AV315" i="2"/>
  <c r="AU315" i="2"/>
  <c r="AT315" i="2"/>
  <c r="AS315" i="2"/>
  <c r="AR315" i="2"/>
  <c r="AQ315" i="2"/>
  <c r="AP315" i="2"/>
  <c r="AO315" i="2"/>
  <c r="AN315" i="2"/>
  <c r="AM315" i="2"/>
  <c r="AL315" i="2"/>
  <c r="AK315" i="2"/>
  <c r="AE315" i="2"/>
  <c r="AA315" i="2"/>
  <c r="F315" i="2"/>
  <c r="E315" i="2"/>
  <c r="D315" i="2"/>
  <c r="CA314" i="2"/>
  <c r="BZ314" i="2"/>
  <c r="BY314" i="2"/>
  <c r="BX314" i="2"/>
  <c r="BW314" i="2"/>
  <c r="BV314" i="2"/>
  <c r="BU314" i="2"/>
  <c r="BT314" i="2"/>
  <c r="BS314" i="2"/>
  <c r="BR314" i="2"/>
  <c r="BQ314" i="2"/>
  <c r="BP314" i="2"/>
  <c r="BO314" i="2"/>
  <c r="BN314" i="2"/>
  <c r="BM314" i="2"/>
  <c r="BL314" i="2"/>
  <c r="BK314" i="2"/>
  <c r="BJ314" i="2"/>
  <c r="BI314" i="2"/>
  <c r="BH314" i="2"/>
  <c r="BG314" i="2"/>
  <c r="BF314" i="2"/>
  <c r="BE314" i="2"/>
  <c r="BD314" i="2"/>
  <c r="BC314" i="2"/>
  <c r="BB314" i="2"/>
  <c r="BA314" i="2"/>
  <c r="AZ314" i="2"/>
  <c r="AY314" i="2"/>
  <c r="AX314" i="2"/>
  <c r="AW314" i="2"/>
  <c r="AV314" i="2"/>
  <c r="AU314" i="2"/>
  <c r="AT314" i="2"/>
  <c r="AS314" i="2"/>
  <c r="AR314" i="2"/>
  <c r="AQ314" i="2"/>
  <c r="AP314" i="2"/>
  <c r="AO314" i="2"/>
  <c r="AN314" i="2"/>
  <c r="AM314" i="2"/>
  <c r="AL314" i="2"/>
  <c r="AK314" i="2"/>
  <c r="AE314" i="2"/>
  <c r="AA314" i="2"/>
  <c r="F314" i="2"/>
  <c r="E314" i="2"/>
  <c r="D314" i="2"/>
  <c r="CA313" i="2"/>
  <c r="BZ313" i="2"/>
  <c r="BY313" i="2"/>
  <c r="BX313" i="2"/>
  <c r="BW313" i="2"/>
  <c r="BV313" i="2"/>
  <c r="BU313" i="2"/>
  <c r="BT313" i="2"/>
  <c r="BS313" i="2"/>
  <c r="BR313" i="2"/>
  <c r="BQ313" i="2"/>
  <c r="BP313" i="2"/>
  <c r="BO313" i="2"/>
  <c r="BN313" i="2"/>
  <c r="BM313" i="2"/>
  <c r="BL313" i="2"/>
  <c r="BK313" i="2"/>
  <c r="BJ313" i="2"/>
  <c r="BI313" i="2"/>
  <c r="BH313" i="2"/>
  <c r="BG313" i="2"/>
  <c r="BF313" i="2"/>
  <c r="BE313" i="2"/>
  <c r="BD313" i="2"/>
  <c r="BC313" i="2"/>
  <c r="BB313" i="2"/>
  <c r="BA313" i="2"/>
  <c r="AZ313" i="2"/>
  <c r="AY313" i="2"/>
  <c r="AX313" i="2"/>
  <c r="AW313" i="2"/>
  <c r="AV313" i="2"/>
  <c r="AU313" i="2"/>
  <c r="AT313" i="2"/>
  <c r="AS313" i="2"/>
  <c r="AR313" i="2"/>
  <c r="AQ313" i="2"/>
  <c r="AP313" i="2"/>
  <c r="AO313" i="2"/>
  <c r="AN313" i="2"/>
  <c r="AM313" i="2"/>
  <c r="AL313" i="2"/>
  <c r="AK313" i="2"/>
  <c r="AE313" i="2"/>
  <c r="AA313" i="2"/>
  <c r="F313" i="2"/>
  <c r="E313" i="2"/>
  <c r="D313" i="2"/>
  <c r="CA312" i="2"/>
  <c r="BZ312" i="2"/>
  <c r="BY312" i="2"/>
  <c r="BX312" i="2"/>
  <c r="BW312" i="2"/>
  <c r="BV312" i="2"/>
  <c r="BU312" i="2"/>
  <c r="BT312" i="2"/>
  <c r="BS312" i="2"/>
  <c r="BR312" i="2"/>
  <c r="BQ312" i="2"/>
  <c r="BP312" i="2"/>
  <c r="BO312" i="2"/>
  <c r="BN312" i="2"/>
  <c r="BM312" i="2"/>
  <c r="BL312" i="2"/>
  <c r="BK312" i="2"/>
  <c r="BJ312" i="2"/>
  <c r="BI312" i="2"/>
  <c r="BH312" i="2"/>
  <c r="BG312" i="2"/>
  <c r="BF312" i="2"/>
  <c r="BE312" i="2"/>
  <c r="BD312" i="2"/>
  <c r="BC312" i="2"/>
  <c r="BB312" i="2"/>
  <c r="BA312" i="2"/>
  <c r="AZ312" i="2"/>
  <c r="AY312" i="2"/>
  <c r="AX312" i="2"/>
  <c r="AW312" i="2"/>
  <c r="AV312" i="2"/>
  <c r="AU312" i="2"/>
  <c r="AT312" i="2"/>
  <c r="AS312" i="2"/>
  <c r="AR312" i="2"/>
  <c r="AQ312" i="2"/>
  <c r="AP312" i="2"/>
  <c r="AO312" i="2"/>
  <c r="AN312" i="2"/>
  <c r="AM312" i="2"/>
  <c r="AL312" i="2"/>
  <c r="AK312" i="2"/>
  <c r="AE312" i="2"/>
  <c r="AA312" i="2"/>
  <c r="F312" i="2"/>
  <c r="E312" i="2"/>
  <c r="D312" i="2"/>
  <c r="CA311" i="2"/>
  <c r="BZ311" i="2"/>
  <c r="BY311" i="2"/>
  <c r="BX311" i="2"/>
  <c r="BW311" i="2"/>
  <c r="BV311" i="2"/>
  <c r="BU311" i="2"/>
  <c r="BT311" i="2"/>
  <c r="BS311" i="2"/>
  <c r="BR311" i="2"/>
  <c r="BQ311" i="2"/>
  <c r="BP311" i="2"/>
  <c r="BO311" i="2"/>
  <c r="BN311" i="2"/>
  <c r="BM311" i="2"/>
  <c r="BL311" i="2"/>
  <c r="BK311" i="2"/>
  <c r="BJ311" i="2"/>
  <c r="BI311" i="2"/>
  <c r="BH311" i="2"/>
  <c r="BG311" i="2"/>
  <c r="BF311" i="2"/>
  <c r="BE311" i="2"/>
  <c r="BD311" i="2"/>
  <c r="BC311" i="2"/>
  <c r="BB311" i="2"/>
  <c r="BA311" i="2"/>
  <c r="AZ311" i="2"/>
  <c r="AY311" i="2"/>
  <c r="AX311" i="2"/>
  <c r="AW311" i="2"/>
  <c r="AV311" i="2"/>
  <c r="AU311" i="2"/>
  <c r="AT311" i="2"/>
  <c r="AS311" i="2"/>
  <c r="AR311" i="2"/>
  <c r="AQ311" i="2"/>
  <c r="AP311" i="2"/>
  <c r="AO311" i="2"/>
  <c r="AN311" i="2"/>
  <c r="AM311" i="2"/>
  <c r="AL311" i="2"/>
  <c r="AK311" i="2"/>
  <c r="AE311" i="2"/>
  <c r="AA311" i="2"/>
  <c r="F311" i="2"/>
  <c r="E311" i="2"/>
  <c r="D311" i="2"/>
  <c r="CA310" i="2"/>
  <c r="BZ310" i="2"/>
  <c r="BY310" i="2"/>
  <c r="BX310" i="2"/>
  <c r="BW310" i="2"/>
  <c r="BV310" i="2"/>
  <c r="BU310" i="2"/>
  <c r="BT310" i="2"/>
  <c r="BS310" i="2"/>
  <c r="BR310" i="2"/>
  <c r="BQ310" i="2"/>
  <c r="BP310" i="2"/>
  <c r="BO310" i="2"/>
  <c r="BN310" i="2"/>
  <c r="BM310" i="2"/>
  <c r="BL310" i="2"/>
  <c r="BK310" i="2"/>
  <c r="BJ310" i="2"/>
  <c r="BI310" i="2"/>
  <c r="BH310" i="2"/>
  <c r="BG310" i="2"/>
  <c r="BF310" i="2"/>
  <c r="BE310" i="2"/>
  <c r="BD310" i="2"/>
  <c r="BC310" i="2"/>
  <c r="BB310" i="2"/>
  <c r="BA310" i="2"/>
  <c r="AZ310" i="2"/>
  <c r="AY310" i="2"/>
  <c r="AX310" i="2"/>
  <c r="AW310" i="2"/>
  <c r="AV310" i="2"/>
  <c r="AU310" i="2"/>
  <c r="AT310" i="2"/>
  <c r="AS310" i="2"/>
  <c r="AR310" i="2"/>
  <c r="AQ310" i="2"/>
  <c r="AP310" i="2"/>
  <c r="AO310" i="2"/>
  <c r="AN310" i="2"/>
  <c r="AM310" i="2"/>
  <c r="AL310" i="2"/>
  <c r="AK310" i="2"/>
  <c r="AE310" i="2"/>
  <c r="AA310" i="2"/>
  <c r="F310" i="2"/>
  <c r="E310" i="2"/>
  <c r="D310" i="2"/>
  <c r="CA309" i="2"/>
  <c r="BZ309" i="2"/>
  <c r="BY309" i="2"/>
  <c r="BX309" i="2"/>
  <c r="BW309" i="2"/>
  <c r="BV309" i="2"/>
  <c r="BU309" i="2"/>
  <c r="BT309" i="2"/>
  <c r="BS309" i="2"/>
  <c r="BR309" i="2"/>
  <c r="BQ309" i="2"/>
  <c r="BP309" i="2"/>
  <c r="BO309" i="2"/>
  <c r="BN309" i="2"/>
  <c r="BM309" i="2"/>
  <c r="BL309" i="2"/>
  <c r="BK309" i="2"/>
  <c r="BJ309" i="2"/>
  <c r="BI309" i="2"/>
  <c r="BH309" i="2"/>
  <c r="BG309" i="2"/>
  <c r="BF309" i="2"/>
  <c r="BE309" i="2"/>
  <c r="BD309" i="2"/>
  <c r="BC309" i="2"/>
  <c r="BB309" i="2"/>
  <c r="BA309" i="2"/>
  <c r="AZ309" i="2"/>
  <c r="AY309" i="2"/>
  <c r="AX309" i="2"/>
  <c r="AW309" i="2"/>
  <c r="AV309" i="2"/>
  <c r="AU309" i="2"/>
  <c r="AT309" i="2"/>
  <c r="AS309" i="2"/>
  <c r="AR309" i="2"/>
  <c r="AQ309" i="2"/>
  <c r="AP309" i="2"/>
  <c r="AO309" i="2"/>
  <c r="AN309" i="2"/>
  <c r="AM309" i="2"/>
  <c r="AL309" i="2"/>
  <c r="AK309" i="2"/>
  <c r="AE309" i="2"/>
  <c r="AA309" i="2"/>
  <c r="F309" i="2"/>
  <c r="E309" i="2"/>
  <c r="D309" i="2"/>
  <c r="CA308" i="2"/>
  <c r="BZ308" i="2"/>
  <c r="BY308" i="2"/>
  <c r="BX308" i="2"/>
  <c r="BW308" i="2"/>
  <c r="BV308" i="2"/>
  <c r="BU308" i="2"/>
  <c r="BT308" i="2"/>
  <c r="BS308" i="2"/>
  <c r="BR308" i="2"/>
  <c r="BQ308" i="2"/>
  <c r="BP308" i="2"/>
  <c r="BO308" i="2"/>
  <c r="BN308" i="2"/>
  <c r="BM308" i="2"/>
  <c r="BL308" i="2"/>
  <c r="BK308" i="2"/>
  <c r="BJ308" i="2"/>
  <c r="BI308" i="2"/>
  <c r="BH308" i="2"/>
  <c r="BG308" i="2"/>
  <c r="BF308" i="2"/>
  <c r="BE308" i="2"/>
  <c r="BD308" i="2"/>
  <c r="BC308" i="2"/>
  <c r="BB308" i="2"/>
  <c r="BA308" i="2"/>
  <c r="AZ308" i="2"/>
  <c r="AY308" i="2"/>
  <c r="AX308" i="2"/>
  <c r="AW308" i="2"/>
  <c r="AV308" i="2"/>
  <c r="AU308" i="2"/>
  <c r="AT308" i="2"/>
  <c r="AS308" i="2"/>
  <c r="AR308" i="2"/>
  <c r="AQ308" i="2"/>
  <c r="AP308" i="2"/>
  <c r="AO308" i="2"/>
  <c r="AN308" i="2"/>
  <c r="AM308" i="2"/>
  <c r="AL308" i="2"/>
  <c r="AK308" i="2"/>
  <c r="AE308" i="2"/>
  <c r="AA308" i="2"/>
  <c r="F308" i="2"/>
  <c r="E308" i="2"/>
  <c r="D308" i="2"/>
  <c r="CA307" i="2"/>
  <c r="BZ307" i="2"/>
  <c r="BY307" i="2"/>
  <c r="BX307" i="2"/>
  <c r="BW307" i="2"/>
  <c r="BV307" i="2"/>
  <c r="BU307" i="2"/>
  <c r="BT307" i="2"/>
  <c r="BS307" i="2"/>
  <c r="BR307" i="2"/>
  <c r="BQ307" i="2"/>
  <c r="BP307" i="2"/>
  <c r="BO307" i="2"/>
  <c r="BN307" i="2"/>
  <c r="BM307" i="2"/>
  <c r="BL307" i="2"/>
  <c r="BK307" i="2"/>
  <c r="BJ307" i="2"/>
  <c r="BI307" i="2"/>
  <c r="BH307" i="2"/>
  <c r="BG307" i="2"/>
  <c r="BF307" i="2"/>
  <c r="BE307" i="2"/>
  <c r="BD307" i="2"/>
  <c r="BC307" i="2"/>
  <c r="BB307" i="2"/>
  <c r="BA307" i="2"/>
  <c r="AZ307" i="2"/>
  <c r="AY307" i="2"/>
  <c r="AX307" i="2"/>
  <c r="AW307" i="2"/>
  <c r="AV307" i="2"/>
  <c r="AU307" i="2"/>
  <c r="AT307" i="2"/>
  <c r="AS307" i="2"/>
  <c r="AR307" i="2"/>
  <c r="AQ307" i="2"/>
  <c r="AP307" i="2"/>
  <c r="AO307" i="2"/>
  <c r="AN307" i="2"/>
  <c r="AM307" i="2"/>
  <c r="AL307" i="2"/>
  <c r="AK307" i="2"/>
  <c r="AE307" i="2"/>
  <c r="AA307" i="2"/>
  <c r="F307" i="2"/>
  <c r="E307" i="2"/>
  <c r="D307" i="2"/>
  <c r="CA306" i="2"/>
  <c r="BZ306" i="2"/>
  <c r="BY306" i="2"/>
  <c r="BX306" i="2"/>
  <c r="BW306" i="2"/>
  <c r="BV306" i="2"/>
  <c r="BU306" i="2"/>
  <c r="BT306" i="2"/>
  <c r="BS306" i="2"/>
  <c r="BR306" i="2"/>
  <c r="BQ306" i="2"/>
  <c r="BP306" i="2"/>
  <c r="BO306" i="2"/>
  <c r="BN306" i="2"/>
  <c r="BM306" i="2"/>
  <c r="BL306" i="2"/>
  <c r="BK306" i="2"/>
  <c r="BJ306" i="2"/>
  <c r="BI306" i="2"/>
  <c r="BH306" i="2"/>
  <c r="BG306" i="2"/>
  <c r="BF306" i="2"/>
  <c r="BE306" i="2"/>
  <c r="BD306" i="2"/>
  <c r="BC306" i="2"/>
  <c r="BB306" i="2"/>
  <c r="BA306" i="2"/>
  <c r="AZ306" i="2"/>
  <c r="AY306" i="2"/>
  <c r="AX306" i="2"/>
  <c r="AW306" i="2"/>
  <c r="AV306" i="2"/>
  <c r="AU306" i="2"/>
  <c r="AT306" i="2"/>
  <c r="AS306" i="2"/>
  <c r="AR306" i="2"/>
  <c r="AQ306" i="2"/>
  <c r="AP306" i="2"/>
  <c r="AO306" i="2"/>
  <c r="AN306" i="2"/>
  <c r="AM306" i="2"/>
  <c r="AL306" i="2"/>
  <c r="AK306" i="2"/>
  <c r="AE306" i="2"/>
  <c r="AA306" i="2"/>
  <c r="F306" i="2"/>
  <c r="E306" i="2"/>
  <c r="D306" i="2"/>
  <c r="CA305" i="2"/>
  <c r="BZ305" i="2"/>
  <c r="BY305" i="2"/>
  <c r="BX305" i="2"/>
  <c r="BW305" i="2"/>
  <c r="BV305" i="2"/>
  <c r="BU305" i="2"/>
  <c r="BT305" i="2"/>
  <c r="BS305" i="2"/>
  <c r="BR305" i="2"/>
  <c r="BQ305" i="2"/>
  <c r="BP305" i="2"/>
  <c r="BO305" i="2"/>
  <c r="BN305" i="2"/>
  <c r="BM305" i="2"/>
  <c r="BL305" i="2"/>
  <c r="BK305" i="2"/>
  <c r="BJ305" i="2"/>
  <c r="BI305" i="2"/>
  <c r="BH305" i="2"/>
  <c r="BG305" i="2"/>
  <c r="BF305" i="2"/>
  <c r="BE305" i="2"/>
  <c r="BD305" i="2"/>
  <c r="BC305" i="2"/>
  <c r="BB305" i="2"/>
  <c r="BA305" i="2"/>
  <c r="AZ305" i="2"/>
  <c r="AY305" i="2"/>
  <c r="AX305" i="2"/>
  <c r="AW305" i="2"/>
  <c r="AV305" i="2"/>
  <c r="AU305" i="2"/>
  <c r="AT305" i="2"/>
  <c r="AS305" i="2"/>
  <c r="AR305" i="2"/>
  <c r="AQ305" i="2"/>
  <c r="AP305" i="2"/>
  <c r="AO305" i="2"/>
  <c r="AN305" i="2"/>
  <c r="AM305" i="2"/>
  <c r="AL305" i="2"/>
  <c r="AK305" i="2"/>
  <c r="AE305" i="2"/>
  <c r="AA305" i="2"/>
  <c r="F305" i="2"/>
  <c r="E305" i="2"/>
  <c r="D305" i="2"/>
  <c r="CA304" i="2"/>
  <c r="BZ304" i="2"/>
  <c r="BY304" i="2"/>
  <c r="BX304" i="2"/>
  <c r="BW304" i="2"/>
  <c r="BV304" i="2"/>
  <c r="BU304" i="2"/>
  <c r="BT304" i="2"/>
  <c r="BS304" i="2"/>
  <c r="BR304" i="2"/>
  <c r="BQ304" i="2"/>
  <c r="BP304" i="2"/>
  <c r="BO304" i="2"/>
  <c r="BN304" i="2"/>
  <c r="BM304" i="2"/>
  <c r="BL304" i="2"/>
  <c r="BK304" i="2"/>
  <c r="BJ304" i="2"/>
  <c r="BI304" i="2"/>
  <c r="BH304" i="2"/>
  <c r="BG304" i="2"/>
  <c r="BF304" i="2"/>
  <c r="BE304" i="2"/>
  <c r="BD304" i="2"/>
  <c r="BC304" i="2"/>
  <c r="BB304" i="2"/>
  <c r="BA304" i="2"/>
  <c r="AZ304" i="2"/>
  <c r="AY304" i="2"/>
  <c r="AX304" i="2"/>
  <c r="AW304" i="2"/>
  <c r="AV304" i="2"/>
  <c r="AU304" i="2"/>
  <c r="AT304" i="2"/>
  <c r="AS304" i="2"/>
  <c r="AR304" i="2"/>
  <c r="AQ304" i="2"/>
  <c r="AP304" i="2"/>
  <c r="AO304" i="2"/>
  <c r="AN304" i="2"/>
  <c r="AM304" i="2"/>
  <c r="AL304" i="2"/>
  <c r="AK304" i="2"/>
  <c r="AE304" i="2"/>
  <c r="AA304" i="2"/>
  <c r="F304" i="2"/>
  <c r="E304" i="2"/>
  <c r="D304" i="2"/>
  <c r="CA303" i="2"/>
  <c r="BZ303" i="2"/>
  <c r="BY303" i="2"/>
  <c r="BX303" i="2"/>
  <c r="BW303" i="2"/>
  <c r="BV303" i="2"/>
  <c r="BU303" i="2"/>
  <c r="BT303" i="2"/>
  <c r="BS303" i="2"/>
  <c r="BR303" i="2"/>
  <c r="BQ303" i="2"/>
  <c r="BP303" i="2"/>
  <c r="BO303" i="2"/>
  <c r="BN303" i="2"/>
  <c r="BM303" i="2"/>
  <c r="BL303" i="2"/>
  <c r="BK303" i="2"/>
  <c r="BJ303" i="2"/>
  <c r="BI303" i="2"/>
  <c r="BH303" i="2"/>
  <c r="BG303" i="2"/>
  <c r="BF303" i="2"/>
  <c r="BE303" i="2"/>
  <c r="BD303" i="2"/>
  <c r="BC303" i="2"/>
  <c r="BB303" i="2"/>
  <c r="BA303" i="2"/>
  <c r="AZ303" i="2"/>
  <c r="AY303" i="2"/>
  <c r="AX303" i="2"/>
  <c r="AW303" i="2"/>
  <c r="AV303" i="2"/>
  <c r="AU303" i="2"/>
  <c r="AT303" i="2"/>
  <c r="AS303" i="2"/>
  <c r="AR303" i="2"/>
  <c r="AQ303" i="2"/>
  <c r="AP303" i="2"/>
  <c r="AO303" i="2"/>
  <c r="AN303" i="2"/>
  <c r="AM303" i="2"/>
  <c r="AL303" i="2"/>
  <c r="AK303" i="2"/>
  <c r="AE303" i="2"/>
  <c r="AA303" i="2"/>
  <c r="F303" i="2"/>
  <c r="E303" i="2"/>
  <c r="D303" i="2"/>
  <c r="CA302" i="2"/>
  <c r="BZ302" i="2"/>
  <c r="BY302" i="2"/>
  <c r="BX302" i="2"/>
  <c r="BW302" i="2"/>
  <c r="BV302" i="2"/>
  <c r="BU302" i="2"/>
  <c r="BT302" i="2"/>
  <c r="BS302" i="2"/>
  <c r="BR302" i="2"/>
  <c r="BQ302" i="2"/>
  <c r="BP302" i="2"/>
  <c r="BO302" i="2"/>
  <c r="BN302" i="2"/>
  <c r="BM302" i="2"/>
  <c r="BL302" i="2"/>
  <c r="BK302" i="2"/>
  <c r="BJ302" i="2"/>
  <c r="BI302" i="2"/>
  <c r="BH302" i="2"/>
  <c r="BG302" i="2"/>
  <c r="BF302" i="2"/>
  <c r="BE302" i="2"/>
  <c r="BD302" i="2"/>
  <c r="BC302" i="2"/>
  <c r="BB302" i="2"/>
  <c r="BA302" i="2"/>
  <c r="AZ302" i="2"/>
  <c r="AY302" i="2"/>
  <c r="AX302" i="2"/>
  <c r="AW302" i="2"/>
  <c r="AV302" i="2"/>
  <c r="AU302" i="2"/>
  <c r="AT302" i="2"/>
  <c r="AS302" i="2"/>
  <c r="AR302" i="2"/>
  <c r="AQ302" i="2"/>
  <c r="AP302" i="2"/>
  <c r="AO302" i="2"/>
  <c r="AN302" i="2"/>
  <c r="AM302" i="2"/>
  <c r="AL302" i="2"/>
  <c r="AK302" i="2"/>
  <c r="AE302" i="2"/>
  <c r="AA302" i="2"/>
  <c r="F302" i="2"/>
  <c r="E302" i="2"/>
  <c r="D302" i="2"/>
  <c r="CA301" i="2"/>
  <c r="BZ301" i="2"/>
  <c r="BY301" i="2"/>
  <c r="BX301" i="2"/>
  <c r="BW301" i="2"/>
  <c r="BV301" i="2"/>
  <c r="BU301" i="2"/>
  <c r="BT301" i="2"/>
  <c r="BS301" i="2"/>
  <c r="BR301" i="2"/>
  <c r="BQ301" i="2"/>
  <c r="BP301" i="2"/>
  <c r="BO301" i="2"/>
  <c r="BN301" i="2"/>
  <c r="BM301" i="2"/>
  <c r="BL301" i="2"/>
  <c r="BK301" i="2"/>
  <c r="BJ301" i="2"/>
  <c r="BI301" i="2"/>
  <c r="BH301" i="2"/>
  <c r="BG301" i="2"/>
  <c r="BF301" i="2"/>
  <c r="BE301" i="2"/>
  <c r="BD301" i="2"/>
  <c r="BC301" i="2"/>
  <c r="BB301" i="2"/>
  <c r="BA301" i="2"/>
  <c r="AZ301" i="2"/>
  <c r="AY301" i="2"/>
  <c r="AX301" i="2"/>
  <c r="AW301" i="2"/>
  <c r="AV301" i="2"/>
  <c r="AU301" i="2"/>
  <c r="AT301" i="2"/>
  <c r="AS301" i="2"/>
  <c r="AR301" i="2"/>
  <c r="AQ301" i="2"/>
  <c r="AP301" i="2"/>
  <c r="AO301" i="2"/>
  <c r="AN301" i="2"/>
  <c r="AM301" i="2"/>
  <c r="AL301" i="2"/>
  <c r="AK301" i="2"/>
  <c r="AE301" i="2"/>
  <c r="AD301" i="2"/>
  <c r="AC301" i="2"/>
  <c r="AB301" i="2"/>
  <c r="AA301" i="2"/>
  <c r="Z301" i="2"/>
  <c r="Y301" i="2"/>
  <c r="X301" i="2"/>
  <c r="W301" i="2"/>
  <c r="V301" i="2"/>
  <c r="U301" i="2"/>
  <c r="T301" i="2"/>
  <c r="S301" i="2"/>
  <c r="R301" i="2"/>
  <c r="Q301" i="2"/>
  <c r="F301" i="2"/>
  <c r="E301" i="2"/>
  <c r="D301" i="2"/>
  <c r="CA300" i="2"/>
  <c r="BZ300" i="2"/>
  <c r="BY300" i="2"/>
  <c r="BX300" i="2"/>
  <c r="BW300" i="2"/>
  <c r="BV300" i="2"/>
  <c r="BU300" i="2"/>
  <c r="BT300" i="2"/>
  <c r="BS300" i="2"/>
  <c r="BR300" i="2"/>
  <c r="BQ300" i="2"/>
  <c r="BP300" i="2"/>
  <c r="BO300" i="2"/>
  <c r="BN300" i="2"/>
  <c r="BM300" i="2"/>
  <c r="BL300" i="2"/>
  <c r="BK300" i="2"/>
  <c r="BJ300" i="2"/>
  <c r="BI300" i="2"/>
  <c r="BH300" i="2"/>
  <c r="BG300" i="2"/>
  <c r="BF300" i="2"/>
  <c r="BE300" i="2"/>
  <c r="BD300" i="2"/>
  <c r="BC300" i="2"/>
  <c r="BB300" i="2"/>
  <c r="BA300" i="2"/>
  <c r="AZ300" i="2"/>
  <c r="AY300" i="2"/>
  <c r="AX300" i="2"/>
  <c r="AW300" i="2"/>
  <c r="AV300" i="2"/>
  <c r="AU300" i="2"/>
  <c r="AT300" i="2"/>
  <c r="AS300" i="2"/>
  <c r="AR300" i="2"/>
  <c r="AQ300" i="2"/>
  <c r="AP300" i="2"/>
  <c r="AO300" i="2"/>
  <c r="AN300" i="2"/>
  <c r="AM300" i="2"/>
  <c r="AL300" i="2"/>
  <c r="AK300" i="2"/>
  <c r="AE300" i="2"/>
  <c r="AD300" i="2"/>
  <c r="AC300" i="2"/>
  <c r="AB300" i="2"/>
  <c r="AA300" i="2"/>
  <c r="Z300" i="2"/>
  <c r="Y300" i="2"/>
  <c r="X300" i="2"/>
  <c r="W300" i="2"/>
  <c r="V300" i="2"/>
  <c r="U300" i="2"/>
  <c r="T300" i="2"/>
  <c r="S300" i="2"/>
  <c r="R300" i="2"/>
  <c r="Q300" i="2"/>
  <c r="F300" i="2"/>
  <c r="E300" i="2"/>
  <c r="D300" i="2"/>
  <c r="CA299" i="2"/>
  <c r="BZ299" i="2"/>
  <c r="BY299" i="2"/>
  <c r="BX299" i="2"/>
  <c r="BW299" i="2"/>
  <c r="BV299" i="2"/>
  <c r="BU299" i="2"/>
  <c r="BT299" i="2"/>
  <c r="BS299" i="2"/>
  <c r="BR299" i="2"/>
  <c r="BQ299" i="2"/>
  <c r="BP299" i="2"/>
  <c r="BO299" i="2"/>
  <c r="BN299" i="2"/>
  <c r="BM299" i="2"/>
  <c r="BL299" i="2"/>
  <c r="BK299" i="2"/>
  <c r="BJ299" i="2"/>
  <c r="BI299" i="2"/>
  <c r="BH299" i="2"/>
  <c r="BG299" i="2"/>
  <c r="BF299" i="2"/>
  <c r="BE299" i="2"/>
  <c r="BD299" i="2"/>
  <c r="BC299" i="2"/>
  <c r="BB299" i="2"/>
  <c r="BA299" i="2"/>
  <c r="AZ299" i="2"/>
  <c r="AY299" i="2"/>
  <c r="AX299" i="2"/>
  <c r="AW299" i="2"/>
  <c r="AV299" i="2"/>
  <c r="AU299" i="2"/>
  <c r="AT299" i="2"/>
  <c r="AS299" i="2"/>
  <c r="AR299" i="2"/>
  <c r="AQ299" i="2"/>
  <c r="AP299" i="2"/>
  <c r="AO299" i="2"/>
  <c r="AN299" i="2"/>
  <c r="AM299" i="2"/>
  <c r="AL299" i="2"/>
  <c r="AK299" i="2"/>
  <c r="AE299" i="2"/>
  <c r="AD299" i="2"/>
  <c r="AC299" i="2"/>
  <c r="AB299" i="2"/>
  <c r="AA299" i="2"/>
  <c r="Z299" i="2"/>
  <c r="Y299" i="2"/>
  <c r="X299" i="2"/>
  <c r="W299" i="2"/>
  <c r="V299" i="2"/>
  <c r="U299" i="2"/>
  <c r="T299" i="2"/>
  <c r="S299" i="2"/>
  <c r="R299" i="2"/>
  <c r="Q299" i="2"/>
  <c r="F299" i="2"/>
  <c r="E299" i="2"/>
  <c r="D299" i="2"/>
  <c r="CA298" i="2"/>
  <c r="BZ298" i="2"/>
  <c r="BY298" i="2"/>
  <c r="BX298" i="2"/>
  <c r="BW298" i="2"/>
  <c r="BV298" i="2"/>
  <c r="BU298" i="2"/>
  <c r="BT298" i="2"/>
  <c r="BS298" i="2"/>
  <c r="BR298" i="2"/>
  <c r="BQ298" i="2"/>
  <c r="BP298" i="2"/>
  <c r="BO298" i="2"/>
  <c r="BN298" i="2"/>
  <c r="BM298" i="2"/>
  <c r="BL298" i="2"/>
  <c r="BK298" i="2"/>
  <c r="BJ298" i="2"/>
  <c r="BI298" i="2"/>
  <c r="BH298" i="2"/>
  <c r="BG298" i="2"/>
  <c r="BF298" i="2"/>
  <c r="BE298" i="2"/>
  <c r="BD298" i="2"/>
  <c r="BC298" i="2"/>
  <c r="BB298" i="2"/>
  <c r="BA298" i="2"/>
  <c r="AZ298" i="2"/>
  <c r="AY298" i="2"/>
  <c r="AX298" i="2"/>
  <c r="AW298" i="2"/>
  <c r="AV298" i="2"/>
  <c r="AU298" i="2"/>
  <c r="AT298" i="2"/>
  <c r="AS298" i="2"/>
  <c r="AR298" i="2"/>
  <c r="AQ298" i="2"/>
  <c r="AP298" i="2"/>
  <c r="AO298" i="2"/>
  <c r="AN298" i="2"/>
  <c r="AM298" i="2"/>
  <c r="AL298" i="2"/>
  <c r="AK298" i="2"/>
  <c r="AE298" i="2"/>
  <c r="AD298" i="2"/>
  <c r="AC298" i="2"/>
  <c r="AB298" i="2"/>
  <c r="AA298" i="2"/>
  <c r="Z298" i="2"/>
  <c r="Y298" i="2"/>
  <c r="X298" i="2"/>
  <c r="W298" i="2"/>
  <c r="V298" i="2"/>
  <c r="U298" i="2"/>
  <c r="T298" i="2"/>
  <c r="S298" i="2"/>
  <c r="R298" i="2"/>
  <c r="Q298" i="2"/>
  <c r="F298" i="2"/>
  <c r="E298" i="2"/>
  <c r="D298" i="2"/>
  <c r="CA297" i="2"/>
  <c r="BZ297" i="2"/>
  <c r="BY297" i="2"/>
  <c r="BX297" i="2"/>
  <c r="BW297" i="2"/>
  <c r="BV297" i="2"/>
  <c r="BU297" i="2"/>
  <c r="BT297" i="2"/>
  <c r="BS297" i="2"/>
  <c r="BR297" i="2"/>
  <c r="BQ297" i="2"/>
  <c r="BP297" i="2"/>
  <c r="BO297" i="2"/>
  <c r="BN297" i="2"/>
  <c r="BM297" i="2"/>
  <c r="BL297" i="2"/>
  <c r="BK297" i="2"/>
  <c r="BJ297" i="2"/>
  <c r="BI297" i="2"/>
  <c r="BH297" i="2"/>
  <c r="BG297" i="2"/>
  <c r="BF297" i="2"/>
  <c r="BE297" i="2"/>
  <c r="BD297" i="2"/>
  <c r="BC297" i="2"/>
  <c r="BB297" i="2"/>
  <c r="BA297" i="2"/>
  <c r="AZ297" i="2"/>
  <c r="AY297" i="2"/>
  <c r="AX297" i="2"/>
  <c r="AW297" i="2"/>
  <c r="AV297" i="2"/>
  <c r="AU297" i="2"/>
  <c r="AT297" i="2"/>
  <c r="AS297" i="2"/>
  <c r="AR297" i="2"/>
  <c r="AQ297" i="2"/>
  <c r="AP297" i="2"/>
  <c r="AO297" i="2"/>
  <c r="AN297" i="2"/>
  <c r="AM297" i="2"/>
  <c r="AL297" i="2"/>
  <c r="AK297" i="2"/>
  <c r="AE297" i="2"/>
  <c r="AD297" i="2"/>
  <c r="AC297" i="2"/>
  <c r="AB297" i="2"/>
  <c r="AA297" i="2"/>
  <c r="Z297" i="2"/>
  <c r="Y297" i="2"/>
  <c r="X297" i="2"/>
  <c r="W297" i="2"/>
  <c r="V297" i="2"/>
  <c r="U297" i="2"/>
  <c r="T297" i="2"/>
  <c r="S297" i="2"/>
  <c r="R297" i="2"/>
  <c r="Q297" i="2"/>
  <c r="F297" i="2"/>
  <c r="E297" i="2"/>
  <c r="D297" i="2"/>
  <c r="CA296" i="2"/>
  <c r="BZ296" i="2"/>
  <c r="BY296" i="2"/>
  <c r="BX296" i="2"/>
  <c r="BW296" i="2"/>
  <c r="BV296" i="2"/>
  <c r="BU296" i="2"/>
  <c r="BT296" i="2"/>
  <c r="BS296" i="2"/>
  <c r="BR296" i="2"/>
  <c r="BQ296" i="2"/>
  <c r="BP296" i="2"/>
  <c r="BO296" i="2"/>
  <c r="BN296" i="2"/>
  <c r="BM296" i="2"/>
  <c r="BL296" i="2"/>
  <c r="BK296" i="2"/>
  <c r="BJ296" i="2"/>
  <c r="BI296" i="2"/>
  <c r="BH296" i="2"/>
  <c r="BG296" i="2"/>
  <c r="BF296" i="2"/>
  <c r="BE296" i="2"/>
  <c r="BD296" i="2"/>
  <c r="BC296" i="2"/>
  <c r="BB296" i="2"/>
  <c r="BA296" i="2"/>
  <c r="AZ296" i="2"/>
  <c r="AY296" i="2"/>
  <c r="AX296" i="2"/>
  <c r="AW296" i="2"/>
  <c r="AV296" i="2"/>
  <c r="AU296" i="2"/>
  <c r="AT296" i="2"/>
  <c r="AS296" i="2"/>
  <c r="AR296" i="2"/>
  <c r="AQ296" i="2"/>
  <c r="AP296" i="2"/>
  <c r="AO296" i="2"/>
  <c r="AN296" i="2"/>
  <c r="AM296" i="2"/>
  <c r="AL296" i="2"/>
  <c r="AK296" i="2"/>
  <c r="AE296" i="2"/>
  <c r="AD296" i="2"/>
  <c r="AC296" i="2"/>
  <c r="AB296" i="2"/>
  <c r="AA296" i="2"/>
  <c r="Z296" i="2"/>
  <c r="Y296" i="2"/>
  <c r="X296" i="2"/>
  <c r="W296" i="2"/>
  <c r="V296" i="2"/>
  <c r="U296" i="2"/>
  <c r="T296" i="2"/>
  <c r="S296" i="2"/>
  <c r="R296" i="2"/>
  <c r="Q296" i="2"/>
  <c r="F296" i="2"/>
  <c r="E296" i="2"/>
  <c r="D296" i="2"/>
  <c r="CA295" i="2"/>
  <c r="BZ295" i="2"/>
  <c r="BY295" i="2"/>
  <c r="BX295" i="2"/>
  <c r="BW295" i="2"/>
  <c r="BV295" i="2"/>
  <c r="BU295" i="2"/>
  <c r="BT295" i="2"/>
  <c r="BS295" i="2"/>
  <c r="BR295" i="2"/>
  <c r="BQ295" i="2"/>
  <c r="BP295" i="2"/>
  <c r="BO295" i="2"/>
  <c r="BN295" i="2"/>
  <c r="BM295" i="2"/>
  <c r="BL295" i="2"/>
  <c r="BK295" i="2"/>
  <c r="BJ295" i="2"/>
  <c r="BI295" i="2"/>
  <c r="BH295" i="2"/>
  <c r="BG295" i="2"/>
  <c r="BF295" i="2"/>
  <c r="BE295" i="2"/>
  <c r="BD295" i="2"/>
  <c r="BC295" i="2"/>
  <c r="BB295" i="2"/>
  <c r="BA295" i="2"/>
  <c r="AZ295" i="2"/>
  <c r="AY295" i="2"/>
  <c r="AX295" i="2"/>
  <c r="AW295" i="2"/>
  <c r="AV295" i="2"/>
  <c r="AU295" i="2"/>
  <c r="AT295" i="2"/>
  <c r="AS295" i="2"/>
  <c r="AR295" i="2"/>
  <c r="AQ295" i="2"/>
  <c r="AP295" i="2"/>
  <c r="AO295" i="2"/>
  <c r="AN295" i="2"/>
  <c r="AM295" i="2"/>
  <c r="AL295" i="2"/>
  <c r="AK295" i="2"/>
  <c r="AE295" i="2"/>
  <c r="AD295" i="2"/>
  <c r="AC295" i="2"/>
  <c r="AB295" i="2"/>
  <c r="AA295" i="2"/>
  <c r="Z295" i="2"/>
  <c r="Y295" i="2"/>
  <c r="X295" i="2"/>
  <c r="W295" i="2"/>
  <c r="V295" i="2"/>
  <c r="U295" i="2"/>
  <c r="T295" i="2"/>
  <c r="S295" i="2"/>
  <c r="R295" i="2"/>
  <c r="Q295" i="2"/>
  <c r="F295" i="2"/>
  <c r="E295" i="2"/>
  <c r="D295" i="2"/>
  <c r="CA294" i="2"/>
  <c r="BZ294" i="2"/>
  <c r="BY294" i="2"/>
  <c r="BX294" i="2"/>
  <c r="BW294" i="2"/>
  <c r="BV294" i="2"/>
  <c r="BU294" i="2"/>
  <c r="BT294" i="2"/>
  <c r="BS294" i="2"/>
  <c r="BR294" i="2"/>
  <c r="BQ294" i="2"/>
  <c r="BP294" i="2"/>
  <c r="BO294" i="2"/>
  <c r="BN294" i="2"/>
  <c r="BM294" i="2"/>
  <c r="BL294" i="2"/>
  <c r="BK294" i="2"/>
  <c r="BJ294" i="2"/>
  <c r="BI294" i="2"/>
  <c r="BH294" i="2"/>
  <c r="BG294" i="2"/>
  <c r="BF294" i="2"/>
  <c r="BE294" i="2"/>
  <c r="BD294" i="2"/>
  <c r="BC294" i="2"/>
  <c r="BB294" i="2"/>
  <c r="BA294" i="2"/>
  <c r="AZ294" i="2"/>
  <c r="AY294" i="2"/>
  <c r="AX294" i="2"/>
  <c r="AW294" i="2"/>
  <c r="AV294" i="2"/>
  <c r="AU294" i="2"/>
  <c r="AT294" i="2"/>
  <c r="AS294" i="2"/>
  <c r="AR294" i="2"/>
  <c r="AQ294" i="2"/>
  <c r="AP294" i="2"/>
  <c r="AO294" i="2"/>
  <c r="AN294" i="2"/>
  <c r="AM294" i="2"/>
  <c r="AL294" i="2"/>
  <c r="AK294" i="2"/>
  <c r="AE294" i="2"/>
  <c r="AD294" i="2"/>
  <c r="AC294" i="2"/>
  <c r="AB294" i="2"/>
  <c r="AA294" i="2"/>
  <c r="Z294" i="2"/>
  <c r="Y294" i="2"/>
  <c r="X294" i="2"/>
  <c r="W294" i="2"/>
  <c r="V294" i="2"/>
  <c r="U294" i="2"/>
  <c r="T294" i="2"/>
  <c r="S294" i="2"/>
  <c r="R294" i="2"/>
  <c r="Q294" i="2"/>
  <c r="F294" i="2"/>
  <c r="E294" i="2"/>
  <c r="D294" i="2"/>
  <c r="CA293" i="2"/>
  <c r="BZ293" i="2"/>
  <c r="BY293" i="2"/>
  <c r="BX293" i="2"/>
  <c r="BW293" i="2"/>
  <c r="BV293" i="2"/>
  <c r="BU293" i="2"/>
  <c r="BT293" i="2"/>
  <c r="BS293" i="2"/>
  <c r="BR293" i="2"/>
  <c r="BQ293" i="2"/>
  <c r="BP293" i="2"/>
  <c r="BO293" i="2"/>
  <c r="BN293" i="2"/>
  <c r="BM293" i="2"/>
  <c r="BL293" i="2"/>
  <c r="BK293" i="2"/>
  <c r="BJ293" i="2"/>
  <c r="BI293" i="2"/>
  <c r="BH293" i="2"/>
  <c r="BG293" i="2"/>
  <c r="BF293" i="2"/>
  <c r="BE293" i="2"/>
  <c r="BD293" i="2"/>
  <c r="BC293" i="2"/>
  <c r="BB293" i="2"/>
  <c r="BA293" i="2"/>
  <c r="AZ293" i="2"/>
  <c r="AY293" i="2"/>
  <c r="AX293" i="2"/>
  <c r="AW293" i="2"/>
  <c r="AV293" i="2"/>
  <c r="AU293" i="2"/>
  <c r="AT293" i="2"/>
  <c r="AS293" i="2"/>
  <c r="AR293" i="2"/>
  <c r="AQ293" i="2"/>
  <c r="AP293" i="2"/>
  <c r="AO293" i="2"/>
  <c r="AN293" i="2"/>
  <c r="AM293" i="2"/>
  <c r="AL293" i="2"/>
  <c r="AK293" i="2"/>
  <c r="AE293" i="2"/>
  <c r="AD293" i="2"/>
  <c r="AC293" i="2"/>
  <c r="AB293" i="2"/>
  <c r="AA293" i="2"/>
  <c r="Z293" i="2"/>
  <c r="Y293" i="2"/>
  <c r="X293" i="2"/>
  <c r="W293" i="2"/>
  <c r="V293" i="2"/>
  <c r="U293" i="2"/>
  <c r="T293" i="2"/>
  <c r="S293" i="2"/>
  <c r="R293" i="2"/>
  <c r="Q293" i="2"/>
  <c r="F293" i="2"/>
  <c r="E293" i="2"/>
  <c r="D293" i="2"/>
  <c r="CA292" i="2"/>
  <c r="BZ292" i="2"/>
  <c r="BY292" i="2"/>
  <c r="BX292" i="2"/>
  <c r="BW292" i="2"/>
  <c r="BV292" i="2"/>
  <c r="BU292" i="2"/>
  <c r="BT292" i="2"/>
  <c r="BS292" i="2"/>
  <c r="BR292" i="2"/>
  <c r="BQ292" i="2"/>
  <c r="BP292" i="2"/>
  <c r="BO292" i="2"/>
  <c r="BN292" i="2"/>
  <c r="BM292" i="2"/>
  <c r="BL292" i="2"/>
  <c r="BK292" i="2"/>
  <c r="BJ292" i="2"/>
  <c r="BI292" i="2"/>
  <c r="BH292" i="2"/>
  <c r="BG292" i="2"/>
  <c r="BF292" i="2"/>
  <c r="BE292" i="2"/>
  <c r="BD292" i="2"/>
  <c r="BC292" i="2"/>
  <c r="BB292" i="2"/>
  <c r="BA292" i="2"/>
  <c r="AZ292" i="2"/>
  <c r="AY292" i="2"/>
  <c r="AX292" i="2"/>
  <c r="AW292" i="2"/>
  <c r="AV292" i="2"/>
  <c r="AU292" i="2"/>
  <c r="AT292" i="2"/>
  <c r="AS292" i="2"/>
  <c r="AR292" i="2"/>
  <c r="AQ292" i="2"/>
  <c r="AP292" i="2"/>
  <c r="AO292" i="2"/>
  <c r="AN292" i="2"/>
  <c r="AM292" i="2"/>
  <c r="AL292" i="2"/>
  <c r="AK292" i="2"/>
  <c r="AE292" i="2"/>
  <c r="AD292" i="2"/>
  <c r="AC292" i="2"/>
  <c r="AB292" i="2"/>
  <c r="AA292" i="2"/>
  <c r="Z292" i="2"/>
  <c r="Y292" i="2"/>
  <c r="X292" i="2"/>
  <c r="W292" i="2"/>
  <c r="V292" i="2"/>
  <c r="U292" i="2"/>
  <c r="T292" i="2"/>
  <c r="S292" i="2"/>
  <c r="R292" i="2"/>
  <c r="Q292" i="2"/>
  <c r="F292" i="2"/>
  <c r="E292" i="2"/>
  <c r="D292" i="2"/>
  <c r="CA291" i="2"/>
  <c r="BZ291" i="2"/>
  <c r="BY291" i="2"/>
  <c r="BX291" i="2"/>
  <c r="BW291" i="2"/>
  <c r="BV291" i="2"/>
  <c r="BU291" i="2"/>
  <c r="BT291" i="2"/>
  <c r="BS291" i="2"/>
  <c r="BR291" i="2"/>
  <c r="BQ291" i="2"/>
  <c r="BP291" i="2"/>
  <c r="BO291" i="2"/>
  <c r="BN291" i="2"/>
  <c r="BM291" i="2"/>
  <c r="BL291" i="2"/>
  <c r="BK291" i="2"/>
  <c r="BJ291" i="2"/>
  <c r="BI291" i="2"/>
  <c r="BH291" i="2"/>
  <c r="BG291" i="2"/>
  <c r="BF291" i="2"/>
  <c r="BE291" i="2"/>
  <c r="BD291" i="2"/>
  <c r="BC291" i="2"/>
  <c r="BB291" i="2"/>
  <c r="BA291" i="2"/>
  <c r="AZ291" i="2"/>
  <c r="AY291" i="2"/>
  <c r="AX291" i="2"/>
  <c r="AW291" i="2"/>
  <c r="AV291" i="2"/>
  <c r="AU291" i="2"/>
  <c r="AT291" i="2"/>
  <c r="AS291" i="2"/>
  <c r="AR291" i="2"/>
  <c r="AQ291" i="2"/>
  <c r="AP291" i="2"/>
  <c r="AO291" i="2"/>
  <c r="AN291" i="2"/>
  <c r="AM291" i="2"/>
  <c r="AL291" i="2"/>
  <c r="AK291" i="2"/>
  <c r="AE291" i="2"/>
  <c r="AD291" i="2"/>
  <c r="AC291" i="2"/>
  <c r="AB291" i="2"/>
  <c r="AA291" i="2"/>
  <c r="Z291" i="2"/>
  <c r="Y291" i="2"/>
  <c r="X291" i="2"/>
  <c r="W291" i="2"/>
  <c r="V291" i="2"/>
  <c r="U291" i="2"/>
  <c r="T291" i="2"/>
  <c r="S291" i="2"/>
  <c r="R291" i="2"/>
  <c r="Q291" i="2"/>
  <c r="F291" i="2"/>
  <c r="E291" i="2"/>
  <c r="D291" i="2"/>
  <c r="CA290" i="2"/>
  <c r="BZ290" i="2"/>
  <c r="BY290" i="2"/>
  <c r="BX290" i="2"/>
  <c r="BW290" i="2"/>
  <c r="BV290" i="2"/>
  <c r="BU290" i="2"/>
  <c r="BT290" i="2"/>
  <c r="BS290" i="2"/>
  <c r="BR290" i="2"/>
  <c r="BQ290" i="2"/>
  <c r="BP290" i="2"/>
  <c r="BO290" i="2"/>
  <c r="BN290" i="2"/>
  <c r="BM290" i="2"/>
  <c r="BL290" i="2"/>
  <c r="BK290" i="2"/>
  <c r="BJ290" i="2"/>
  <c r="BI290" i="2"/>
  <c r="BH290" i="2"/>
  <c r="BG290" i="2"/>
  <c r="BF290" i="2"/>
  <c r="BE290" i="2"/>
  <c r="BD290" i="2"/>
  <c r="BC290" i="2"/>
  <c r="BB290" i="2"/>
  <c r="BA290" i="2"/>
  <c r="AZ290" i="2"/>
  <c r="AY290" i="2"/>
  <c r="AX290" i="2"/>
  <c r="AW290" i="2"/>
  <c r="AV290" i="2"/>
  <c r="AU290" i="2"/>
  <c r="AT290" i="2"/>
  <c r="AS290" i="2"/>
  <c r="AR290" i="2"/>
  <c r="AQ290" i="2"/>
  <c r="AP290" i="2"/>
  <c r="AO290" i="2"/>
  <c r="AN290" i="2"/>
  <c r="AM290" i="2"/>
  <c r="AL290" i="2"/>
  <c r="AK290" i="2"/>
  <c r="AE290" i="2"/>
  <c r="AD290" i="2"/>
  <c r="AC290" i="2"/>
  <c r="AB290" i="2"/>
  <c r="AA290" i="2"/>
  <c r="Z290" i="2"/>
  <c r="Y290" i="2"/>
  <c r="X290" i="2"/>
  <c r="W290" i="2"/>
  <c r="V290" i="2"/>
  <c r="U290" i="2"/>
  <c r="T290" i="2"/>
  <c r="S290" i="2"/>
  <c r="R290" i="2"/>
  <c r="Q290" i="2"/>
  <c r="F290" i="2"/>
  <c r="E290" i="2"/>
  <c r="D290" i="2"/>
  <c r="CA289" i="2"/>
  <c r="BZ289" i="2"/>
  <c r="BY289" i="2"/>
  <c r="BX289" i="2"/>
  <c r="BW289" i="2"/>
  <c r="BV289" i="2"/>
  <c r="BU289" i="2"/>
  <c r="BT289" i="2"/>
  <c r="BS289" i="2"/>
  <c r="BR289" i="2"/>
  <c r="BQ289" i="2"/>
  <c r="BP289" i="2"/>
  <c r="BO289" i="2"/>
  <c r="BN289" i="2"/>
  <c r="BM289" i="2"/>
  <c r="BL289" i="2"/>
  <c r="BK289" i="2"/>
  <c r="BJ289" i="2"/>
  <c r="BI289" i="2"/>
  <c r="BH289" i="2"/>
  <c r="BG289" i="2"/>
  <c r="BF289" i="2"/>
  <c r="BE289" i="2"/>
  <c r="BD289" i="2"/>
  <c r="BC289" i="2"/>
  <c r="BB289" i="2"/>
  <c r="BA289" i="2"/>
  <c r="AZ289" i="2"/>
  <c r="AY289" i="2"/>
  <c r="AX289" i="2"/>
  <c r="AW289" i="2"/>
  <c r="AV289" i="2"/>
  <c r="AU289" i="2"/>
  <c r="AT289" i="2"/>
  <c r="AS289" i="2"/>
  <c r="AR289" i="2"/>
  <c r="AQ289" i="2"/>
  <c r="AP289" i="2"/>
  <c r="AO289" i="2"/>
  <c r="AN289" i="2"/>
  <c r="AM289" i="2"/>
  <c r="AL289" i="2"/>
  <c r="AK289" i="2"/>
  <c r="AE289" i="2"/>
  <c r="AD289" i="2"/>
  <c r="AC289" i="2"/>
  <c r="AB289" i="2"/>
  <c r="AA289" i="2"/>
  <c r="Z289" i="2"/>
  <c r="Y289" i="2"/>
  <c r="X289" i="2"/>
  <c r="W289" i="2"/>
  <c r="V289" i="2"/>
  <c r="U289" i="2"/>
  <c r="T289" i="2"/>
  <c r="S289" i="2"/>
  <c r="R289" i="2"/>
  <c r="Q289" i="2"/>
  <c r="F289" i="2"/>
  <c r="E289" i="2"/>
  <c r="D289" i="2"/>
  <c r="CA288" i="2"/>
  <c r="BZ288" i="2"/>
  <c r="BY288" i="2"/>
  <c r="BX288" i="2"/>
  <c r="BW288" i="2"/>
  <c r="BV288" i="2"/>
  <c r="BU288" i="2"/>
  <c r="BT288" i="2"/>
  <c r="BS288" i="2"/>
  <c r="BR288" i="2"/>
  <c r="BQ288" i="2"/>
  <c r="BP288" i="2"/>
  <c r="BO288" i="2"/>
  <c r="BN288" i="2"/>
  <c r="BM288" i="2"/>
  <c r="BL288" i="2"/>
  <c r="BK288" i="2"/>
  <c r="BJ288" i="2"/>
  <c r="BI288" i="2"/>
  <c r="BH288" i="2"/>
  <c r="BG288" i="2"/>
  <c r="BF288" i="2"/>
  <c r="BE288" i="2"/>
  <c r="BD288" i="2"/>
  <c r="BC288" i="2"/>
  <c r="BB288" i="2"/>
  <c r="BA288" i="2"/>
  <c r="AZ288" i="2"/>
  <c r="AY288" i="2"/>
  <c r="AX288" i="2"/>
  <c r="AW288" i="2"/>
  <c r="AV288" i="2"/>
  <c r="AU288" i="2"/>
  <c r="AT288" i="2"/>
  <c r="AS288" i="2"/>
  <c r="AR288" i="2"/>
  <c r="AQ288" i="2"/>
  <c r="AP288" i="2"/>
  <c r="AO288" i="2"/>
  <c r="AN288" i="2"/>
  <c r="AM288" i="2"/>
  <c r="AL288" i="2"/>
  <c r="AK288" i="2"/>
  <c r="AE288" i="2"/>
  <c r="AD288" i="2"/>
  <c r="AC288" i="2"/>
  <c r="AB288" i="2"/>
  <c r="AA288" i="2"/>
  <c r="Z288" i="2"/>
  <c r="Y288" i="2"/>
  <c r="X288" i="2"/>
  <c r="W288" i="2"/>
  <c r="V288" i="2"/>
  <c r="U288" i="2"/>
  <c r="T288" i="2"/>
  <c r="S288" i="2"/>
  <c r="R288" i="2"/>
  <c r="Q288" i="2"/>
  <c r="F288" i="2"/>
  <c r="E288" i="2"/>
  <c r="D288" i="2"/>
  <c r="CA287" i="2"/>
  <c r="BZ287" i="2"/>
  <c r="BY287" i="2"/>
  <c r="BX287" i="2"/>
  <c r="BW287" i="2"/>
  <c r="BV287" i="2"/>
  <c r="BU287" i="2"/>
  <c r="BT287" i="2"/>
  <c r="BS287" i="2"/>
  <c r="BR287" i="2"/>
  <c r="BQ287" i="2"/>
  <c r="BP287" i="2"/>
  <c r="BO287" i="2"/>
  <c r="BN287" i="2"/>
  <c r="BM287" i="2"/>
  <c r="BL287" i="2"/>
  <c r="BK287" i="2"/>
  <c r="BJ287" i="2"/>
  <c r="BI287" i="2"/>
  <c r="BH287" i="2"/>
  <c r="BG287" i="2"/>
  <c r="BF287" i="2"/>
  <c r="BE287" i="2"/>
  <c r="BD287" i="2"/>
  <c r="BC287" i="2"/>
  <c r="BB287" i="2"/>
  <c r="BA287" i="2"/>
  <c r="AZ287" i="2"/>
  <c r="AY287" i="2"/>
  <c r="AX287" i="2"/>
  <c r="AW287" i="2"/>
  <c r="AV287" i="2"/>
  <c r="AU287" i="2"/>
  <c r="AT287" i="2"/>
  <c r="AS287" i="2"/>
  <c r="AR287" i="2"/>
  <c r="AQ287" i="2"/>
  <c r="AP287" i="2"/>
  <c r="AO287" i="2"/>
  <c r="AN287" i="2"/>
  <c r="AM287" i="2"/>
  <c r="AL287" i="2"/>
  <c r="AK287" i="2"/>
  <c r="AE287" i="2"/>
  <c r="AD287" i="2"/>
  <c r="AC287" i="2"/>
  <c r="AB287" i="2"/>
  <c r="AA287" i="2"/>
  <c r="Z287" i="2"/>
  <c r="Y287" i="2"/>
  <c r="X287" i="2"/>
  <c r="W287" i="2"/>
  <c r="V287" i="2"/>
  <c r="U287" i="2"/>
  <c r="T287" i="2"/>
  <c r="S287" i="2"/>
  <c r="R287" i="2"/>
  <c r="Q287" i="2"/>
  <c r="F287" i="2"/>
  <c r="E287" i="2"/>
  <c r="D287" i="2"/>
  <c r="CA286" i="2"/>
  <c r="BZ286" i="2"/>
  <c r="BY286" i="2"/>
  <c r="BX286" i="2"/>
  <c r="BW286" i="2"/>
  <c r="BV286" i="2"/>
  <c r="BU286" i="2"/>
  <c r="BT286" i="2"/>
  <c r="BS286" i="2"/>
  <c r="BR286" i="2"/>
  <c r="BQ286" i="2"/>
  <c r="BP286" i="2"/>
  <c r="BO286" i="2"/>
  <c r="BN286" i="2"/>
  <c r="BM286" i="2"/>
  <c r="BL286" i="2"/>
  <c r="BK286" i="2"/>
  <c r="BJ286" i="2"/>
  <c r="BI286" i="2"/>
  <c r="BH286" i="2"/>
  <c r="BG286" i="2"/>
  <c r="BF286" i="2"/>
  <c r="BE286" i="2"/>
  <c r="BD286" i="2"/>
  <c r="BC286" i="2"/>
  <c r="BB286" i="2"/>
  <c r="BA286" i="2"/>
  <c r="AZ286" i="2"/>
  <c r="AY286" i="2"/>
  <c r="AX286" i="2"/>
  <c r="AW286" i="2"/>
  <c r="AV286" i="2"/>
  <c r="AU286" i="2"/>
  <c r="AT286" i="2"/>
  <c r="AS286" i="2"/>
  <c r="AR286" i="2"/>
  <c r="AQ286" i="2"/>
  <c r="AP286" i="2"/>
  <c r="AO286" i="2"/>
  <c r="AN286" i="2"/>
  <c r="AM286" i="2"/>
  <c r="AL286" i="2"/>
  <c r="AK286" i="2"/>
  <c r="AE286" i="2"/>
  <c r="AD286" i="2"/>
  <c r="AC286" i="2"/>
  <c r="AB286" i="2"/>
  <c r="AA286" i="2"/>
  <c r="Z286" i="2"/>
  <c r="Y286" i="2"/>
  <c r="X286" i="2"/>
  <c r="W286" i="2"/>
  <c r="V286" i="2"/>
  <c r="U286" i="2"/>
  <c r="T286" i="2"/>
  <c r="S286" i="2"/>
  <c r="R286" i="2"/>
  <c r="Q286" i="2"/>
  <c r="F286" i="2"/>
  <c r="E286" i="2"/>
  <c r="D286" i="2"/>
  <c r="CA285" i="2"/>
  <c r="BZ285" i="2"/>
  <c r="BY285" i="2"/>
  <c r="BX285" i="2"/>
  <c r="BW285" i="2"/>
  <c r="BV285" i="2"/>
  <c r="BU285" i="2"/>
  <c r="BT285" i="2"/>
  <c r="BS285" i="2"/>
  <c r="BR285" i="2"/>
  <c r="BQ285" i="2"/>
  <c r="BP285" i="2"/>
  <c r="BO285" i="2"/>
  <c r="BN285" i="2"/>
  <c r="BM285" i="2"/>
  <c r="BL285" i="2"/>
  <c r="BK285" i="2"/>
  <c r="BJ285" i="2"/>
  <c r="BI285" i="2"/>
  <c r="BH285" i="2"/>
  <c r="BG285" i="2"/>
  <c r="BF285" i="2"/>
  <c r="BE285" i="2"/>
  <c r="BD285" i="2"/>
  <c r="BC285" i="2"/>
  <c r="BB285" i="2"/>
  <c r="BA285" i="2"/>
  <c r="AZ285" i="2"/>
  <c r="AY285" i="2"/>
  <c r="AX285" i="2"/>
  <c r="AW285" i="2"/>
  <c r="AV285" i="2"/>
  <c r="AU285" i="2"/>
  <c r="AT285" i="2"/>
  <c r="AS285" i="2"/>
  <c r="AR285" i="2"/>
  <c r="AQ285" i="2"/>
  <c r="AP285" i="2"/>
  <c r="AO285" i="2"/>
  <c r="AN285" i="2"/>
  <c r="AM285" i="2"/>
  <c r="AL285" i="2"/>
  <c r="AK285" i="2"/>
  <c r="AE285" i="2"/>
  <c r="AD285" i="2"/>
  <c r="AC285" i="2"/>
  <c r="AB285" i="2"/>
  <c r="AA285" i="2"/>
  <c r="Z285" i="2"/>
  <c r="Y285" i="2"/>
  <c r="X285" i="2"/>
  <c r="W285" i="2"/>
  <c r="V285" i="2"/>
  <c r="U285" i="2"/>
  <c r="T285" i="2"/>
  <c r="S285" i="2"/>
  <c r="R285" i="2"/>
  <c r="Q285" i="2"/>
  <c r="F285" i="2"/>
  <c r="E285" i="2"/>
  <c r="D285" i="2"/>
  <c r="CA284" i="2"/>
  <c r="BZ284" i="2"/>
  <c r="BY284" i="2"/>
  <c r="BX284" i="2"/>
  <c r="BW284" i="2"/>
  <c r="BV284" i="2"/>
  <c r="BU284" i="2"/>
  <c r="BT284" i="2"/>
  <c r="BS284" i="2"/>
  <c r="BR284" i="2"/>
  <c r="BQ284" i="2"/>
  <c r="BP284" i="2"/>
  <c r="BO284" i="2"/>
  <c r="BN284" i="2"/>
  <c r="BM284" i="2"/>
  <c r="BL284" i="2"/>
  <c r="BK284" i="2"/>
  <c r="BJ284" i="2"/>
  <c r="BI284" i="2"/>
  <c r="BH284" i="2"/>
  <c r="BG284" i="2"/>
  <c r="BF284" i="2"/>
  <c r="BE284" i="2"/>
  <c r="BD284" i="2"/>
  <c r="BC284" i="2"/>
  <c r="BB284" i="2"/>
  <c r="BA284" i="2"/>
  <c r="AZ284" i="2"/>
  <c r="AY284" i="2"/>
  <c r="AX284" i="2"/>
  <c r="AW284" i="2"/>
  <c r="AV284" i="2"/>
  <c r="AU284" i="2"/>
  <c r="AT284" i="2"/>
  <c r="AS284" i="2"/>
  <c r="AR284" i="2"/>
  <c r="AQ284" i="2"/>
  <c r="AP284" i="2"/>
  <c r="AO284" i="2"/>
  <c r="AN284" i="2"/>
  <c r="AM284" i="2"/>
  <c r="AL284" i="2"/>
  <c r="AK284" i="2"/>
  <c r="AE284" i="2"/>
  <c r="AD284" i="2"/>
  <c r="AC284" i="2"/>
  <c r="AB284" i="2"/>
  <c r="AA284" i="2"/>
  <c r="Z284" i="2"/>
  <c r="Y284" i="2"/>
  <c r="X284" i="2"/>
  <c r="W284" i="2"/>
  <c r="V284" i="2"/>
  <c r="U284" i="2"/>
  <c r="T284" i="2"/>
  <c r="S284" i="2"/>
  <c r="R284" i="2"/>
  <c r="Q284" i="2"/>
  <c r="F284" i="2"/>
  <c r="E284" i="2"/>
  <c r="D284" i="2"/>
  <c r="CA283" i="2"/>
  <c r="BZ283" i="2"/>
  <c r="BY283" i="2"/>
  <c r="BX283" i="2"/>
  <c r="BW283" i="2"/>
  <c r="BV283" i="2"/>
  <c r="BU283" i="2"/>
  <c r="BT283" i="2"/>
  <c r="BS283" i="2"/>
  <c r="BR283" i="2"/>
  <c r="BQ283" i="2"/>
  <c r="BP283" i="2"/>
  <c r="BO283" i="2"/>
  <c r="BN283" i="2"/>
  <c r="BM283" i="2"/>
  <c r="BL283" i="2"/>
  <c r="BK283" i="2"/>
  <c r="BJ283" i="2"/>
  <c r="BI283" i="2"/>
  <c r="BH283" i="2"/>
  <c r="BG283" i="2"/>
  <c r="BF283" i="2"/>
  <c r="BE283" i="2"/>
  <c r="BD283" i="2"/>
  <c r="BC283" i="2"/>
  <c r="BB283" i="2"/>
  <c r="BA283" i="2"/>
  <c r="AZ283" i="2"/>
  <c r="AY283" i="2"/>
  <c r="AX283" i="2"/>
  <c r="AW283" i="2"/>
  <c r="AV283" i="2"/>
  <c r="AU283" i="2"/>
  <c r="AT283" i="2"/>
  <c r="AS283" i="2"/>
  <c r="AR283" i="2"/>
  <c r="AQ283" i="2"/>
  <c r="AP283" i="2"/>
  <c r="AO283" i="2"/>
  <c r="AN283" i="2"/>
  <c r="AM283" i="2"/>
  <c r="AL283" i="2"/>
  <c r="AK283" i="2"/>
  <c r="AE283" i="2"/>
  <c r="AD283" i="2"/>
  <c r="AC283" i="2"/>
  <c r="AB283" i="2"/>
  <c r="AA283" i="2"/>
  <c r="Z283" i="2"/>
  <c r="Y283" i="2"/>
  <c r="X283" i="2"/>
  <c r="W283" i="2"/>
  <c r="V283" i="2"/>
  <c r="U283" i="2"/>
  <c r="T283" i="2"/>
  <c r="S283" i="2"/>
  <c r="R283" i="2"/>
  <c r="Q283" i="2"/>
  <c r="F283" i="2"/>
  <c r="E283" i="2"/>
  <c r="D283" i="2"/>
  <c r="CA282" i="2"/>
  <c r="BZ282" i="2"/>
  <c r="BY282" i="2"/>
  <c r="BX282" i="2"/>
  <c r="BW282" i="2"/>
  <c r="BV282" i="2"/>
  <c r="BU282" i="2"/>
  <c r="BT282" i="2"/>
  <c r="BS282" i="2"/>
  <c r="BR282" i="2"/>
  <c r="BQ282" i="2"/>
  <c r="BP282" i="2"/>
  <c r="BO282" i="2"/>
  <c r="BN282" i="2"/>
  <c r="BM282" i="2"/>
  <c r="BL282" i="2"/>
  <c r="BK282" i="2"/>
  <c r="BJ282" i="2"/>
  <c r="BI282" i="2"/>
  <c r="BH282" i="2"/>
  <c r="BG282" i="2"/>
  <c r="BF282" i="2"/>
  <c r="BE282" i="2"/>
  <c r="BD282" i="2"/>
  <c r="BC282" i="2"/>
  <c r="BB282" i="2"/>
  <c r="BA282" i="2"/>
  <c r="AZ282" i="2"/>
  <c r="AY282" i="2"/>
  <c r="AX282" i="2"/>
  <c r="AW282" i="2"/>
  <c r="AV282" i="2"/>
  <c r="AU282" i="2"/>
  <c r="AT282" i="2"/>
  <c r="AS282" i="2"/>
  <c r="AR282" i="2"/>
  <c r="AQ282" i="2"/>
  <c r="AP282" i="2"/>
  <c r="AO282" i="2"/>
  <c r="AN282" i="2"/>
  <c r="AM282" i="2"/>
  <c r="AL282" i="2"/>
  <c r="AK282" i="2"/>
  <c r="AE282" i="2"/>
  <c r="AD282" i="2"/>
  <c r="AC282" i="2"/>
  <c r="AB282" i="2"/>
  <c r="AA282" i="2"/>
  <c r="Z282" i="2"/>
  <c r="Y282" i="2"/>
  <c r="X282" i="2"/>
  <c r="W282" i="2"/>
  <c r="V282" i="2"/>
  <c r="U282" i="2"/>
  <c r="T282" i="2"/>
  <c r="S282" i="2"/>
  <c r="R282" i="2"/>
  <c r="Q282" i="2"/>
  <c r="F282" i="2"/>
  <c r="E282" i="2"/>
  <c r="D282" i="2"/>
  <c r="CA281" i="2"/>
  <c r="BZ281" i="2"/>
  <c r="BY281" i="2"/>
  <c r="BX281" i="2"/>
  <c r="BW281" i="2"/>
  <c r="BV281" i="2"/>
  <c r="BU281" i="2"/>
  <c r="BT281" i="2"/>
  <c r="BS281" i="2"/>
  <c r="BR281" i="2"/>
  <c r="BQ281" i="2"/>
  <c r="BP281" i="2"/>
  <c r="BO281" i="2"/>
  <c r="BN281" i="2"/>
  <c r="BM281" i="2"/>
  <c r="BL281" i="2"/>
  <c r="BK281" i="2"/>
  <c r="BJ281" i="2"/>
  <c r="BI281" i="2"/>
  <c r="BH281" i="2"/>
  <c r="BG281" i="2"/>
  <c r="BF281" i="2"/>
  <c r="BE281" i="2"/>
  <c r="BD281" i="2"/>
  <c r="BC281" i="2"/>
  <c r="BB281" i="2"/>
  <c r="BA281" i="2"/>
  <c r="AZ281" i="2"/>
  <c r="AY281" i="2"/>
  <c r="AX281" i="2"/>
  <c r="AW281" i="2"/>
  <c r="AV281" i="2"/>
  <c r="AU281" i="2"/>
  <c r="AT281" i="2"/>
  <c r="AS281" i="2"/>
  <c r="AR281" i="2"/>
  <c r="AQ281" i="2"/>
  <c r="AP281" i="2"/>
  <c r="AO281" i="2"/>
  <c r="AN281" i="2"/>
  <c r="AM281" i="2"/>
  <c r="AL281" i="2"/>
  <c r="AK281" i="2"/>
  <c r="AE281" i="2"/>
  <c r="AD281" i="2"/>
  <c r="AC281" i="2"/>
  <c r="AB281" i="2"/>
  <c r="AA281" i="2"/>
  <c r="Z281" i="2"/>
  <c r="Y281" i="2"/>
  <c r="X281" i="2"/>
  <c r="W281" i="2"/>
  <c r="V281" i="2"/>
  <c r="U281" i="2"/>
  <c r="T281" i="2"/>
  <c r="S281" i="2"/>
  <c r="R281" i="2"/>
  <c r="Q281" i="2"/>
  <c r="F281" i="2"/>
  <c r="E281" i="2"/>
  <c r="D281" i="2"/>
  <c r="CA280" i="2"/>
  <c r="BZ280" i="2"/>
  <c r="BY280" i="2"/>
  <c r="BX280" i="2"/>
  <c r="BW280" i="2"/>
  <c r="BV280" i="2"/>
  <c r="BU280" i="2"/>
  <c r="BT280" i="2"/>
  <c r="BS280" i="2"/>
  <c r="BR280" i="2"/>
  <c r="BQ280" i="2"/>
  <c r="BP280" i="2"/>
  <c r="BO280" i="2"/>
  <c r="BN280" i="2"/>
  <c r="BM280" i="2"/>
  <c r="BL280" i="2"/>
  <c r="BK280" i="2"/>
  <c r="BJ280" i="2"/>
  <c r="BI280" i="2"/>
  <c r="BH280" i="2"/>
  <c r="BG280" i="2"/>
  <c r="BF280" i="2"/>
  <c r="BE280" i="2"/>
  <c r="BD280" i="2"/>
  <c r="BC280" i="2"/>
  <c r="BB280" i="2"/>
  <c r="BA280" i="2"/>
  <c r="AZ280" i="2"/>
  <c r="AY280" i="2"/>
  <c r="AX280" i="2"/>
  <c r="AW280" i="2"/>
  <c r="AV280" i="2"/>
  <c r="AU280" i="2"/>
  <c r="AT280" i="2"/>
  <c r="AS280" i="2"/>
  <c r="AR280" i="2"/>
  <c r="AQ280" i="2"/>
  <c r="AP280" i="2"/>
  <c r="AO280" i="2"/>
  <c r="AN280" i="2"/>
  <c r="AM280" i="2"/>
  <c r="AL280" i="2"/>
  <c r="AK280" i="2"/>
  <c r="AE280" i="2"/>
  <c r="AD280" i="2"/>
  <c r="AC280" i="2"/>
  <c r="AB280" i="2"/>
  <c r="AA280" i="2"/>
  <c r="Z280" i="2"/>
  <c r="Y280" i="2"/>
  <c r="X280" i="2"/>
  <c r="W280" i="2"/>
  <c r="V280" i="2"/>
  <c r="U280" i="2"/>
  <c r="T280" i="2"/>
  <c r="S280" i="2"/>
  <c r="R280" i="2"/>
  <c r="Q280" i="2"/>
  <c r="F280" i="2"/>
  <c r="E280" i="2"/>
  <c r="D280" i="2"/>
  <c r="CA279" i="2"/>
  <c r="BZ279" i="2"/>
  <c r="BY279" i="2"/>
  <c r="BX279" i="2"/>
  <c r="BW279" i="2"/>
  <c r="BV279" i="2"/>
  <c r="BU279" i="2"/>
  <c r="BT279" i="2"/>
  <c r="BS279" i="2"/>
  <c r="BR279" i="2"/>
  <c r="BQ279" i="2"/>
  <c r="BP279" i="2"/>
  <c r="BO279" i="2"/>
  <c r="BN279" i="2"/>
  <c r="BM279" i="2"/>
  <c r="BL279" i="2"/>
  <c r="BK279" i="2"/>
  <c r="BJ279" i="2"/>
  <c r="BI279" i="2"/>
  <c r="BH279" i="2"/>
  <c r="BG279" i="2"/>
  <c r="BF279" i="2"/>
  <c r="BE279" i="2"/>
  <c r="BD279" i="2"/>
  <c r="BC279" i="2"/>
  <c r="BB279" i="2"/>
  <c r="BA279" i="2"/>
  <c r="AZ279" i="2"/>
  <c r="AY279" i="2"/>
  <c r="AX279" i="2"/>
  <c r="AW279" i="2"/>
  <c r="AV279" i="2"/>
  <c r="AU279" i="2"/>
  <c r="AT279" i="2"/>
  <c r="AS279" i="2"/>
  <c r="AR279" i="2"/>
  <c r="AQ279" i="2"/>
  <c r="AP279" i="2"/>
  <c r="AO279" i="2"/>
  <c r="AN279" i="2"/>
  <c r="AM279" i="2"/>
  <c r="AL279" i="2"/>
  <c r="AK279" i="2"/>
  <c r="AE279" i="2"/>
  <c r="AD279" i="2"/>
  <c r="AC279" i="2"/>
  <c r="AB279" i="2"/>
  <c r="AA279" i="2"/>
  <c r="Z279" i="2"/>
  <c r="Y279" i="2"/>
  <c r="X279" i="2"/>
  <c r="W279" i="2"/>
  <c r="V279" i="2"/>
  <c r="U279" i="2"/>
  <c r="T279" i="2"/>
  <c r="S279" i="2"/>
  <c r="R279" i="2"/>
  <c r="Q279" i="2"/>
  <c r="F279" i="2"/>
  <c r="E279" i="2"/>
  <c r="D279" i="2"/>
  <c r="CA278" i="2"/>
  <c r="BZ278" i="2"/>
  <c r="BY278" i="2"/>
  <c r="BX278" i="2"/>
  <c r="BW278" i="2"/>
  <c r="BV278" i="2"/>
  <c r="BU278" i="2"/>
  <c r="BT278" i="2"/>
  <c r="BS278" i="2"/>
  <c r="BR278" i="2"/>
  <c r="BQ278" i="2"/>
  <c r="BP278" i="2"/>
  <c r="BO278" i="2"/>
  <c r="BN278" i="2"/>
  <c r="BM278" i="2"/>
  <c r="BL278" i="2"/>
  <c r="BK278" i="2"/>
  <c r="BJ278" i="2"/>
  <c r="BI278" i="2"/>
  <c r="BH278" i="2"/>
  <c r="BG278" i="2"/>
  <c r="BF278" i="2"/>
  <c r="BE278" i="2"/>
  <c r="BD278" i="2"/>
  <c r="BC278" i="2"/>
  <c r="BB278" i="2"/>
  <c r="BA278" i="2"/>
  <c r="AZ278" i="2"/>
  <c r="AY278" i="2"/>
  <c r="AX278" i="2"/>
  <c r="AW278" i="2"/>
  <c r="AV278" i="2"/>
  <c r="AU278" i="2"/>
  <c r="AT278" i="2"/>
  <c r="AS278" i="2"/>
  <c r="AR278" i="2"/>
  <c r="AQ278" i="2"/>
  <c r="AP278" i="2"/>
  <c r="AO278" i="2"/>
  <c r="AN278" i="2"/>
  <c r="AM278" i="2"/>
  <c r="AL278" i="2"/>
  <c r="AK278" i="2"/>
  <c r="AE278" i="2"/>
  <c r="AD278" i="2"/>
  <c r="AC278" i="2"/>
  <c r="AB278" i="2"/>
  <c r="AA278" i="2"/>
  <c r="Z278" i="2"/>
  <c r="Y278" i="2"/>
  <c r="X278" i="2"/>
  <c r="W278" i="2"/>
  <c r="V278" i="2"/>
  <c r="U278" i="2"/>
  <c r="T278" i="2"/>
  <c r="S278" i="2"/>
  <c r="R278" i="2"/>
  <c r="Q278" i="2"/>
  <c r="F278" i="2"/>
  <c r="E278" i="2"/>
  <c r="D278" i="2"/>
  <c r="CA277" i="2"/>
  <c r="BZ277" i="2"/>
  <c r="BY277" i="2"/>
  <c r="BX277" i="2"/>
  <c r="BW277" i="2"/>
  <c r="BV277" i="2"/>
  <c r="BU277" i="2"/>
  <c r="BT277" i="2"/>
  <c r="BS277" i="2"/>
  <c r="BR277" i="2"/>
  <c r="BQ277" i="2"/>
  <c r="BP277" i="2"/>
  <c r="BO277" i="2"/>
  <c r="BN277" i="2"/>
  <c r="BM277" i="2"/>
  <c r="BL277" i="2"/>
  <c r="BK277" i="2"/>
  <c r="BJ277" i="2"/>
  <c r="BI277" i="2"/>
  <c r="BH277" i="2"/>
  <c r="BG277" i="2"/>
  <c r="BF277" i="2"/>
  <c r="BE277" i="2"/>
  <c r="BD277" i="2"/>
  <c r="BC277" i="2"/>
  <c r="BB277" i="2"/>
  <c r="BA277" i="2"/>
  <c r="AZ277" i="2"/>
  <c r="AY277" i="2"/>
  <c r="AX277" i="2"/>
  <c r="AW277" i="2"/>
  <c r="AV277" i="2"/>
  <c r="AU277" i="2"/>
  <c r="AT277" i="2"/>
  <c r="AS277" i="2"/>
  <c r="AR277" i="2"/>
  <c r="AQ277" i="2"/>
  <c r="AP277" i="2"/>
  <c r="AO277" i="2"/>
  <c r="AN277" i="2"/>
  <c r="AM277" i="2"/>
  <c r="AL277" i="2"/>
  <c r="AK277" i="2"/>
  <c r="AE277" i="2"/>
  <c r="AD277" i="2"/>
  <c r="AC277" i="2"/>
  <c r="AB277" i="2"/>
  <c r="AA277" i="2"/>
  <c r="Z277" i="2"/>
  <c r="Y277" i="2"/>
  <c r="X277" i="2"/>
  <c r="W277" i="2"/>
  <c r="V277" i="2"/>
  <c r="U277" i="2"/>
  <c r="T277" i="2"/>
  <c r="S277" i="2"/>
  <c r="R277" i="2"/>
  <c r="Q277" i="2"/>
  <c r="F277" i="2"/>
  <c r="E277" i="2"/>
  <c r="D277" i="2"/>
  <c r="CA276" i="2"/>
  <c r="BZ276" i="2"/>
  <c r="BY276" i="2"/>
  <c r="BX276" i="2"/>
  <c r="BW276" i="2"/>
  <c r="BV276" i="2"/>
  <c r="BU276" i="2"/>
  <c r="BT276" i="2"/>
  <c r="BS276" i="2"/>
  <c r="BR276" i="2"/>
  <c r="BQ276" i="2"/>
  <c r="BP276" i="2"/>
  <c r="BO276" i="2"/>
  <c r="BN276" i="2"/>
  <c r="BM276" i="2"/>
  <c r="BL276" i="2"/>
  <c r="BK276" i="2"/>
  <c r="BJ276" i="2"/>
  <c r="BI276" i="2"/>
  <c r="BH276" i="2"/>
  <c r="BG276" i="2"/>
  <c r="BF276" i="2"/>
  <c r="BE276" i="2"/>
  <c r="BD276" i="2"/>
  <c r="BC276" i="2"/>
  <c r="BB276" i="2"/>
  <c r="BA276" i="2"/>
  <c r="AZ276" i="2"/>
  <c r="AY276" i="2"/>
  <c r="AX276" i="2"/>
  <c r="AW276" i="2"/>
  <c r="AV276" i="2"/>
  <c r="AU276" i="2"/>
  <c r="AT276" i="2"/>
  <c r="AS276" i="2"/>
  <c r="AR276" i="2"/>
  <c r="AQ276" i="2"/>
  <c r="AP276" i="2"/>
  <c r="AO276" i="2"/>
  <c r="AN276" i="2"/>
  <c r="AM276" i="2"/>
  <c r="AL276" i="2"/>
  <c r="AK276" i="2"/>
  <c r="AE276" i="2"/>
  <c r="AD276" i="2"/>
  <c r="AC276" i="2"/>
  <c r="AB276" i="2"/>
  <c r="AA276" i="2"/>
  <c r="Z276" i="2"/>
  <c r="Y276" i="2"/>
  <c r="X276" i="2"/>
  <c r="W276" i="2"/>
  <c r="V276" i="2"/>
  <c r="U276" i="2"/>
  <c r="T276" i="2"/>
  <c r="S276" i="2"/>
  <c r="R276" i="2"/>
  <c r="Q276" i="2"/>
  <c r="F276" i="2"/>
  <c r="E276" i="2"/>
  <c r="D276" i="2"/>
  <c r="CA275" i="2"/>
  <c r="BZ275" i="2"/>
  <c r="BY275" i="2"/>
  <c r="BX275" i="2"/>
  <c r="BW275" i="2"/>
  <c r="BV275" i="2"/>
  <c r="BU275" i="2"/>
  <c r="BT275" i="2"/>
  <c r="BS275" i="2"/>
  <c r="BR275" i="2"/>
  <c r="BQ275" i="2"/>
  <c r="BP275" i="2"/>
  <c r="BO275" i="2"/>
  <c r="BN275" i="2"/>
  <c r="BM275" i="2"/>
  <c r="BL275" i="2"/>
  <c r="BK275" i="2"/>
  <c r="BJ275" i="2"/>
  <c r="BI275" i="2"/>
  <c r="BH275" i="2"/>
  <c r="BG275" i="2"/>
  <c r="BF275" i="2"/>
  <c r="BE275" i="2"/>
  <c r="BD275" i="2"/>
  <c r="BC275" i="2"/>
  <c r="BB275" i="2"/>
  <c r="BA275" i="2"/>
  <c r="AZ275" i="2"/>
  <c r="AY275" i="2"/>
  <c r="AX275" i="2"/>
  <c r="AW275" i="2"/>
  <c r="AV275" i="2"/>
  <c r="AU275" i="2"/>
  <c r="AT275" i="2"/>
  <c r="AS275" i="2"/>
  <c r="AR275" i="2"/>
  <c r="AQ275" i="2"/>
  <c r="AP275" i="2"/>
  <c r="AO275" i="2"/>
  <c r="AN275" i="2"/>
  <c r="AM275" i="2"/>
  <c r="AL275" i="2"/>
  <c r="AK275" i="2"/>
  <c r="AE275" i="2"/>
  <c r="AD275" i="2"/>
  <c r="AC275" i="2"/>
  <c r="AB275" i="2"/>
  <c r="AA275" i="2"/>
  <c r="Z275" i="2"/>
  <c r="Y275" i="2"/>
  <c r="X275" i="2"/>
  <c r="W275" i="2"/>
  <c r="V275" i="2"/>
  <c r="U275" i="2"/>
  <c r="T275" i="2"/>
  <c r="S275" i="2"/>
  <c r="R275" i="2"/>
  <c r="Q275" i="2"/>
  <c r="F275" i="2"/>
  <c r="E275" i="2"/>
  <c r="D275" i="2"/>
  <c r="CA274" i="2"/>
  <c r="BZ274" i="2"/>
  <c r="BY274" i="2"/>
  <c r="BX274" i="2"/>
  <c r="BW274" i="2"/>
  <c r="BV274" i="2"/>
  <c r="BU274" i="2"/>
  <c r="BT274" i="2"/>
  <c r="BS274" i="2"/>
  <c r="BR274" i="2"/>
  <c r="BQ274" i="2"/>
  <c r="BP274" i="2"/>
  <c r="BO274" i="2"/>
  <c r="BN274" i="2"/>
  <c r="BM274" i="2"/>
  <c r="BL274" i="2"/>
  <c r="BK274" i="2"/>
  <c r="BJ274" i="2"/>
  <c r="BI274" i="2"/>
  <c r="BH274" i="2"/>
  <c r="BG274" i="2"/>
  <c r="BF274" i="2"/>
  <c r="BE274" i="2"/>
  <c r="BD274" i="2"/>
  <c r="BC274" i="2"/>
  <c r="BB274" i="2"/>
  <c r="BA274" i="2"/>
  <c r="AZ274" i="2"/>
  <c r="AY274" i="2"/>
  <c r="AX274" i="2"/>
  <c r="AW274" i="2"/>
  <c r="AV274" i="2"/>
  <c r="AU274" i="2"/>
  <c r="AT274" i="2"/>
  <c r="AS274" i="2"/>
  <c r="AR274" i="2"/>
  <c r="AQ274" i="2"/>
  <c r="AP274" i="2"/>
  <c r="AO274" i="2"/>
  <c r="AN274" i="2"/>
  <c r="AM274" i="2"/>
  <c r="AL274" i="2"/>
  <c r="AK274" i="2"/>
  <c r="AE274" i="2"/>
  <c r="AD274" i="2"/>
  <c r="AC274" i="2"/>
  <c r="AB274" i="2"/>
  <c r="AA274" i="2"/>
  <c r="Z274" i="2"/>
  <c r="Y274" i="2"/>
  <c r="X274" i="2"/>
  <c r="W274" i="2"/>
  <c r="V274" i="2"/>
  <c r="U274" i="2"/>
  <c r="T274" i="2"/>
  <c r="S274" i="2"/>
  <c r="R274" i="2"/>
  <c r="Q274" i="2"/>
  <c r="F274" i="2"/>
  <c r="E274" i="2"/>
  <c r="D274" i="2"/>
  <c r="CA273" i="2"/>
  <c r="BZ273" i="2"/>
  <c r="BY273" i="2"/>
  <c r="BX273" i="2"/>
  <c r="BW273" i="2"/>
  <c r="BV273" i="2"/>
  <c r="BU273" i="2"/>
  <c r="BT273" i="2"/>
  <c r="BS273" i="2"/>
  <c r="BR273" i="2"/>
  <c r="BQ273" i="2"/>
  <c r="BP273" i="2"/>
  <c r="BO273" i="2"/>
  <c r="BN273" i="2"/>
  <c r="BM273" i="2"/>
  <c r="BL273" i="2"/>
  <c r="BK273" i="2"/>
  <c r="BJ273" i="2"/>
  <c r="BI273" i="2"/>
  <c r="BH273" i="2"/>
  <c r="BG273" i="2"/>
  <c r="BF273" i="2"/>
  <c r="BE273" i="2"/>
  <c r="BD273" i="2"/>
  <c r="BC273" i="2"/>
  <c r="BB273" i="2"/>
  <c r="BA273" i="2"/>
  <c r="AZ273" i="2"/>
  <c r="AY273" i="2"/>
  <c r="AX273" i="2"/>
  <c r="AW273" i="2"/>
  <c r="AV273" i="2"/>
  <c r="AU273" i="2"/>
  <c r="AT273" i="2"/>
  <c r="AS273" i="2"/>
  <c r="AR273" i="2"/>
  <c r="AQ273" i="2"/>
  <c r="AP273" i="2"/>
  <c r="AO273" i="2"/>
  <c r="AN273" i="2"/>
  <c r="AM273" i="2"/>
  <c r="AL273" i="2"/>
  <c r="AK273" i="2"/>
  <c r="AE273" i="2"/>
  <c r="AD273" i="2"/>
  <c r="AC273" i="2"/>
  <c r="AB273" i="2"/>
  <c r="AA273" i="2"/>
  <c r="Z273" i="2"/>
  <c r="Y273" i="2"/>
  <c r="X273" i="2"/>
  <c r="W273" i="2"/>
  <c r="V273" i="2"/>
  <c r="U273" i="2"/>
  <c r="T273" i="2"/>
  <c r="S273" i="2"/>
  <c r="R273" i="2"/>
  <c r="Q273" i="2"/>
  <c r="F273" i="2"/>
  <c r="E273" i="2"/>
  <c r="D273" i="2"/>
  <c r="CA272" i="2"/>
  <c r="BZ272" i="2"/>
  <c r="BY272" i="2"/>
  <c r="BX272" i="2"/>
  <c r="BW272" i="2"/>
  <c r="BV272" i="2"/>
  <c r="BU272" i="2"/>
  <c r="BT272" i="2"/>
  <c r="BS272" i="2"/>
  <c r="BR272" i="2"/>
  <c r="BQ272" i="2"/>
  <c r="BP272" i="2"/>
  <c r="BO272" i="2"/>
  <c r="BN272" i="2"/>
  <c r="BM272" i="2"/>
  <c r="BL272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Q272" i="2"/>
  <c r="AP272" i="2"/>
  <c r="AO272" i="2"/>
  <c r="AN272" i="2"/>
  <c r="AM272" i="2"/>
  <c r="AL272" i="2"/>
  <c r="AK272" i="2"/>
  <c r="AE272" i="2"/>
  <c r="AD272" i="2"/>
  <c r="AC272" i="2"/>
  <c r="AB272" i="2"/>
  <c r="AA272" i="2"/>
  <c r="Z272" i="2"/>
  <c r="Y272" i="2"/>
  <c r="X272" i="2"/>
  <c r="W272" i="2"/>
  <c r="V272" i="2"/>
  <c r="U272" i="2"/>
  <c r="T272" i="2"/>
  <c r="S272" i="2"/>
  <c r="R272" i="2"/>
  <c r="Q272" i="2"/>
  <c r="F272" i="2"/>
  <c r="E272" i="2"/>
  <c r="D272" i="2"/>
  <c r="CA271" i="2"/>
  <c r="BZ271" i="2"/>
  <c r="BY271" i="2"/>
  <c r="BX271" i="2"/>
  <c r="BW271" i="2"/>
  <c r="BV271" i="2"/>
  <c r="BU271" i="2"/>
  <c r="BT271" i="2"/>
  <c r="BS271" i="2"/>
  <c r="BR271" i="2"/>
  <c r="BQ271" i="2"/>
  <c r="BP271" i="2"/>
  <c r="BO271" i="2"/>
  <c r="BN271" i="2"/>
  <c r="BM271" i="2"/>
  <c r="BL271" i="2"/>
  <c r="BK271" i="2"/>
  <c r="BJ271" i="2"/>
  <c r="BI271" i="2"/>
  <c r="BH271" i="2"/>
  <c r="BG271" i="2"/>
  <c r="BF271" i="2"/>
  <c r="BE271" i="2"/>
  <c r="BD271" i="2"/>
  <c r="BC271" i="2"/>
  <c r="BB271" i="2"/>
  <c r="BA271" i="2"/>
  <c r="AZ271" i="2"/>
  <c r="AY271" i="2"/>
  <c r="AX271" i="2"/>
  <c r="AW271" i="2"/>
  <c r="AV271" i="2"/>
  <c r="AU271" i="2"/>
  <c r="AT271" i="2"/>
  <c r="AS271" i="2"/>
  <c r="AR271" i="2"/>
  <c r="AQ271" i="2"/>
  <c r="AP271" i="2"/>
  <c r="AO271" i="2"/>
  <c r="AN271" i="2"/>
  <c r="AM271" i="2"/>
  <c r="AL271" i="2"/>
  <c r="AK271" i="2"/>
  <c r="AE271" i="2"/>
  <c r="AD271" i="2"/>
  <c r="AC271" i="2"/>
  <c r="AB271" i="2"/>
  <c r="AA271" i="2"/>
  <c r="Z271" i="2"/>
  <c r="Y271" i="2"/>
  <c r="X271" i="2"/>
  <c r="W271" i="2"/>
  <c r="V271" i="2"/>
  <c r="U271" i="2"/>
  <c r="T271" i="2"/>
  <c r="S271" i="2"/>
  <c r="R271" i="2"/>
  <c r="Q271" i="2"/>
  <c r="F271" i="2"/>
  <c r="E271" i="2"/>
  <c r="D271" i="2"/>
  <c r="CA270" i="2"/>
  <c r="BZ270" i="2"/>
  <c r="BY270" i="2"/>
  <c r="BX270" i="2"/>
  <c r="BW270" i="2"/>
  <c r="BV270" i="2"/>
  <c r="BU270" i="2"/>
  <c r="BT270" i="2"/>
  <c r="BS270" i="2"/>
  <c r="BR270" i="2"/>
  <c r="BQ270" i="2"/>
  <c r="BP270" i="2"/>
  <c r="BO270" i="2"/>
  <c r="BN270" i="2"/>
  <c r="BM270" i="2"/>
  <c r="BL270" i="2"/>
  <c r="BK270" i="2"/>
  <c r="BJ270" i="2"/>
  <c r="BI270" i="2"/>
  <c r="BH270" i="2"/>
  <c r="BG270" i="2"/>
  <c r="BF270" i="2"/>
  <c r="BE270" i="2"/>
  <c r="BD270" i="2"/>
  <c r="BC270" i="2"/>
  <c r="BB270" i="2"/>
  <c r="BA270" i="2"/>
  <c r="AZ270" i="2"/>
  <c r="AY270" i="2"/>
  <c r="AX270" i="2"/>
  <c r="AW270" i="2"/>
  <c r="AV270" i="2"/>
  <c r="AU270" i="2"/>
  <c r="AT270" i="2"/>
  <c r="AS270" i="2"/>
  <c r="AR270" i="2"/>
  <c r="AQ270" i="2"/>
  <c r="AP270" i="2"/>
  <c r="AO270" i="2"/>
  <c r="AN270" i="2"/>
  <c r="AM270" i="2"/>
  <c r="AL270" i="2"/>
  <c r="AK270" i="2"/>
  <c r="AE270" i="2"/>
  <c r="AD270" i="2"/>
  <c r="AC270" i="2"/>
  <c r="AB270" i="2"/>
  <c r="AA270" i="2"/>
  <c r="Z270" i="2"/>
  <c r="Y270" i="2"/>
  <c r="X270" i="2"/>
  <c r="W270" i="2"/>
  <c r="V270" i="2"/>
  <c r="U270" i="2"/>
  <c r="T270" i="2"/>
  <c r="S270" i="2"/>
  <c r="R270" i="2"/>
  <c r="Q270" i="2"/>
  <c r="F270" i="2"/>
  <c r="E270" i="2"/>
  <c r="D270" i="2"/>
  <c r="CA269" i="2"/>
  <c r="BZ269" i="2"/>
  <c r="BY269" i="2"/>
  <c r="BX269" i="2"/>
  <c r="BW269" i="2"/>
  <c r="BV269" i="2"/>
  <c r="BU269" i="2"/>
  <c r="BT269" i="2"/>
  <c r="BS269" i="2"/>
  <c r="BR269" i="2"/>
  <c r="BQ269" i="2"/>
  <c r="BP269" i="2"/>
  <c r="BO269" i="2"/>
  <c r="BN269" i="2"/>
  <c r="BM269" i="2"/>
  <c r="BL269" i="2"/>
  <c r="BK269" i="2"/>
  <c r="BJ269" i="2"/>
  <c r="BI269" i="2"/>
  <c r="BH269" i="2"/>
  <c r="BG269" i="2"/>
  <c r="BF269" i="2"/>
  <c r="BE269" i="2"/>
  <c r="BD269" i="2"/>
  <c r="BC269" i="2"/>
  <c r="BB269" i="2"/>
  <c r="BA269" i="2"/>
  <c r="AZ269" i="2"/>
  <c r="AY269" i="2"/>
  <c r="AX269" i="2"/>
  <c r="AW269" i="2"/>
  <c r="AV269" i="2"/>
  <c r="AU269" i="2"/>
  <c r="AT269" i="2"/>
  <c r="AS269" i="2"/>
  <c r="AR269" i="2"/>
  <c r="AQ269" i="2"/>
  <c r="AP269" i="2"/>
  <c r="AO269" i="2"/>
  <c r="AN269" i="2"/>
  <c r="AM269" i="2"/>
  <c r="AL269" i="2"/>
  <c r="AK269" i="2"/>
  <c r="AE269" i="2"/>
  <c r="AD269" i="2"/>
  <c r="AC269" i="2"/>
  <c r="AB269" i="2"/>
  <c r="AA269" i="2"/>
  <c r="Z269" i="2"/>
  <c r="Y269" i="2"/>
  <c r="X269" i="2"/>
  <c r="W269" i="2"/>
  <c r="V269" i="2"/>
  <c r="U269" i="2"/>
  <c r="T269" i="2"/>
  <c r="S269" i="2"/>
  <c r="R269" i="2"/>
  <c r="Q269" i="2"/>
  <c r="F269" i="2"/>
  <c r="E269" i="2"/>
  <c r="D269" i="2"/>
  <c r="CA268" i="2"/>
  <c r="BZ268" i="2"/>
  <c r="BY268" i="2"/>
  <c r="BX268" i="2"/>
  <c r="BW268" i="2"/>
  <c r="BV268" i="2"/>
  <c r="BU268" i="2"/>
  <c r="BT268" i="2"/>
  <c r="BS268" i="2"/>
  <c r="BR268" i="2"/>
  <c r="BQ268" i="2"/>
  <c r="BP268" i="2"/>
  <c r="BO268" i="2"/>
  <c r="BN268" i="2"/>
  <c r="BM268" i="2"/>
  <c r="BL268" i="2"/>
  <c r="BK268" i="2"/>
  <c r="BJ268" i="2"/>
  <c r="BI268" i="2"/>
  <c r="BH268" i="2"/>
  <c r="BG268" i="2"/>
  <c r="BF268" i="2"/>
  <c r="BE268" i="2"/>
  <c r="BD268" i="2"/>
  <c r="BC268" i="2"/>
  <c r="BB268" i="2"/>
  <c r="BA268" i="2"/>
  <c r="AZ268" i="2"/>
  <c r="AY268" i="2"/>
  <c r="AX268" i="2"/>
  <c r="AW268" i="2"/>
  <c r="AV268" i="2"/>
  <c r="AU268" i="2"/>
  <c r="AT268" i="2"/>
  <c r="AS268" i="2"/>
  <c r="AR268" i="2"/>
  <c r="AQ268" i="2"/>
  <c r="AP268" i="2"/>
  <c r="AO268" i="2"/>
  <c r="AN268" i="2"/>
  <c r="AM268" i="2"/>
  <c r="AL268" i="2"/>
  <c r="AK268" i="2"/>
  <c r="AE268" i="2"/>
  <c r="AD268" i="2"/>
  <c r="AC268" i="2"/>
  <c r="AB268" i="2"/>
  <c r="AA268" i="2"/>
  <c r="Z268" i="2"/>
  <c r="Y268" i="2"/>
  <c r="X268" i="2"/>
  <c r="W268" i="2"/>
  <c r="V268" i="2"/>
  <c r="U268" i="2"/>
  <c r="T268" i="2"/>
  <c r="S268" i="2"/>
  <c r="R268" i="2"/>
  <c r="Q268" i="2"/>
  <c r="F268" i="2"/>
  <c r="E268" i="2"/>
  <c r="D268" i="2"/>
  <c r="CA267" i="2"/>
  <c r="BZ267" i="2"/>
  <c r="BY267" i="2"/>
  <c r="BX267" i="2"/>
  <c r="BW267" i="2"/>
  <c r="BV267" i="2"/>
  <c r="BU267" i="2"/>
  <c r="BT267" i="2"/>
  <c r="BS267" i="2"/>
  <c r="BR267" i="2"/>
  <c r="BQ267" i="2"/>
  <c r="BP267" i="2"/>
  <c r="BO267" i="2"/>
  <c r="BN267" i="2"/>
  <c r="BM267" i="2"/>
  <c r="BL267" i="2"/>
  <c r="BK267" i="2"/>
  <c r="BJ267" i="2"/>
  <c r="BI267" i="2"/>
  <c r="BH267" i="2"/>
  <c r="BG267" i="2"/>
  <c r="BF267" i="2"/>
  <c r="BE267" i="2"/>
  <c r="BD267" i="2"/>
  <c r="BC267" i="2"/>
  <c r="BB267" i="2"/>
  <c r="BA267" i="2"/>
  <c r="AZ267" i="2"/>
  <c r="AY267" i="2"/>
  <c r="AX267" i="2"/>
  <c r="AW267" i="2"/>
  <c r="AV267" i="2"/>
  <c r="AU267" i="2"/>
  <c r="AT267" i="2"/>
  <c r="AS267" i="2"/>
  <c r="AR267" i="2"/>
  <c r="AQ267" i="2"/>
  <c r="AP267" i="2"/>
  <c r="AO267" i="2"/>
  <c r="AN267" i="2"/>
  <c r="AM267" i="2"/>
  <c r="AL267" i="2"/>
  <c r="AK267" i="2"/>
  <c r="AE267" i="2"/>
  <c r="AD267" i="2"/>
  <c r="AC267" i="2"/>
  <c r="AB267" i="2"/>
  <c r="AA267" i="2"/>
  <c r="Z267" i="2"/>
  <c r="Y267" i="2"/>
  <c r="X267" i="2"/>
  <c r="W267" i="2"/>
  <c r="V267" i="2"/>
  <c r="U267" i="2"/>
  <c r="T267" i="2"/>
  <c r="S267" i="2"/>
  <c r="R267" i="2"/>
  <c r="Q267" i="2"/>
  <c r="F267" i="2"/>
  <c r="E267" i="2"/>
  <c r="D267" i="2"/>
  <c r="CA266" i="2"/>
  <c r="BZ266" i="2"/>
  <c r="BY266" i="2"/>
  <c r="BX266" i="2"/>
  <c r="BW266" i="2"/>
  <c r="BV266" i="2"/>
  <c r="BU266" i="2"/>
  <c r="BT266" i="2"/>
  <c r="BS266" i="2"/>
  <c r="BR266" i="2"/>
  <c r="BQ266" i="2"/>
  <c r="BP266" i="2"/>
  <c r="BO266" i="2"/>
  <c r="BN266" i="2"/>
  <c r="BM266" i="2"/>
  <c r="BL266" i="2"/>
  <c r="BK266" i="2"/>
  <c r="BJ266" i="2"/>
  <c r="BI266" i="2"/>
  <c r="BH266" i="2"/>
  <c r="BG266" i="2"/>
  <c r="BF266" i="2"/>
  <c r="BE266" i="2"/>
  <c r="BD266" i="2"/>
  <c r="BC266" i="2"/>
  <c r="BB266" i="2"/>
  <c r="BA266" i="2"/>
  <c r="AZ266" i="2"/>
  <c r="AY266" i="2"/>
  <c r="AX266" i="2"/>
  <c r="AW266" i="2"/>
  <c r="AV266" i="2"/>
  <c r="AU266" i="2"/>
  <c r="AT266" i="2"/>
  <c r="AS266" i="2"/>
  <c r="AR266" i="2"/>
  <c r="AQ266" i="2"/>
  <c r="AP266" i="2"/>
  <c r="AO266" i="2"/>
  <c r="AN266" i="2"/>
  <c r="AM266" i="2"/>
  <c r="AL266" i="2"/>
  <c r="AK266" i="2"/>
  <c r="AE266" i="2"/>
  <c r="AD266" i="2"/>
  <c r="AC266" i="2"/>
  <c r="AB266" i="2"/>
  <c r="AA266" i="2"/>
  <c r="Z266" i="2"/>
  <c r="Y266" i="2"/>
  <c r="X266" i="2"/>
  <c r="W266" i="2"/>
  <c r="V266" i="2"/>
  <c r="U266" i="2"/>
  <c r="T266" i="2"/>
  <c r="S266" i="2"/>
  <c r="R266" i="2"/>
  <c r="Q266" i="2"/>
  <c r="F266" i="2"/>
  <c r="E266" i="2"/>
  <c r="D266" i="2"/>
  <c r="CA265" i="2"/>
  <c r="BZ265" i="2"/>
  <c r="BY265" i="2"/>
  <c r="BX265" i="2"/>
  <c r="BW265" i="2"/>
  <c r="BV265" i="2"/>
  <c r="BU265" i="2"/>
  <c r="BT265" i="2"/>
  <c r="BS265" i="2"/>
  <c r="BR265" i="2"/>
  <c r="BQ265" i="2"/>
  <c r="BP265" i="2"/>
  <c r="BO265" i="2"/>
  <c r="BN265" i="2"/>
  <c r="BM265" i="2"/>
  <c r="BL265" i="2"/>
  <c r="BK265" i="2"/>
  <c r="BJ265" i="2"/>
  <c r="BI265" i="2"/>
  <c r="BH265" i="2"/>
  <c r="BG265" i="2"/>
  <c r="BF265" i="2"/>
  <c r="BE265" i="2"/>
  <c r="BD265" i="2"/>
  <c r="BC265" i="2"/>
  <c r="BB265" i="2"/>
  <c r="BA265" i="2"/>
  <c r="AZ265" i="2"/>
  <c r="AY265" i="2"/>
  <c r="AX265" i="2"/>
  <c r="AW265" i="2"/>
  <c r="AV265" i="2"/>
  <c r="AU265" i="2"/>
  <c r="AT265" i="2"/>
  <c r="AS265" i="2"/>
  <c r="AR265" i="2"/>
  <c r="AQ265" i="2"/>
  <c r="AP265" i="2"/>
  <c r="AO265" i="2"/>
  <c r="AN265" i="2"/>
  <c r="AM265" i="2"/>
  <c r="AL265" i="2"/>
  <c r="AK265" i="2"/>
  <c r="AE265" i="2"/>
  <c r="AD265" i="2"/>
  <c r="AC265" i="2"/>
  <c r="AB265" i="2"/>
  <c r="AA265" i="2"/>
  <c r="Z265" i="2"/>
  <c r="Y265" i="2"/>
  <c r="X265" i="2"/>
  <c r="W265" i="2"/>
  <c r="V265" i="2"/>
  <c r="U265" i="2"/>
  <c r="T265" i="2"/>
  <c r="S265" i="2"/>
  <c r="R265" i="2"/>
  <c r="Q265" i="2"/>
  <c r="F265" i="2"/>
  <c r="E265" i="2"/>
  <c r="D265" i="2"/>
  <c r="CA264" i="2"/>
  <c r="BZ264" i="2"/>
  <c r="BY264" i="2"/>
  <c r="BX264" i="2"/>
  <c r="BW264" i="2"/>
  <c r="BV264" i="2"/>
  <c r="BU264" i="2"/>
  <c r="BT264" i="2"/>
  <c r="BS264" i="2"/>
  <c r="BR264" i="2"/>
  <c r="BQ264" i="2"/>
  <c r="BP264" i="2"/>
  <c r="BO264" i="2"/>
  <c r="BN264" i="2"/>
  <c r="BM264" i="2"/>
  <c r="BL264" i="2"/>
  <c r="BK264" i="2"/>
  <c r="BJ264" i="2"/>
  <c r="BI264" i="2"/>
  <c r="BH264" i="2"/>
  <c r="BG264" i="2"/>
  <c r="BF264" i="2"/>
  <c r="BE264" i="2"/>
  <c r="BD264" i="2"/>
  <c r="BC264" i="2"/>
  <c r="BB264" i="2"/>
  <c r="BA264" i="2"/>
  <c r="AZ264" i="2"/>
  <c r="AY264" i="2"/>
  <c r="AX264" i="2"/>
  <c r="AW264" i="2"/>
  <c r="AV264" i="2"/>
  <c r="AU264" i="2"/>
  <c r="AT264" i="2"/>
  <c r="AS264" i="2"/>
  <c r="AR264" i="2"/>
  <c r="AQ264" i="2"/>
  <c r="AP264" i="2"/>
  <c r="AO264" i="2"/>
  <c r="AN264" i="2"/>
  <c r="AM264" i="2"/>
  <c r="AL264" i="2"/>
  <c r="AK264" i="2"/>
  <c r="AE264" i="2"/>
  <c r="AD264" i="2"/>
  <c r="AC264" i="2"/>
  <c r="AB264" i="2"/>
  <c r="AA264" i="2"/>
  <c r="Z264" i="2"/>
  <c r="Y264" i="2"/>
  <c r="X264" i="2"/>
  <c r="W264" i="2"/>
  <c r="V264" i="2"/>
  <c r="U264" i="2"/>
  <c r="T264" i="2"/>
  <c r="S264" i="2"/>
  <c r="R264" i="2"/>
  <c r="Q264" i="2"/>
  <c r="F264" i="2"/>
  <c r="E264" i="2"/>
  <c r="D264" i="2"/>
  <c r="CA263" i="2"/>
  <c r="BZ263" i="2"/>
  <c r="BY263" i="2"/>
  <c r="BX263" i="2"/>
  <c r="BW263" i="2"/>
  <c r="BV263" i="2"/>
  <c r="BU263" i="2"/>
  <c r="BT263" i="2"/>
  <c r="BS263" i="2"/>
  <c r="BR263" i="2"/>
  <c r="BQ263" i="2"/>
  <c r="BP263" i="2"/>
  <c r="BO263" i="2"/>
  <c r="BN263" i="2"/>
  <c r="BM263" i="2"/>
  <c r="BL263" i="2"/>
  <c r="BK263" i="2"/>
  <c r="BJ263" i="2"/>
  <c r="BI263" i="2"/>
  <c r="BH263" i="2"/>
  <c r="BG263" i="2"/>
  <c r="BF263" i="2"/>
  <c r="BE263" i="2"/>
  <c r="BD263" i="2"/>
  <c r="BC263" i="2"/>
  <c r="BB263" i="2"/>
  <c r="BA263" i="2"/>
  <c r="AZ263" i="2"/>
  <c r="AY263" i="2"/>
  <c r="AX263" i="2"/>
  <c r="AW263" i="2"/>
  <c r="AV263" i="2"/>
  <c r="AU263" i="2"/>
  <c r="AT263" i="2"/>
  <c r="AS263" i="2"/>
  <c r="AR263" i="2"/>
  <c r="AQ263" i="2"/>
  <c r="AP263" i="2"/>
  <c r="AO263" i="2"/>
  <c r="AN263" i="2"/>
  <c r="AM263" i="2"/>
  <c r="AL263" i="2"/>
  <c r="AK263" i="2"/>
  <c r="AE263" i="2"/>
  <c r="AD263" i="2"/>
  <c r="AC263" i="2"/>
  <c r="AB263" i="2"/>
  <c r="AA263" i="2"/>
  <c r="Z263" i="2"/>
  <c r="Y263" i="2"/>
  <c r="X263" i="2"/>
  <c r="W263" i="2"/>
  <c r="V263" i="2"/>
  <c r="U263" i="2"/>
  <c r="T263" i="2"/>
  <c r="S263" i="2"/>
  <c r="R263" i="2"/>
  <c r="Q263" i="2"/>
  <c r="F263" i="2"/>
  <c r="E263" i="2"/>
  <c r="D263" i="2"/>
  <c r="CA262" i="2"/>
  <c r="BZ262" i="2"/>
  <c r="BY262" i="2"/>
  <c r="BX262" i="2"/>
  <c r="BW262" i="2"/>
  <c r="BV262" i="2"/>
  <c r="BU262" i="2"/>
  <c r="BT262" i="2"/>
  <c r="BS262" i="2"/>
  <c r="BR262" i="2"/>
  <c r="BQ262" i="2"/>
  <c r="BP262" i="2"/>
  <c r="BO262" i="2"/>
  <c r="BN262" i="2"/>
  <c r="BM262" i="2"/>
  <c r="BL262" i="2"/>
  <c r="BK262" i="2"/>
  <c r="BJ262" i="2"/>
  <c r="BI262" i="2"/>
  <c r="BH262" i="2"/>
  <c r="BG262" i="2"/>
  <c r="BF262" i="2"/>
  <c r="BE262" i="2"/>
  <c r="BD262" i="2"/>
  <c r="BC262" i="2"/>
  <c r="BB262" i="2"/>
  <c r="BA262" i="2"/>
  <c r="AZ262" i="2"/>
  <c r="AY262" i="2"/>
  <c r="AX262" i="2"/>
  <c r="AW262" i="2"/>
  <c r="AV262" i="2"/>
  <c r="AU262" i="2"/>
  <c r="AT262" i="2"/>
  <c r="AS262" i="2"/>
  <c r="AR262" i="2"/>
  <c r="AQ262" i="2"/>
  <c r="AP262" i="2"/>
  <c r="AO262" i="2"/>
  <c r="AN262" i="2"/>
  <c r="AM262" i="2"/>
  <c r="AL262" i="2"/>
  <c r="AK262" i="2"/>
  <c r="AE262" i="2"/>
  <c r="AD262" i="2"/>
  <c r="AC262" i="2"/>
  <c r="AB262" i="2"/>
  <c r="AA262" i="2"/>
  <c r="Z262" i="2"/>
  <c r="Y262" i="2"/>
  <c r="X262" i="2"/>
  <c r="W262" i="2"/>
  <c r="V262" i="2"/>
  <c r="U262" i="2"/>
  <c r="T262" i="2"/>
  <c r="S262" i="2"/>
  <c r="R262" i="2"/>
  <c r="Q262" i="2"/>
  <c r="F262" i="2"/>
  <c r="E262" i="2"/>
  <c r="D262" i="2"/>
  <c r="CA261" i="2"/>
  <c r="BZ261" i="2"/>
  <c r="BY261" i="2"/>
  <c r="BX261" i="2"/>
  <c r="BW261" i="2"/>
  <c r="BV261" i="2"/>
  <c r="BU261" i="2"/>
  <c r="BT261" i="2"/>
  <c r="BS261" i="2"/>
  <c r="BR261" i="2"/>
  <c r="BQ261" i="2"/>
  <c r="BP261" i="2"/>
  <c r="BO261" i="2"/>
  <c r="BN261" i="2"/>
  <c r="BM261" i="2"/>
  <c r="BL261" i="2"/>
  <c r="BK261" i="2"/>
  <c r="BJ261" i="2"/>
  <c r="BI261" i="2"/>
  <c r="BH261" i="2"/>
  <c r="BG261" i="2"/>
  <c r="BF261" i="2"/>
  <c r="BE261" i="2"/>
  <c r="BD261" i="2"/>
  <c r="BC261" i="2"/>
  <c r="BB261" i="2"/>
  <c r="BA261" i="2"/>
  <c r="AZ261" i="2"/>
  <c r="AY261" i="2"/>
  <c r="AX261" i="2"/>
  <c r="AW261" i="2"/>
  <c r="AV261" i="2"/>
  <c r="AU261" i="2"/>
  <c r="AT261" i="2"/>
  <c r="AS261" i="2"/>
  <c r="AR261" i="2"/>
  <c r="AQ261" i="2"/>
  <c r="AP261" i="2"/>
  <c r="AO261" i="2"/>
  <c r="AN261" i="2"/>
  <c r="AM261" i="2"/>
  <c r="AL261" i="2"/>
  <c r="AK261" i="2"/>
  <c r="AE261" i="2"/>
  <c r="AD261" i="2"/>
  <c r="AC261" i="2"/>
  <c r="AB261" i="2"/>
  <c r="AA261" i="2"/>
  <c r="Z261" i="2"/>
  <c r="Y261" i="2"/>
  <c r="X261" i="2"/>
  <c r="W261" i="2"/>
  <c r="V261" i="2"/>
  <c r="U261" i="2"/>
  <c r="T261" i="2"/>
  <c r="S261" i="2"/>
  <c r="R261" i="2"/>
  <c r="Q261" i="2"/>
  <c r="F261" i="2"/>
  <c r="E261" i="2"/>
  <c r="D261" i="2"/>
  <c r="CA260" i="2"/>
  <c r="BZ260" i="2"/>
  <c r="BY260" i="2"/>
  <c r="BX260" i="2"/>
  <c r="BW260" i="2"/>
  <c r="BV260" i="2"/>
  <c r="BU260" i="2"/>
  <c r="BT260" i="2"/>
  <c r="BS260" i="2"/>
  <c r="BR260" i="2"/>
  <c r="BQ260" i="2"/>
  <c r="BP260" i="2"/>
  <c r="BO260" i="2"/>
  <c r="BN260" i="2"/>
  <c r="BM260" i="2"/>
  <c r="BL260" i="2"/>
  <c r="BK260" i="2"/>
  <c r="BJ260" i="2"/>
  <c r="BI260" i="2"/>
  <c r="BH260" i="2"/>
  <c r="BG260" i="2"/>
  <c r="BF260" i="2"/>
  <c r="BE260" i="2"/>
  <c r="BD260" i="2"/>
  <c r="BC260" i="2"/>
  <c r="BB260" i="2"/>
  <c r="BA260" i="2"/>
  <c r="AZ260" i="2"/>
  <c r="AY260" i="2"/>
  <c r="AX260" i="2"/>
  <c r="AW260" i="2"/>
  <c r="AV260" i="2"/>
  <c r="AU260" i="2"/>
  <c r="AT260" i="2"/>
  <c r="AS260" i="2"/>
  <c r="AR260" i="2"/>
  <c r="AQ260" i="2"/>
  <c r="AP260" i="2"/>
  <c r="AO260" i="2"/>
  <c r="AN260" i="2"/>
  <c r="AM260" i="2"/>
  <c r="AL260" i="2"/>
  <c r="AK260" i="2"/>
  <c r="AE260" i="2"/>
  <c r="AD260" i="2"/>
  <c r="AC260" i="2"/>
  <c r="AB260" i="2"/>
  <c r="AA260" i="2"/>
  <c r="Z260" i="2"/>
  <c r="Y260" i="2"/>
  <c r="X260" i="2"/>
  <c r="W260" i="2"/>
  <c r="V260" i="2"/>
  <c r="U260" i="2"/>
  <c r="T260" i="2"/>
  <c r="S260" i="2"/>
  <c r="R260" i="2"/>
  <c r="Q260" i="2"/>
  <c r="F260" i="2"/>
  <c r="E260" i="2"/>
  <c r="D260" i="2"/>
  <c r="CA259" i="2"/>
  <c r="BZ259" i="2"/>
  <c r="BY259" i="2"/>
  <c r="BX259" i="2"/>
  <c r="BW259" i="2"/>
  <c r="BV259" i="2"/>
  <c r="BU259" i="2"/>
  <c r="BT259" i="2"/>
  <c r="BS259" i="2"/>
  <c r="BR259" i="2"/>
  <c r="BQ259" i="2"/>
  <c r="BP259" i="2"/>
  <c r="BO259" i="2"/>
  <c r="BN259" i="2"/>
  <c r="BM259" i="2"/>
  <c r="BL259" i="2"/>
  <c r="BK259" i="2"/>
  <c r="BJ259" i="2"/>
  <c r="BI259" i="2"/>
  <c r="BH259" i="2"/>
  <c r="BG259" i="2"/>
  <c r="BF259" i="2"/>
  <c r="BE259" i="2"/>
  <c r="BD259" i="2"/>
  <c r="BC259" i="2"/>
  <c r="BB259" i="2"/>
  <c r="BA259" i="2"/>
  <c r="AZ259" i="2"/>
  <c r="AY259" i="2"/>
  <c r="AX259" i="2"/>
  <c r="AW259" i="2"/>
  <c r="AV259" i="2"/>
  <c r="AU259" i="2"/>
  <c r="AT259" i="2"/>
  <c r="AS259" i="2"/>
  <c r="AR259" i="2"/>
  <c r="AQ259" i="2"/>
  <c r="AP259" i="2"/>
  <c r="AO259" i="2"/>
  <c r="AN259" i="2"/>
  <c r="AM259" i="2"/>
  <c r="AL259" i="2"/>
  <c r="AK259" i="2"/>
  <c r="AE259" i="2"/>
  <c r="AD259" i="2"/>
  <c r="AC259" i="2"/>
  <c r="AB259" i="2"/>
  <c r="AA259" i="2"/>
  <c r="Z259" i="2"/>
  <c r="Y259" i="2"/>
  <c r="X259" i="2"/>
  <c r="W259" i="2"/>
  <c r="V259" i="2"/>
  <c r="U259" i="2"/>
  <c r="T259" i="2"/>
  <c r="S259" i="2"/>
  <c r="R259" i="2"/>
  <c r="Q259" i="2"/>
  <c r="F259" i="2"/>
  <c r="E259" i="2"/>
  <c r="D259" i="2"/>
  <c r="CA258" i="2"/>
  <c r="BZ258" i="2"/>
  <c r="BY258" i="2"/>
  <c r="BX258" i="2"/>
  <c r="BW258" i="2"/>
  <c r="BV258" i="2"/>
  <c r="BU258" i="2"/>
  <c r="BT258" i="2"/>
  <c r="BS258" i="2"/>
  <c r="BR258" i="2"/>
  <c r="BQ258" i="2"/>
  <c r="BP258" i="2"/>
  <c r="BO258" i="2"/>
  <c r="BN258" i="2"/>
  <c r="BM258" i="2"/>
  <c r="BL258" i="2"/>
  <c r="BK258" i="2"/>
  <c r="BJ258" i="2"/>
  <c r="BI258" i="2"/>
  <c r="BH258" i="2"/>
  <c r="BG258" i="2"/>
  <c r="BF258" i="2"/>
  <c r="BE258" i="2"/>
  <c r="BD258" i="2"/>
  <c r="BC258" i="2"/>
  <c r="BB258" i="2"/>
  <c r="BA258" i="2"/>
  <c r="AZ258" i="2"/>
  <c r="AY258" i="2"/>
  <c r="AX258" i="2"/>
  <c r="AW258" i="2"/>
  <c r="AV258" i="2"/>
  <c r="AU258" i="2"/>
  <c r="AT258" i="2"/>
  <c r="AS258" i="2"/>
  <c r="AR258" i="2"/>
  <c r="AQ258" i="2"/>
  <c r="AP258" i="2"/>
  <c r="AO258" i="2"/>
  <c r="AN258" i="2"/>
  <c r="AM258" i="2"/>
  <c r="AL258" i="2"/>
  <c r="AK258" i="2"/>
  <c r="AE258" i="2"/>
  <c r="AD258" i="2"/>
  <c r="AC258" i="2"/>
  <c r="AB258" i="2"/>
  <c r="AA258" i="2"/>
  <c r="Z258" i="2"/>
  <c r="Y258" i="2"/>
  <c r="X258" i="2"/>
  <c r="W258" i="2"/>
  <c r="V258" i="2"/>
  <c r="U258" i="2"/>
  <c r="T258" i="2"/>
  <c r="S258" i="2"/>
  <c r="R258" i="2"/>
  <c r="Q258" i="2"/>
  <c r="F258" i="2"/>
  <c r="E258" i="2"/>
  <c r="D258" i="2"/>
  <c r="CA257" i="2"/>
  <c r="BZ257" i="2"/>
  <c r="BY257" i="2"/>
  <c r="BX257" i="2"/>
  <c r="BW257" i="2"/>
  <c r="BV257" i="2"/>
  <c r="BU257" i="2"/>
  <c r="BT257" i="2"/>
  <c r="BS257" i="2"/>
  <c r="BR257" i="2"/>
  <c r="BQ257" i="2"/>
  <c r="BP257" i="2"/>
  <c r="BO257" i="2"/>
  <c r="BN257" i="2"/>
  <c r="BM257" i="2"/>
  <c r="BL257" i="2"/>
  <c r="BK257" i="2"/>
  <c r="BJ257" i="2"/>
  <c r="BI257" i="2"/>
  <c r="BH257" i="2"/>
  <c r="BG257" i="2"/>
  <c r="BF257" i="2"/>
  <c r="BE257" i="2"/>
  <c r="BD257" i="2"/>
  <c r="BC257" i="2"/>
  <c r="BB257" i="2"/>
  <c r="BA257" i="2"/>
  <c r="AZ257" i="2"/>
  <c r="AY257" i="2"/>
  <c r="AX257" i="2"/>
  <c r="AW257" i="2"/>
  <c r="AV257" i="2"/>
  <c r="AU257" i="2"/>
  <c r="AT257" i="2"/>
  <c r="AS257" i="2"/>
  <c r="AR257" i="2"/>
  <c r="AQ257" i="2"/>
  <c r="AP257" i="2"/>
  <c r="AO257" i="2"/>
  <c r="AN257" i="2"/>
  <c r="AM257" i="2"/>
  <c r="AL257" i="2"/>
  <c r="AK257" i="2"/>
  <c r="AE257" i="2"/>
  <c r="AD257" i="2"/>
  <c r="AC257" i="2"/>
  <c r="AB257" i="2"/>
  <c r="AA257" i="2"/>
  <c r="Z257" i="2"/>
  <c r="Y257" i="2"/>
  <c r="X257" i="2"/>
  <c r="W257" i="2"/>
  <c r="V257" i="2"/>
  <c r="U257" i="2"/>
  <c r="T257" i="2"/>
  <c r="S257" i="2"/>
  <c r="R257" i="2"/>
  <c r="Q257" i="2"/>
  <c r="F257" i="2"/>
  <c r="E257" i="2"/>
  <c r="D257" i="2"/>
  <c r="CA256" i="2"/>
  <c r="BZ256" i="2"/>
  <c r="BY256" i="2"/>
  <c r="BX256" i="2"/>
  <c r="BW256" i="2"/>
  <c r="BV256" i="2"/>
  <c r="BU256" i="2"/>
  <c r="BT256" i="2"/>
  <c r="BS256" i="2"/>
  <c r="BR256" i="2"/>
  <c r="BQ256" i="2"/>
  <c r="BP256" i="2"/>
  <c r="BO256" i="2"/>
  <c r="BN256" i="2"/>
  <c r="BM256" i="2"/>
  <c r="BL256" i="2"/>
  <c r="BK256" i="2"/>
  <c r="BJ256" i="2"/>
  <c r="BI256" i="2"/>
  <c r="BH256" i="2"/>
  <c r="BG256" i="2"/>
  <c r="BF256" i="2"/>
  <c r="BE256" i="2"/>
  <c r="BD256" i="2"/>
  <c r="BC256" i="2"/>
  <c r="BB256" i="2"/>
  <c r="BA256" i="2"/>
  <c r="AZ256" i="2"/>
  <c r="AY256" i="2"/>
  <c r="AX256" i="2"/>
  <c r="AW256" i="2"/>
  <c r="AV256" i="2"/>
  <c r="AU256" i="2"/>
  <c r="AT256" i="2"/>
  <c r="AS256" i="2"/>
  <c r="AR256" i="2"/>
  <c r="AQ256" i="2"/>
  <c r="AP256" i="2"/>
  <c r="AO256" i="2"/>
  <c r="AN256" i="2"/>
  <c r="AM256" i="2"/>
  <c r="AL256" i="2"/>
  <c r="AK256" i="2"/>
  <c r="AE256" i="2"/>
  <c r="AD256" i="2"/>
  <c r="AC256" i="2"/>
  <c r="AB256" i="2"/>
  <c r="AA256" i="2"/>
  <c r="Z256" i="2"/>
  <c r="Y256" i="2"/>
  <c r="X256" i="2"/>
  <c r="W256" i="2"/>
  <c r="V256" i="2"/>
  <c r="U256" i="2"/>
  <c r="T256" i="2"/>
  <c r="S256" i="2"/>
  <c r="R256" i="2"/>
  <c r="Q256" i="2"/>
  <c r="F256" i="2"/>
  <c r="E256" i="2"/>
  <c r="D256" i="2"/>
  <c r="CA255" i="2"/>
  <c r="BZ255" i="2"/>
  <c r="BY255" i="2"/>
  <c r="BX255" i="2"/>
  <c r="BW255" i="2"/>
  <c r="BV255" i="2"/>
  <c r="BU255" i="2"/>
  <c r="BT255" i="2"/>
  <c r="BS255" i="2"/>
  <c r="BR255" i="2"/>
  <c r="BQ255" i="2"/>
  <c r="BP255" i="2"/>
  <c r="BO255" i="2"/>
  <c r="BN255" i="2"/>
  <c r="BM255" i="2"/>
  <c r="BL255" i="2"/>
  <c r="BK255" i="2"/>
  <c r="BJ255" i="2"/>
  <c r="BI255" i="2"/>
  <c r="BH255" i="2"/>
  <c r="BG255" i="2"/>
  <c r="BF255" i="2"/>
  <c r="BE255" i="2"/>
  <c r="BD255" i="2"/>
  <c r="BC255" i="2"/>
  <c r="BB255" i="2"/>
  <c r="BA255" i="2"/>
  <c r="AZ255" i="2"/>
  <c r="AY255" i="2"/>
  <c r="AX255" i="2"/>
  <c r="AW255" i="2"/>
  <c r="AV255" i="2"/>
  <c r="AU255" i="2"/>
  <c r="AT255" i="2"/>
  <c r="AS255" i="2"/>
  <c r="AR255" i="2"/>
  <c r="AQ255" i="2"/>
  <c r="AP255" i="2"/>
  <c r="AO255" i="2"/>
  <c r="AN255" i="2"/>
  <c r="AM255" i="2"/>
  <c r="AL255" i="2"/>
  <c r="AK255" i="2"/>
  <c r="AE255" i="2"/>
  <c r="AD255" i="2"/>
  <c r="AC255" i="2"/>
  <c r="AB255" i="2"/>
  <c r="AA255" i="2"/>
  <c r="Z255" i="2"/>
  <c r="Y255" i="2"/>
  <c r="X255" i="2"/>
  <c r="W255" i="2"/>
  <c r="V255" i="2"/>
  <c r="U255" i="2"/>
  <c r="T255" i="2"/>
  <c r="S255" i="2"/>
  <c r="R255" i="2"/>
  <c r="Q255" i="2"/>
  <c r="F255" i="2"/>
  <c r="E255" i="2"/>
  <c r="D255" i="2"/>
  <c r="CA254" i="2"/>
  <c r="BZ254" i="2"/>
  <c r="BY254" i="2"/>
  <c r="BX254" i="2"/>
  <c r="BW254" i="2"/>
  <c r="BV254" i="2"/>
  <c r="BU254" i="2"/>
  <c r="BT254" i="2"/>
  <c r="BS254" i="2"/>
  <c r="BR254" i="2"/>
  <c r="BQ254" i="2"/>
  <c r="BP254" i="2"/>
  <c r="BO254" i="2"/>
  <c r="BN254" i="2"/>
  <c r="BM254" i="2"/>
  <c r="BL254" i="2"/>
  <c r="BK254" i="2"/>
  <c r="BJ254" i="2"/>
  <c r="BI254" i="2"/>
  <c r="BH254" i="2"/>
  <c r="BG254" i="2"/>
  <c r="BF254" i="2"/>
  <c r="BE254" i="2"/>
  <c r="BD254" i="2"/>
  <c r="BC254" i="2"/>
  <c r="BB254" i="2"/>
  <c r="BA254" i="2"/>
  <c r="AZ254" i="2"/>
  <c r="AY254" i="2"/>
  <c r="AX254" i="2"/>
  <c r="AW254" i="2"/>
  <c r="AV254" i="2"/>
  <c r="AU254" i="2"/>
  <c r="AT254" i="2"/>
  <c r="AS254" i="2"/>
  <c r="AR254" i="2"/>
  <c r="AQ254" i="2"/>
  <c r="AP254" i="2"/>
  <c r="AO254" i="2"/>
  <c r="AN254" i="2"/>
  <c r="AM254" i="2"/>
  <c r="AL254" i="2"/>
  <c r="AK254" i="2"/>
  <c r="AE254" i="2"/>
  <c r="AD254" i="2"/>
  <c r="AC254" i="2"/>
  <c r="AB254" i="2"/>
  <c r="AA254" i="2"/>
  <c r="Z254" i="2"/>
  <c r="Y254" i="2"/>
  <c r="X254" i="2"/>
  <c r="W254" i="2"/>
  <c r="V254" i="2"/>
  <c r="U254" i="2"/>
  <c r="T254" i="2"/>
  <c r="S254" i="2"/>
  <c r="R254" i="2"/>
  <c r="Q254" i="2"/>
  <c r="F254" i="2"/>
  <c r="E254" i="2"/>
  <c r="D254" i="2"/>
  <c r="CA253" i="2"/>
  <c r="BZ253" i="2"/>
  <c r="BY253" i="2"/>
  <c r="BX253" i="2"/>
  <c r="BW253" i="2"/>
  <c r="BV253" i="2"/>
  <c r="BU253" i="2"/>
  <c r="BT253" i="2"/>
  <c r="BS253" i="2"/>
  <c r="BR253" i="2"/>
  <c r="BQ253" i="2"/>
  <c r="BP253" i="2"/>
  <c r="BO253" i="2"/>
  <c r="BN253" i="2"/>
  <c r="BM253" i="2"/>
  <c r="BL253" i="2"/>
  <c r="BK253" i="2"/>
  <c r="BJ253" i="2"/>
  <c r="BI253" i="2"/>
  <c r="BH253" i="2"/>
  <c r="BG253" i="2"/>
  <c r="BF253" i="2"/>
  <c r="BE253" i="2"/>
  <c r="BD253" i="2"/>
  <c r="BC253" i="2"/>
  <c r="BB253" i="2"/>
  <c r="BA253" i="2"/>
  <c r="AZ253" i="2"/>
  <c r="AY253" i="2"/>
  <c r="AX253" i="2"/>
  <c r="AW253" i="2"/>
  <c r="AV253" i="2"/>
  <c r="AU253" i="2"/>
  <c r="AT253" i="2"/>
  <c r="AS253" i="2"/>
  <c r="AR253" i="2"/>
  <c r="AQ253" i="2"/>
  <c r="AP253" i="2"/>
  <c r="AO253" i="2"/>
  <c r="AN253" i="2"/>
  <c r="AM253" i="2"/>
  <c r="AL253" i="2"/>
  <c r="AK253" i="2"/>
  <c r="AE253" i="2"/>
  <c r="AD253" i="2"/>
  <c r="AC253" i="2"/>
  <c r="AB253" i="2"/>
  <c r="AA253" i="2"/>
  <c r="Z253" i="2"/>
  <c r="Y253" i="2"/>
  <c r="X253" i="2"/>
  <c r="W253" i="2"/>
  <c r="V253" i="2"/>
  <c r="U253" i="2"/>
  <c r="T253" i="2"/>
  <c r="S253" i="2"/>
  <c r="R253" i="2"/>
  <c r="Q253" i="2"/>
  <c r="F253" i="2"/>
  <c r="E253" i="2"/>
  <c r="D253" i="2"/>
  <c r="CA252" i="2"/>
  <c r="BZ252" i="2"/>
  <c r="BY252" i="2"/>
  <c r="BX252" i="2"/>
  <c r="BW252" i="2"/>
  <c r="BV252" i="2"/>
  <c r="BU252" i="2"/>
  <c r="BT252" i="2"/>
  <c r="BS252" i="2"/>
  <c r="BR252" i="2"/>
  <c r="BQ252" i="2"/>
  <c r="BP252" i="2"/>
  <c r="BO252" i="2"/>
  <c r="BN252" i="2"/>
  <c r="BM252" i="2"/>
  <c r="BL252" i="2"/>
  <c r="BK252" i="2"/>
  <c r="BJ252" i="2"/>
  <c r="BI252" i="2"/>
  <c r="BH252" i="2"/>
  <c r="BG252" i="2"/>
  <c r="BF252" i="2"/>
  <c r="BE252" i="2"/>
  <c r="BD252" i="2"/>
  <c r="BC252" i="2"/>
  <c r="BB252" i="2"/>
  <c r="BA252" i="2"/>
  <c r="AZ252" i="2"/>
  <c r="AY252" i="2"/>
  <c r="AX252" i="2"/>
  <c r="AW252" i="2"/>
  <c r="AV252" i="2"/>
  <c r="AU252" i="2"/>
  <c r="AT252" i="2"/>
  <c r="AS252" i="2"/>
  <c r="AR252" i="2"/>
  <c r="AQ252" i="2"/>
  <c r="AP252" i="2"/>
  <c r="AO252" i="2"/>
  <c r="AN252" i="2"/>
  <c r="AM252" i="2"/>
  <c r="AL252" i="2"/>
  <c r="AK252" i="2"/>
  <c r="AE252" i="2"/>
  <c r="AD252" i="2"/>
  <c r="AC252" i="2"/>
  <c r="AB252" i="2"/>
  <c r="AA252" i="2"/>
  <c r="Z252" i="2"/>
  <c r="Y252" i="2"/>
  <c r="X252" i="2"/>
  <c r="W252" i="2"/>
  <c r="V252" i="2"/>
  <c r="U252" i="2"/>
  <c r="T252" i="2"/>
  <c r="S252" i="2"/>
  <c r="R252" i="2"/>
  <c r="Q252" i="2"/>
  <c r="F252" i="2"/>
  <c r="E252" i="2"/>
  <c r="D252" i="2"/>
  <c r="CA251" i="2"/>
  <c r="BZ251" i="2"/>
  <c r="BY251" i="2"/>
  <c r="BX251" i="2"/>
  <c r="BW251" i="2"/>
  <c r="BV251" i="2"/>
  <c r="BU251" i="2"/>
  <c r="BT251" i="2"/>
  <c r="BS251" i="2"/>
  <c r="BR251" i="2"/>
  <c r="BQ251" i="2"/>
  <c r="BP251" i="2"/>
  <c r="BO251" i="2"/>
  <c r="BN251" i="2"/>
  <c r="BM251" i="2"/>
  <c r="BL251" i="2"/>
  <c r="BK251" i="2"/>
  <c r="BJ251" i="2"/>
  <c r="BI251" i="2"/>
  <c r="BH251" i="2"/>
  <c r="BG251" i="2"/>
  <c r="BF251" i="2"/>
  <c r="BE251" i="2"/>
  <c r="BD251" i="2"/>
  <c r="BC251" i="2"/>
  <c r="BB251" i="2"/>
  <c r="BA251" i="2"/>
  <c r="AZ251" i="2"/>
  <c r="AY251" i="2"/>
  <c r="AX251" i="2"/>
  <c r="AW251" i="2"/>
  <c r="AV251" i="2"/>
  <c r="AU251" i="2"/>
  <c r="AT251" i="2"/>
  <c r="AS251" i="2"/>
  <c r="AR251" i="2"/>
  <c r="AQ251" i="2"/>
  <c r="AP251" i="2"/>
  <c r="AO251" i="2"/>
  <c r="AN251" i="2"/>
  <c r="AM251" i="2"/>
  <c r="AL251" i="2"/>
  <c r="AK251" i="2"/>
  <c r="AE251" i="2"/>
  <c r="AD251" i="2"/>
  <c r="AC251" i="2"/>
  <c r="AB251" i="2"/>
  <c r="AA251" i="2"/>
  <c r="Z251" i="2"/>
  <c r="Y251" i="2"/>
  <c r="X251" i="2"/>
  <c r="W251" i="2"/>
  <c r="V251" i="2"/>
  <c r="U251" i="2"/>
  <c r="T251" i="2"/>
  <c r="S251" i="2"/>
  <c r="R251" i="2"/>
  <c r="Q251" i="2"/>
  <c r="F251" i="2"/>
  <c r="E251" i="2"/>
  <c r="D251" i="2"/>
  <c r="CA250" i="2"/>
  <c r="BZ250" i="2"/>
  <c r="BY250" i="2"/>
  <c r="BX250" i="2"/>
  <c r="BW250" i="2"/>
  <c r="BV250" i="2"/>
  <c r="BU250" i="2"/>
  <c r="BT250" i="2"/>
  <c r="BS250" i="2"/>
  <c r="BR250" i="2"/>
  <c r="BQ250" i="2"/>
  <c r="BP250" i="2"/>
  <c r="BO250" i="2"/>
  <c r="BN250" i="2"/>
  <c r="BM250" i="2"/>
  <c r="BL250" i="2"/>
  <c r="BK250" i="2"/>
  <c r="BJ250" i="2"/>
  <c r="BI250" i="2"/>
  <c r="BH250" i="2"/>
  <c r="BG250" i="2"/>
  <c r="BF250" i="2"/>
  <c r="BE250" i="2"/>
  <c r="BD250" i="2"/>
  <c r="BC250" i="2"/>
  <c r="BB250" i="2"/>
  <c r="BA250" i="2"/>
  <c r="AZ250" i="2"/>
  <c r="AY250" i="2"/>
  <c r="AX250" i="2"/>
  <c r="AW250" i="2"/>
  <c r="AV250" i="2"/>
  <c r="AU250" i="2"/>
  <c r="AT250" i="2"/>
  <c r="AS250" i="2"/>
  <c r="AR250" i="2"/>
  <c r="AQ250" i="2"/>
  <c r="AP250" i="2"/>
  <c r="AO250" i="2"/>
  <c r="AN250" i="2"/>
  <c r="AM250" i="2"/>
  <c r="AL250" i="2"/>
  <c r="AK250" i="2"/>
  <c r="AE250" i="2"/>
  <c r="AD250" i="2"/>
  <c r="AC250" i="2"/>
  <c r="AB250" i="2"/>
  <c r="AA250" i="2"/>
  <c r="Z250" i="2"/>
  <c r="Y250" i="2"/>
  <c r="X250" i="2"/>
  <c r="W250" i="2"/>
  <c r="V250" i="2"/>
  <c r="U250" i="2"/>
  <c r="T250" i="2"/>
  <c r="S250" i="2"/>
  <c r="R250" i="2"/>
  <c r="Q250" i="2"/>
  <c r="F250" i="2"/>
  <c r="E250" i="2"/>
  <c r="D250" i="2"/>
  <c r="CA249" i="2"/>
  <c r="BZ249" i="2"/>
  <c r="BY249" i="2"/>
  <c r="BX249" i="2"/>
  <c r="BW249" i="2"/>
  <c r="BV249" i="2"/>
  <c r="BU249" i="2"/>
  <c r="BT249" i="2"/>
  <c r="BS249" i="2"/>
  <c r="BR249" i="2"/>
  <c r="BQ249" i="2"/>
  <c r="BP249" i="2"/>
  <c r="BO249" i="2"/>
  <c r="BN249" i="2"/>
  <c r="BM249" i="2"/>
  <c r="BL249" i="2"/>
  <c r="BK249" i="2"/>
  <c r="BJ249" i="2"/>
  <c r="BI249" i="2"/>
  <c r="BH249" i="2"/>
  <c r="BG249" i="2"/>
  <c r="BF249" i="2"/>
  <c r="BE249" i="2"/>
  <c r="BD249" i="2"/>
  <c r="BC249" i="2"/>
  <c r="BB249" i="2"/>
  <c r="BA249" i="2"/>
  <c r="AZ249" i="2"/>
  <c r="AY249" i="2"/>
  <c r="AX249" i="2"/>
  <c r="AW249" i="2"/>
  <c r="AV249" i="2"/>
  <c r="AU249" i="2"/>
  <c r="AT249" i="2"/>
  <c r="AS249" i="2"/>
  <c r="AR249" i="2"/>
  <c r="AQ249" i="2"/>
  <c r="AP249" i="2"/>
  <c r="AO249" i="2"/>
  <c r="AN249" i="2"/>
  <c r="AM249" i="2"/>
  <c r="AL249" i="2"/>
  <c r="AK249" i="2"/>
  <c r="AE249" i="2"/>
  <c r="AD249" i="2"/>
  <c r="AC249" i="2"/>
  <c r="AB249" i="2"/>
  <c r="AA249" i="2"/>
  <c r="Z249" i="2"/>
  <c r="Y249" i="2"/>
  <c r="X249" i="2"/>
  <c r="W249" i="2"/>
  <c r="V249" i="2"/>
  <c r="U249" i="2"/>
  <c r="T249" i="2"/>
  <c r="S249" i="2"/>
  <c r="R249" i="2"/>
  <c r="Q249" i="2"/>
  <c r="F249" i="2"/>
  <c r="E249" i="2"/>
  <c r="D249" i="2"/>
  <c r="CA248" i="2"/>
  <c r="BZ248" i="2"/>
  <c r="BY248" i="2"/>
  <c r="BX248" i="2"/>
  <c r="BW248" i="2"/>
  <c r="BV248" i="2"/>
  <c r="BU248" i="2"/>
  <c r="BT248" i="2"/>
  <c r="BS248" i="2"/>
  <c r="BR248" i="2"/>
  <c r="BQ248" i="2"/>
  <c r="BP248" i="2"/>
  <c r="BO248" i="2"/>
  <c r="BN248" i="2"/>
  <c r="BM248" i="2"/>
  <c r="BL248" i="2"/>
  <c r="BK248" i="2"/>
  <c r="BJ248" i="2"/>
  <c r="BI248" i="2"/>
  <c r="BH248" i="2"/>
  <c r="BG248" i="2"/>
  <c r="BF248" i="2"/>
  <c r="BE248" i="2"/>
  <c r="BD248" i="2"/>
  <c r="BC248" i="2"/>
  <c r="BB248" i="2"/>
  <c r="BA248" i="2"/>
  <c r="AZ248" i="2"/>
  <c r="AY248" i="2"/>
  <c r="AX248" i="2"/>
  <c r="AW248" i="2"/>
  <c r="AV248" i="2"/>
  <c r="AU248" i="2"/>
  <c r="AT248" i="2"/>
  <c r="AS248" i="2"/>
  <c r="AR248" i="2"/>
  <c r="AQ248" i="2"/>
  <c r="AP248" i="2"/>
  <c r="AO248" i="2"/>
  <c r="AN248" i="2"/>
  <c r="AM248" i="2"/>
  <c r="AL248" i="2"/>
  <c r="AK248" i="2"/>
  <c r="AE248" i="2"/>
  <c r="AD248" i="2"/>
  <c r="AC248" i="2"/>
  <c r="AB248" i="2"/>
  <c r="AA248" i="2"/>
  <c r="Z248" i="2"/>
  <c r="Y248" i="2"/>
  <c r="X248" i="2"/>
  <c r="W248" i="2"/>
  <c r="V248" i="2"/>
  <c r="U248" i="2"/>
  <c r="T248" i="2"/>
  <c r="S248" i="2"/>
  <c r="R248" i="2"/>
  <c r="Q248" i="2"/>
  <c r="F248" i="2"/>
  <c r="E248" i="2"/>
  <c r="D248" i="2"/>
  <c r="CA247" i="2"/>
  <c r="BZ247" i="2"/>
  <c r="BY247" i="2"/>
  <c r="BX247" i="2"/>
  <c r="BW247" i="2"/>
  <c r="BV247" i="2"/>
  <c r="BU247" i="2"/>
  <c r="BT247" i="2"/>
  <c r="BS247" i="2"/>
  <c r="BR247" i="2"/>
  <c r="BQ247" i="2"/>
  <c r="BP247" i="2"/>
  <c r="BO247" i="2"/>
  <c r="BN247" i="2"/>
  <c r="BM247" i="2"/>
  <c r="BL247" i="2"/>
  <c r="BK247" i="2"/>
  <c r="BJ247" i="2"/>
  <c r="BI247" i="2"/>
  <c r="BH247" i="2"/>
  <c r="BG247" i="2"/>
  <c r="BF247" i="2"/>
  <c r="BE247" i="2"/>
  <c r="BD247" i="2"/>
  <c r="BC247" i="2"/>
  <c r="BB247" i="2"/>
  <c r="BA247" i="2"/>
  <c r="AZ247" i="2"/>
  <c r="AY247" i="2"/>
  <c r="AX247" i="2"/>
  <c r="AW247" i="2"/>
  <c r="AV247" i="2"/>
  <c r="AU247" i="2"/>
  <c r="AT247" i="2"/>
  <c r="AS247" i="2"/>
  <c r="AR247" i="2"/>
  <c r="AQ247" i="2"/>
  <c r="AP247" i="2"/>
  <c r="AO247" i="2"/>
  <c r="AN247" i="2"/>
  <c r="AM247" i="2"/>
  <c r="AL247" i="2"/>
  <c r="AK247" i="2"/>
  <c r="AE247" i="2"/>
  <c r="AD247" i="2"/>
  <c r="AC247" i="2"/>
  <c r="AB247" i="2"/>
  <c r="AA247" i="2"/>
  <c r="Z247" i="2"/>
  <c r="Y247" i="2"/>
  <c r="X247" i="2"/>
  <c r="W247" i="2"/>
  <c r="V247" i="2"/>
  <c r="U247" i="2"/>
  <c r="T247" i="2"/>
  <c r="S247" i="2"/>
  <c r="R247" i="2"/>
  <c r="Q247" i="2"/>
  <c r="F247" i="2"/>
  <c r="E247" i="2"/>
  <c r="D247" i="2"/>
  <c r="CA246" i="2"/>
  <c r="BZ246" i="2"/>
  <c r="BY246" i="2"/>
  <c r="BX246" i="2"/>
  <c r="BW246" i="2"/>
  <c r="BV246" i="2"/>
  <c r="BU246" i="2"/>
  <c r="BT246" i="2"/>
  <c r="BS246" i="2"/>
  <c r="BR246" i="2"/>
  <c r="BQ246" i="2"/>
  <c r="BP246" i="2"/>
  <c r="BO246" i="2"/>
  <c r="BN246" i="2"/>
  <c r="BM246" i="2"/>
  <c r="BL246" i="2"/>
  <c r="BK246" i="2"/>
  <c r="BJ246" i="2"/>
  <c r="BI246" i="2"/>
  <c r="BH246" i="2"/>
  <c r="BG246" i="2"/>
  <c r="BF246" i="2"/>
  <c r="BE246" i="2"/>
  <c r="BD246" i="2"/>
  <c r="BC246" i="2"/>
  <c r="BB246" i="2"/>
  <c r="BA246" i="2"/>
  <c r="AZ246" i="2"/>
  <c r="AY246" i="2"/>
  <c r="AX246" i="2"/>
  <c r="AW246" i="2"/>
  <c r="AV246" i="2"/>
  <c r="AU246" i="2"/>
  <c r="AT246" i="2"/>
  <c r="AS246" i="2"/>
  <c r="AR246" i="2"/>
  <c r="AQ246" i="2"/>
  <c r="AP246" i="2"/>
  <c r="AO246" i="2"/>
  <c r="AN246" i="2"/>
  <c r="AM246" i="2"/>
  <c r="AL246" i="2"/>
  <c r="AK246" i="2"/>
  <c r="AE246" i="2"/>
  <c r="AD246" i="2"/>
  <c r="AC246" i="2"/>
  <c r="AB246" i="2"/>
  <c r="AA246" i="2"/>
  <c r="Z246" i="2"/>
  <c r="Y246" i="2"/>
  <c r="X246" i="2"/>
  <c r="W246" i="2"/>
  <c r="V246" i="2"/>
  <c r="U246" i="2"/>
  <c r="T246" i="2"/>
  <c r="S246" i="2"/>
  <c r="R246" i="2"/>
  <c r="Q246" i="2"/>
  <c r="F246" i="2"/>
  <c r="E246" i="2"/>
  <c r="D246" i="2"/>
  <c r="CA245" i="2"/>
  <c r="BZ245" i="2"/>
  <c r="BY245" i="2"/>
  <c r="BX245" i="2"/>
  <c r="BW245" i="2"/>
  <c r="BV245" i="2"/>
  <c r="BU245" i="2"/>
  <c r="BT245" i="2"/>
  <c r="BS245" i="2"/>
  <c r="BR245" i="2"/>
  <c r="BQ245" i="2"/>
  <c r="BP245" i="2"/>
  <c r="BO245" i="2"/>
  <c r="BN245" i="2"/>
  <c r="BM245" i="2"/>
  <c r="BL245" i="2"/>
  <c r="BK245" i="2"/>
  <c r="BJ245" i="2"/>
  <c r="BI245" i="2"/>
  <c r="BH245" i="2"/>
  <c r="BG245" i="2"/>
  <c r="BF245" i="2"/>
  <c r="BE245" i="2"/>
  <c r="BD245" i="2"/>
  <c r="BC245" i="2"/>
  <c r="BB245" i="2"/>
  <c r="BA245" i="2"/>
  <c r="AZ245" i="2"/>
  <c r="AY245" i="2"/>
  <c r="AX245" i="2"/>
  <c r="AW245" i="2"/>
  <c r="AV245" i="2"/>
  <c r="AU245" i="2"/>
  <c r="AT245" i="2"/>
  <c r="AS245" i="2"/>
  <c r="AR245" i="2"/>
  <c r="AQ245" i="2"/>
  <c r="AP245" i="2"/>
  <c r="AO245" i="2"/>
  <c r="AN245" i="2"/>
  <c r="AM245" i="2"/>
  <c r="AL245" i="2"/>
  <c r="AK245" i="2"/>
  <c r="AE245" i="2"/>
  <c r="AD245" i="2"/>
  <c r="AC245" i="2"/>
  <c r="AB245" i="2"/>
  <c r="AA245" i="2"/>
  <c r="Z245" i="2"/>
  <c r="Y245" i="2"/>
  <c r="X245" i="2"/>
  <c r="W245" i="2"/>
  <c r="V245" i="2"/>
  <c r="U245" i="2"/>
  <c r="T245" i="2"/>
  <c r="S245" i="2"/>
  <c r="R245" i="2"/>
  <c r="Q245" i="2"/>
  <c r="F245" i="2"/>
  <c r="E245" i="2"/>
  <c r="D245" i="2"/>
  <c r="CA244" i="2"/>
  <c r="BZ244" i="2"/>
  <c r="BY244" i="2"/>
  <c r="BX244" i="2"/>
  <c r="BW244" i="2"/>
  <c r="BV244" i="2"/>
  <c r="BU244" i="2"/>
  <c r="BT244" i="2"/>
  <c r="BS244" i="2"/>
  <c r="BR244" i="2"/>
  <c r="BQ244" i="2"/>
  <c r="BP244" i="2"/>
  <c r="BO244" i="2"/>
  <c r="BN244" i="2"/>
  <c r="BM244" i="2"/>
  <c r="BL244" i="2"/>
  <c r="BK244" i="2"/>
  <c r="BJ244" i="2"/>
  <c r="BI244" i="2"/>
  <c r="BH244" i="2"/>
  <c r="BG244" i="2"/>
  <c r="BF244" i="2"/>
  <c r="BE244" i="2"/>
  <c r="BD244" i="2"/>
  <c r="BC244" i="2"/>
  <c r="BB244" i="2"/>
  <c r="BA244" i="2"/>
  <c r="AZ244" i="2"/>
  <c r="AY244" i="2"/>
  <c r="AX244" i="2"/>
  <c r="AW244" i="2"/>
  <c r="AV244" i="2"/>
  <c r="AU244" i="2"/>
  <c r="AT244" i="2"/>
  <c r="AS244" i="2"/>
  <c r="AR244" i="2"/>
  <c r="AQ244" i="2"/>
  <c r="AP244" i="2"/>
  <c r="AO244" i="2"/>
  <c r="AN244" i="2"/>
  <c r="AM244" i="2"/>
  <c r="AL244" i="2"/>
  <c r="AK244" i="2"/>
  <c r="AE244" i="2"/>
  <c r="AD244" i="2"/>
  <c r="AC244" i="2"/>
  <c r="AB244" i="2"/>
  <c r="AA244" i="2"/>
  <c r="Z244" i="2"/>
  <c r="Y244" i="2"/>
  <c r="X244" i="2"/>
  <c r="W244" i="2"/>
  <c r="V244" i="2"/>
  <c r="U244" i="2"/>
  <c r="T244" i="2"/>
  <c r="S244" i="2"/>
  <c r="R244" i="2"/>
  <c r="Q244" i="2"/>
  <c r="F244" i="2"/>
  <c r="E244" i="2"/>
  <c r="D244" i="2"/>
  <c r="CA243" i="2"/>
  <c r="BZ243" i="2"/>
  <c r="BY243" i="2"/>
  <c r="BX243" i="2"/>
  <c r="BW243" i="2"/>
  <c r="BV243" i="2"/>
  <c r="BU243" i="2"/>
  <c r="BT243" i="2"/>
  <c r="BS243" i="2"/>
  <c r="BR243" i="2"/>
  <c r="BQ243" i="2"/>
  <c r="BP243" i="2"/>
  <c r="BO243" i="2"/>
  <c r="BN243" i="2"/>
  <c r="BM243" i="2"/>
  <c r="BL243" i="2"/>
  <c r="BK243" i="2"/>
  <c r="BJ243" i="2"/>
  <c r="BI243" i="2"/>
  <c r="BH243" i="2"/>
  <c r="BG243" i="2"/>
  <c r="BF243" i="2"/>
  <c r="BE243" i="2"/>
  <c r="BD243" i="2"/>
  <c r="BC243" i="2"/>
  <c r="BB243" i="2"/>
  <c r="BA243" i="2"/>
  <c r="AZ243" i="2"/>
  <c r="AY243" i="2"/>
  <c r="AX243" i="2"/>
  <c r="AW243" i="2"/>
  <c r="AV243" i="2"/>
  <c r="AU243" i="2"/>
  <c r="AT243" i="2"/>
  <c r="AS243" i="2"/>
  <c r="AR243" i="2"/>
  <c r="AQ243" i="2"/>
  <c r="AP243" i="2"/>
  <c r="AO243" i="2"/>
  <c r="AN243" i="2"/>
  <c r="AM243" i="2"/>
  <c r="AL243" i="2"/>
  <c r="AK243" i="2"/>
  <c r="AE243" i="2"/>
  <c r="AD243" i="2"/>
  <c r="AC243" i="2"/>
  <c r="AB243" i="2"/>
  <c r="AA243" i="2"/>
  <c r="Z243" i="2"/>
  <c r="Y243" i="2"/>
  <c r="X243" i="2"/>
  <c r="W243" i="2"/>
  <c r="V243" i="2"/>
  <c r="U243" i="2"/>
  <c r="T243" i="2"/>
  <c r="S243" i="2"/>
  <c r="R243" i="2"/>
  <c r="Q243" i="2"/>
  <c r="F243" i="2"/>
  <c r="E243" i="2"/>
  <c r="D243" i="2"/>
  <c r="CA242" i="2"/>
  <c r="BZ242" i="2"/>
  <c r="BY242" i="2"/>
  <c r="BX242" i="2"/>
  <c r="BW242" i="2"/>
  <c r="BV242" i="2"/>
  <c r="BU242" i="2"/>
  <c r="BT242" i="2"/>
  <c r="BS242" i="2"/>
  <c r="BR242" i="2"/>
  <c r="BQ242" i="2"/>
  <c r="BP242" i="2"/>
  <c r="BO242" i="2"/>
  <c r="BN242" i="2"/>
  <c r="BM242" i="2"/>
  <c r="BL242" i="2"/>
  <c r="BK242" i="2"/>
  <c r="BJ242" i="2"/>
  <c r="BI242" i="2"/>
  <c r="BH242" i="2"/>
  <c r="BG242" i="2"/>
  <c r="BF242" i="2"/>
  <c r="BE242" i="2"/>
  <c r="BD242" i="2"/>
  <c r="BC242" i="2"/>
  <c r="BB242" i="2"/>
  <c r="BA242" i="2"/>
  <c r="AZ242" i="2"/>
  <c r="AY242" i="2"/>
  <c r="AX242" i="2"/>
  <c r="AW242" i="2"/>
  <c r="AV242" i="2"/>
  <c r="AU242" i="2"/>
  <c r="AT242" i="2"/>
  <c r="AS242" i="2"/>
  <c r="AR242" i="2"/>
  <c r="AQ242" i="2"/>
  <c r="AP242" i="2"/>
  <c r="AO242" i="2"/>
  <c r="AN242" i="2"/>
  <c r="AM242" i="2"/>
  <c r="AL242" i="2"/>
  <c r="AK242" i="2"/>
  <c r="AE242" i="2"/>
  <c r="AD242" i="2"/>
  <c r="AC242" i="2"/>
  <c r="AB242" i="2"/>
  <c r="AA242" i="2"/>
  <c r="Z242" i="2"/>
  <c r="Y242" i="2"/>
  <c r="X242" i="2"/>
  <c r="W242" i="2"/>
  <c r="V242" i="2"/>
  <c r="U242" i="2"/>
  <c r="T242" i="2"/>
  <c r="S242" i="2"/>
  <c r="R242" i="2"/>
  <c r="Q242" i="2"/>
  <c r="F242" i="2"/>
  <c r="E242" i="2"/>
  <c r="D242" i="2"/>
  <c r="CA241" i="2"/>
  <c r="BZ241" i="2"/>
  <c r="BY241" i="2"/>
  <c r="BX241" i="2"/>
  <c r="BW241" i="2"/>
  <c r="BV241" i="2"/>
  <c r="BU241" i="2"/>
  <c r="BT241" i="2"/>
  <c r="BS241" i="2"/>
  <c r="BR241" i="2"/>
  <c r="BQ241" i="2"/>
  <c r="BP241" i="2"/>
  <c r="BO241" i="2"/>
  <c r="BN241" i="2"/>
  <c r="BM241" i="2"/>
  <c r="BL241" i="2"/>
  <c r="BK241" i="2"/>
  <c r="BJ241" i="2"/>
  <c r="BI241" i="2"/>
  <c r="BH241" i="2"/>
  <c r="BG241" i="2"/>
  <c r="BF241" i="2"/>
  <c r="BE241" i="2"/>
  <c r="BD241" i="2"/>
  <c r="BC241" i="2"/>
  <c r="BB241" i="2"/>
  <c r="BA241" i="2"/>
  <c r="AZ241" i="2"/>
  <c r="AY241" i="2"/>
  <c r="AX241" i="2"/>
  <c r="AW241" i="2"/>
  <c r="AV241" i="2"/>
  <c r="AU241" i="2"/>
  <c r="AT241" i="2"/>
  <c r="AS241" i="2"/>
  <c r="AR241" i="2"/>
  <c r="AQ241" i="2"/>
  <c r="AP241" i="2"/>
  <c r="AO241" i="2"/>
  <c r="AN241" i="2"/>
  <c r="AM241" i="2"/>
  <c r="AL241" i="2"/>
  <c r="AK241" i="2"/>
  <c r="AE241" i="2"/>
  <c r="AD241" i="2"/>
  <c r="AC241" i="2"/>
  <c r="AB241" i="2"/>
  <c r="AA241" i="2"/>
  <c r="Z241" i="2"/>
  <c r="Y241" i="2"/>
  <c r="X241" i="2"/>
  <c r="W241" i="2"/>
  <c r="V241" i="2"/>
  <c r="U241" i="2"/>
  <c r="T241" i="2"/>
  <c r="S241" i="2"/>
  <c r="R241" i="2"/>
  <c r="Q241" i="2"/>
  <c r="F241" i="2"/>
  <c r="E241" i="2"/>
  <c r="D241" i="2"/>
  <c r="CA240" i="2"/>
  <c r="BZ240" i="2"/>
  <c r="BY240" i="2"/>
  <c r="BX240" i="2"/>
  <c r="BW240" i="2"/>
  <c r="BV240" i="2"/>
  <c r="BU240" i="2"/>
  <c r="BT240" i="2"/>
  <c r="BS240" i="2"/>
  <c r="BR240" i="2"/>
  <c r="BQ240" i="2"/>
  <c r="BP240" i="2"/>
  <c r="BO240" i="2"/>
  <c r="BN240" i="2"/>
  <c r="BM240" i="2"/>
  <c r="BL240" i="2"/>
  <c r="BK240" i="2"/>
  <c r="BJ240" i="2"/>
  <c r="BI240" i="2"/>
  <c r="BH240" i="2"/>
  <c r="BG240" i="2"/>
  <c r="BF240" i="2"/>
  <c r="BE240" i="2"/>
  <c r="BD240" i="2"/>
  <c r="BC240" i="2"/>
  <c r="BB240" i="2"/>
  <c r="BA240" i="2"/>
  <c r="AZ240" i="2"/>
  <c r="AY240" i="2"/>
  <c r="AX240" i="2"/>
  <c r="AW240" i="2"/>
  <c r="AV240" i="2"/>
  <c r="AU240" i="2"/>
  <c r="AT240" i="2"/>
  <c r="AS240" i="2"/>
  <c r="AR240" i="2"/>
  <c r="AQ240" i="2"/>
  <c r="AP240" i="2"/>
  <c r="AO240" i="2"/>
  <c r="AN240" i="2"/>
  <c r="AM240" i="2"/>
  <c r="AL240" i="2"/>
  <c r="AK240" i="2"/>
  <c r="AE240" i="2"/>
  <c r="AD240" i="2"/>
  <c r="AC240" i="2"/>
  <c r="AB240" i="2"/>
  <c r="AA240" i="2"/>
  <c r="Z240" i="2"/>
  <c r="Y240" i="2"/>
  <c r="X240" i="2"/>
  <c r="W240" i="2"/>
  <c r="V240" i="2"/>
  <c r="U240" i="2"/>
  <c r="T240" i="2"/>
  <c r="S240" i="2"/>
  <c r="R240" i="2"/>
  <c r="Q240" i="2"/>
  <c r="F240" i="2"/>
  <c r="E240" i="2"/>
  <c r="D240" i="2"/>
  <c r="CA239" i="2"/>
  <c r="BZ239" i="2"/>
  <c r="BY239" i="2"/>
  <c r="BX239" i="2"/>
  <c r="BW239" i="2"/>
  <c r="BV239" i="2"/>
  <c r="BU239" i="2"/>
  <c r="BT239" i="2"/>
  <c r="BS239" i="2"/>
  <c r="BR239" i="2"/>
  <c r="BQ239" i="2"/>
  <c r="BP239" i="2"/>
  <c r="BO239" i="2"/>
  <c r="BN239" i="2"/>
  <c r="BM239" i="2"/>
  <c r="BL239" i="2"/>
  <c r="BK239" i="2"/>
  <c r="BJ239" i="2"/>
  <c r="BI239" i="2"/>
  <c r="BH239" i="2"/>
  <c r="BG239" i="2"/>
  <c r="BF239" i="2"/>
  <c r="BE239" i="2"/>
  <c r="BD239" i="2"/>
  <c r="BC239" i="2"/>
  <c r="BB239" i="2"/>
  <c r="BA239" i="2"/>
  <c r="AZ239" i="2"/>
  <c r="AY239" i="2"/>
  <c r="AX239" i="2"/>
  <c r="AW239" i="2"/>
  <c r="AV239" i="2"/>
  <c r="AU239" i="2"/>
  <c r="AT239" i="2"/>
  <c r="AS239" i="2"/>
  <c r="AR239" i="2"/>
  <c r="AQ239" i="2"/>
  <c r="AP239" i="2"/>
  <c r="AO239" i="2"/>
  <c r="AN239" i="2"/>
  <c r="AM239" i="2"/>
  <c r="AL239" i="2"/>
  <c r="AK239" i="2"/>
  <c r="AE239" i="2"/>
  <c r="AD239" i="2"/>
  <c r="AC239" i="2"/>
  <c r="AB239" i="2"/>
  <c r="AA239" i="2"/>
  <c r="Z239" i="2"/>
  <c r="Y239" i="2"/>
  <c r="X239" i="2"/>
  <c r="W239" i="2"/>
  <c r="V239" i="2"/>
  <c r="U239" i="2"/>
  <c r="T239" i="2"/>
  <c r="S239" i="2"/>
  <c r="R239" i="2"/>
  <c r="Q239" i="2"/>
  <c r="F239" i="2"/>
  <c r="E239" i="2"/>
  <c r="D239" i="2"/>
  <c r="CA238" i="2"/>
  <c r="BZ238" i="2"/>
  <c r="BY238" i="2"/>
  <c r="BX238" i="2"/>
  <c r="BW238" i="2"/>
  <c r="BV238" i="2"/>
  <c r="BU238" i="2"/>
  <c r="BT238" i="2"/>
  <c r="BS238" i="2"/>
  <c r="BR238" i="2"/>
  <c r="BQ238" i="2"/>
  <c r="BP238" i="2"/>
  <c r="BO238" i="2"/>
  <c r="BN238" i="2"/>
  <c r="BM238" i="2"/>
  <c r="BL238" i="2"/>
  <c r="BK238" i="2"/>
  <c r="BJ238" i="2"/>
  <c r="BI238" i="2"/>
  <c r="BH238" i="2"/>
  <c r="BG238" i="2"/>
  <c r="BF238" i="2"/>
  <c r="BE238" i="2"/>
  <c r="BD238" i="2"/>
  <c r="BC238" i="2"/>
  <c r="BB238" i="2"/>
  <c r="BA238" i="2"/>
  <c r="AZ238" i="2"/>
  <c r="AY238" i="2"/>
  <c r="AX238" i="2"/>
  <c r="AW238" i="2"/>
  <c r="AV238" i="2"/>
  <c r="AU238" i="2"/>
  <c r="AT238" i="2"/>
  <c r="AS238" i="2"/>
  <c r="AR238" i="2"/>
  <c r="AQ238" i="2"/>
  <c r="AP238" i="2"/>
  <c r="AO238" i="2"/>
  <c r="AN238" i="2"/>
  <c r="AM238" i="2"/>
  <c r="AL238" i="2"/>
  <c r="AK238" i="2"/>
  <c r="AE238" i="2"/>
  <c r="AD238" i="2"/>
  <c r="AC238" i="2"/>
  <c r="AB238" i="2"/>
  <c r="AA238" i="2"/>
  <c r="Z238" i="2"/>
  <c r="Y238" i="2"/>
  <c r="X238" i="2"/>
  <c r="W238" i="2"/>
  <c r="V238" i="2"/>
  <c r="U238" i="2"/>
  <c r="T238" i="2"/>
  <c r="S238" i="2"/>
  <c r="R238" i="2"/>
  <c r="Q238" i="2"/>
  <c r="F238" i="2"/>
  <c r="E238" i="2"/>
  <c r="D238" i="2"/>
  <c r="CA237" i="2"/>
  <c r="BZ237" i="2"/>
  <c r="BY237" i="2"/>
  <c r="BX237" i="2"/>
  <c r="BW237" i="2"/>
  <c r="BV237" i="2"/>
  <c r="BU237" i="2"/>
  <c r="BT237" i="2"/>
  <c r="BS237" i="2"/>
  <c r="BR237" i="2"/>
  <c r="BQ237" i="2"/>
  <c r="BP237" i="2"/>
  <c r="BO237" i="2"/>
  <c r="BN237" i="2"/>
  <c r="BM237" i="2"/>
  <c r="BL237" i="2"/>
  <c r="BK237" i="2"/>
  <c r="BJ237" i="2"/>
  <c r="BI237" i="2"/>
  <c r="BH237" i="2"/>
  <c r="BG237" i="2"/>
  <c r="BF237" i="2"/>
  <c r="BE237" i="2"/>
  <c r="BD237" i="2"/>
  <c r="BC237" i="2"/>
  <c r="BB237" i="2"/>
  <c r="BA237" i="2"/>
  <c r="AZ237" i="2"/>
  <c r="AY237" i="2"/>
  <c r="AX237" i="2"/>
  <c r="AW237" i="2"/>
  <c r="AV237" i="2"/>
  <c r="AU237" i="2"/>
  <c r="AT237" i="2"/>
  <c r="AS237" i="2"/>
  <c r="AR237" i="2"/>
  <c r="AQ237" i="2"/>
  <c r="AP237" i="2"/>
  <c r="AO237" i="2"/>
  <c r="AN237" i="2"/>
  <c r="AM237" i="2"/>
  <c r="AL237" i="2"/>
  <c r="AK237" i="2"/>
  <c r="AE237" i="2"/>
  <c r="AD237" i="2"/>
  <c r="AC237" i="2"/>
  <c r="AB237" i="2"/>
  <c r="AA237" i="2"/>
  <c r="Z237" i="2"/>
  <c r="Y237" i="2"/>
  <c r="X237" i="2"/>
  <c r="W237" i="2"/>
  <c r="V237" i="2"/>
  <c r="U237" i="2"/>
  <c r="T237" i="2"/>
  <c r="S237" i="2"/>
  <c r="R237" i="2"/>
  <c r="Q237" i="2"/>
  <c r="F237" i="2"/>
  <c r="E237" i="2"/>
  <c r="D237" i="2"/>
  <c r="CA236" i="2"/>
  <c r="BZ236" i="2"/>
  <c r="BY236" i="2"/>
  <c r="BX236" i="2"/>
  <c r="BW236" i="2"/>
  <c r="BV236" i="2"/>
  <c r="BU236" i="2"/>
  <c r="BT236" i="2"/>
  <c r="BS236" i="2"/>
  <c r="BR236" i="2"/>
  <c r="BQ236" i="2"/>
  <c r="BP236" i="2"/>
  <c r="BO236" i="2"/>
  <c r="BN236" i="2"/>
  <c r="BM236" i="2"/>
  <c r="BL236" i="2"/>
  <c r="BK236" i="2"/>
  <c r="BJ236" i="2"/>
  <c r="BI236" i="2"/>
  <c r="BH236" i="2"/>
  <c r="BG236" i="2"/>
  <c r="BF236" i="2"/>
  <c r="BE236" i="2"/>
  <c r="BD236" i="2"/>
  <c r="BC236" i="2"/>
  <c r="BB236" i="2"/>
  <c r="BA236" i="2"/>
  <c r="AZ236" i="2"/>
  <c r="AY236" i="2"/>
  <c r="AX236" i="2"/>
  <c r="AW236" i="2"/>
  <c r="AV236" i="2"/>
  <c r="AU236" i="2"/>
  <c r="AT236" i="2"/>
  <c r="AS236" i="2"/>
  <c r="AR236" i="2"/>
  <c r="AQ236" i="2"/>
  <c r="AP236" i="2"/>
  <c r="AO236" i="2"/>
  <c r="AN236" i="2"/>
  <c r="AM236" i="2"/>
  <c r="AL236" i="2"/>
  <c r="AK236" i="2"/>
  <c r="AE236" i="2"/>
  <c r="AD236" i="2"/>
  <c r="AC236" i="2"/>
  <c r="AB236" i="2"/>
  <c r="AA236" i="2"/>
  <c r="Z236" i="2"/>
  <c r="Y236" i="2"/>
  <c r="X236" i="2"/>
  <c r="W236" i="2"/>
  <c r="V236" i="2"/>
  <c r="U236" i="2"/>
  <c r="T236" i="2"/>
  <c r="S236" i="2"/>
  <c r="R236" i="2"/>
  <c r="Q236" i="2"/>
  <c r="F236" i="2"/>
  <c r="E236" i="2"/>
  <c r="D236" i="2"/>
  <c r="CA235" i="2"/>
  <c r="BZ235" i="2"/>
  <c r="BY235" i="2"/>
  <c r="BX235" i="2"/>
  <c r="BW235" i="2"/>
  <c r="BV235" i="2"/>
  <c r="BU235" i="2"/>
  <c r="BT235" i="2"/>
  <c r="BS235" i="2"/>
  <c r="BR235" i="2"/>
  <c r="BQ235" i="2"/>
  <c r="BP235" i="2"/>
  <c r="BO235" i="2"/>
  <c r="BN235" i="2"/>
  <c r="BM235" i="2"/>
  <c r="BL235" i="2"/>
  <c r="BK235" i="2"/>
  <c r="BJ235" i="2"/>
  <c r="BI235" i="2"/>
  <c r="BH235" i="2"/>
  <c r="BG235" i="2"/>
  <c r="BF235" i="2"/>
  <c r="BE235" i="2"/>
  <c r="BD235" i="2"/>
  <c r="BC235" i="2"/>
  <c r="BB235" i="2"/>
  <c r="BA235" i="2"/>
  <c r="AZ235" i="2"/>
  <c r="AY235" i="2"/>
  <c r="AX235" i="2"/>
  <c r="AW235" i="2"/>
  <c r="AV235" i="2"/>
  <c r="AU235" i="2"/>
  <c r="AT235" i="2"/>
  <c r="AS235" i="2"/>
  <c r="AR235" i="2"/>
  <c r="AQ235" i="2"/>
  <c r="AP235" i="2"/>
  <c r="AO235" i="2"/>
  <c r="AN235" i="2"/>
  <c r="AM235" i="2"/>
  <c r="AL235" i="2"/>
  <c r="AK235" i="2"/>
  <c r="AE235" i="2"/>
  <c r="AD235" i="2"/>
  <c r="AC235" i="2"/>
  <c r="AB235" i="2"/>
  <c r="AA235" i="2"/>
  <c r="Z235" i="2"/>
  <c r="Y235" i="2"/>
  <c r="X235" i="2"/>
  <c r="W235" i="2"/>
  <c r="V235" i="2"/>
  <c r="U235" i="2"/>
  <c r="T235" i="2"/>
  <c r="S235" i="2"/>
  <c r="R235" i="2"/>
  <c r="Q235" i="2"/>
  <c r="F235" i="2"/>
  <c r="E235" i="2"/>
  <c r="D235" i="2"/>
  <c r="CA234" i="2"/>
  <c r="BZ234" i="2"/>
  <c r="BY234" i="2"/>
  <c r="BX234" i="2"/>
  <c r="BW234" i="2"/>
  <c r="BV234" i="2"/>
  <c r="BU234" i="2"/>
  <c r="BT234" i="2"/>
  <c r="BS234" i="2"/>
  <c r="BR234" i="2"/>
  <c r="BQ234" i="2"/>
  <c r="BP234" i="2"/>
  <c r="BO234" i="2"/>
  <c r="BN234" i="2"/>
  <c r="BM234" i="2"/>
  <c r="BL234" i="2"/>
  <c r="BK234" i="2"/>
  <c r="BJ234" i="2"/>
  <c r="BI234" i="2"/>
  <c r="BH234" i="2"/>
  <c r="BG234" i="2"/>
  <c r="BF234" i="2"/>
  <c r="BE234" i="2"/>
  <c r="BD234" i="2"/>
  <c r="BC234" i="2"/>
  <c r="BB234" i="2"/>
  <c r="BA234" i="2"/>
  <c r="AZ234" i="2"/>
  <c r="AY234" i="2"/>
  <c r="AX234" i="2"/>
  <c r="AW234" i="2"/>
  <c r="AV234" i="2"/>
  <c r="AU234" i="2"/>
  <c r="AT234" i="2"/>
  <c r="AS234" i="2"/>
  <c r="AR234" i="2"/>
  <c r="AQ234" i="2"/>
  <c r="AP234" i="2"/>
  <c r="AO234" i="2"/>
  <c r="AN234" i="2"/>
  <c r="AM234" i="2"/>
  <c r="AL234" i="2"/>
  <c r="AK234" i="2"/>
  <c r="AE234" i="2"/>
  <c r="AD234" i="2"/>
  <c r="AC234" i="2"/>
  <c r="AB234" i="2"/>
  <c r="AA234" i="2"/>
  <c r="Z234" i="2"/>
  <c r="Y234" i="2"/>
  <c r="X234" i="2"/>
  <c r="W234" i="2"/>
  <c r="V234" i="2"/>
  <c r="U234" i="2"/>
  <c r="T234" i="2"/>
  <c r="S234" i="2"/>
  <c r="R234" i="2"/>
  <c r="Q234" i="2"/>
  <c r="F234" i="2"/>
  <c r="E234" i="2"/>
  <c r="D234" i="2"/>
  <c r="CA233" i="2"/>
  <c r="BZ233" i="2"/>
  <c r="BY233" i="2"/>
  <c r="BX233" i="2"/>
  <c r="BW233" i="2"/>
  <c r="BV233" i="2"/>
  <c r="BU233" i="2"/>
  <c r="BT233" i="2"/>
  <c r="BS233" i="2"/>
  <c r="BR233" i="2"/>
  <c r="BQ233" i="2"/>
  <c r="BP233" i="2"/>
  <c r="BO233" i="2"/>
  <c r="BN233" i="2"/>
  <c r="BM233" i="2"/>
  <c r="BL233" i="2"/>
  <c r="BK233" i="2"/>
  <c r="BJ233" i="2"/>
  <c r="BI233" i="2"/>
  <c r="BH233" i="2"/>
  <c r="BG233" i="2"/>
  <c r="BF233" i="2"/>
  <c r="BE233" i="2"/>
  <c r="BD233" i="2"/>
  <c r="BC233" i="2"/>
  <c r="BB233" i="2"/>
  <c r="BA233" i="2"/>
  <c r="AZ233" i="2"/>
  <c r="AY233" i="2"/>
  <c r="AX233" i="2"/>
  <c r="AW233" i="2"/>
  <c r="AV233" i="2"/>
  <c r="AU233" i="2"/>
  <c r="AT233" i="2"/>
  <c r="AS233" i="2"/>
  <c r="AR233" i="2"/>
  <c r="AQ233" i="2"/>
  <c r="AP233" i="2"/>
  <c r="AO233" i="2"/>
  <c r="AN233" i="2"/>
  <c r="AM233" i="2"/>
  <c r="AL233" i="2"/>
  <c r="AK233" i="2"/>
  <c r="AE233" i="2"/>
  <c r="AD233" i="2"/>
  <c r="AC233" i="2"/>
  <c r="AB233" i="2"/>
  <c r="AA233" i="2"/>
  <c r="Z233" i="2"/>
  <c r="Y233" i="2"/>
  <c r="X233" i="2"/>
  <c r="W233" i="2"/>
  <c r="V233" i="2"/>
  <c r="U233" i="2"/>
  <c r="T233" i="2"/>
  <c r="S233" i="2"/>
  <c r="R233" i="2"/>
  <c r="Q233" i="2"/>
  <c r="F233" i="2"/>
  <c r="E233" i="2"/>
  <c r="D233" i="2"/>
  <c r="CA232" i="2"/>
  <c r="BZ232" i="2"/>
  <c r="BY232" i="2"/>
  <c r="BX232" i="2"/>
  <c r="BW232" i="2"/>
  <c r="BV232" i="2"/>
  <c r="BU232" i="2"/>
  <c r="BT232" i="2"/>
  <c r="BS232" i="2"/>
  <c r="BR232" i="2"/>
  <c r="BQ232" i="2"/>
  <c r="BP232" i="2"/>
  <c r="BO232" i="2"/>
  <c r="BN232" i="2"/>
  <c r="BM232" i="2"/>
  <c r="BL232" i="2"/>
  <c r="BK232" i="2"/>
  <c r="BJ232" i="2"/>
  <c r="BI232" i="2"/>
  <c r="BH232" i="2"/>
  <c r="BG232" i="2"/>
  <c r="BF232" i="2"/>
  <c r="BE232" i="2"/>
  <c r="BD232" i="2"/>
  <c r="BC232" i="2"/>
  <c r="BB232" i="2"/>
  <c r="BA232" i="2"/>
  <c r="AZ232" i="2"/>
  <c r="AY232" i="2"/>
  <c r="AX232" i="2"/>
  <c r="AW232" i="2"/>
  <c r="AV232" i="2"/>
  <c r="AU232" i="2"/>
  <c r="AT232" i="2"/>
  <c r="AS232" i="2"/>
  <c r="AR232" i="2"/>
  <c r="AQ232" i="2"/>
  <c r="AP232" i="2"/>
  <c r="AO232" i="2"/>
  <c r="AN232" i="2"/>
  <c r="AM232" i="2"/>
  <c r="AL232" i="2"/>
  <c r="AK232" i="2"/>
  <c r="AE232" i="2"/>
  <c r="AD232" i="2"/>
  <c r="AC232" i="2"/>
  <c r="AB232" i="2"/>
  <c r="AA232" i="2"/>
  <c r="Z232" i="2"/>
  <c r="Y232" i="2"/>
  <c r="X232" i="2"/>
  <c r="W232" i="2"/>
  <c r="V232" i="2"/>
  <c r="U232" i="2"/>
  <c r="T232" i="2"/>
  <c r="S232" i="2"/>
  <c r="R232" i="2"/>
  <c r="Q232" i="2"/>
  <c r="F232" i="2"/>
  <c r="E232" i="2"/>
  <c r="D232" i="2"/>
  <c r="CA231" i="2"/>
  <c r="BZ231" i="2"/>
  <c r="BY231" i="2"/>
  <c r="BX231" i="2"/>
  <c r="BW231" i="2"/>
  <c r="BV231" i="2"/>
  <c r="BU231" i="2"/>
  <c r="BT231" i="2"/>
  <c r="BS231" i="2"/>
  <c r="BR231" i="2"/>
  <c r="BQ231" i="2"/>
  <c r="BP231" i="2"/>
  <c r="BO231" i="2"/>
  <c r="BN231" i="2"/>
  <c r="BM231" i="2"/>
  <c r="BL231" i="2"/>
  <c r="BK231" i="2"/>
  <c r="BJ231" i="2"/>
  <c r="BI231" i="2"/>
  <c r="BH231" i="2"/>
  <c r="BG231" i="2"/>
  <c r="BF231" i="2"/>
  <c r="BE231" i="2"/>
  <c r="BD231" i="2"/>
  <c r="BC231" i="2"/>
  <c r="BB231" i="2"/>
  <c r="BA231" i="2"/>
  <c r="AZ231" i="2"/>
  <c r="AY231" i="2"/>
  <c r="AX231" i="2"/>
  <c r="AW231" i="2"/>
  <c r="AV231" i="2"/>
  <c r="AU231" i="2"/>
  <c r="AT231" i="2"/>
  <c r="AS231" i="2"/>
  <c r="AR231" i="2"/>
  <c r="AQ231" i="2"/>
  <c r="AP231" i="2"/>
  <c r="AO231" i="2"/>
  <c r="AN231" i="2"/>
  <c r="AM231" i="2"/>
  <c r="AL231" i="2"/>
  <c r="AK231" i="2"/>
  <c r="AE231" i="2"/>
  <c r="AD231" i="2"/>
  <c r="AC231" i="2"/>
  <c r="AB231" i="2"/>
  <c r="AA231" i="2"/>
  <c r="Z231" i="2"/>
  <c r="Y231" i="2"/>
  <c r="X231" i="2"/>
  <c r="W231" i="2"/>
  <c r="V231" i="2"/>
  <c r="U231" i="2"/>
  <c r="T231" i="2"/>
  <c r="S231" i="2"/>
  <c r="R231" i="2"/>
  <c r="Q231" i="2"/>
  <c r="F231" i="2"/>
  <c r="E231" i="2"/>
  <c r="D231" i="2"/>
  <c r="CA230" i="2"/>
  <c r="BZ230" i="2"/>
  <c r="BY230" i="2"/>
  <c r="BX230" i="2"/>
  <c r="BW230" i="2"/>
  <c r="BV230" i="2"/>
  <c r="BU230" i="2"/>
  <c r="BT230" i="2"/>
  <c r="BS230" i="2"/>
  <c r="BR230" i="2"/>
  <c r="BQ230" i="2"/>
  <c r="BP230" i="2"/>
  <c r="BO230" i="2"/>
  <c r="BN230" i="2"/>
  <c r="BM230" i="2"/>
  <c r="BL230" i="2"/>
  <c r="BK230" i="2"/>
  <c r="BJ230" i="2"/>
  <c r="BI230" i="2"/>
  <c r="BH230" i="2"/>
  <c r="BG230" i="2"/>
  <c r="BF230" i="2"/>
  <c r="BE230" i="2"/>
  <c r="BD230" i="2"/>
  <c r="BC230" i="2"/>
  <c r="BB230" i="2"/>
  <c r="BA230" i="2"/>
  <c r="AZ230" i="2"/>
  <c r="AY230" i="2"/>
  <c r="AX230" i="2"/>
  <c r="AW230" i="2"/>
  <c r="AV230" i="2"/>
  <c r="AU230" i="2"/>
  <c r="AT230" i="2"/>
  <c r="AS230" i="2"/>
  <c r="AR230" i="2"/>
  <c r="AQ230" i="2"/>
  <c r="AP230" i="2"/>
  <c r="AO230" i="2"/>
  <c r="AN230" i="2"/>
  <c r="AM230" i="2"/>
  <c r="AL230" i="2"/>
  <c r="AK230" i="2"/>
  <c r="AE230" i="2"/>
  <c r="AD230" i="2"/>
  <c r="AC230" i="2"/>
  <c r="AB230" i="2"/>
  <c r="AA230" i="2"/>
  <c r="Z230" i="2"/>
  <c r="Y230" i="2"/>
  <c r="X230" i="2"/>
  <c r="W230" i="2"/>
  <c r="V230" i="2"/>
  <c r="U230" i="2"/>
  <c r="T230" i="2"/>
  <c r="S230" i="2"/>
  <c r="R230" i="2"/>
  <c r="Q230" i="2"/>
  <c r="F230" i="2"/>
  <c r="E230" i="2"/>
  <c r="D230" i="2"/>
  <c r="CA229" i="2"/>
  <c r="BZ229" i="2"/>
  <c r="BY229" i="2"/>
  <c r="BX229" i="2"/>
  <c r="BW229" i="2"/>
  <c r="BV229" i="2"/>
  <c r="BU229" i="2"/>
  <c r="BT229" i="2"/>
  <c r="BS229" i="2"/>
  <c r="BR229" i="2"/>
  <c r="BQ229" i="2"/>
  <c r="BP229" i="2"/>
  <c r="BO229" i="2"/>
  <c r="BN229" i="2"/>
  <c r="BM229" i="2"/>
  <c r="BL229" i="2"/>
  <c r="BK229" i="2"/>
  <c r="BJ229" i="2"/>
  <c r="BI229" i="2"/>
  <c r="BH229" i="2"/>
  <c r="BG229" i="2"/>
  <c r="BF229" i="2"/>
  <c r="BE229" i="2"/>
  <c r="BD229" i="2"/>
  <c r="BC229" i="2"/>
  <c r="BB229" i="2"/>
  <c r="BA229" i="2"/>
  <c r="AZ229" i="2"/>
  <c r="AY229" i="2"/>
  <c r="AX229" i="2"/>
  <c r="AW229" i="2"/>
  <c r="AV229" i="2"/>
  <c r="AU229" i="2"/>
  <c r="AT229" i="2"/>
  <c r="AS229" i="2"/>
  <c r="AR229" i="2"/>
  <c r="AQ229" i="2"/>
  <c r="AP229" i="2"/>
  <c r="AO229" i="2"/>
  <c r="AN229" i="2"/>
  <c r="AM229" i="2"/>
  <c r="AL229" i="2"/>
  <c r="AK229" i="2"/>
  <c r="AE229" i="2"/>
  <c r="AD229" i="2"/>
  <c r="AC229" i="2"/>
  <c r="AB229" i="2"/>
  <c r="AA229" i="2"/>
  <c r="Z229" i="2"/>
  <c r="Y229" i="2"/>
  <c r="X229" i="2"/>
  <c r="W229" i="2"/>
  <c r="V229" i="2"/>
  <c r="U229" i="2"/>
  <c r="T229" i="2"/>
  <c r="S229" i="2"/>
  <c r="R229" i="2"/>
  <c r="Q229" i="2"/>
  <c r="F229" i="2"/>
  <c r="E229" i="2"/>
  <c r="D229" i="2"/>
  <c r="CA228" i="2"/>
  <c r="BZ228" i="2"/>
  <c r="BY228" i="2"/>
  <c r="BX228" i="2"/>
  <c r="BW228" i="2"/>
  <c r="BV228" i="2"/>
  <c r="BU228" i="2"/>
  <c r="BT228" i="2"/>
  <c r="BS228" i="2"/>
  <c r="BR228" i="2"/>
  <c r="BQ228" i="2"/>
  <c r="BP228" i="2"/>
  <c r="BO228" i="2"/>
  <c r="BN228" i="2"/>
  <c r="BM228" i="2"/>
  <c r="BL228" i="2"/>
  <c r="BK228" i="2"/>
  <c r="BJ228" i="2"/>
  <c r="BI228" i="2"/>
  <c r="BH228" i="2"/>
  <c r="BG228" i="2"/>
  <c r="BF228" i="2"/>
  <c r="BE228" i="2"/>
  <c r="BD228" i="2"/>
  <c r="BC228" i="2"/>
  <c r="BB228" i="2"/>
  <c r="BA228" i="2"/>
  <c r="AZ228" i="2"/>
  <c r="AY228" i="2"/>
  <c r="AX228" i="2"/>
  <c r="AW228" i="2"/>
  <c r="AV228" i="2"/>
  <c r="AU228" i="2"/>
  <c r="AT228" i="2"/>
  <c r="AS228" i="2"/>
  <c r="AR228" i="2"/>
  <c r="AQ228" i="2"/>
  <c r="AP228" i="2"/>
  <c r="AO228" i="2"/>
  <c r="AN228" i="2"/>
  <c r="AM228" i="2"/>
  <c r="AL228" i="2"/>
  <c r="AK228" i="2"/>
  <c r="AE228" i="2"/>
  <c r="AD228" i="2"/>
  <c r="AC228" i="2"/>
  <c r="AB228" i="2"/>
  <c r="AA228" i="2"/>
  <c r="Z228" i="2"/>
  <c r="Y228" i="2"/>
  <c r="X228" i="2"/>
  <c r="W228" i="2"/>
  <c r="V228" i="2"/>
  <c r="U228" i="2"/>
  <c r="T228" i="2"/>
  <c r="S228" i="2"/>
  <c r="R228" i="2"/>
  <c r="Q228" i="2"/>
  <c r="F228" i="2"/>
  <c r="E228" i="2"/>
  <c r="D228" i="2"/>
  <c r="CA227" i="2"/>
  <c r="BZ227" i="2"/>
  <c r="BY227" i="2"/>
  <c r="BX227" i="2"/>
  <c r="BW227" i="2"/>
  <c r="BV227" i="2"/>
  <c r="BU227" i="2"/>
  <c r="BT227" i="2"/>
  <c r="BS227" i="2"/>
  <c r="BR227" i="2"/>
  <c r="BQ227" i="2"/>
  <c r="BP227" i="2"/>
  <c r="BO227" i="2"/>
  <c r="BN227" i="2"/>
  <c r="BM227" i="2"/>
  <c r="BL227" i="2"/>
  <c r="BK227" i="2"/>
  <c r="BJ227" i="2"/>
  <c r="BI227" i="2"/>
  <c r="BH227" i="2"/>
  <c r="BG227" i="2"/>
  <c r="BF227" i="2"/>
  <c r="BE227" i="2"/>
  <c r="BD227" i="2"/>
  <c r="BC227" i="2"/>
  <c r="BB227" i="2"/>
  <c r="BA227" i="2"/>
  <c r="AZ227" i="2"/>
  <c r="AY227" i="2"/>
  <c r="AX227" i="2"/>
  <c r="AW227" i="2"/>
  <c r="AV227" i="2"/>
  <c r="AU227" i="2"/>
  <c r="AT227" i="2"/>
  <c r="AS227" i="2"/>
  <c r="AR227" i="2"/>
  <c r="AQ227" i="2"/>
  <c r="AP227" i="2"/>
  <c r="AO227" i="2"/>
  <c r="AN227" i="2"/>
  <c r="AM227" i="2"/>
  <c r="AL227" i="2"/>
  <c r="AK227" i="2"/>
  <c r="AE227" i="2"/>
  <c r="AD227" i="2"/>
  <c r="AC227" i="2"/>
  <c r="AB227" i="2"/>
  <c r="AA227" i="2"/>
  <c r="Z227" i="2"/>
  <c r="Y227" i="2"/>
  <c r="X227" i="2"/>
  <c r="W227" i="2"/>
  <c r="V227" i="2"/>
  <c r="U227" i="2"/>
  <c r="T227" i="2"/>
  <c r="S227" i="2"/>
  <c r="R227" i="2"/>
  <c r="Q227" i="2"/>
  <c r="F227" i="2"/>
  <c r="E227" i="2"/>
  <c r="D227" i="2"/>
  <c r="CA226" i="2"/>
  <c r="BZ226" i="2"/>
  <c r="BY226" i="2"/>
  <c r="BX226" i="2"/>
  <c r="BW226" i="2"/>
  <c r="BV226" i="2"/>
  <c r="BU226" i="2"/>
  <c r="BT226" i="2"/>
  <c r="BS226" i="2"/>
  <c r="BR226" i="2"/>
  <c r="BQ226" i="2"/>
  <c r="BP226" i="2"/>
  <c r="BO226" i="2"/>
  <c r="BN226" i="2"/>
  <c r="BM226" i="2"/>
  <c r="BL226" i="2"/>
  <c r="BK226" i="2"/>
  <c r="BJ226" i="2"/>
  <c r="BI226" i="2"/>
  <c r="BH226" i="2"/>
  <c r="BG226" i="2"/>
  <c r="BF226" i="2"/>
  <c r="BE226" i="2"/>
  <c r="BD226" i="2"/>
  <c r="BC226" i="2"/>
  <c r="BB226" i="2"/>
  <c r="BA226" i="2"/>
  <c r="AZ226" i="2"/>
  <c r="AY226" i="2"/>
  <c r="AX226" i="2"/>
  <c r="AW226" i="2"/>
  <c r="AV226" i="2"/>
  <c r="AU226" i="2"/>
  <c r="AT226" i="2"/>
  <c r="AS226" i="2"/>
  <c r="AR226" i="2"/>
  <c r="AQ226" i="2"/>
  <c r="AP226" i="2"/>
  <c r="AO226" i="2"/>
  <c r="AN226" i="2"/>
  <c r="AM226" i="2"/>
  <c r="AL226" i="2"/>
  <c r="AK226" i="2"/>
  <c r="AE226" i="2"/>
  <c r="AD226" i="2"/>
  <c r="AC226" i="2"/>
  <c r="AB226" i="2"/>
  <c r="AA226" i="2"/>
  <c r="Z226" i="2"/>
  <c r="Y226" i="2"/>
  <c r="X226" i="2"/>
  <c r="W226" i="2"/>
  <c r="V226" i="2"/>
  <c r="U226" i="2"/>
  <c r="T226" i="2"/>
  <c r="S226" i="2"/>
  <c r="R226" i="2"/>
  <c r="Q226" i="2"/>
  <c r="F226" i="2"/>
  <c r="E226" i="2"/>
  <c r="D226" i="2"/>
  <c r="CA225" i="2"/>
  <c r="BZ225" i="2"/>
  <c r="BY225" i="2"/>
  <c r="BX225" i="2"/>
  <c r="BW225" i="2"/>
  <c r="BV225" i="2"/>
  <c r="BU225" i="2"/>
  <c r="BT225" i="2"/>
  <c r="BS225" i="2"/>
  <c r="BR225" i="2"/>
  <c r="BQ225" i="2"/>
  <c r="BP225" i="2"/>
  <c r="BO225" i="2"/>
  <c r="BN225" i="2"/>
  <c r="BM225" i="2"/>
  <c r="BL225" i="2"/>
  <c r="BK225" i="2"/>
  <c r="BJ225" i="2"/>
  <c r="BI225" i="2"/>
  <c r="BH225" i="2"/>
  <c r="BG225" i="2"/>
  <c r="BF225" i="2"/>
  <c r="BE225" i="2"/>
  <c r="BD225" i="2"/>
  <c r="BC225" i="2"/>
  <c r="BB225" i="2"/>
  <c r="BA225" i="2"/>
  <c r="AZ225" i="2"/>
  <c r="AY225" i="2"/>
  <c r="AX225" i="2"/>
  <c r="AW225" i="2"/>
  <c r="AV225" i="2"/>
  <c r="AU225" i="2"/>
  <c r="AT225" i="2"/>
  <c r="AS225" i="2"/>
  <c r="AR225" i="2"/>
  <c r="AQ225" i="2"/>
  <c r="AP225" i="2"/>
  <c r="AO225" i="2"/>
  <c r="AN225" i="2"/>
  <c r="AM225" i="2"/>
  <c r="AL225" i="2"/>
  <c r="AK225" i="2"/>
  <c r="AE225" i="2"/>
  <c r="AD225" i="2"/>
  <c r="AC225" i="2"/>
  <c r="AB225" i="2"/>
  <c r="AA225" i="2"/>
  <c r="Z225" i="2"/>
  <c r="Y225" i="2"/>
  <c r="X225" i="2"/>
  <c r="W225" i="2"/>
  <c r="V225" i="2"/>
  <c r="U225" i="2"/>
  <c r="T225" i="2"/>
  <c r="S225" i="2"/>
  <c r="R225" i="2"/>
  <c r="Q225" i="2"/>
  <c r="F225" i="2"/>
  <c r="E225" i="2"/>
  <c r="D225" i="2"/>
  <c r="CA224" i="2"/>
  <c r="BZ224" i="2"/>
  <c r="BY224" i="2"/>
  <c r="BX224" i="2"/>
  <c r="BW224" i="2"/>
  <c r="BV224" i="2"/>
  <c r="BU224" i="2"/>
  <c r="BT224" i="2"/>
  <c r="BS224" i="2"/>
  <c r="BR224" i="2"/>
  <c r="BQ224" i="2"/>
  <c r="BP224" i="2"/>
  <c r="BO224" i="2"/>
  <c r="BN224" i="2"/>
  <c r="BM224" i="2"/>
  <c r="BL224" i="2"/>
  <c r="BK224" i="2"/>
  <c r="BJ224" i="2"/>
  <c r="BI224" i="2"/>
  <c r="BH224" i="2"/>
  <c r="BG224" i="2"/>
  <c r="BF224" i="2"/>
  <c r="BE224" i="2"/>
  <c r="BD224" i="2"/>
  <c r="BC224" i="2"/>
  <c r="BB224" i="2"/>
  <c r="BA224" i="2"/>
  <c r="AZ224" i="2"/>
  <c r="AY224" i="2"/>
  <c r="AX224" i="2"/>
  <c r="AW224" i="2"/>
  <c r="AV224" i="2"/>
  <c r="AU224" i="2"/>
  <c r="AT224" i="2"/>
  <c r="AS224" i="2"/>
  <c r="AR224" i="2"/>
  <c r="AQ224" i="2"/>
  <c r="AP224" i="2"/>
  <c r="AO224" i="2"/>
  <c r="AN224" i="2"/>
  <c r="AM224" i="2"/>
  <c r="AL224" i="2"/>
  <c r="AK224" i="2"/>
  <c r="AE224" i="2"/>
  <c r="AD224" i="2"/>
  <c r="AC224" i="2"/>
  <c r="AB224" i="2"/>
  <c r="AA224" i="2"/>
  <c r="Z224" i="2"/>
  <c r="Y224" i="2"/>
  <c r="X224" i="2"/>
  <c r="W224" i="2"/>
  <c r="V224" i="2"/>
  <c r="U224" i="2"/>
  <c r="T224" i="2"/>
  <c r="S224" i="2"/>
  <c r="R224" i="2"/>
  <c r="Q224" i="2"/>
  <c r="F224" i="2"/>
  <c r="E224" i="2"/>
  <c r="D224" i="2"/>
  <c r="CA223" i="2"/>
  <c r="BZ223" i="2"/>
  <c r="BY223" i="2"/>
  <c r="BX223" i="2"/>
  <c r="BW223" i="2"/>
  <c r="BV223" i="2"/>
  <c r="BU223" i="2"/>
  <c r="BT223" i="2"/>
  <c r="BS223" i="2"/>
  <c r="BR223" i="2"/>
  <c r="BQ223" i="2"/>
  <c r="BP223" i="2"/>
  <c r="BO223" i="2"/>
  <c r="BN223" i="2"/>
  <c r="BM223" i="2"/>
  <c r="BL223" i="2"/>
  <c r="BK223" i="2"/>
  <c r="BJ223" i="2"/>
  <c r="BI223" i="2"/>
  <c r="BH223" i="2"/>
  <c r="BG223" i="2"/>
  <c r="BF223" i="2"/>
  <c r="BE223" i="2"/>
  <c r="BD223" i="2"/>
  <c r="BC223" i="2"/>
  <c r="BB223" i="2"/>
  <c r="BA223" i="2"/>
  <c r="AZ223" i="2"/>
  <c r="AY223" i="2"/>
  <c r="AX223" i="2"/>
  <c r="AW223" i="2"/>
  <c r="AV223" i="2"/>
  <c r="AU223" i="2"/>
  <c r="AT223" i="2"/>
  <c r="AS223" i="2"/>
  <c r="AR223" i="2"/>
  <c r="AQ223" i="2"/>
  <c r="AP223" i="2"/>
  <c r="AO223" i="2"/>
  <c r="AN223" i="2"/>
  <c r="AM223" i="2"/>
  <c r="AL223" i="2"/>
  <c r="AK223" i="2"/>
  <c r="AE223" i="2"/>
  <c r="AD223" i="2"/>
  <c r="AC223" i="2"/>
  <c r="AB223" i="2"/>
  <c r="AA223" i="2"/>
  <c r="Z223" i="2"/>
  <c r="Y223" i="2"/>
  <c r="X223" i="2"/>
  <c r="W223" i="2"/>
  <c r="V223" i="2"/>
  <c r="U223" i="2"/>
  <c r="T223" i="2"/>
  <c r="S223" i="2"/>
  <c r="R223" i="2"/>
  <c r="Q223" i="2"/>
  <c r="F223" i="2"/>
  <c r="E223" i="2"/>
  <c r="D223" i="2"/>
  <c r="CA222" i="2"/>
  <c r="BZ222" i="2"/>
  <c r="BY222" i="2"/>
  <c r="BX222" i="2"/>
  <c r="BW222" i="2"/>
  <c r="BV222" i="2"/>
  <c r="BU222" i="2"/>
  <c r="BT222" i="2"/>
  <c r="BS222" i="2"/>
  <c r="BR222" i="2"/>
  <c r="BQ222" i="2"/>
  <c r="BP222" i="2"/>
  <c r="BO222" i="2"/>
  <c r="BN222" i="2"/>
  <c r="BM222" i="2"/>
  <c r="BL222" i="2"/>
  <c r="BK222" i="2"/>
  <c r="BJ222" i="2"/>
  <c r="BI222" i="2"/>
  <c r="BH222" i="2"/>
  <c r="BG222" i="2"/>
  <c r="BF222" i="2"/>
  <c r="BE222" i="2"/>
  <c r="BD222" i="2"/>
  <c r="BC222" i="2"/>
  <c r="BB222" i="2"/>
  <c r="BA222" i="2"/>
  <c r="AZ222" i="2"/>
  <c r="AY222" i="2"/>
  <c r="AX222" i="2"/>
  <c r="AW222" i="2"/>
  <c r="AV222" i="2"/>
  <c r="AU222" i="2"/>
  <c r="AT222" i="2"/>
  <c r="AS222" i="2"/>
  <c r="AR222" i="2"/>
  <c r="AQ222" i="2"/>
  <c r="AP222" i="2"/>
  <c r="AO222" i="2"/>
  <c r="AN222" i="2"/>
  <c r="AM222" i="2"/>
  <c r="AL222" i="2"/>
  <c r="AK222" i="2"/>
  <c r="AE222" i="2"/>
  <c r="AD222" i="2"/>
  <c r="AC222" i="2"/>
  <c r="AB222" i="2"/>
  <c r="AA222" i="2"/>
  <c r="Z222" i="2"/>
  <c r="Y222" i="2"/>
  <c r="X222" i="2"/>
  <c r="W222" i="2"/>
  <c r="V222" i="2"/>
  <c r="U222" i="2"/>
  <c r="T222" i="2"/>
  <c r="S222" i="2"/>
  <c r="R222" i="2"/>
  <c r="Q222" i="2"/>
  <c r="F222" i="2"/>
  <c r="E222" i="2"/>
  <c r="D222" i="2"/>
  <c r="CA221" i="2"/>
  <c r="BZ221" i="2"/>
  <c r="BY221" i="2"/>
  <c r="BX221" i="2"/>
  <c r="BW221" i="2"/>
  <c r="BV221" i="2"/>
  <c r="BU221" i="2"/>
  <c r="BT221" i="2"/>
  <c r="BS221" i="2"/>
  <c r="BR221" i="2"/>
  <c r="BQ221" i="2"/>
  <c r="BP221" i="2"/>
  <c r="BO221" i="2"/>
  <c r="BN221" i="2"/>
  <c r="BM221" i="2"/>
  <c r="BL221" i="2"/>
  <c r="BK221" i="2"/>
  <c r="BJ221" i="2"/>
  <c r="BI221" i="2"/>
  <c r="BH221" i="2"/>
  <c r="BG221" i="2"/>
  <c r="BF221" i="2"/>
  <c r="BE221" i="2"/>
  <c r="BD221" i="2"/>
  <c r="BC221" i="2"/>
  <c r="BB221" i="2"/>
  <c r="BA221" i="2"/>
  <c r="AZ221" i="2"/>
  <c r="AY221" i="2"/>
  <c r="AX221" i="2"/>
  <c r="AW221" i="2"/>
  <c r="AV221" i="2"/>
  <c r="AU221" i="2"/>
  <c r="AT221" i="2"/>
  <c r="AS221" i="2"/>
  <c r="AR221" i="2"/>
  <c r="AQ221" i="2"/>
  <c r="AP221" i="2"/>
  <c r="AO221" i="2"/>
  <c r="AN221" i="2"/>
  <c r="AM221" i="2"/>
  <c r="AL221" i="2"/>
  <c r="AK221" i="2"/>
  <c r="AE221" i="2"/>
  <c r="AD221" i="2"/>
  <c r="AC221" i="2"/>
  <c r="AB221" i="2"/>
  <c r="AA221" i="2"/>
  <c r="Z221" i="2"/>
  <c r="Y221" i="2"/>
  <c r="X221" i="2"/>
  <c r="W221" i="2"/>
  <c r="V221" i="2"/>
  <c r="U221" i="2"/>
  <c r="T221" i="2"/>
  <c r="S221" i="2"/>
  <c r="R221" i="2"/>
  <c r="Q221" i="2"/>
  <c r="F221" i="2"/>
  <c r="E221" i="2"/>
  <c r="D221" i="2"/>
  <c r="CA220" i="2"/>
  <c r="BZ220" i="2"/>
  <c r="BY220" i="2"/>
  <c r="BX220" i="2"/>
  <c r="BW220" i="2"/>
  <c r="BV220" i="2"/>
  <c r="BU220" i="2"/>
  <c r="BT220" i="2"/>
  <c r="BS220" i="2"/>
  <c r="BR220" i="2"/>
  <c r="BQ220" i="2"/>
  <c r="BP220" i="2"/>
  <c r="BO220" i="2"/>
  <c r="BN220" i="2"/>
  <c r="BM220" i="2"/>
  <c r="BL220" i="2"/>
  <c r="BK220" i="2"/>
  <c r="BJ220" i="2"/>
  <c r="BI220" i="2"/>
  <c r="BH220" i="2"/>
  <c r="BG220" i="2"/>
  <c r="BF220" i="2"/>
  <c r="BE220" i="2"/>
  <c r="BD220" i="2"/>
  <c r="BC220" i="2"/>
  <c r="BB220" i="2"/>
  <c r="BA220" i="2"/>
  <c r="AZ220" i="2"/>
  <c r="AY220" i="2"/>
  <c r="AX220" i="2"/>
  <c r="AW220" i="2"/>
  <c r="AV220" i="2"/>
  <c r="AU220" i="2"/>
  <c r="AT220" i="2"/>
  <c r="AS220" i="2"/>
  <c r="AR220" i="2"/>
  <c r="AQ220" i="2"/>
  <c r="AP220" i="2"/>
  <c r="AO220" i="2"/>
  <c r="AN220" i="2"/>
  <c r="AM220" i="2"/>
  <c r="AL220" i="2"/>
  <c r="AK220" i="2"/>
  <c r="AE220" i="2"/>
  <c r="AD220" i="2"/>
  <c r="AC220" i="2"/>
  <c r="AB220" i="2"/>
  <c r="AA220" i="2"/>
  <c r="Z220" i="2"/>
  <c r="Y220" i="2"/>
  <c r="X220" i="2"/>
  <c r="W220" i="2"/>
  <c r="V220" i="2"/>
  <c r="U220" i="2"/>
  <c r="T220" i="2"/>
  <c r="S220" i="2"/>
  <c r="R220" i="2"/>
  <c r="Q220" i="2"/>
  <c r="F220" i="2"/>
  <c r="E220" i="2"/>
  <c r="D220" i="2"/>
  <c r="CA219" i="2"/>
  <c r="BZ219" i="2"/>
  <c r="BY219" i="2"/>
  <c r="BX219" i="2"/>
  <c r="BW219" i="2"/>
  <c r="BV219" i="2"/>
  <c r="BU219" i="2"/>
  <c r="BT219" i="2"/>
  <c r="BS219" i="2"/>
  <c r="BR219" i="2"/>
  <c r="BQ219" i="2"/>
  <c r="BP219" i="2"/>
  <c r="BO219" i="2"/>
  <c r="BN219" i="2"/>
  <c r="BM219" i="2"/>
  <c r="BL219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Q219" i="2"/>
  <c r="AP219" i="2"/>
  <c r="AO219" i="2"/>
  <c r="AN219" i="2"/>
  <c r="AM219" i="2"/>
  <c r="AL219" i="2"/>
  <c r="AK219" i="2"/>
  <c r="AE219" i="2"/>
  <c r="AD219" i="2"/>
  <c r="AC219" i="2"/>
  <c r="AB219" i="2"/>
  <c r="AA219" i="2"/>
  <c r="Z219" i="2"/>
  <c r="Y219" i="2"/>
  <c r="X219" i="2"/>
  <c r="W219" i="2"/>
  <c r="V219" i="2"/>
  <c r="U219" i="2"/>
  <c r="T219" i="2"/>
  <c r="S219" i="2"/>
  <c r="R219" i="2"/>
  <c r="Q219" i="2"/>
  <c r="F219" i="2"/>
  <c r="E219" i="2"/>
  <c r="D219" i="2"/>
  <c r="CA218" i="2"/>
  <c r="BZ218" i="2"/>
  <c r="BY218" i="2"/>
  <c r="BX218" i="2"/>
  <c r="BW218" i="2"/>
  <c r="BV218" i="2"/>
  <c r="BU218" i="2"/>
  <c r="BT218" i="2"/>
  <c r="BS218" i="2"/>
  <c r="BR218" i="2"/>
  <c r="BQ218" i="2"/>
  <c r="BP218" i="2"/>
  <c r="BO218" i="2"/>
  <c r="BN218" i="2"/>
  <c r="BM218" i="2"/>
  <c r="BL218" i="2"/>
  <c r="BK218" i="2"/>
  <c r="BJ218" i="2"/>
  <c r="BI218" i="2"/>
  <c r="BH218" i="2"/>
  <c r="BG218" i="2"/>
  <c r="BF218" i="2"/>
  <c r="BE218" i="2"/>
  <c r="BD218" i="2"/>
  <c r="BC218" i="2"/>
  <c r="BB218" i="2"/>
  <c r="BA218" i="2"/>
  <c r="AZ218" i="2"/>
  <c r="AY218" i="2"/>
  <c r="AX218" i="2"/>
  <c r="AW218" i="2"/>
  <c r="AV218" i="2"/>
  <c r="AU218" i="2"/>
  <c r="AT218" i="2"/>
  <c r="AS218" i="2"/>
  <c r="AR218" i="2"/>
  <c r="AQ218" i="2"/>
  <c r="AP218" i="2"/>
  <c r="AO218" i="2"/>
  <c r="AN218" i="2"/>
  <c r="AM218" i="2"/>
  <c r="AL218" i="2"/>
  <c r="AK218" i="2"/>
  <c r="AE218" i="2"/>
  <c r="AD218" i="2"/>
  <c r="AC218" i="2"/>
  <c r="AB218" i="2"/>
  <c r="AA218" i="2"/>
  <c r="Z218" i="2"/>
  <c r="Y218" i="2"/>
  <c r="X218" i="2"/>
  <c r="W218" i="2"/>
  <c r="V218" i="2"/>
  <c r="U218" i="2"/>
  <c r="T218" i="2"/>
  <c r="S218" i="2"/>
  <c r="R218" i="2"/>
  <c r="Q218" i="2"/>
  <c r="F218" i="2"/>
  <c r="E218" i="2"/>
  <c r="D218" i="2"/>
  <c r="CA217" i="2"/>
  <c r="BZ217" i="2"/>
  <c r="BY217" i="2"/>
  <c r="BX217" i="2"/>
  <c r="BW217" i="2"/>
  <c r="BV217" i="2"/>
  <c r="BU217" i="2"/>
  <c r="BT217" i="2"/>
  <c r="BS217" i="2"/>
  <c r="BR217" i="2"/>
  <c r="BQ217" i="2"/>
  <c r="BP217" i="2"/>
  <c r="BO217" i="2"/>
  <c r="BN217" i="2"/>
  <c r="BM217" i="2"/>
  <c r="BL217" i="2"/>
  <c r="BK217" i="2"/>
  <c r="BJ217" i="2"/>
  <c r="BI217" i="2"/>
  <c r="BH217" i="2"/>
  <c r="BG217" i="2"/>
  <c r="BF217" i="2"/>
  <c r="BE217" i="2"/>
  <c r="BD217" i="2"/>
  <c r="BC217" i="2"/>
  <c r="BB217" i="2"/>
  <c r="BA217" i="2"/>
  <c r="AZ217" i="2"/>
  <c r="AY217" i="2"/>
  <c r="AX217" i="2"/>
  <c r="AW217" i="2"/>
  <c r="AV217" i="2"/>
  <c r="AU217" i="2"/>
  <c r="AT217" i="2"/>
  <c r="AS217" i="2"/>
  <c r="AR217" i="2"/>
  <c r="AQ217" i="2"/>
  <c r="AP217" i="2"/>
  <c r="AO217" i="2"/>
  <c r="AN217" i="2"/>
  <c r="AM217" i="2"/>
  <c r="AL217" i="2"/>
  <c r="AK217" i="2"/>
  <c r="AE217" i="2"/>
  <c r="AD217" i="2"/>
  <c r="AC217" i="2"/>
  <c r="AB217" i="2"/>
  <c r="AA217" i="2"/>
  <c r="Z217" i="2"/>
  <c r="Y217" i="2"/>
  <c r="X217" i="2"/>
  <c r="W217" i="2"/>
  <c r="V217" i="2"/>
  <c r="U217" i="2"/>
  <c r="T217" i="2"/>
  <c r="S217" i="2"/>
  <c r="R217" i="2"/>
  <c r="Q217" i="2"/>
  <c r="F217" i="2"/>
  <c r="E217" i="2"/>
  <c r="D217" i="2"/>
  <c r="CA216" i="2"/>
  <c r="BZ216" i="2"/>
  <c r="BY216" i="2"/>
  <c r="BX216" i="2"/>
  <c r="BW216" i="2"/>
  <c r="BV216" i="2"/>
  <c r="BU216" i="2"/>
  <c r="BT216" i="2"/>
  <c r="BS216" i="2"/>
  <c r="BR216" i="2"/>
  <c r="BQ216" i="2"/>
  <c r="BP216" i="2"/>
  <c r="BO216" i="2"/>
  <c r="BN216" i="2"/>
  <c r="BM216" i="2"/>
  <c r="BL216" i="2"/>
  <c r="BK216" i="2"/>
  <c r="BJ216" i="2"/>
  <c r="BI216" i="2"/>
  <c r="BH216" i="2"/>
  <c r="BG216" i="2"/>
  <c r="BF216" i="2"/>
  <c r="BE216" i="2"/>
  <c r="BD216" i="2"/>
  <c r="BC216" i="2"/>
  <c r="BB216" i="2"/>
  <c r="BA216" i="2"/>
  <c r="AZ216" i="2"/>
  <c r="AY216" i="2"/>
  <c r="AX216" i="2"/>
  <c r="AW216" i="2"/>
  <c r="AV216" i="2"/>
  <c r="AU216" i="2"/>
  <c r="AT216" i="2"/>
  <c r="AS216" i="2"/>
  <c r="AR216" i="2"/>
  <c r="AQ216" i="2"/>
  <c r="AP216" i="2"/>
  <c r="AO216" i="2"/>
  <c r="AN216" i="2"/>
  <c r="AM216" i="2"/>
  <c r="AL216" i="2"/>
  <c r="AK216" i="2"/>
  <c r="AE216" i="2"/>
  <c r="AD216" i="2"/>
  <c r="AC216" i="2"/>
  <c r="AB216" i="2"/>
  <c r="AA216" i="2"/>
  <c r="Z216" i="2"/>
  <c r="Y216" i="2"/>
  <c r="X216" i="2"/>
  <c r="W216" i="2"/>
  <c r="V216" i="2"/>
  <c r="U216" i="2"/>
  <c r="T216" i="2"/>
  <c r="S216" i="2"/>
  <c r="R216" i="2"/>
  <c r="Q216" i="2"/>
  <c r="F216" i="2"/>
  <c r="E216" i="2"/>
  <c r="D216" i="2"/>
  <c r="CA215" i="2"/>
  <c r="BZ215" i="2"/>
  <c r="BY215" i="2"/>
  <c r="BX215" i="2"/>
  <c r="BW215" i="2"/>
  <c r="BV215" i="2"/>
  <c r="BU215" i="2"/>
  <c r="BT215" i="2"/>
  <c r="BS215" i="2"/>
  <c r="BR215" i="2"/>
  <c r="BQ215" i="2"/>
  <c r="BP215" i="2"/>
  <c r="BO215" i="2"/>
  <c r="BN215" i="2"/>
  <c r="BM215" i="2"/>
  <c r="BL215" i="2"/>
  <c r="BK215" i="2"/>
  <c r="BJ215" i="2"/>
  <c r="BI215" i="2"/>
  <c r="BH215" i="2"/>
  <c r="BG215" i="2"/>
  <c r="BF215" i="2"/>
  <c r="BE215" i="2"/>
  <c r="BD215" i="2"/>
  <c r="BC215" i="2"/>
  <c r="BB215" i="2"/>
  <c r="BA215" i="2"/>
  <c r="AZ215" i="2"/>
  <c r="AY215" i="2"/>
  <c r="AX215" i="2"/>
  <c r="AW215" i="2"/>
  <c r="AV215" i="2"/>
  <c r="AU215" i="2"/>
  <c r="AT215" i="2"/>
  <c r="AS215" i="2"/>
  <c r="AR215" i="2"/>
  <c r="AQ215" i="2"/>
  <c r="AP215" i="2"/>
  <c r="AO215" i="2"/>
  <c r="AN215" i="2"/>
  <c r="AM215" i="2"/>
  <c r="AL215" i="2"/>
  <c r="AK215" i="2"/>
  <c r="AE215" i="2"/>
  <c r="AD215" i="2"/>
  <c r="AC215" i="2"/>
  <c r="AB215" i="2"/>
  <c r="AA215" i="2"/>
  <c r="Z215" i="2"/>
  <c r="Y215" i="2"/>
  <c r="X215" i="2"/>
  <c r="W215" i="2"/>
  <c r="V215" i="2"/>
  <c r="U215" i="2"/>
  <c r="T215" i="2"/>
  <c r="S215" i="2"/>
  <c r="R215" i="2"/>
  <c r="Q215" i="2"/>
  <c r="F215" i="2"/>
  <c r="E215" i="2"/>
  <c r="D215" i="2"/>
  <c r="CA214" i="2"/>
  <c r="BZ214" i="2"/>
  <c r="BY214" i="2"/>
  <c r="BX214" i="2"/>
  <c r="BW214" i="2"/>
  <c r="BV214" i="2"/>
  <c r="BU214" i="2"/>
  <c r="BT214" i="2"/>
  <c r="BS214" i="2"/>
  <c r="BR214" i="2"/>
  <c r="BQ214" i="2"/>
  <c r="BP214" i="2"/>
  <c r="BO214" i="2"/>
  <c r="BN214" i="2"/>
  <c r="BM214" i="2"/>
  <c r="BL214" i="2"/>
  <c r="BK214" i="2"/>
  <c r="BJ214" i="2"/>
  <c r="BI214" i="2"/>
  <c r="BH214" i="2"/>
  <c r="BG214" i="2"/>
  <c r="BF214" i="2"/>
  <c r="BE214" i="2"/>
  <c r="BD214" i="2"/>
  <c r="BC214" i="2"/>
  <c r="BB214" i="2"/>
  <c r="BA214" i="2"/>
  <c r="AZ214" i="2"/>
  <c r="AY214" i="2"/>
  <c r="AX214" i="2"/>
  <c r="AW214" i="2"/>
  <c r="AV214" i="2"/>
  <c r="AU214" i="2"/>
  <c r="AT214" i="2"/>
  <c r="AS214" i="2"/>
  <c r="AR214" i="2"/>
  <c r="AQ214" i="2"/>
  <c r="AP214" i="2"/>
  <c r="AO214" i="2"/>
  <c r="AN214" i="2"/>
  <c r="AM214" i="2"/>
  <c r="AL214" i="2"/>
  <c r="AK214" i="2"/>
  <c r="AE214" i="2"/>
  <c r="AD214" i="2"/>
  <c r="AC214" i="2"/>
  <c r="AB214" i="2"/>
  <c r="AA214" i="2"/>
  <c r="Z214" i="2"/>
  <c r="Y214" i="2"/>
  <c r="X214" i="2"/>
  <c r="W214" i="2"/>
  <c r="V214" i="2"/>
  <c r="U214" i="2"/>
  <c r="T214" i="2"/>
  <c r="S214" i="2"/>
  <c r="R214" i="2"/>
  <c r="Q214" i="2"/>
  <c r="F214" i="2"/>
  <c r="E214" i="2"/>
  <c r="D214" i="2"/>
  <c r="CA213" i="2"/>
  <c r="BZ213" i="2"/>
  <c r="BY213" i="2"/>
  <c r="BX213" i="2"/>
  <c r="BW213" i="2"/>
  <c r="BV213" i="2"/>
  <c r="BU213" i="2"/>
  <c r="BT213" i="2"/>
  <c r="BS213" i="2"/>
  <c r="BR213" i="2"/>
  <c r="BQ213" i="2"/>
  <c r="BP213" i="2"/>
  <c r="BO213" i="2"/>
  <c r="BN213" i="2"/>
  <c r="BM213" i="2"/>
  <c r="BL213" i="2"/>
  <c r="BK213" i="2"/>
  <c r="BJ213" i="2"/>
  <c r="BI213" i="2"/>
  <c r="BH213" i="2"/>
  <c r="BG213" i="2"/>
  <c r="BF213" i="2"/>
  <c r="BE213" i="2"/>
  <c r="BD213" i="2"/>
  <c r="BC213" i="2"/>
  <c r="BB213" i="2"/>
  <c r="BA213" i="2"/>
  <c r="AZ213" i="2"/>
  <c r="AY213" i="2"/>
  <c r="AX213" i="2"/>
  <c r="AW213" i="2"/>
  <c r="AV213" i="2"/>
  <c r="AU213" i="2"/>
  <c r="AT213" i="2"/>
  <c r="AS213" i="2"/>
  <c r="AR213" i="2"/>
  <c r="AQ213" i="2"/>
  <c r="AP213" i="2"/>
  <c r="AO213" i="2"/>
  <c r="AN213" i="2"/>
  <c r="AM213" i="2"/>
  <c r="AL213" i="2"/>
  <c r="AK213" i="2"/>
  <c r="AE213" i="2"/>
  <c r="AD213" i="2"/>
  <c r="AC213" i="2"/>
  <c r="AB213" i="2"/>
  <c r="AA213" i="2"/>
  <c r="Z213" i="2"/>
  <c r="Y213" i="2"/>
  <c r="X213" i="2"/>
  <c r="W213" i="2"/>
  <c r="V213" i="2"/>
  <c r="U213" i="2"/>
  <c r="T213" i="2"/>
  <c r="S213" i="2"/>
  <c r="R213" i="2"/>
  <c r="Q213" i="2"/>
  <c r="F213" i="2"/>
  <c r="E213" i="2"/>
  <c r="D213" i="2"/>
  <c r="CA212" i="2"/>
  <c r="BZ212" i="2"/>
  <c r="BY212" i="2"/>
  <c r="BX212" i="2"/>
  <c r="BW212" i="2"/>
  <c r="BV212" i="2"/>
  <c r="BU212" i="2"/>
  <c r="BT212" i="2"/>
  <c r="BS212" i="2"/>
  <c r="BR212" i="2"/>
  <c r="BQ212" i="2"/>
  <c r="BP212" i="2"/>
  <c r="BO212" i="2"/>
  <c r="BN212" i="2"/>
  <c r="BM212" i="2"/>
  <c r="BL212" i="2"/>
  <c r="BK212" i="2"/>
  <c r="BJ212" i="2"/>
  <c r="BI212" i="2"/>
  <c r="BH212" i="2"/>
  <c r="BG212" i="2"/>
  <c r="BF212" i="2"/>
  <c r="BE212" i="2"/>
  <c r="BD212" i="2"/>
  <c r="BC212" i="2"/>
  <c r="BB212" i="2"/>
  <c r="BA212" i="2"/>
  <c r="AZ212" i="2"/>
  <c r="AY212" i="2"/>
  <c r="AX212" i="2"/>
  <c r="AW212" i="2"/>
  <c r="AV212" i="2"/>
  <c r="AU212" i="2"/>
  <c r="AT212" i="2"/>
  <c r="AS212" i="2"/>
  <c r="AR212" i="2"/>
  <c r="AQ212" i="2"/>
  <c r="AP212" i="2"/>
  <c r="AO212" i="2"/>
  <c r="AN212" i="2"/>
  <c r="AM212" i="2"/>
  <c r="AL212" i="2"/>
  <c r="AK212" i="2"/>
  <c r="AE212" i="2"/>
  <c r="AD212" i="2"/>
  <c r="AC212" i="2"/>
  <c r="AB212" i="2"/>
  <c r="AA212" i="2"/>
  <c r="Z212" i="2"/>
  <c r="Y212" i="2"/>
  <c r="X212" i="2"/>
  <c r="W212" i="2"/>
  <c r="V212" i="2"/>
  <c r="U212" i="2"/>
  <c r="T212" i="2"/>
  <c r="S212" i="2"/>
  <c r="R212" i="2"/>
  <c r="Q212" i="2"/>
  <c r="F212" i="2"/>
  <c r="E212" i="2"/>
  <c r="D212" i="2"/>
  <c r="CA211" i="2"/>
  <c r="BZ211" i="2"/>
  <c r="BY211" i="2"/>
  <c r="BX211" i="2"/>
  <c r="BW211" i="2"/>
  <c r="BV211" i="2"/>
  <c r="BU211" i="2"/>
  <c r="BT211" i="2"/>
  <c r="BS211" i="2"/>
  <c r="BR211" i="2"/>
  <c r="BQ211" i="2"/>
  <c r="BP211" i="2"/>
  <c r="BO211" i="2"/>
  <c r="BN211" i="2"/>
  <c r="BM211" i="2"/>
  <c r="BL211" i="2"/>
  <c r="BK211" i="2"/>
  <c r="BJ211" i="2"/>
  <c r="BI211" i="2"/>
  <c r="BH211" i="2"/>
  <c r="BG211" i="2"/>
  <c r="BF211" i="2"/>
  <c r="BE211" i="2"/>
  <c r="BD211" i="2"/>
  <c r="BC211" i="2"/>
  <c r="BB211" i="2"/>
  <c r="BA211" i="2"/>
  <c r="AZ211" i="2"/>
  <c r="AY211" i="2"/>
  <c r="AX211" i="2"/>
  <c r="AW211" i="2"/>
  <c r="AV211" i="2"/>
  <c r="AU211" i="2"/>
  <c r="AT211" i="2"/>
  <c r="AS211" i="2"/>
  <c r="AR211" i="2"/>
  <c r="AQ211" i="2"/>
  <c r="AP211" i="2"/>
  <c r="AO211" i="2"/>
  <c r="AN211" i="2"/>
  <c r="AM211" i="2"/>
  <c r="AL211" i="2"/>
  <c r="AK211" i="2"/>
  <c r="AE211" i="2"/>
  <c r="AD211" i="2"/>
  <c r="AC211" i="2"/>
  <c r="AB211" i="2"/>
  <c r="AA211" i="2"/>
  <c r="Z211" i="2"/>
  <c r="Y211" i="2"/>
  <c r="X211" i="2"/>
  <c r="W211" i="2"/>
  <c r="V211" i="2"/>
  <c r="U211" i="2"/>
  <c r="T211" i="2"/>
  <c r="S211" i="2"/>
  <c r="R211" i="2"/>
  <c r="Q211" i="2"/>
  <c r="F211" i="2"/>
  <c r="E211" i="2"/>
  <c r="D211" i="2"/>
  <c r="CA210" i="2"/>
  <c r="BZ210" i="2"/>
  <c r="BY210" i="2"/>
  <c r="BX210" i="2"/>
  <c r="BW210" i="2"/>
  <c r="BV210" i="2"/>
  <c r="BU210" i="2"/>
  <c r="BT210" i="2"/>
  <c r="BS210" i="2"/>
  <c r="BR210" i="2"/>
  <c r="BQ210" i="2"/>
  <c r="BP210" i="2"/>
  <c r="BO210" i="2"/>
  <c r="BN210" i="2"/>
  <c r="BM210" i="2"/>
  <c r="BL210" i="2"/>
  <c r="BK210" i="2"/>
  <c r="BJ210" i="2"/>
  <c r="BI210" i="2"/>
  <c r="BH210" i="2"/>
  <c r="BG210" i="2"/>
  <c r="BF210" i="2"/>
  <c r="BE210" i="2"/>
  <c r="BD210" i="2"/>
  <c r="BC210" i="2"/>
  <c r="BB210" i="2"/>
  <c r="BA210" i="2"/>
  <c r="AZ210" i="2"/>
  <c r="AY210" i="2"/>
  <c r="AX210" i="2"/>
  <c r="AW210" i="2"/>
  <c r="AV210" i="2"/>
  <c r="AU210" i="2"/>
  <c r="AT210" i="2"/>
  <c r="AS210" i="2"/>
  <c r="AR210" i="2"/>
  <c r="AQ210" i="2"/>
  <c r="AP210" i="2"/>
  <c r="AO210" i="2"/>
  <c r="AN210" i="2"/>
  <c r="AM210" i="2"/>
  <c r="AL210" i="2"/>
  <c r="AK210" i="2"/>
  <c r="AE210" i="2"/>
  <c r="AD210" i="2"/>
  <c r="AC210" i="2"/>
  <c r="AB210" i="2"/>
  <c r="AA210" i="2"/>
  <c r="Z210" i="2"/>
  <c r="Y210" i="2"/>
  <c r="X210" i="2"/>
  <c r="W210" i="2"/>
  <c r="V210" i="2"/>
  <c r="U210" i="2"/>
  <c r="T210" i="2"/>
  <c r="S210" i="2"/>
  <c r="R210" i="2"/>
  <c r="Q210" i="2"/>
  <c r="F210" i="2"/>
  <c r="E210" i="2"/>
  <c r="D210" i="2"/>
  <c r="CA209" i="2"/>
  <c r="BZ209" i="2"/>
  <c r="BY209" i="2"/>
  <c r="BX209" i="2"/>
  <c r="BW209" i="2"/>
  <c r="BV209" i="2"/>
  <c r="BU209" i="2"/>
  <c r="BT209" i="2"/>
  <c r="BS209" i="2"/>
  <c r="BR209" i="2"/>
  <c r="BQ209" i="2"/>
  <c r="BP209" i="2"/>
  <c r="BO209" i="2"/>
  <c r="BN209" i="2"/>
  <c r="BM209" i="2"/>
  <c r="BL209" i="2"/>
  <c r="BK209" i="2"/>
  <c r="BJ209" i="2"/>
  <c r="BI209" i="2"/>
  <c r="BH209" i="2"/>
  <c r="BG209" i="2"/>
  <c r="BF209" i="2"/>
  <c r="BE209" i="2"/>
  <c r="BD209" i="2"/>
  <c r="BC209" i="2"/>
  <c r="BB209" i="2"/>
  <c r="BA209" i="2"/>
  <c r="AZ209" i="2"/>
  <c r="AY209" i="2"/>
  <c r="AX209" i="2"/>
  <c r="AW209" i="2"/>
  <c r="AV209" i="2"/>
  <c r="AU209" i="2"/>
  <c r="AT209" i="2"/>
  <c r="AS209" i="2"/>
  <c r="AR209" i="2"/>
  <c r="AQ209" i="2"/>
  <c r="AP209" i="2"/>
  <c r="AO209" i="2"/>
  <c r="AN209" i="2"/>
  <c r="AM209" i="2"/>
  <c r="AL209" i="2"/>
  <c r="AK209" i="2"/>
  <c r="AE209" i="2"/>
  <c r="AD209" i="2"/>
  <c r="AC209" i="2"/>
  <c r="AB209" i="2"/>
  <c r="AA209" i="2"/>
  <c r="Z209" i="2"/>
  <c r="Y209" i="2"/>
  <c r="X209" i="2"/>
  <c r="W209" i="2"/>
  <c r="V209" i="2"/>
  <c r="U209" i="2"/>
  <c r="T209" i="2"/>
  <c r="S209" i="2"/>
  <c r="R209" i="2"/>
  <c r="Q209" i="2"/>
  <c r="F209" i="2"/>
  <c r="E209" i="2"/>
  <c r="D209" i="2"/>
  <c r="CA208" i="2"/>
  <c r="BZ208" i="2"/>
  <c r="BY208" i="2"/>
  <c r="BX208" i="2"/>
  <c r="BW208" i="2"/>
  <c r="BV208" i="2"/>
  <c r="BU208" i="2"/>
  <c r="BT208" i="2"/>
  <c r="BS208" i="2"/>
  <c r="BR208" i="2"/>
  <c r="BQ208" i="2"/>
  <c r="BP208" i="2"/>
  <c r="BO208" i="2"/>
  <c r="BN208" i="2"/>
  <c r="BM208" i="2"/>
  <c r="BL208" i="2"/>
  <c r="BK208" i="2"/>
  <c r="BJ208" i="2"/>
  <c r="BI208" i="2"/>
  <c r="BH208" i="2"/>
  <c r="BG208" i="2"/>
  <c r="BF208" i="2"/>
  <c r="BE208" i="2"/>
  <c r="BD208" i="2"/>
  <c r="BC208" i="2"/>
  <c r="BB208" i="2"/>
  <c r="BA208" i="2"/>
  <c r="AZ208" i="2"/>
  <c r="AY208" i="2"/>
  <c r="AX208" i="2"/>
  <c r="AW208" i="2"/>
  <c r="AV208" i="2"/>
  <c r="AU208" i="2"/>
  <c r="AT208" i="2"/>
  <c r="AS208" i="2"/>
  <c r="AR208" i="2"/>
  <c r="AQ208" i="2"/>
  <c r="AP208" i="2"/>
  <c r="AO208" i="2"/>
  <c r="AN208" i="2"/>
  <c r="AM208" i="2"/>
  <c r="AL208" i="2"/>
  <c r="AK208" i="2"/>
  <c r="AE208" i="2"/>
  <c r="AD208" i="2"/>
  <c r="AC208" i="2"/>
  <c r="AB208" i="2"/>
  <c r="AA208" i="2"/>
  <c r="Z208" i="2"/>
  <c r="Y208" i="2"/>
  <c r="X208" i="2"/>
  <c r="W208" i="2"/>
  <c r="V208" i="2"/>
  <c r="U208" i="2"/>
  <c r="T208" i="2"/>
  <c r="S208" i="2"/>
  <c r="R208" i="2"/>
  <c r="Q208" i="2"/>
  <c r="F208" i="2"/>
  <c r="E208" i="2"/>
  <c r="D208" i="2"/>
  <c r="CA207" i="2"/>
  <c r="BZ207" i="2"/>
  <c r="BY207" i="2"/>
  <c r="BX207" i="2"/>
  <c r="BW207" i="2"/>
  <c r="BV207" i="2"/>
  <c r="BU207" i="2"/>
  <c r="BT207" i="2"/>
  <c r="BS207" i="2"/>
  <c r="BR207" i="2"/>
  <c r="BQ207" i="2"/>
  <c r="BP207" i="2"/>
  <c r="BO207" i="2"/>
  <c r="BN207" i="2"/>
  <c r="BM207" i="2"/>
  <c r="BL207" i="2"/>
  <c r="BK207" i="2"/>
  <c r="BJ207" i="2"/>
  <c r="BI207" i="2"/>
  <c r="BH207" i="2"/>
  <c r="BG207" i="2"/>
  <c r="BF207" i="2"/>
  <c r="BE207" i="2"/>
  <c r="BD207" i="2"/>
  <c r="BC207" i="2"/>
  <c r="BB207" i="2"/>
  <c r="BA207" i="2"/>
  <c r="AZ207" i="2"/>
  <c r="AY207" i="2"/>
  <c r="AX207" i="2"/>
  <c r="AW207" i="2"/>
  <c r="AV207" i="2"/>
  <c r="AU207" i="2"/>
  <c r="AT207" i="2"/>
  <c r="AS207" i="2"/>
  <c r="AR207" i="2"/>
  <c r="AQ207" i="2"/>
  <c r="AP207" i="2"/>
  <c r="AO207" i="2"/>
  <c r="AN207" i="2"/>
  <c r="AM207" i="2"/>
  <c r="AL207" i="2"/>
  <c r="AK207" i="2"/>
  <c r="AE207" i="2"/>
  <c r="AD207" i="2"/>
  <c r="AC207" i="2"/>
  <c r="AB207" i="2"/>
  <c r="AA207" i="2"/>
  <c r="Z207" i="2"/>
  <c r="Y207" i="2"/>
  <c r="X207" i="2"/>
  <c r="W207" i="2"/>
  <c r="V207" i="2"/>
  <c r="U207" i="2"/>
  <c r="T207" i="2"/>
  <c r="S207" i="2"/>
  <c r="R207" i="2"/>
  <c r="Q207" i="2"/>
  <c r="F207" i="2"/>
  <c r="E207" i="2"/>
  <c r="D207" i="2"/>
  <c r="CA206" i="2"/>
  <c r="BZ206" i="2"/>
  <c r="BY206" i="2"/>
  <c r="BX206" i="2"/>
  <c r="BW206" i="2"/>
  <c r="BV206" i="2"/>
  <c r="BU206" i="2"/>
  <c r="BT206" i="2"/>
  <c r="BS206" i="2"/>
  <c r="BR206" i="2"/>
  <c r="BQ206" i="2"/>
  <c r="BP206" i="2"/>
  <c r="BO206" i="2"/>
  <c r="BN206" i="2"/>
  <c r="BM206" i="2"/>
  <c r="BL206" i="2"/>
  <c r="BK206" i="2"/>
  <c r="BJ206" i="2"/>
  <c r="BI206" i="2"/>
  <c r="BH206" i="2"/>
  <c r="BG206" i="2"/>
  <c r="BF206" i="2"/>
  <c r="BE206" i="2"/>
  <c r="BD206" i="2"/>
  <c r="BC206" i="2"/>
  <c r="BB206" i="2"/>
  <c r="BA206" i="2"/>
  <c r="AZ206" i="2"/>
  <c r="AY206" i="2"/>
  <c r="AX206" i="2"/>
  <c r="AW206" i="2"/>
  <c r="AV206" i="2"/>
  <c r="AU206" i="2"/>
  <c r="AT206" i="2"/>
  <c r="AS206" i="2"/>
  <c r="AR206" i="2"/>
  <c r="AQ206" i="2"/>
  <c r="AP206" i="2"/>
  <c r="AO206" i="2"/>
  <c r="AN206" i="2"/>
  <c r="AM206" i="2"/>
  <c r="AL206" i="2"/>
  <c r="AK206" i="2"/>
  <c r="AE206" i="2"/>
  <c r="AD206" i="2"/>
  <c r="AC206" i="2"/>
  <c r="AB206" i="2"/>
  <c r="AA206" i="2"/>
  <c r="Z206" i="2"/>
  <c r="Y206" i="2"/>
  <c r="X206" i="2"/>
  <c r="W206" i="2"/>
  <c r="V206" i="2"/>
  <c r="U206" i="2"/>
  <c r="T206" i="2"/>
  <c r="S206" i="2"/>
  <c r="R206" i="2"/>
  <c r="Q206" i="2"/>
  <c r="F206" i="2"/>
  <c r="E206" i="2"/>
  <c r="D206" i="2"/>
  <c r="CA205" i="2"/>
  <c r="BZ205" i="2"/>
  <c r="BY205" i="2"/>
  <c r="BX205" i="2"/>
  <c r="BW205" i="2"/>
  <c r="BV205" i="2"/>
  <c r="BU205" i="2"/>
  <c r="BT205" i="2"/>
  <c r="BS205" i="2"/>
  <c r="BR205" i="2"/>
  <c r="BQ205" i="2"/>
  <c r="BP205" i="2"/>
  <c r="BO205" i="2"/>
  <c r="BN205" i="2"/>
  <c r="BM205" i="2"/>
  <c r="BL205" i="2"/>
  <c r="BK205" i="2"/>
  <c r="BJ205" i="2"/>
  <c r="BI205" i="2"/>
  <c r="BH205" i="2"/>
  <c r="BG205" i="2"/>
  <c r="BF205" i="2"/>
  <c r="BE205" i="2"/>
  <c r="BD205" i="2"/>
  <c r="BC205" i="2"/>
  <c r="BB205" i="2"/>
  <c r="BA205" i="2"/>
  <c r="AZ205" i="2"/>
  <c r="AY205" i="2"/>
  <c r="AX205" i="2"/>
  <c r="AW205" i="2"/>
  <c r="AV205" i="2"/>
  <c r="AU205" i="2"/>
  <c r="AT205" i="2"/>
  <c r="AS205" i="2"/>
  <c r="AR205" i="2"/>
  <c r="AQ205" i="2"/>
  <c r="AP205" i="2"/>
  <c r="AO205" i="2"/>
  <c r="AN205" i="2"/>
  <c r="AM205" i="2"/>
  <c r="AL205" i="2"/>
  <c r="AK205" i="2"/>
  <c r="AE205" i="2"/>
  <c r="AD205" i="2"/>
  <c r="AC205" i="2"/>
  <c r="AB205" i="2"/>
  <c r="AA205" i="2"/>
  <c r="Z205" i="2"/>
  <c r="Y205" i="2"/>
  <c r="X205" i="2"/>
  <c r="W205" i="2"/>
  <c r="V205" i="2"/>
  <c r="U205" i="2"/>
  <c r="T205" i="2"/>
  <c r="S205" i="2"/>
  <c r="R205" i="2"/>
  <c r="Q205" i="2"/>
  <c r="F205" i="2"/>
  <c r="E205" i="2"/>
  <c r="D205" i="2"/>
  <c r="CA204" i="2"/>
  <c r="BZ204" i="2"/>
  <c r="BY204" i="2"/>
  <c r="BX204" i="2"/>
  <c r="BW204" i="2"/>
  <c r="BV204" i="2"/>
  <c r="BU204" i="2"/>
  <c r="BT204" i="2"/>
  <c r="BS204" i="2"/>
  <c r="BR204" i="2"/>
  <c r="BQ204" i="2"/>
  <c r="BP204" i="2"/>
  <c r="BO204" i="2"/>
  <c r="BN204" i="2"/>
  <c r="BM204" i="2"/>
  <c r="BL204" i="2"/>
  <c r="BK204" i="2"/>
  <c r="BJ204" i="2"/>
  <c r="BI204" i="2"/>
  <c r="BH204" i="2"/>
  <c r="BG204" i="2"/>
  <c r="BF204" i="2"/>
  <c r="BE204" i="2"/>
  <c r="BD204" i="2"/>
  <c r="BC204" i="2"/>
  <c r="BB204" i="2"/>
  <c r="BA204" i="2"/>
  <c r="AZ204" i="2"/>
  <c r="AY204" i="2"/>
  <c r="AX204" i="2"/>
  <c r="AW204" i="2"/>
  <c r="AV204" i="2"/>
  <c r="AU204" i="2"/>
  <c r="AT204" i="2"/>
  <c r="AS204" i="2"/>
  <c r="AR204" i="2"/>
  <c r="AQ204" i="2"/>
  <c r="AP204" i="2"/>
  <c r="AO204" i="2"/>
  <c r="AN204" i="2"/>
  <c r="AM204" i="2"/>
  <c r="AL204" i="2"/>
  <c r="AK204" i="2"/>
  <c r="AE204" i="2"/>
  <c r="AD204" i="2"/>
  <c r="AC204" i="2"/>
  <c r="AB204" i="2"/>
  <c r="AA204" i="2"/>
  <c r="Z204" i="2"/>
  <c r="Y204" i="2"/>
  <c r="X204" i="2"/>
  <c r="W204" i="2"/>
  <c r="V204" i="2"/>
  <c r="U204" i="2"/>
  <c r="T204" i="2"/>
  <c r="S204" i="2"/>
  <c r="R204" i="2"/>
  <c r="Q204" i="2"/>
  <c r="F204" i="2"/>
  <c r="E204" i="2"/>
  <c r="D204" i="2"/>
  <c r="CA203" i="2"/>
  <c r="BZ203" i="2"/>
  <c r="BY203" i="2"/>
  <c r="BX203" i="2"/>
  <c r="BW203" i="2"/>
  <c r="BV203" i="2"/>
  <c r="BU203" i="2"/>
  <c r="BT203" i="2"/>
  <c r="BS203" i="2"/>
  <c r="BR203" i="2"/>
  <c r="BQ203" i="2"/>
  <c r="BP203" i="2"/>
  <c r="BO203" i="2"/>
  <c r="BN203" i="2"/>
  <c r="BM203" i="2"/>
  <c r="BL203" i="2"/>
  <c r="BK203" i="2"/>
  <c r="BJ203" i="2"/>
  <c r="BI203" i="2"/>
  <c r="BH203" i="2"/>
  <c r="BG203" i="2"/>
  <c r="BF203" i="2"/>
  <c r="BE203" i="2"/>
  <c r="BD203" i="2"/>
  <c r="BC203" i="2"/>
  <c r="BB203" i="2"/>
  <c r="BA203" i="2"/>
  <c r="AZ203" i="2"/>
  <c r="AY203" i="2"/>
  <c r="AX203" i="2"/>
  <c r="AW203" i="2"/>
  <c r="AV203" i="2"/>
  <c r="AU203" i="2"/>
  <c r="AT203" i="2"/>
  <c r="AS203" i="2"/>
  <c r="AR203" i="2"/>
  <c r="AQ203" i="2"/>
  <c r="AP203" i="2"/>
  <c r="AO203" i="2"/>
  <c r="AN203" i="2"/>
  <c r="AM203" i="2"/>
  <c r="AL203" i="2"/>
  <c r="AK203" i="2"/>
  <c r="AE203" i="2"/>
  <c r="AD203" i="2"/>
  <c r="AC203" i="2"/>
  <c r="AB203" i="2"/>
  <c r="AA203" i="2"/>
  <c r="Z203" i="2"/>
  <c r="Y203" i="2"/>
  <c r="X203" i="2"/>
  <c r="W203" i="2"/>
  <c r="V203" i="2"/>
  <c r="U203" i="2"/>
  <c r="T203" i="2"/>
  <c r="S203" i="2"/>
  <c r="R203" i="2"/>
  <c r="Q203" i="2"/>
  <c r="F203" i="2"/>
  <c r="E203" i="2"/>
  <c r="D203" i="2"/>
  <c r="CA202" i="2"/>
  <c r="BZ202" i="2"/>
  <c r="BY202" i="2"/>
  <c r="BX202" i="2"/>
  <c r="BW202" i="2"/>
  <c r="BV202" i="2"/>
  <c r="BU202" i="2"/>
  <c r="BT202" i="2"/>
  <c r="BS202" i="2"/>
  <c r="BR202" i="2"/>
  <c r="BQ202" i="2"/>
  <c r="BP202" i="2"/>
  <c r="BO202" i="2"/>
  <c r="BN202" i="2"/>
  <c r="BM202" i="2"/>
  <c r="BL202" i="2"/>
  <c r="BK202" i="2"/>
  <c r="BJ202" i="2"/>
  <c r="BI202" i="2"/>
  <c r="BH202" i="2"/>
  <c r="BG202" i="2"/>
  <c r="BF202" i="2"/>
  <c r="BE202" i="2"/>
  <c r="BD202" i="2"/>
  <c r="BC202" i="2"/>
  <c r="BB202" i="2"/>
  <c r="BA202" i="2"/>
  <c r="AZ202" i="2"/>
  <c r="AY202" i="2"/>
  <c r="AX202" i="2"/>
  <c r="AW202" i="2"/>
  <c r="AV202" i="2"/>
  <c r="AU202" i="2"/>
  <c r="AT202" i="2"/>
  <c r="AS202" i="2"/>
  <c r="AR202" i="2"/>
  <c r="AQ202" i="2"/>
  <c r="AP202" i="2"/>
  <c r="AO202" i="2"/>
  <c r="AN202" i="2"/>
  <c r="AM202" i="2"/>
  <c r="AL202" i="2"/>
  <c r="AK202" i="2"/>
  <c r="AE202" i="2"/>
  <c r="AD202" i="2"/>
  <c r="AC202" i="2"/>
  <c r="AB202" i="2"/>
  <c r="AA202" i="2"/>
  <c r="Z202" i="2"/>
  <c r="Y202" i="2"/>
  <c r="X202" i="2"/>
  <c r="W202" i="2"/>
  <c r="V202" i="2"/>
  <c r="U202" i="2"/>
  <c r="T202" i="2"/>
  <c r="S202" i="2"/>
  <c r="R202" i="2"/>
  <c r="Q202" i="2"/>
  <c r="F202" i="2"/>
  <c r="E202" i="2"/>
  <c r="D202" i="2"/>
  <c r="CA201" i="2"/>
  <c r="BZ201" i="2"/>
  <c r="BY201" i="2"/>
  <c r="BX201" i="2"/>
  <c r="BW201" i="2"/>
  <c r="BV201" i="2"/>
  <c r="BU201" i="2"/>
  <c r="BT201" i="2"/>
  <c r="BS201" i="2"/>
  <c r="BR201" i="2"/>
  <c r="BQ201" i="2"/>
  <c r="BP201" i="2"/>
  <c r="BO201" i="2"/>
  <c r="BN201" i="2"/>
  <c r="BM201" i="2"/>
  <c r="BL201" i="2"/>
  <c r="BK201" i="2"/>
  <c r="BJ201" i="2"/>
  <c r="BI201" i="2"/>
  <c r="BH201" i="2"/>
  <c r="BG201" i="2"/>
  <c r="BF201" i="2"/>
  <c r="BE201" i="2"/>
  <c r="BD201" i="2"/>
  <c r="BC201" i="2"/>
  <c r="BB201" i="2"/>
  <c r="BA201" i="2"/>
  <c r="AZ201" i="2"/>
  <c r="AY201" i="2"/>
  <c r="AX201" i="2"/>
  <c r="AW201" i="2"/>
  <c r="AV201" i="2"/>
  <c r="AU201" i="2"/>
  <c r="AT201" i="2"/>
  <c r="AS201" i="2"/>
  <c r="AR201" i="2"/>
  <c r="AQ201" i="2"/>
  <c r="AP201" i="2"/>
  <c r="AO201" i="2"/>
  <c r="AN201" i="2"/>
  <c r="AM201" i="2"/>
  <c r="AL201" i="2"/>
  <c r="AK201" i="2"/>
  <c r="AE201" i="2"/>
  <c r="AD201" i="2"/>
  <c r="AC201" i="2"/>
  <c r="AB201" i="2"/>
  <c r="AA201" i="2"/>
  <c r="Z201" i="2"/>
  <c r="Y201" i="2"/>
  <c r="X201" i="2"/>
  <c r="W201" i="2"/>
  <c r="V201" i="2"/>
  <c r="U201" i="2"/>
  <c r="T201" i="2"/>
  <c r="S201" i="2"/>
  <c r="R201" i="2"/>
  <c r="Q201" i="2"/>
  <c r="F201" i="2"/>
  <c r="E201" i="2"/>
  <c r="D201" i="2"/>
  <c r="CA200" i="2"/>
  <c r="BZ200" i="2"/>
  <c r="BY200" i="2"/>
  <c r="BX200" i="2"/>
  <c r="BW200" i="2"/>
  <c r="BV200" i="2"/>
  <c r="BU200" i="2"/>
  <c r="BT200" i="2"/>
  <c r="BS200" i="2"/>
  <c r="BR200" i="2"/>
  <c r="BQ200" i="2"/>
  <c r="BP200" i="2"/>
  <c r="BO200" i="2"/>
  <c r="BN200" i="2"/>
  <c r="BM200" i="2"/>
  <c r="BL200" i="2"/>
  <c r="BK200" i="2"/>
  <c r="BJ200" i="2"/>
  <c r="BI200" i="2"/>
  <c r="BH200" i="2"/>
  <c r="BG200" i="2"/>
  <c r="BF200" i="2"/>
  <c r="BE200" i="2"/>
  <c r="BD200" i="2"/>
  <c r="BC200" i="2"/>
  <c r="BB200" i="2"/>
  <c r="BA200" i="2"/>
  <c r="AZ200" i="2"/>
  <c r="AY200" i="2"/>
  <c r="AX200" i="2"/>
  <c r="AW200" i="2"/>
  <c r="AV200" i="2"/>
  <c r="AU200" i="2"/>
  <c r="AT200" i="2"/>
  <c r="AS200" i="2"/>
  <c r="AR200" i="2"/>
  <c r="AQ200" i="2"/>
  <c r="AP200" i="2"/>
  <c r="AO200" i="2"/>
  <c r="AN200" i="2"/>
  <c r="AM200" i="2"/>
  <c r="AL200" i="2"/>
  <c r="AK200" i="2"/>
  <c r="AE200" i="2"/>
  <c r="AD200" i="2"/>
  <c r="AC200" i="2"/>
  <c r="AB200" i="2"/>
  <c r="AA200" i="2"/>
  <c r="Z200" i="2"/>
  <c r="Y200" i="2"/>
  <c r="X200" i="2"/>
  <c r="W200" i="2"/>
  <c r="V200" i="2"/>
  <c r="U200" i="2"/>
  <c r="T200" i="2"/>
  <c r="S200" i="2"/>
  <c r="R200" i="2"/>
  <c r="Q200" i="2"/>
  <c r="F200" i="2"/>
  <c r="E200" i="2"/>
  <c r="D200" i="2"/>
  <c r="CA199" i="2"/>
  <c r="BZ199" i="2"/>
  <c r="BY199" i="2"/>
  <c r="BX199" i="2"/>
  <c r="BW199" i="2"/>
  <c r="BV199" i="2"/>
  <c r="BU199" i="2"/>
  <c r="BT199" i="2"/>
  <c r="BS199" i="2"/>
  <c r="BR199" i="2"/>
  <c r="BQ199" i="2"/>
  <c r="BP199" i="2"/>
  <c r="BO199" i="2"/>
  <c r="BN199" i="2"/>
  <c r="BM199" i="2"/>
  <c r="BL199" i="2"/>
  <c r="BK199" i="2"/>
  <c r="BJ199" i="2"/>
  <c r="BI199" i="2"/>
  <c r="BH199" i="2"/>
  <c r="BG199" i="2"/>
  <c r="BF199" i="2"/>
  <c r="BE199" i="2"/>
  <c r="BD199" i="2"/>
  <c r="BC199" i="2"/>
  <c r="BB199" i="2"/>
  <c r="BA199" i="2"/>
  <c r="AZ199" i="2"/>
  <c r="AY199" i="2"/>
  <c r="AX199" i="2"/>
  <c r="AW199" i="2"/>
  <c r="AV199" i="2"/>
  <c r="AU199" i="2"/>
  <c r="AT199" i="2"/>
  <c r="AS199" i="2"/>
  <c r="AR199" i="2"/>
  <c r="AQ199" i="2"/>
  <c r="AP199" i="2"/>
  <c r="AO199" i="2"/>
  <c r="AN199" i="2"/>
  <c r="AM199" i="2"/>
  <c r="AL199" i="2"/>
  <c r="AK199" i="2"/>
  <c r="AE199" i="2"/>
  <c r="AD199" i="2"/>
  <c r="AC199" i="2"/>
  <c r="AB199" i="2"/>
  <c r="AA199" i="2"/>
  <c r="Z199" i="2"/>
  <c r="Y199" i="2"/>
  <c r="X199" i="2"/>
  <c r="W199" i="2"/>
  <c r="V199" i="2"/>
  <c r="U199" i="2"/>
  <c r="T199" i="2"/>
  <c r="S199" i="2"/>
  <c r="R199" i="2"/>
  <c r="Q199" i="2"/>
  <c r="F199" i="2"/>
  <c r="E199" i="2"/>
  <c r="D199" i="2"/>
  <c r="CA198" i="2"/>
  <c r="BZ198" i="2"/>
  <c r="BY198" i="2"/>
  <c r="BX198" i="2"/>
  <c r="BW198" i="2"/>
  <c r="BV198" i="2"/>
  <c r="BU198" i="2"/>
  <c r="BT198" i="2"/>
  <c r="BS198" i="2"/>
  <c r="BR198" i="2"/>
  <c r="BQ198" i="2"/>
  <c r="BP198" i="2"/>
  <c r="BO198" i="2"/>
  <c r="BN198" i="2"/>
  <c r="BM198" i="2"/>
  <c r="BL198" i="2"/>
  <c r="BK198" i="2"/>
  <c r="BJ198" i="2"/>
  <c r="BI198" i="2"/>
  <c r="BH198" i="2"/>
  <c r="BG198" i="2"/>
  <c r="BF198" i="2"/>
  <c r="BE198" i="2"/>
  <c r="BD198" i="2"/>
  <c r="BC198" i="2"/>
  <c r="BB198" i="2"/>
  <c r="BA198" i="2"/>
  <c r="AZ198" i="2"/>
  <c r="AY198" i="2"/>
  <c r="AX198" i="2"/>
  <c r="AW198" i="2"/>
  <c r="AV198" i="2"/>
  <c r="AU198" i="2"/>
  <c r="AT198" i="2"/>
  <c r="AS198" i="2"/>
  <c r="AR198" i="2"/>
  <c r="AQ198" i="2"/>
  <c r="AP198" i="2"/>
  <c r="AO198" i="2"/>
  <c r="AN198" i="2"/>
  <c r="AM198" i="2"/>
  <c r="AL198" i="2"/>
  <c r="AK198" i="2"/>
  <c r="AE198" i="2"/>
  <c r="AD198" i="2"/>
  <c r="AC198" i="2"/>
  <c r="AB198" i="2"/>
  <c r="AA198" i="2"/>
  <c r="Z198" i="2"/>
  <c r="Y198" i="2"/>
  <c r="X198" i="2"/>
  <c r="W198" i="2"/>
  <c r="V198" i="2"/>
  <c r="U198" i="2"/>
  <c r="T198" i="2"/>
  <c r="S198" i="2"/>
  <c r="R198" i="2"/>
  <c r="Q198" i="2"/>
  <c r="F198" i="2"/>
  <c r="E198" i="2"/>
  <c r="D198" i="2"/>
  <c r="CA197" i="2"/>
  <c r="BZ197" i="2"/>
  <c r="BY197" i="2"/>
  <c r="BX197" i="2"/>
  <c r="BW197" i="2"/>
  <c r="BV197" i="2"/>
  <c r="BU197" i="2"/>
  <c r="BT197" i="2"/>
  <c r="BS197" i="2"/>
  <c r="BR197" i="2"/>
  <c r="BQ197" i="2"/>
  <c r="BP197" i="2"/>
  <c r="BO197" i="2"/>
  <c r="BN197" i="2"/>
  <c r="BM197" i="2"/>
  <c r="BL197" i="2"/>
  <c r="BK197" i="2"/>
  <c r="BJ197" i="2"/>
  <c r="BI197" i="2"/>
  <c r="BH197" i="2"/>
  <c r="BG197" i="2"/>
  <c r="BF197" i="2"/>
  <c r="BE197" i="2"/>
  <c r="BD197" i="2"/>
  <c r="BC197" i="2"/>
  <c r="BB197" i="2"/>
  <c r="BA197" i="2"/>
  <c r="AZ197" i="2"/>
  <c r="AY197" i="2"/>
  <c r="AX197" i="2"/>
  <c r="AW197" i="2"/>
  <c r="AV197" i="2"/>
  <c r="AU197" i="2"/>
  <c r="AT197" i="2"/>
  <c r="AS197" i="2"/>
  <c r="AR197" i="2"/>
  <c r="AQ197" i="2"/>
  <c r="AP197" i="2"/>
  <c r="AO197" i="2"/>
  <c r="AN197" i="2"/>
  <c r="AM197" i="2"/>
  <c r="AL197" i="2"/>
  <c r="AK197" i="2"/>
  <c r="AE197" i="2"/>
  <c r="AD197" i="2"/>
  <c r="AC197" i="2"/>
  <c r="AB197" i="2"/>
  <c r="AA197" i="2"/>
  <c r="Z197" i="2"/>
  <c r="Y197" i="2"/>
  <c r="X197" i="2"/>
  <c r="W197" i="2"/>
  <c r="V197" i="2"/>
  <c r="U197" i="2"/>
  <c r="T197" i="2"/>
  <c r="S197" i="2"/>
  <c r="R197" i="2"/>
  <c r="Q197" i="2"/>
  <c r="F197" i="2"/>
  <c r="E197" i="2"/>
  <c r="D197" i="2"/>
  <c r="CA196" i="2"/>
  <c r="BZ196" i="2"/>
  <c r="BY196" i="2"/>
  <c r="BX196" i="2"/>
  <c r="BW196" i="2"/>
  <c r="BV196" i="2"/>
  <c r="BU196" i="2"/>
  <c r="BT196" i="2"/>
  <c r="BS196" i="2"/>
  <c r="BR196" i="2"/>
  <c r="BQ196" i="2"/>
  <c r="BP196" i="2"/>
  <c r="BO196" i="2"/>
  <c r="BN196" i="2"/>
  <c r="BM196" i="2"/>
  <c r="BL196" i="2"/>
  <c r="BK196" i="2"/>
  <c r="BJ196" i="2"/>
  <c r="BI196" i="2"/>
  <c r="BH196" i="2"/>
  <c r="BG196" i="2"/>
  <c r="BF196" i="2"/>
  <c r="BE196" i="2"/>
  <c r="BD196" i="2"/>
  <c r="BC196" i="2"/>
  <c r="BB196" i="2"/>
  <c r="BA196" i="2"/>
  <c r="AZ196" i="2"/>
  <c r="AY196" i="2"/>
  <c r="AX196" i="2"/>
  <c r="AW196" i="2"/>
  <c r="AV196" i="2"/>
  <c r="AU196" i="2"/>
  <c r="AT196" i="2"/>
  <c r="AS196" i="2"/>
  <c r="AR196" i="2"/>
  <c r="AQ196" i="2"/>
  <c r="AP196" i="2"/>
  <c r="AO196" i="2"/>
  <c r="AN196" i="2"/>
  <c r="AM196" i="2"/>
  <c r="AL196" i="2"/>
  <c r="AK196" i="2"/>
  <c r="AE196" i="2"/>
  <c r="AD196" i="2"/>
  <c r="AC196" i="2"/>
  <c r="AB196" i="2"/>
  <c r="AA196" i="2"/>
  <c r="Z196" i="2"/>
  <c r="Y196" i="2"/>
  <c r="X196" i="2"/>
  <c r="W196" i="2"/>
  <c r="V196" i="2"/>
  <c r="U196" i="2"/>
  <c r="T196" i="2"/>
  <c r="S196" i="2"/>
  <c r="R196" i="2"/>
  <c r="Q196" i="2"/>
  <c r="F196" i="2"/>
  <c r="E196" i="2"/>
  <c r="D196" i="2"/>
  <c r="CA195" i="2"/>
  <c r="BZ195" i="2"/>
  <c r="BY195" i="2"/>
  <c r="BX195" i="2"/>
  <c r="BW195" i="2"/>
  <c r="BV195" i="2"/>
  <c r="BU195" i="2"/>
  <c r="BT195" i="2"/>
  <c r="BS195" i="2"/>
  <c r="BR195" i="2"/>
  <c r="BQ195" i="2"/>
  <c r="BP195" i="2"/>
  <c r="BO195" i="2"/>
  <c r="BN195" i="2"/>
  <c r="BM195" i="2"/>
  <c r="BL195" i="2"/>
  <c r="BK195" i="2"/>
  <c r="BJ195" i="2"/>
  <c r="BI195" i="2"/>
  <c r="BH195" i="2"/>
  <c r="BG195" i="2"/>
  <c r="BF195" i="2"/>
  <c r="BE195" i="2"/>
  <c r="BD195" i="2"/>
  <c r="BC195" i="2"/>
  <c r="BB195" i="2"/>
  <c r="BA195" i="2"/>
  <c r="AZ195" i="2"/>
  <c r="AY195" i="2"/>
  <c r="AX195" i="2"/>
  <c r="AW195" i="2"/>
  <c r="AV195" i="2"/>
  <c r="AU195" i="2"/>
  <c r="AT195" i="2"/>
  <c r="AS195" i="2"/>
  <c r="AR195" i="2"/>
  <c r="AQ195" i="2"/>
  <c r="AP195" i="2"/>
  <c r="AO195" i="2"/>
  <c r="AN195" i="2"/>
  <c r="AM195" i="2"/>
  <c r="AL195" i="2"/>
  <c r="AK195" i="2"/>
  <c r="AE195" i="2"/>
  <c r="AD195" i="2"/>
  <c r="AC195" i="2"/>
  <c r="AB195" i="2"/>
  <c r="AA195" i="2"/>
  <c r="Z195" i="2"/>
  <c r="Y195" i="2"/>
  <c r="X195" i="2"/>
  <c r="W195" i="2"/>
  <c r="V195" i="2"/>
  <c r="U195" i="2"/>
  <c r="T195" i="2"/>
  <c r="S195" i="2"/>
  <c r="R195" i="2"/>
  <c r="Q195" i="2"/>
  <c r="F195" i="2"/>
  <c r="E195" i="2"/>
  <c r="D195" i="2"/>
  <c r="CA194" i="2"/>
  <c r="BZ194" i="2"/>
  <c r="BY194" i="2"/>
  <c r="BX194" i="2"/>
  <c r="BW194" i="2"/>
  <c r="BV194" i="2"/>
  <c r="BU194" i="2"/>
  <c r="BT194" i="2"/>
  <c r="BS194" i="2"/>
  <c r="BR194" i="2"/>
  <c r="BQ194" i="2"/>
  <c r="BP194" i="2"/>
  <c r="BO194" i="2"/>
  <c r="BN194" i="2"/>
  <c r="BM194" i="2"/>
  <c r="BL194" i="2"/>
  <c r="BK194" i="2"/>
  <c r="BJ194" i="2"/>
  <c r="BI194" i="2"/>
  <c r="BH194" i="2"/>
  <c r="BG194" i="2"/>
  <c r="BF194" i="2"/>
  <c r="BE194" i="2"/>
  <c r="BD194" i="2"/>
  <c r="BC194" i="2"/>
  <c r="BB194" i="2"/>
  <c r="BA194" i="2"/>
  <c r="AZ194" i="2"/>
  <c r="AY194" i="2"/>
  <c r="AX194" i="2"/>
  <c r="AW194" i="2"/>
  <c r="AV194" i="2"/>
  <c r="AU194" i="2"/>
  <c r="AT194" i="2"/>
  <c r="AS194" i="2"/>
  <c r="AR194" i="2"/>
  <c r="AQ194" i="2"/>
  <c r="AP194" i="2"/>
  <c r="AO194" i="2"/>
  <c r="AN194" i="2"/>
  <c r="AM194" i="2"/>
  <c r="AL194" i="2"/>
  <c r="AK194" i="2"/>
  <c r="AE194" i="2"/>
  <c r="AD194" i="2"/>
  <c r="AC194" i="2"/>
  <c r="AB194" i="2"/>
  <c r="AA194" i="2"/>
  <c r="Z194" i="2"/>
  <c r="Y194" i="2"/>
  <c r="X194" i="2"/>
  <c r="W194" i="2"/>
  <c r="V194" i="2"/>
  <c r="U194" i="2"/>
  <c r="T194" i="2"/>
  <c r="S194" i="2"/>
  <c r="R194" i="2"/>
  <c r="Q194" i="2"/>
  <c r="F194" i="2"/>
  <c r="E194" i="2"/>
  <c r="D194" i="2"/>
  <c r="CA193" i="2"/>
  <c r="BZ193" i="2"/>
  <c r="BY193" i="2"/>
  <c r="BX193" i="2"/>
  <c r="BW193" i="2"/>
  <c r="BV193" i="2"/>
  <c r="BU193" i="2"/>
  <c r="BT193" i="2"/>
  <c r="BS193" i="2"/>
  <c r="BR193" i="2"/>
  <c r="BQ193" i="2"/>
  <c r="BP193" i="2"/>
  <c r="BO193" i="2"/>
  <c r="BN193" i="2"/>
  <c r="BM193" i="2"/>
  <c r="BL193" i="2"/>
  <c r="BK193" i="2"/>
  <c r="BJ193" i="2"/>
  <c r="BI193" i="2"/>
  <c r="BH193" i="2"/>
  <c r="BG193" i="2"/>
  <c r="BF193" i="2"/>
  <c r="BE193" i="2"/>
  <c r="BD193" i="2"/>
  <c r="BC193" i="2"/>
  <c r="BB193" i="2"/>
  <c r="BA193" i="2"/>
  <c r="AZ193" i="2"/>
  <c r="AY193" i="2"/>
  <c r="AX193" i="2"/>
  <c r="AW193" i="2"/>
  <c r="AV193" i="2"/>
  <c r="AU193" i="2"/>
  <c r="AT193" i="2"/>
  <c r="AS193" i="2"/>
  <c r="AR193" i="2"/>
  <c r="AQ193" i="2"/>
  <c r="AP193" i="2"/>
  <c r="AO193" i="2"/>
  <c r="AN193" i="2"/>
  <c r="AM193" i="2"/>
  <c r="AL193" i="2"/>
  <c r="AK193" i="2"/>
  <c r="AE193" i="2"/>
  <c r="AD193" i="2"/>
  <c r="AC193" i="2"/>
  <c r="AB193" i="2"/>
  <c r="AA193" i="2"/>
  <c r="Z193" i="2"/>
  <c r="Y193" i="2"/>
  <c r="X193" i="2"/>
  <c r="W193" i="2"/>
  <c r="V193" i="2"/>
  <c r="U193" i="2"/>
  <c r="T193" i="2"/>
  <c r="S193" i="2"/>
  <c r="R193" i="2"/>
  <c r="Q193" i="2"/>
  <c r="F193" i="2"/>
  <c r="E193" i="2"/>
  <c r="D193" i="2"/>
  <c r="CA192" i="2"/>
  <c r="BZ192" i="2"/>
  <c r="BY192" i="2"/>
  <c r="BX192" i="2"/>
  <c r="BW192" i="2"/>
  <c r="BV192" i="2"/>
  <c r="BU192" i="2"/>
  <c r="BT192" i="2"/>
  <c r="BS192" i="2"/>
  <c r="BR192" i="2"/>
  <c r="BQ192" i="2"/>
  <c r="BP192" i="2"/>
  <c r="BO192" i="2"/>
  <c r="BN192" i="2"/>
  <c r="BM192" i="2"/>
  <c r="BL192" i="2"/>
  <c r="BK192" i="2"/>
  <c r="BJ192" i="2"/>
  <c r="BI192" i="2"/>
  <c r="BH192" i="2"/>
  <c r="BG192" i="2"/>
  <c r="BF192" i="2"/>
  <c r="BE192" i="2"/>
  <c r="BD192" i="2"/>
  <c r="BC192" i="2"/>
  <c r="BB192" i="2"/>
  <c r="BA192" i="2"/>
  <c r="AZ192" i="2"/>
  <c r="AY192" i="2"/>
  <c r="AX192" i="2"/>
  <c r="AW192" i="2"/>
  <c r="AV192" i="2"/>
  <c r="AU192" i="2"/>
  <c r="AT192" i="2"/>
  <c r="AS192" i="2"/>
  <c r="AR192" i="2"/>
  <c r="AQ192" i="2"/>
  <c r="AP192" i="2"/>
  <c r="AO192" i="2"/>
  <c r="AN192" i="2"/>
  <c r="AM192" i="2"/>
  <c r="AL192" i="2"/>
  <c r="AK192" i="2"/>
  <c r="AE192" i="2"/>
  <c r="AD192" i="2"/>
  <c r="AC192" i="2"/>
  <c r="AB192" i="2"/>
  <c r="AA192" i="2"/>
  <c r="Z192" i="2"/>
  <c r="Y192" i="2"/>
  <c r="X192" i="2"/>
  <c r="W192" i="2"/>
  <c r="V192" i="2"/>
  <c r="U192" i="2"/>
  <c r="T192" i="2"/>
  <c r="S192" i="2"/>
  <c r="R192" i="2"/>
  <c r="Q192" i="2"/>
  <c r="F192" i="2"/>
  <c r="E192" i="2"/>
  <c r="D192" i="2"/>
  <c r="CA191" i="2"/>
  <c r="BZ191" i="2"/>
  <c r="BY191" i="2"/>
  <c r="BX191" i="2"/>
  <c r="BW191" i="2"/>
  <c r="BV191" i="2"/>
  <c r="BU191" i="2"/>
  <c r="BT191" i="2"/>
  <c r="BS191" i="2"/>
  <c r="BR191" i="2"/>
  <c r="BQ191" i="2"/>
  <c r="BP191" i="2"/>
  <c r="BO191" i="2"/>
  <c r="BN191" i="2"/>
  <c r="BM191" i="2"/>
  <c r="BL191" i="2"/>
  <c r="BK191" i="2"/>
  <c r="BJ191" i="2"/>
  <c r="BI191" i="2"/>
  <c r="BH191" i="2"/>
  <c r="BG191" i="2"/>
  <c r="BF191" i="2"/>
  <c r="BE191" i="2"/>
  <c r="BD191" i="2"/>
  <c r="BC191" i="2"/>
  <c r="BB191" i="2"/>
  <c r="BA191" i="2"/>
  <c r="AZ191" i="2"/>
  <c r="AY191" i="2"/>
  <c r="AX191" i="2"/>
  <c r="AW191" i="2"/>
  <c r="AV191" i="2"/>
  <c r="AU191" i="2"/>
  <c r="AT191" i="2"/>
  <c r="AS191" i="2"/>
  <c r="AR191" i="2"/>
  <c r="AQ191" i="2"/>
  <c r="AP191" i="2"/>
  <c r="AO191" i="2"/>
  <c r="AN191" i="2"/>
  <c r="AM191" i="2"/>
  <c r="AL191" i="2"/>
  <c r="AK191" i="2"/>
  <c r="AE191" i="2"/>
  <c r="AD191" i="2"/>
  <c r="AC191" i="2"/>
  <c r="AB191" i="2"/>
  <c r="AA191" i="2"/>
  <c r="Z191" i="2"/>
  <c r="Y191" i="2"/>
  <c r="X191" i="2"/>
  <c r="W191" i="2"/>
  <c r="V191" i="2"/>
  <c r="U191" i="2"/>
  <c r="T191" i="2"/>
  <c r="S191" i="2"/>
  <c r="R191" i="2"/>
  <c r="Q191" i="2"/>
  <c r="F191" i="2"/>
  <c r="E191" i="2"/>
  <c r="D191" i="2"/>
  <c r="CA190" i="2"/>
  <c r="BZ190" i="2"/>
  <c r="BY190" i="2"/>
  <c r="BX190" i="2"/>
  <c r="BW190" i="2"/>
  <c r="BV190" i="2"/>
  <c r="BU190" i="2"/>
  <c r="BT190" i="2"/>
  <c r="BS190" i="2"/>
  <c r="BR190" i="2"/>
  <c r="BQ190" i="2"/>
  <c r="BP190" i="2"/>
  <c r="BO190" i="2"/>
  <c r="BN190" i="2"/>
  <c r="BM190" i="2"/>
  <c r="BL190" i="2"/>
  <c r="BK190" i="2"/>
  <c r="BJ190" i="2"/>
  <c r="BI190" i="2"/>
  <c r="BH190" i="2"/>
  <c r="BG190" i="2"/>
  <c r="BF190" i="2"/>
  <c r="BE190" i="2"/>
  <c r="BD190" i="2"/>
  <c r="BC190" i="2"/>
  <c r="BB190" i="2"/>
  <c r="BA190" i="2"/>
  <c r="AZ190" i="2"/>
  <c r="AY190" i="2"/>
  <c r="AX190" i="2"/>
  <c r="AW190" i="2"/>
  <c r="AV190" i="2"/>
  <c r="AU190" i="2"/>
  <c r="AT190" i="2"/>
  <c r="AS190" i="2"/>
  <c r="AR190" i="2"/>
  <c r="AQ190" i="2"/>
  <c r="AP190" i="2"/>
  <c r="AO190" i="2"/>
  <c r="AN190" i="2"/>
  <c r="AM190" i="2"/>
  <c r="AL190" i="2"/>
  <c r="AK190" i="2"/>
  <c r="AE190" i="2"/>
  <c r="AD190" i="2"/>
  <c r="AC190" i="2"/>
  <c r="AB190" i="2"/>
  <c r="AA190" i="2"/>
  <c r="Z190" i="2"/>
  <c r="Y190" i="2"/>
  <c r="X190" i="2"/>
  <c r="W190" i="2"/>
  <c r="V190" i="2"/>
  <c r="U190" i="2"/>
  <c r="T190" i="2"/>
  <c r="S190" i="2"/>
  <c r="R190" i="2"/>
  <c r="Q190" i="2"/>
  <c r="F190" i="2"/>
  <c r="E190" i="2"/>
  <c r="D190" i="2"/>
  <c r="CA189" i="2"/>
  <c r="BZ189" i="2"/>
  <c r="BY189" i="2"/>
  <c r="BX189" i="2"/>
  <c r="BW189" i="2"/>
  <c r="BV189" i="2"/>
  <c r="BU189" i="2"/>
  <c r="BT189" i="2"/>
  <c r="BS189" i="2"/>
  <c r="BR189" i="2"/>
  <c r="BQ189" i="2"/>
  <c r="BP189" i="2"/>
  <c r="BO189" i="2"/>
  <c r="BN189" i="2"/>
  <c r="BM189" i="2"/>
  <c r="BL189" i="2"/>
  <c r="BK189" i="2"/>
  <c r="BJ189" i="2"/>
  <c r="BI189" i="2"/>
  <c r="BH189" i="2"/>
  <c r="BG189" i="2"/>
  <c r="BF189" i="2"/>
  <c r="BE189" i="2"/>
  <c r="BD189" i="2"/>
  <c r="BC189" i="2"/>
  <c r="BB189" i="2"/>
  <c r="BA189" i="2"/>
  <c r="AZ189" i="2"/>
  <c r="AY189" i="2"/>
  <c r="AX189" i="2"/>
  <c r="AW189" i="2"/>
  <c r="AV189" i="2"/>
  <c r="AU189" i="2"/>
  <c r="AT189" i="2"/>
  <c r="AS189" i="2"/>
  <c r="AR189" i="2"/>
  <c r="AQ189" i="2"/>
  <c r="AP189" i="2"/>
  <c r="AO189" i="2"/>
  <c r="AN189" i="2"/>
  <c r="AM189" i="2"/>
  <c r="AL189" i="2"/>
  <c r="AK189" i="2"/>
  <c r="AE189" i="2"/>
  <c r="AD189" i="2"/>
  <c r="AC189" i="2"/>
  <c r="AB189" i="2"/>
  <c r="AA189" i="2"/>
  <c r="Z189" i="2"/>
  <c r="Y189" i="2"/>
  <c r="X189" i="2"/>
  <c r="W189" i="2"/>
  <c r="V189" i="2"/>
  <c r="U189" i="2"/>
  <c r="T189" i="2"/>
  <c r="S189" i="2"/>
  <c r="R189" i="2"/>
  <c r="Q189" i="2"/>
  <c r="F189" i="2"/>
  <c r="E189" i="2"/>
  <c r="D189" i="2"/>
  <c r="CA188" i="2"/>
  <c r="BZ188" i="2"/>
  <c r="BY188" i="2"/>
  <c r="BX188" i="2"/>
  <c r="BW188" i="2"/>
  <c r="BV188" i="2"/>
  <c r="BU188" i="2"/>
  <c r="BT188" i="2"/>
  <c r="BS188" i="2"/>
  <c r="BR188" i="2"/>
  <c r="BQ188" i="2"/>
  <c r="BP188" i="2"/>
  <c r="BO188" i="2"/>
  <c r="BN188" i="2"/>
  <c r="BM188" i="2"/>
  <c r="BL188" i="2"/>
  <c r="BK188" i="2"/>
  <c r="BJ188" i="2"/>
  <c r="BI188" i="2"/>
  <c r="BH188" i="2"/>
  <c r="BG188" i="2"/>
  <c r="BF188" i="2"/>
  <c r="BE188" i="2"/>
  <c r="BD188" i="2"/>
  <c r="BC188" i="2"/>
  <c r="BB188" i="2"/>
  <c r="BA188" i="2"/>
  <c r="AZ188" i="2"/>
  <c r="AY188" i="2"/>
  <c r="AX188" i="2"/>
  <c r="AW188" i="2"/>
  <c r="AV188" i="2"/>
  <c r="AU188" i="2"/>
  <c r="AT188" i="2"/>
  <c r="AS188" i="2"/>
  <c r="AR188" i="2"/>
  <c r="AQ188" i="2"/>
  <c r="AP188" i="2"/>
  <c r="AO188" i="2"/>
  <c r="AN188" i="2"/>
  <c r="AM188" i="2"/>
  <c r="AL188" i="2"/>
  <c r="AK188" i="2"/>
  <c r="AE188" i="2"/>
  <c r="AD188" i="2"/>
  <c r="AC188" i="2"/>
  <c r="AB188" i="2"/>
  <c r="AA188" i="2"/>
  <c r="Z188" i="2"/>
  <c r="Y188" i="2"/>
  <c r="X188" i="2"/>
  <c r="W188" i="2"/>
  <c r="V188" i="2"/>
  <c r="U188" i="2"/>
  <c r="T188" i="2"/>
  <c r="S188" i="2"/>
  <c r="R188" i="2"/>
  <c r="Q188" i="2"/>
  <c r="F188" i="2"/>
  <c r="E188" i="2"/>
  <c r="D188" i="2"/>
  <c r="CA187" i="2"/>
  <c r="BZ187" i="2"/>
  <c r="BY187" i="2"/>
  <c r="BX187" i="2"/>
  <c r="BW187" i="2"/>
  <c r="BV187" i="2"/>
  <c r="BU187" i="2"/>
  <c r="BT187" i="2"/>
  <c r="BS187" i="2"/>
  <c r="BR187" i="2"/>
  <c r="BQ187" i="2"/>
  <c r="BP187" i="2"/>
  <c r="BO187" i="2"/>
  <c r="BN187" i="2"/>
  <c r="BM187" i="2"/>
  <c r="BL187" i="2"/>
  <c r="BK187" i="2"/>
  <c r="BJ187" i="2"/>
  <c r="BI187" i="2"/>
  <c r="BH187" i="2"/>
  <c r="BG187" i="2"/>
  <c r="BF187" i="2"/>
  <c r="BE187" i="2"/>
  <c r="BD187" i="2"/>
  <c r="BC187" i="2"/>
  <c r="BB187" i="2"/>
  <c r="BA187" i="2"/>
  <c r="AZ187" i="2"/>
  <c r="AY187" i="2"/>
  <c r="AX187" i="2"/>
  <c r="AW187" i="2"/>
  <c r="AV187" i="2"/>
  <c r="AU187" i="2"/>
  <c r="AT187" i="2"/>
  <c r="AS187" i="2"/>
  <c r="AR187" i="2"/>
  <c r="AQ187" i="2"/>
  <c r="AP187" i="2"/>
  <c r="AO187" i="2"/>
  <c r="AN187" i="2"/>
  <c r="AM187" i="2"/>
  <c r="AL187" i="2"/>
  <c r="AK187" i="2"/>
  <c r="AE187" i="2"/>
  <c r="AD187" i="2"/>
  <c r="AC187" i="2"/>
  <c r="AB187" i="2"/>
  <c r="AA187" i="2"/>
  <c r="Z187" i="2"/>
  <c r="Y187" i="2"/>
  <c r="X187" i="2"/>
  <c r="W187" i="2"/>
  <c r="V187" i="2"/>
  <c r="U187" i="2"/>
  <c r="T187" i="2"/>
  <c r="S187" i="2"/>
  <c r="R187" i="2"/>
  <c r="Q187" i="2"/>
  <c r="F187" i="2"/>
  <c r="E187" i="2"/>
  <c r="D187" i="2"/>
  <c r="CA186" i="2"/>
  <c r="BZ186" i="2"/>
  <c r="BY186" i="2"/>
  <c r="BX186" i="2"/>
  <c r="BW186" i="2"/>
  <c r="BV186" i="2"/>
  <c r="BU186" i="2"/>
  <c r="BT186" i="2"/>
  <c r="BS186" i="2"/>
  <c r="BR186" i="2"/>
  <c r="BQ186" i="2"/>
  <c r="BP186" i="2"/>
  <c r="BO186" i="2"/>
  <c r="BN186" i="2"/>
  <c r="BM186" i="2"/>
  <c r="BL186" i="2"/>
  <c r="BK186" i="2"/>
  <c r="BJ186" i="2"/>
  <c r="BI186" i="2"/>
  <c r="BH186" i="2"/>
  <c r="BG186" i="2"/>
  <c r="BF186" i="2"/>
  <c r="BE186" i="2"/>
  <c r="BD186" i="2"/>
  <c r="BC186" i="2"/>
  <c r="BB186" i="2"/>
  <c r="BA186" i="2"/>
  <c r="AZ186" i="2"/>
  <c r="AY186" i="2"/>
  <c r="AX186" i="2"/>
  <c r="AW186" i="2"/>
  <c r="AV186" i="2"/>
  <c r="AU186" i="2"/>
  <c r="AT186" i="2"/>
  <c r="AS186" i="2"/>
  <c r="AR186" i="2"/>
  <c r="AQ186" i="2"/>
  <c r="AP186" i="2"/>
  <c r="AO186" i="2"/>
  <c r="AN186" i="2"/>
  <c r="AM186" i="2"/>
  <c r="AL186" i="2"/>
  <c r="AK186" i="2"/>
  <c r="AE186" i="2"/>
  <c r="AD186" i="2"/>
  <c r="AC186" i="2"/>
  <c r="AB186" i="2"/>
  <c r="AA186" i="2"/>
  <c r="Z186" i="2"/>
  <c r="Y186" i="2"/>
  <c r="X186" i="2"/>
  <c r="W186" i="2"/>
  <c r="V186" i="2"/>
  <c r="U186" i="2"/>
  <c r="T186" i="2"/>
  <c r="S186" i="2"/>
  <c r="R186" i="2"/>
  <c r="Q186" i="2"/>
  <c r="F186" i="2"/>
  <c r="E186" i="2"/>
  <c r="D186" i="2"/>
  <c r="CA185" i="2"/>
  <c r="BZ185" i="2"/>
  <c r="BY185" i="2"/>
  <c r="BX185" i="2"/>
  <c r="BW185" i="2"/>
  <c r="BV185" i="2"/>
  <c r="BU185" i="2"/>
  <c r="BT185" i="2"/>
  <c r="BS185" i="2"/>
  <c r="BR185" i="2"/>
  <c r="BQ185" i="2"/>
  <c r="BP185" i="2"/>
  <c r="BO185" i="2"/>
  <c r="BN185" i="2"/>
  <c r="BM185" i="2"/>
  <c r="BL185" i="2"/>
  <c r="BK185" i="2"/>
  <c r="BJ185" i="2"/>
  <c r="BI185" i="2"/>
  <c r="BH185" i="2"/>
  <c r="BG185" i="2"/>
  <c r="BF185" i="2"/>
  <c r="BE185" i="2"/>
  <c r="BD185" i="2"/>
  <c r="BC185" i="2"/>
  <c r="BB185" i="2"/>
  <c r="BA185" i="2"/>
  <c r="AZ185" i="2"/>
  <c r="AY185" i="2"/>
  <c r="AX185" i="2"/>
  <c r="AW185" i="2"/>
  <c r="AV185" i="2"/>
  <c r="AU185" i="2"/>
  <c r="AT185" i="2"/>
  <c r="AS185" i="2"/>
  <c r="AR185" i="2"/>
  <c r="AQ185" i="2"/>
  <c r="AP185" i="2"/>
  <c r="AO185" i="2"/>
  <c r="AN185" i="2"/>
  <c r="AM185" i="2"/>
  <c r="AL185" i="2"/>
  <c r="AK185" i="2"/>
  <c r="AE185" i="2"/>
  <c r="AD185" i="2"/>
  <c r="AC185" i="2"/>
  <c r="AB185" i="2"/>
  <c r="AA185" i="2"/>
  <c r="Z185" i="2"/>
  <c r="Y185" i="2"/>
  <c r="X185" i="2"/>
  <c r="W185" i="2"/>
  <c r="V185" i="2"/>
  <c r="U185" i="2"/>
  <c r="T185" i="2"/>
  <c r="S185" i="2"/>
  <c r="R185" i="2"/>
  <c r="Q185" i="2"/>
  <c r="F185" i="2"/>
  <c r="E185" i="2"/>
  <c r="D185" i="2"/>
  <c r="CA184" i="2"/>
  <c r="BZ184" i="2"/>
  <c r="BY184" i="2"/>
  <c r="BX184" i="2"/>
  <c r="BW184" i="2"/>
  <c r="BV184" i="2"/>
  <c r="BU184" i="2"/>
  <c r="BT184" i="2"/>
  <c r="BS184" i="2"/>
  <c r="BR184" i="2"/>
  <c r="BQ184" i="2"/>
  <c r="BP184" i="2"/>
  <c r="BO184" i="2"/>
  <c r="BN184" i="2"/>
  <c r="BM184" i="2"/>
  <c r="BL184" i="2"/>
  <c r="BK184" i="2"/>
  <c r="BJ184" i="2"/>
  <c r="BI184" i="2"/>
  <c r="BH184" i="2"/>
  <c r="BG184" i="2"/>
  <c r="BF184" i="2"/>
  <c r="BE184" i="2"/>
  <c r="BD184" i="2"/>
  <c r="BC184" i="2"/>
  <c r="BB184" i="2"/>
  <c r="BA184" i="2"/>
  <c r="AZ184" i="2"/>
  <c r="AY184" i="2"/>
  <c r="AX184" i="2"/>
  <c r="AW184" i="2"/>
  <c r="AV184" i="2"/>
  <c r="AU184" i="2"/>
  <c r="AT184" i="2"/>
  <c r="AS184" i="2"/>
  <c r="AR184" i="2"/>
  <c r="AQ184" i="2"/>
  <c r="AP184" i="2"/>
  <c r="AO184" i="2"/>
  <c r="AN184" i="2"/>
  <c r="AM184" i="2"/>
  <c r="AL184" i="2"/>
  <c r="AK184" i="2"/>
  <c r="AE184" i="2"/>
  <c r="AD184" i="2"/>
  <c r="AC184" i="2"/>
  <c r="AB184" i="2"/>
  <c r="AA184" i="2"/>
  <c r="Z184" i="2"/>
  <c r="Y184" i="2"/>
  <c r="X184" i="2"/>
  <c r="W184" i="2"/>
  <c r="V184" i="2"/>
  <c r="U184" i="2"/>
  <c r="T184" i="2"/>
  <c r="S184" i="2"/>
  <c r="R184" i="2"/>
  <c r="Q184" i="2"/>
  <c r="F184" i="2"/>
  <c r="E184" i="2"/>
  <c r="D184" i="2"/>
  <c r="CA183" i="2"/>
  <c r="BZ183" i="2"/>
  <c r="BY183" i="2"/>
  <c r="BX183" i="2"/>
  <c r="BW183" i="2"/>
  <c r="BV183" i="2"/>
  <c r="BU183" i="2"/>
  <c r="BT183" i="2"/>
  <c r="BS183" i="2"/>
  <c r="BR183" i="2"/>
  <c r="BQ183" i="2"/>
  <c r="BP183" i="2"/>
  <c r="BO183" i="2"/>
  <c r="BN183" i="2"/>
  <c r="BM183" i="2"/>
  <c r="BL183" i="2"/>
  <c r="BK183" i="2"/>
  <c r="BJ183" i="2"/>
  <c r="BI183" i="2"/>
  <c r="BH183" i="2"/>
  <c r="BG183" i="2"/>
  <c r="BF183" i="2"/>
  <c r="BE183" i="2"/>
  <c r="BD183" i="2"/>
  <c r="BC183" i="2"/>
  <c r="BB183" i="2"/>
  <c r="BA183" i="2"/>
  <c r="AZ183" i="2"/>
  <c r="AY183" i="2"/>
  <c r="AX183" i="2"/>
  <c r="AW183" i="2"/>
  <c r="AV183" i="2"/>
  <c r="AU183" i="2"/>
  <c r="AT183" i="2"/>
  <c r="AS183" i="2"/>
  <c r="AR183" i="2"/>
  <c r="AQ183" i="2"/>
  <c r="AP183" i="2"/>
  <c r="AO183" i="2"/>
  <c r="AN183" i="2"/>
  <c r="AM183" i="2"/>
  <c r="AL183" i="2"/>
  <c r="AK183" i="2"/>
  <c r="AE183" i="2"/>
  <c r="AD183" i="2"/>
  <c r="AC183" i="2"/>
  <c r="AB183" i="2"/>
  <c r="AA183" i="2"/>
  <c r="Z183" i="2"/>
  <c r="Y183" i="2"/>
  <c r="X183" i="2"/>
  <c r="W183" i="2"/>
  <c r="V183" i="2"/>
  <c r="U183" i="2"/>
  <c r="T183" i="2"/>
  <c r="S183" i="2"/>
  <c r="R183" i="2"/>
  <c r="Q183" i="2"/>
  <c r="F183" i="2"/>
  <c r="E183" i="2"/>
  <c r="D183" i="2"/>
  <c r="CA182" i="2"/>
  <c r="BZ182" i="2"/>
  <c r="BY182" i="2"/>
  <c r="BX182" i="2"/>
  <c r="BW182" i="2"/>
  <c r="BV182" i="2"/>
  <c r="BU182" i="2"/>
  <c r="BT182" i="2"/>
  <c r="BS182" i="2"/>
  <c r="BR182" i="2"/>
  <c r="BQ182" i="2"/>
  <c r="BP182" i="2"/>
  <c r="BO182" i="2"/>
  <c r="BN182" i="2"/>
  <c r="BM182" i="2"/>
  <c r="BL182" i="2"/>
  <c r="BK182" i="2"/>
  <c r="BJ182" i="2"/>
  <c r="BI182" i="2"/>
  <c r="BH182" i="2"/>
  <c r="BG182" i="2"/>
  <c r="BF182" i="2"/>
  <c r="BE182" i="2"/>
  <c r="BD182" i="2"/>
  <c r="BC182" i="2"/>
  <c r="BB182" i="2"/>
  <c r="BA182" i="2"/>
  <c r="AZ182" i="2"/>
  <c r="AY182" i="2"/>
  <c r="AX182" i="2"/>
  <c r="AW182" i="2"/>
  <c r="AV182" i="2"/>
  <c r="AU182" i="2"/>
  <c r="AT182" i="2"/>
  <c r="AS182" i="2"/>
  <c r="AR182" i="2"/>
  <c r="AQ182" i="2"/>
  <c r="AP182" i="2"/>
  <c r="AO182" i="2"/>
  <c r="AN182" i="2"/>
  <c r="AM182" i="2"/>
  <c r="AL182" i="2"/>
  <c r="AK182" i="2"/>
  <c r="AE182" i="2"/>
  <c r="AD182" i="2"/>
  <c r="AC182" i="2"/>
  <c r="AB182" i="2"/>
  <c r="AA182" i="2"/>
  <c r="Z182" i="2"/>
  <c r="Y182" i="2"/>
  <c r="X182" i="2"/>
  <c r="W182" i="2"/>
  <c r="V182" i="2"/>
  <c r="U182" i="2"/>
  <c r="T182" i="2"/>
  <c r="S182" i="2"/>
  <c r="R182" i="2"/>
  <c r="Q182" i="2"/>
  <c r="F182" i="2"/>
  <c r="E182" i="2"/>
  <c r="D182" i="2"/>
  <c r="CA181" i="2"/>
  <c r="BZ181" i="2"/>
  <c r="BY181" i="2"/>
  <c r="BX181" i="2"/>
  <c r="BW181" i="2"/>
  <c r="BV181" i="2"/>
  <c r="BU181" i="2"/>
  <c r="BT181" i="2"/>
  <c r="BS181" i="2"/>
  <c r="BR181" i="2"/>
  <c r="BQ181" i="2"/>
  <c r="BP181" i="2"/>
  <c r="BO181" i="2"/>
  <c r="BN181" i="2"/>
  <c r="BM181" i="2"/>
  <c r="BL181" i="2"/>
  <c r="BK181" i="2"/>
  <c r="BJ181" i="2"/>
  <c r="BI181" i="2"/>
  <c r="BH181" i="2"/>
  <c r="BG181" i="2"/>
  <c r="BF181" i="2"/>
  <c r="BE181" i="2"/>
  <c r="BD181" i="2"/>
  <c r="BC181" i="2"/>
  <c r="BB181" i="2"/>
  <c r="BA181" i="2"/>
  <c r="AZ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AE181" i="2"/>
  <c r="AD181" i="2"/>
  <c r="AC181" i="2"/>
  <c r="AB181" i="2"/>
  <c r="AA181" i="2"/>
  <c r="Z181" i="2"/>
  <c r="Y181" i="2"/>
  <c r="X181" i="2"/>
  <c r="W181" i="2"/>
  <c r="V181" i="2"/>
  <c r="U181" i="2"/>
  <c r="T181" i="2"/>
  <c r="S181" i="2"/>
  <c r="R181" i="2"/>
  <c r="Q181" i="2"/>
  <c r="F181" i="2"/>
  <c r="E181" i="2"/>
  <c r="D181" i="2"/>
  <c r="CA180" i="2"/>
  <c r="BZ180" i="2"/>
  <c r="BY180" i="2"/>
  <c r="BX180" i="2"/>
  <c r="BW180" i="2"/>
  <c r="BV180" i="2"/>
  <c r="BU180" i="2"/>
  <c r="BT180" i="2"/>
  <c r="BS180" i="2"/>
  <c r="BR180" i="2"/>
  <c r="BQ180" i="2"/>
  <c r="BP180" i="2"/>
  <c r="BO180" i="2"/>
  <c r="BN180" i="2"/>
  <c r="BM180" i="2"/>
  <c r="BL180" i="2"/>
  <c r="BK180" i="2"/>
  <c r="BJ180" i="2"/>
  <c r="BI180" i="2"/>
  <c r="BH180" i="2"/>
  <c r="BG180" i="2"/>
  <c r="BF180" i="2"/>
  <c r="BE180" i="2"/>
  <c r="BD180" i="2"/>
  <c r="BC180" i="2"/>
  <c r="BB180" i="2"/>
  <c r="BA180" i="2"/>
  <c r="AZ180" i="2"/>
  <c r="AY180" i="2"/>
  <c r="AX180" i="2"/>
  <c r="AW180" i="2"/>
  <c r="AV180" i="2"/>
  <c r="AU180" i="2"/>
  <c r="AT180" i="2"/>
  <c r="AS180" i="2"/>
  <c r="AR180" i="2"/>
  <c r="AQ180" i="2"/>
  <c r="AP180" i="2"/>
  <c r="AO180" i="2"/>
  <c r="AN180" i="2"/>
  <c r="AM180" i="2"/>
  <c r="AL180" i="2"/>
  <c r="AK180" i="2"/>
  <c r="AE180" i="2"/>
  <c r="AD180" i="2"/>
  <c r="AC180" i="2"/>
  <c r="AB180" i="2"/>
  <c r="AA180" i="2"/>
  <c r="Z180" i="2"/>
  <c r="Y180" i="2"/>
  <c r="X180" i="2"/>
  <c r="W180" i="2"/>
  <c r="V180" i="2"/>
  <c r="U180" i="2"/>
  <c r="T180" i="2"/>
  <c r="S180" i="2"/>
  <c r="R180" i="2"/>
  <c r="Q180" i="2"/>
  <c r="F180" i="2"/>
  <c r="E180" i="2"/>
  <c r="D180" i="2"/>
  <c r="CA179" i="2"/>
  <c r="BZ179" i="2"/>
  <c r="BY179" i="2"/>
  <c r="BX179" i="2"/>
  <c r="BW179" i="2"/>
  <c r="BV179" i="2"/>
  <c r="BU179" i="2"/>
  <c r="BT179" i="2"/>
  <c r="BS179" i="2"/>
  <c r="BR179" i="2"/>
  <c r="BQ179" i="2"/>
  <c r="BP179" i="2"/>
  <c r="BO179" i="2"/>
  <c r="BN179" i="2"/>
  <c r="BM179" i="2"/>
  <c r="BL179" i="2"/>
  <c r="BK179" i="2"/>
  <c r="BJ179" i="2"/>
  <c r="BI179" i="2"/>
  <c r="BH179" i="2"/>
  <c r="BG179" i="2"/>
  <c r="BF179" i="2"/>
  <c r="BE179" i="2"/>
  <c r="BD179" i="2"/>
  <c r="BC179" i="2"/>
  <c r="BB179" i="2"/>
  <c r="BA179" i="2"/>
  <c r="AZ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AE179" i="2"/>
  <c r="AD179" i="2"/>
  <c r="AC179" i="2"/>
  <c r="AB179" i="2"/>
  <c r="AA179" i="2"/>
  <c r="Z179" i="2"/>
  <c r="Y179" i="2"/>
  <c r="X179" i="2"/>
  <c r="W179" i="2"/>
  <c r="V179" i="2"/>
  <c r="U179" i="2"/>
  <c r="T179" i="2"/>
  <c r="S179" i="2"/>
  <c r="R179" i="2"/>
  <c r="Q179" i="2"/>
  <c r="F179" i="2"/>
  <c r="E179" i="2"/>
  <c r="D179" i="2"/>
  <c r="CA178" i="2"/>
  <c r="BZ178" i="2"/>
  <c r="BY178" i="2"/>
  <c r="BX178" i="2"/>
  <c r="BW178" i="2"/>
  <c r="BV178" i="2"/>
  <c r="BU178" i="2"/>
  <c r="BT178" i="2"/>
  <c r="BS178" i="2"/>
  <c r="BR178" i="2"/>
  <c r="BQ178" i="2"/>
  <c r="BP178" i="2"/>
  <c r="BO178" i="2"/>
  <c r="BN178" i="2"/>
  <c r="BM178" i="2"/>
  <c r="BL178" i="2"/>
  <c r="BK178" i="2"/>
  <c r="BJ178" i="2"/>
  <c r="BI178" i="2"/>
  <c r="BH178" i="2"/>
  <c r="BG178" i="2"/>
  <c r="BF178" i="2"/>
  <c r="BE178" i="2"/>
  <c r="BD178" i="2"/>
  <c r="BC178" i="2"/>
  <c r="BB178" i="2"/>
  <c r="BA178" i="2"/>
  <c r="AZ178" i="2"/>
  <c r="AY178" i="2"/>
  <c r="AX178" i="2"/>
  <c r="AW178" i="2"/>
  <c r="AV178" i="2"/>
  <c r="AU178" i="2"/>
  <c r="AT178" i="2"/>
  <c r="AS178" i="2"/>
  <c r="AR178" i="2"/>
  <c r="AQ178" i="2"/>
  <c r="AP178" i="2"/>
  <c r="AO178" i="2"/>
  <c r="AN178" i="2"/>
  <c r="AM178" i="2"/>
  <c r="AL178" i="2"/>
  <c r="AK178" i="2"/>
  <c r="AE178" i="2"/>
  <c r="AD178" i="2"/>
  <c r="AC178" i="2"/>
  <c r="AB178" i="2"/>
  <c r="AA178" i="2"/>
  <c r="Z178" i="2"/>
  <c r="Y178" i="2"/>
  <c r="X178" i="2"/>
  <c r="W178" i="2"/>
  <c r="V178" i="2"/>
  <c r="U178" i="2"/>
  <c r="T178" i="2"/>
  <c r="S178" i="2"/>
  <c r="R178" i="2"/>
  <c r="Q178" i="2"/>
  <c r="F178" i="2"/>
  <c r="E178" i="2"/>
  <c r="D178" i="2"/>
  <c r="CA177" i="2"/>
  <c r="BZ177" i="2"/>
  <c r="BY177" i="2"/>
  <c r="BX177" i="2"/>
  <c r="BW177" i="2"/>
  <c r="BV177" i="2"/>
  <c r="BU177" i="2"/>
  <c r="BT177" i="2"/>
  <c r="BS177" i="2"/>
  <c r="BR177" i="2"/>
  <c r="BQ177" i="2"/>
  <c r="BP177" i="2"/>
  <c r="BO177" i="2"/>
  <c r="BN177" i="2"/>
  <c r="BM177" i="2"/>
  <c r="BL177" i="2"/>
  <c r="BK177" i="2"/>
  <c r="BJ177" i="2"/>
  <c r="BI177" i="2"/>
  <c r="BH177" i="2"/>
  <c r="BG177" i="2"/>
  <c r="BF177" i="2"/>
  <c r="BE177" i="2"/>
  <c r="BD177" i="2"/>
  <c r="BC177" i="2"/>
  <c r="BB177" i="2"/>
  <c r="BA177" i="2"/>
  <c r="AZ177" i="2"/>
  <c r="AY177" i="2"/>
  <c r="AX177" i="2"/>
  <c r="AW177" i="2"/>
  <c r="AV177" i="2"/>
  <c r="AU177" i="2"/>
  <c r="AT177" i="2"/>
  <c r="AS177" i="2"/>
  <c r="AR177" i="2"/>
  <c r="AQ177" i="2"/>
  <c r="AP177" i="2"/>
  <c r="AO177" i="2"/>
  <c r="AN177" i="2"/>
  <c r="AM177" i="2"/>
  <c r="AL177" i="2"/>
  <c r="AK177" i="2"/>
  <c r="AE177" i="2"/>
  <c r="AD177" i="2"/>
  <c r="AC177" i="2"/>
  <c r="AB177" i="2"/>
  <c r="AA177" i="2"/>
  <c r="Z177" i="2"/>
  <c r="Y177" i="2"/>
  <c r="X177" i="2"/>
  <c r="W177" i="2"/>
  <c r="V177" i="2"/>
  <c r="U177" i="2"/>
  <c r="T177" i="2"/>
  <c r="S177" i="2"/>
  <c r="R177" i="2"/>
  <c r="Q177" i="2"/>
  <c r="F177" i="2"/>
  <c r="E177" i="2"/>
  <c r="D177" i="2"/>
  <c r="CA176" i="2"/>
  <c r="BZ176" i="2"/>
  <c r="BY176" i="2"/>
  <c r="BX176" i="2"/>
  <c r="BW176" i="2"/>
  <c r="BV176" i="2"/>
  <c r="BU176" i="2"/>
  <c r="BT176" i="2"/>
  <c r="BS176" i="2"/>
  <c r="BR176" i="2"/>
  <c r="BQ176" i="2"/>
  <c r="BP176" i="2"/>
  <c r="BO176" i="2"/>
  <c r="BN176" i="2"/>
  <c r="BM176" i="2"/>
  <c r="BL176" i="2"/>
  <c r="BK176" i="2"/>
  <c r="BJ176" i="2"/>
  <c r="BI176" i="2"/>
  <c r="BH176" i="2"/>
  <c r="BG176" i="2"/>
  <c r="BF176" i="2"/>
  <c r="BE176" i="2"/>
  <c r="BD176" i="2"/>
  <c r="BC176" i="2"/>
  <c r="BB176" i="2"/>
  <c r="BA176" i="2"/>
  <c r="AZ176" i="2"/>
  <c r="AY176" i="2"/>
  <c r="AX176" i="2"/>
  <c r="AW176" i="2"/>
  <c r="AV176" i="2"/>
  <c r="AU176" i="2"/>
  <c r="AT176" i="2"/>
  <c r="AS176" i="2"/>
  <c r="AR176" i="2"/>
  <c r="AQ176" i="2"/>
  <c r="AP176" i="2"/>
  <c r="AO176" i="2"/>
  <c r="AN176" i="2"/>
  <c r="AM176" i="2"/>
  <c r="AL176" i="2"/>
  <c r="AK176" i="2"/>
  <c r="AE176" i="2"/>
  <c r="AD176" i="2"/>
  <c r="AC176" i="2"/>
  <c r="AB176" i="2"/>
  <c r="AA176" i="2"/>
  <c r="Z176" i="2"/>
  <c r="Y176" i="2"/>
  <c r="X176" i="2"/>
  <c r="W176" i="2"/>
  <c r="V176" i="2"/>
  <c r="U176" i="2"/>
  <c r="T176" i="2"/>
  <c r="S176" i="2"/>
  <c r="R176" i="2"/>
  <c r="Q176" i="2"/>
  <c r="F176" i="2"/>
  <c r="E176" i="2"/>
  <c r="D176" i="2"/>
  <c r="CA175" i="2"/>
  <c r="BZ175" i="2"/>
  <c r="BY175" i="2"/>
  <c r="BX175" i="2"/>
  <c r="BW175" i="2"/>
  <c r="BV175" i="2"/>
  <c r="BU175" i="2"/>
  <c r="BT175" i="2"/>
  <c r="BS175" i="2"/>
  <c r="BR175" i="2"/>
  <c r="BQ175" i="2"/>
  <c r="BP175" i="2"/>
  <c r="BO175" i="2"/>
  <c r="BN175" i="2"/>
  <c r="BM175" i="2"/>
  <c r="BL175" i="2"/>
  <c r="BK175" i="2"/>
  <c r="BJ175" i="2"/>
  <c r="BI175" i="2"/>
  <c r="BH175" i="2"/>
  <c r="BG175" i="2"/>
  <c r="BF175" i="2"/>
  <c r="BE175" i="2"/>
  <c r="BD175" i="2"/>
  <c r="BC175" i="2"/>
  <c r="BB175" i="2"/>
  <c r="BA175" i="2"/>
  <c r="AZ175" i="2"/>
  <c r="AY175" i="2"/>
  <c r="AX175" i="2"/>
  <c r="AW175" i="2"/>
  <c r="AV175" i="2"/>
  <c r="AU175" i="2"/>
  <c r="AT175" i="2"/>
  <c r="AS175" i="2"/>
  <c r="AR175" i="2"/>
  <c r="AQ175" i="2"/>
  <c r="AP175" i="2"/>
  <c r="AO175" i="2"/>
  <c r="AN175" i="2"/>
  <c r="AM175" i="2"/>
  <c r="AL175" i="2"/>
  <c r="AK175" i="2"/>
  <c r="AE175" i="2"/>
  <c r="AD175" i="2"/>
  <c r="AC175" i="2"/>
  <c r="AB175" i="2"/>
  <c r="AA175" i="2"/>
  <c r="Z175" i="2"/>
  <c r="Y175" i="2"/>
  <c r="X175" i="2"/>
  <c r="W175" i="2"/>
  <c r="V175" i="2"/>
  <c r="U175" i="2"/>
  <c r="T175" i="2"/>
  <c r="S175" i="2"/>
  <c r="R175" i="2"/>
  <c r="Q175" i="2"/>
  <c r="F175" i="2"/>
  <c r="E175" i="2"/>
  <c r="D175" i="2"/>
  <c r="CA174" i="2"/>
  <c r="BZ174" i="2"/>
  <c r="BY174" i="2"/>
  <c r="BX174" i="2"/>
  <c r="BW174" i="2"/>
  <c r="BV174" i="2"/>
  <c r="BU174" i="2"/>
  <c r="BT174" i="2"/>
  <c r="BS174" i="2"/>
  <c r="BR174" i="2"/>
  <c r="BQ174" i="2"/>
  <c r="BP174" i="2"/>
  <c r="BO174" i="2"/>
  <c r="BN174" i="2"/>
  <c r="BM174" i="2"/>
  <c r="BL174" i="2"/>
  <c r="BK174" i="2"/>
  <c r="BJ174" i="2"/>
  <c r="BI174" i="2"/>
  <c r="BH174" i="2"/>
  <c r="BG174" i="2"/>
  <c r="BF174" i="2"/>
  <c r="BE174" i="2"/>
  <c r="BD174" i="2"/>
  <c r="BC174" i="2"/>
  <c r="BB174" i="2"/>
  <c r="BA174" i="2"/>
  <c r="AZ174" i="2"/>
  <c r="AY174" i="2"/>
  <c r="AX174" i="2"/>
  <c r="AW174" i="2"/>
  <c r="AV174" i="2"/>
  <c r="AU174" i="2"/>
  <c r="AT174" i="2"/>
  <c r="AS174" i="2"/>
  <c r="AR174" i="2"/>
  <c r="AQ174" i="2"/>
  <c r="AP174" i="2"/>
  <c r="AO174" i="2"/>
  <c r="AN174" i="2"/>
  <c r="AM174" i="2"/>
  <c r="AL174" i="2"/>
  <c r="AK174" i="2"/>
  <c r="AE174" i="2"/>
  <c r="AD174" i="2"/>
  <c r="AC174" i="2"/>
  <c r="AB174" i="2"/>
  <c r="AA174" i="2"/>
  <c r="Z174" i="2"/>
  <c r="Y174" i="2"/>
  <c r="X174" i="2"/>
  <c r="W174" i="2"/>
  <c r="V174" i="2"/>
  <c r="U174" i="2"/>
  <c r="T174" i="2"/>
  <c r="S174" i="2"/>
  <c r="R174" i="2"/>
  <c r="Q174" i="2"/>
  <c r="F174" i="2"/>
  <c r="E174" i="2"/>
  <c r="D174" i="2"/>
  <c r="CA173" i="2"/>
  <c r="BZ173" i="2"/>
  <c r="BY173" i="2"/>
  <c r="BX173" i="2"/>
  <c r="BW173" i="2"/>
  <c r="BV173" i="2"/>
  <c r="BU173" i="2"/>
  <c r="BT173" i="2"/>
  <c r="BS173" i="2"/>
  <c r="BR173" i="2"/>
  <c r="BQ173" i="2"/>
  <c r="BP173" i="2"/>
  <c r="BO173" i="2"/>
  <c r="BN173" i="2"/>
  <c r="BM173" i="2"/>
  <c r="BL173" i="2"/>
  <c r="BK173" i="2"/>
  <c r="BJ173" i="2"/>
  <c r="BI173" i="2"/>
  <c r="BH173" i="2"/>
  <c r="BG173" i="2"/>
  <c r="BF173" i="2"/>
  <c r="BE173" i="2"/>
  <c r="BD173" i="2"/>
  <c r="BC173" i="2"/>
  <c r="BB173" i="2"/>
  <c r="BA173" i="2"/>
  <c r="AZ173" i="2"/>
  <c r="AY173" i="2"/>
  <c r="AX173" i="2"/>
  <c r="AW173" i="2"/>
  <c r="AV173" i="2"/>
  <c r="AU173" i="2"/>
  <c r="AT173" i="2"/>
  <c r="AS173" i="2"/>
  <c r="AR173" i="2"/>
  <c r="AQ173" i="2"/>
  <c r="AP173" i="2"/>
  <c r="AO173" i="2"/>
  <c r="AN173" i="2"/>
  <c r="AM173" i="2"/>
  <c r="AL173" i="2"/>
  <c r="AK173" i="2"/>
  <c r="AE173" i="2"/>
  <c r="AD173" i="2"/>
  <c r="AC173" i="2"/>
  <c r="AB173" i="2"/>
  <c r="AA173" i="2"/>
  <c r="Z173" i="2"/>
  <c r="Y173" i="2"/>
  <c r="X173" i="2"/>
  <c r="W173" i="2"/>
  <c r="V173" i="2"/>
  <c r="U173" i="2"/>
  <c r="T173" i="2"/>
  <c r="S173" i="2"/>
  <c r="R173" i="2"/>
  <c r="Q173" i="2"/>
  <c r="F173" i="2"/>
  <c r="E173" i="2"/>
  <c r="D173" i="2"/>
  <c r="CA172" i="2"/>
  <c r="BZ172" i="2"/>
  <c r="BY172" i="2"/>
  <c r="BX172" i="2"/>
  <c r="BW172" i="2"/>
  <c r="BV172" i="2"/>
  <c r="BU172" i="2"/>
  <c r="BT172" i="2"/>
  <c r="BS172" i="2"/>
  <c r="BR172" i="2"/>
  <c r="BQ172" i="2"/>
  <c r="BP172" i="2"/>
  <c r="BO172" i="2"/>
  <c r="BN172" i="2"/>
  <c r="BM172" i="2"/>
  <c r="BL172" i="2"/>
  <c r="BK172" i="2"/>
  <c r="BJ172" i="2"/>
  <c r="BI172" i="2"/>
  <c r="BH172" i="2"/>
  <c r="BG172" i="2"/>
  <c r="BF172" i="2"/>
  <c r="BE172" i="2"/>
  <c r="BD172" i="2"/>
  <c r="BC172" i="2"/>
  <c r="BB172" i="2"/>
  <c r="BA172" i="2"/>
  <c r="AZ172" i="2"/>
  <c r="AY172" i="2"/>
  <c r="AX172" i="2"/>
  <c r="AW172" i="2"/>
  <c r="AV172" i="2"/>
  <c r="AU172" i="2"/>
  <c r="AT172" i="2"/>
  <c r="AS172" i="2"/>
  <c r="AR172" i="2"/>
  <c r="AQ172" i="2"/>
  <c r="AP172" i="2"/>
  <c r="AO172" i="2"/>
  <c r="AN172" i="2"/>
  <c r="AM172" i="2"/>
  <c r="AL172" i="2"/>
  <c r="AK172" i="2"/>
  <c r="AE172" i="2"/>
  <c r="AD172" i="2"/>
  <c r="AC172" i="2"/>
  <c r="AB172" i="2"/>
  <c r="AA172" i="2"/>
  <c r="Z172" i="2"/>
  <c r="Y172" i="2"/>
  <c r="X172" i="2"/>
  <c r="W172" i="2"/>
  <c r="V172" i="2"/>
  <c r="U172" i="2"/>
  <c r="T172" i="2"/>
  <c r="S172" i="2"/>
  <c r="R172" i="2"/>
  <c r="Q172" i="2"/>
  <c r="F172" i="2"/>
  <c r="E172" i="2"/>
  <c r="D172" i="2"/>
  <c r="CA171" i="2"/>
  <c r="BZ171" i="2"/>
  <c r="BY171" i="2"/>
  <c r="BX171" i="2"/>
  <c r="BW171" i="2"/>
  <c r="BV171" i="2"/>
  <c r="BU171" i="2"/>
  <c r="BT171" i="2"/>
  <c r="BS171" i="2"/>
  <c r="BR171" i="2"/>
  <c r="BQ171" i="2"/>
  <c r="BP171" i="2"/>
  <c r="BO171" i="2"/>
  <c r="BN171" i="2"/>
  <c r="BM171" i="2"/>
  <c r="BL171" i="2"/>
  <c r="BK171" i="2"/>
  <c r="BJ171" i="2"/>
  <c r="BI171" i="2"/>
  <c r="BH171" i="2"/>
  <c r="BG171" i="2"/>
  <c r="BF171" i="2"/>
  <c r="BE171" i="2"/>
  <c r="BD171" i="2"/>
  <c r="BC171" i="2"/>
  <c r="BB171" i="2"/>
  <c r="BA171" i="2"/>
  <c r="AZ171" i="2"/>
  <c r="AY171" i="2"/>
  <c r="AX171" i="2"/>
  <c r="AW171" i="2"/>
  <c r="AV171" i="2"/>
  <c r="AU171" i="2"/>
  <c r="AT171" i="2"/>
  <c r="AS171" i="2"/>
  <c r="AR171" i="2"/>
  <c r="AQ171" i="2"/>
  <c r="AP171" i="2"/>
  <c r="AO171" i="2"/>
  <c r="AN171" i="2"/>
  <c r="AM171" i="2"/>
  <c r="AL171" i="2"/>
  <c r="AK171" i="2"/>
  <c r="AE171" i="2"/>
  <c r="AD171" i="2"/>
  <c r="AC171" i="2"/>
  <c r="AB171" i="2"/>
  <c r="AA171" i="2"/>
  <c r="Z171" i="2"/>
  <c r="Y171" i="2"/>
  <c r="X171" i="2"/>
  <c r="W171" i="2"/>
  <c r="V171" i="2"/>
  <c r="U171" i="2"/>
  <c r="T171" i="2"/>
  <c r="S171" i="2"/>
  <c r="R171" i="2"/>
  <c r="Q171" i="2"/>
  <c r="F171" i="2"/>
  <c r="E171" i="2"/>
  <c r="D171" i="2"/>
  <c r="CA170" i="2"/>
  <c r="BZ170" i="2"/>
  <c r="BY170" i="2"/>
  <c r="BX170" i="2"/>
  <c r="BW170" i="2"/>
  <c r="BV170" i="2"/>
  <c r="BU170" i="2"/>
  <c r="BT170" i="2"/>
  <c r="BS170" i="2"/>
  <c r="BR170" i="2"/>
  <c r="BQ170" i="2"/>
  <c r="BP170" i="2"/>
  <c r="BO170" i="2"/>
  <c r="BN170" i="2"/>
  <c r="BM170" i="2"/>
  <c r="BL170" i="2"/>
  <c r="BK170" i="2"/>
  <c r="BJ170" i="2"/>
  <c r="BI170" i="2"/>
  <c r="BH170" i="2"/>
  <c r="BG170" i="2"/>
  <c r="BF170" i="2"/>
  <c r="BE170" i="2"/>
  <c r="BD170" i="2"/>
  <c r="BC170" i="2"/>
  <c r="BB170" i="2"/>
  <c r="BA170" i="2"/>
  <c r="AZ170" i="2"/>
  <c r="AY170" i="2"/>
  <c r="AX170" i="2"/>
  <c r="AW170" i="2"/>
  <c r="AV170" i="2"/>
  <c r="AU170" i="2"/>
  <c r="AT170" i="2"/>
  <c r="AS170" i="2"/>
  <c r="AR170" i="2"/>
  <c r="AQ170" i="2"/>
  <c r="AP170" i="2"/>
  <c r="AO170" i="2"/>
  <c r="AN170" i="2"/>
  <c r="AM170" i="2"/>
  <c r="AL170" i="2"/>
  <c r="AK170" i="2"/>
  <c r="AE170" i="2"/>
  <c r="AD170" i="2"/>
  <c r="AC170" i="2"/>
  <c r="AB170" i="2"/>
  <c r="AA170" i="2"/>
  <c r="Z170" i="2"/>
  <c r="Y170" i="2"/>
  <c r="X170" i="2"/>
  <c r="W170" i="2"/>
  <c r="V170" i="2"/>
  <c r="U170" i="2"/>
  <c r="T170" i="2"/>
  <c r="S170" i="2"/>
  <c r="R170" i="2"/>
  <c r="Q170" i="2"/>
  <c r="F170" i="2"/>
  <c r="E170" i="2"/>
  <c r="D170" i="2"/>
  <c r="CA169" i="2"/>
  <c r="BZ169" i="2"/>
  <c r="BY169" i="2"/>
  <c r="BX169" i="2"/>
  <c r="BW169" i="2"/>
  <c r="BV169" i="2"/>
  <c r="BU169" i="2"/>
  <c r="BT169" i="2"/>
  <c r="BS169" i="2"/>
  <c r="BR169" i="2"/>
  <c r="BQ169" i="2"/>
  <c r="BP169" i="2"/>
  <c r="BO169" i="2"/>
  <c r="BN169" i="2"/>
  <c r="BM169" i="2"/>
  <c r="BL169" i="2"/>
  <c r="BK169" i="2"/>
  <c r="BJ169" i="2"/>
  <c r="BI169" i="2"/>
  <c r="BH169" i="2"/>
  <c r="BG169" i="2"/>
  <c r="BF169" i="2"/>
  <c r="BE169" i="2"/>
  <c r="BD169" i="2"/>
  <c r="BC169" i="2"/>
  <c r="BB169" i="2"/>
  <c r="BA169" i="2"/>
  <c r="AZ169" i="2"/>
  <c r="AY169" i="2"/>
  <c r="AX169" i="2"/>
  <c r="AW169" i="2"/>
  <c r="AV169" i="2"/>
  <c r="AU169" i="2"/>
  <c r="AT169" i="2"/>
  <c r="AS169" i="2"/>
  <c r="AR169" i="2"/>
  <c r="AQ169" i="2"/>
  <c r="AP169" i="2"/>
  <c r="AO169" i="2"/>
  <c r="AN169" i="2"/>
  <c r="AM169" i="2"/>
  <c r="AL169" i="2"/>
  <c r="AK169" i="2"/>
  <c r="AE169" i="2"/>
  <c r="AD169" i="2"/>
  <c r="AC169" i="2"/>
  <c r="AB169" i="2"/>
  <c r="AA169" i="2"/>
  <c r="Z169" i="2"/>
  <c r="Y169" i="2"/>
  <c r="X169" i="2"/>
  <c r="W169" i="2"/>
  <c r="V169" i="2"/>
  <c r="U169" i="2"/>
  <c r="T169" i="2"/>
  <c r="S169" i="2"/>
  <c r="R169" i="2"/>
  <c r="Q169" i="2"/>
  <c r="F169" i="2"/>
  <c r="E169" i="2"/>
  <c r="D169" i="2"/>
  <c r="CA168" i="2"/>
  <c r="BZ168" i="2"/>
  <c r="BY168" i="2"/>
  <c r="BX168" i="2"/>
  <c r="BW168" i="2"/>
  <c r="BV168" i="2"/>
  <c r="BU168" i="2"/>
  <c r="BT168" i="2"/>
  <c r="BS168" i="2"/>
  <c r="BR168" i="2"/>
  <c r="BQ168" i="2"/>
  <c r="BP168" i="2"/>
  <c r="BO168" i="2"/>
  <c r="BN168" i="2"/>
  <c r="BM168" i="2"/>
  <c r="BL168" i="2"/>
  <c r="BK168" i="2"/>
  <c r="BJ168" i="2"/>
  <c r="BI168" i="2"/>
  <c r="BH168" i="2"/>
  <c r="BG168" i="2"/>
  <c r="BF168" i="2"/>
  <c r="BE168" i="2"/>
  <c r="BD168" i="2"/>
  <c r="BC168" i="2"/>
  <c r="BB168" i="2"/>
  <c r="BA168" i="2"/>
  <c r="AZ168" i="2"/>
  <c r="AY168" i="2"/>
  <c r="AX168" i="2"/>
  <c r="AW168" i="2"/>
  <c r="AV168" i="2"/>
  <c r="AU168" i="2"/>
  <c r="AT168" i="2"/>
  <c r="AS168" i="2"/>
  <c r="AR168" i="2"/>
  <c r="AQ168" i="2"/>
  <c r="AP168" i="2"/>
  <c r="AO168" i="2"/>
  <c r="AN168" i="2"/>
  <c r="AM168" i="2"/>
  <c r="AL168" i="2"/>
  <c r="AK168" i="2"/>
  <c r="AE168" i="2"/>
  <c r="AD168" i="2"/>
  <c r="AC168" i="2"/>
  <c r="AB168" i="2"/>
  <c r="AA168" i="2"/>
  <c r="Z168" i="2"/>
  <c r="Y168" i="2"/>
  <c r="X168" i="2"/>
  <c r="W168" i="2"/>
  <c r="V168" i="2"/>
  <c r="U168" i="2"/>
  <c r="T168" i="2"/>
  <c r="S168" i="2"/>
  <c r="R168" i="2"/>
  <c r="Q168" i="2"/>
  <c r="F168" i="2"/>
  <c r="E168" i="2"/>
  <c r="D168" i="2"/>
  <c r="CA167" i="2"/>
  <c r="BZ167" i="2"/>
  <c r="BY167" i="2"/>
  <c r="BX167" i="2"/>
  <c r="BW167" i="2"/>
  <c r="BV167" i="2"/>
  <c r="BU167" i="2"/>
  <c r="BT167" i="2"/>
  <c r="BS167" i="2"/>
  <c r="BR167" i="2"/>
  <c r="BQ167" i="2"/>
  <c r="BP167" i="2"/>
  <c r="BO167" i="2"/>
  <c r="BN167" i="2"/>
  <c r="BM167" i="2"/>
  <c r="BL167" i="2"/>
  <c r="BK167" i="2"/>
  <c r="BJ167" i="2"/>
  <c r="BI167" i="2"/>
  <c r="BH167" i="2"/>
  <c r="BG167" i="2"/>
  <c r="BF167" i="2"/>
  <c r="BE167" i="2"/>
  <c r="BD167" i="2"/>
  <c r="BC167" i="2"/>
  <c r="BB167" i="2"/>
  <c r="BA167" i="2"/>
  <c r="AZ167" i="2"/>
  <c r="AY167" i="2"/>
  <c r="AX167" i="2"/>
  <c r="AW167" i="2"/>
  <c r="AV167" i="2"/>
  <c r="AU167" i="2"/>
  <c r="AT167" i="2"/>
  <c r="AS167" i="2"/>
  <c r="AR167" i="2"/>
  <c r="AQ167" i="2"/>
  <c r="AP167" i="2"/>
  <c r="AO167" i="2"/>
  <c r="AN167" i="2"/>
  <c r="AM167" i="2"/>
  <c r="AL167" i="2"/>
  <c r="AK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F167" i="2"/>
  <c r="E167" i="2"/>
  <c r="D167" i="2"/>
  <c r="CA166" i="2"/>
  <c r="BZ166" i="2"/>
  <c r="BY166" i="2"/>
  <c r="BX166" i="2"/>
  <c r="BW166" i="2"/>
  <c r="BV166" i="2"/>
  <c r="BU166" i="2"/>
  <c r="BT166" i="2"/>
  <c r="BS166" i="2"/>
  <c r="BR166" i="2"/>
  <c r="BQ166" i="2"/>
  <c r="BP166" i="2"/>
  <c r="BO166" i="2"/>
  <c r="BN166" i="2"/>
  <c r="BM166" i="2"/>
  <c r="BL166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Q166" i="2"/>
  <c r="AP166" i="2"/>
  <c r="AO166" i="2"/>
  <c r="AN166" i="2"/>
  <c r="AM166" i="2"/>
  <c r="AL166" i="2"/>
  <c r="AK166" i="2"/>
  <c r="AE166" i="2"/>
  <c r="AD166" i="2"/>
  <c r="AC166" i="2"/>
  <c r="AB166" i="2"/>
  <c r="AA166" i="2"/>
  <c r="Z166" i="2"/>
  <c r="Y166" i="2"/>
  <c r="X166" i="2"/>
  <c r="W166" i="2"/>
  <c r="V166" i="2"/>
  <c r="U166" i="2"/>
  <c r="T166" i="2"/>
  <c r="S166" i="2"/>
  <c r="R166" i="2"/>
  <c r="Q166" i="2"/>
  <c r="F166" i="2"/>
  <c r="E166" i="2"/>
  <c r="D166" i="2"/>
  <c r="CA165" i="2"/>
  <c r="BZ165" i="2"/>
  <c r="BY165" i="2"/>
  <c r="BX165" i="2"/>
  <c r="BW165" i="2"/>
  <c r="BV165" i="2"/>
  <c r="BU165" i="2"/>
  <c r="BT165" i="2"/>
  <c r="BS165" i="2"/>
  <c r="BR165" i="2"/>
  <c r="BQ165" i="2"/>
  <c r="BP165" i="2"/>
  <c r="BO165" i="2"/>
  <c r="BN165" i="2"/>
  <c r="BM165" i="2"/>
  <c r="BL165" i="2"/>
  <c r="BK165" i="2"/>
  <c r="BJ165" i="2"/>
  <c r="BI165" i="2"/>
  <c r="BH165" i="2"/>
  <c r="BG165" i="2"/>
  <c r="BF165" i="2"/>
  <c r="BE165" i="2"/>
  <c r="BD165" i="2"/>
  <c r="BC165" i="2"/>
  <c r="BB165" i="2"/>
  <c r="BA165" i="2"/>
  <c r="AZ165" i="2"/>
  <c r="AY165" i="2"/>
  <c r="AX165" i="2"/>
  <c r="AW165" i="2"/>
  <c r="AV165" i="2"/>
  <c r="AU165" i="2"/>
  <c r="AT165" i="2"/>
  <c r="AS165" i="2"/>
  <c r="AR165" i="2"/>
  <c r="AQ165" i="2"/>
  <c r="AP165" i="2"/>
  <c r="AO165" i="2"/>
  <c r="AN165" i="2"/>
  <c r="AM165" i="2"/>
  <c r="AL165" i="2"/>
  <c r="AK165" i="2"/>
  <c r="AE165" i="2"/>
  <c r="AD165" i="2"/>
  <c r="AC165" i="2"/>
  <c r="AB165" i="2"/>
  <c r="AA165" i="2"/>
  <c r="Z165" i="2"/>
  <c r="Y165" i="2"/>
  <c r="X165" i="2"/>
  <c r="W165" i="2"/>
  <c r="V165" i="2"/>
  <c r="U165" i="2"/>
  <c r="T165" i="2"/>
  <c r="S165" i="2"/>
  <c r="R165" i="2"/>
  <c r="Q165" i="2"/>
  <c r="F165" i="2"/>
  <c r="E165" i="2"/>
  <c r="D165" i="2"/>
  <c r="CA164" i="2"/>
  <c r="BZ164" i="2"/>
  <c r="BY164" i="2"/>
  <c r="BX164" i="2"/>
  <c r="BW164" i="2"/>
  <c r="BV164" i="2"/>
  <c r="BU164" i="2"/>
  <c r="BT164" i="2"/>
  <c r="BS164" i="2"/>
  <c r="BR164" i="2"/>
  <c r="BQ164" i="2"/>
  <c r="BP164" i="2"/>
  <c r="BO164" i="2"/>
  <c r="BN164" i="2"/>
  <c r="BM164" i="2"/>
  <c r="BL164" i="2"/>
  <c r="BK164" i="2"/>
  <c r="BJ164" i="2"/>
  <c r="BI164" i="2"/>
  <c r="BH164" i="2"/>
  <c r="BG164" i="2"/>
  <c r="BF164" i="2"/>
  <c r="BE164" i="2"/>
  <c r="BD164" i="2"/>
  <c r="BC164" i="2"/>
  <c r="BB164" i="2"/>
  <c r="BA164" i="2"/>
  <c r="AZ164" i="2"/>
  <c r="AY164" i="2"/>
  <c r="AX164" i="2"/>
  <c r="AW164" i="2"/>
  <c r="AV164" i="2"/>
  <c r="AU164" i="2"/>
  <c r="AT164" i="2"/>
  <c r="AS164" i="2"/>
  <c r="AR164" i="2"/>
  <c r="AQ164" i="2"/>
  <c r="AP164" i="2"/>
  <c r="AO164" i="2"/>
  <c r="AN164" i="2"/>
  <c r="AM164" i="2"/>
  <c r="AL164" i="2"/>
  <c r="AK164" i="2"/>
  <c r="AE164" i="2"/>
  <c r="AD164" i="2"/>
  <c r="AC164" i="2"/>
  <c r="AB164" i="2"/>
  <c r="AA164" i="2"/>
  <c r="Z164" i="2"/>
  <c r="Y164" i="2"/>
  <c r="X164" i="2"/>
  <c r="W164" i="2"/>
  <c r="V164" i="2"/>
  <c r="U164" i="2"/>
  <c r="T164" i="2"/>
  <c r="S164" i="2"/>
  <c r="R164" i="2"/>
  <c r="Q164" i="2"/>
  <c r="F164" i="2"/>
  <c r="E164" i="2"/>
  <c r="D164" i="2"/>
  <c r="CA163" i="2"/>
  <c r="BZ163" i="2"/>
  <c r="BY163" i="2"/>
  <c r="BX163" i="2"/>
  <c r="BW163" i="2"/>
  <c r="BV163" i="2"/>
  <c r="BU163" i="2"/>
  <c r="BT163" i="2"/>
  <c r="BS163" i="2"/>
  <c r="BR163" i="2"/>
  <c r="BQ163" i="2"/>
  <c r="BP163" i="2"/>
  <c r="BO163" i="2"/>
  <c r="BN163" i="2"/>
  <c r="BM163" i="2"/>
  <c r="BL163" i="2"/>
  <c r="BK163" i="2"/>
  <c r="BJ163" i="2"/>
  <c r="BI163" i="2"/>
  <c r="BH163" i="2"/>
  <c r="BG163" i="2"/>
  <c r="BF163" i="2"/>
  <c r="BE163" i="2"/>
  <c r="BD163" i="2"/>
  <c r="BC163" i="2"/>
  <c r="BB163" i="2"/>
  <c r="BA163" i="2"/>
  <c r="AZ163" i="2"/>
  <c r="AY163" i="2"/>
  <c r="AX163" i="2"/>
  <c r="AW163" i="2"/>
  <c r="AV163" i="2"/>
  <c r="AU163" i="2"/>
  <c r="AT163" i="2"/>
  <c r="AS163" i="2"/>
  <c r="AR163" i="2"/>
  <c r="AQ163" i="2"/>
  <c r="AP163" i="2"/>
  <c r="AO163" i="2"/>
  <c r="AN163" i="2"/>
  <c r="AM163" i="2"/>
  <c r="AL163" i="2"/>
  <c r="AK163" i="2"/>
  <c r="AE163" i="2"/>
  <c r="AD163" i="2"/>
  <c r="AC163" i="2"/>
  <c r="AB163" i="2"/>
  <c r="AA163" i="2"/>
  <c r="Z163" i="2"/>
  <c r="Y163" i="2"/>
  <c r="X163" i="2"/>
  <c r="W163" i="2"/>
  <c r="V163" i="2"/>
  <c r="U163" i="2"/>
  <c r="T163" i="2"/>
  <c r="S163" i="2"/>
  <c r="R163" i="2"/>
  <c r="Q163" i="2"/>
  <c r="F163" i="2"/>
  <c r="E163" i="2"/>
  <c r="D163" i="2"/>
  <c r="CA162" i="2"/>
  <c r="BZ162" i="2"/>
  <c r="BY162" i="2"/>
  <c r="BX162" i="2"/>
  <c r="BW162" i="2"/>
  <c r="BV162" i="2"/>
  <c r="BU162" i="2"/>
  <c r="BT162" i="2"/>
  <c r="BS162" i="2"/>
  <c r="BR162" i="2"/>
  <c r="BQ162" i="2"/>
  <c r="BP162" i="2"/>
  <c r="BO162" i="2"/>
  <c r="BN162" i="2"/>
  <c r="BM162" i="2"/>
  <c r="BL162" i="2"/>
  <c r="BK162" i="2"/>
  <c r="BJ162" i="2"/>
  <c r="BI162" i="2"/>
  <c r="BH162" i="2"/>
  <c r="BG162" i="2"/>
  <c r="BF162" i="2"/>
  <c r="BE162" i="2"/>
  <c r="BD162" i="2"/>
  <c r="BC162" i="2"/>
  <c r="BB162" i="2"/>
  <c r="BA162" i="2"/>
  <c r="AZ162" i="2"/>
  <c r="AY162" i="2"/>
  <c r="AX162" i="2"/>
  <c r="AW162" i="2"/>
  <c r="AV162" i="2"/>
  <c r="AU162" i="2"/>
  <c r="AT162" i="2"/>
  <c r="AS162" i="2"/>
  <c r="AR162" i="2"/>
  <c r="AQ162" i="2"/>
  <c r="AP162" i="2"/>
  <c r="AO162" i="2"/>
  <c r="AN162" i="2"/>
  <c r="AM162" i="2"/>
  <c r="AL162" i="2"/>
  <c r="AK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F162" i="2"/>
  <c r="E162" i="2"/>
  <c r="D162" i="2"/>
  <c r="CA161" i="2"/>
  <c r="BZ161" i="2"/>
  <c r="BY161" i="2"/>
  <c r="BX161" i="2"/>
  <c r="BW161" i="2"/>
  <c r="BV161" i="2"/>
  <c r="BU161" i="2"/>
  <c r="BT161" i="2"/>
  <c r="BS161" i="2"/>
  <c r="BR161" i="2"/>
  <c r="BQ161" i="2"/>
  <c r="BP161" i="2"/>
  <c r="BO161" i="2"/>
  <c r="BN161" i="2"/>
  <c r="BM161" i="2"/>
  <c r="BL161" i="2"/>
  <c r="BK161" i="2"/>
  <c r="BJ161" i="2"/>
  <c r="BI161" i="2"/>
  <c r="BH161" i="2"/>
  <c r="BG161" i="2"/>
  <c r="BF161" i="2"/>
  <c r="BE161" i="2"/>
  <c r="BD161" i="2"/>
  <c r="BC161" i="2"/>
  <c r="BB161" i="2"/>
  <c r="BA161" i="2"/>
  <c r="AZ161" i="2"/>
  <c r="AY161" i="2"/>
  <c r="AX161" i="2"/>
  <c r="AW161" i="2"/>
  <c r="AV161" i="2"/>
  <c r="AU161" i="2"/>
  <c r="AT161" i="2"/>
  <c r="AS161" i="2"/>
  <c r="AR161" i="2"/>
  <c r="AQ161" i="2"/>
  <c r="AP161" i="2"/>
  <c r="AO161" i="2"/>
  <c r="AN161" i="2"/>
  <c r="AM161" i="2"/>
  <c r="AL161" i="2"/>
  <c r="AK161" i="2"/>
  <c r="AE161" i="2"/>
  <c r="AD161" i="2"/>
  <c r="AC161" i="2"/>
  <c r="AB161" i="2"/>
  <c r="AA161" i="2"/>
  <c r="Z161" i="2"/>
  <c r="Y161" i="2"/>
  <c r="X161" i="2"/>
  <c r="W161" i="2"/>
  <c r="V161" i="2"/>
  <c r="U161" i="2"/>
  <c r="T161" i="2"/>
  <c r="S161" i="2"/>
  <c r="R161" i="2"/>
  <c r="Q161" i="2"/>
  <c r="F161" i="2"/>
  <c r="E161" i="2"/>
  <c r="D161" i="2"/>
  <c r="CA160" i="2"/>
  <c r="BZ160" i="2"/>
  <c r="BY160" i="2"/>
  <c r="BX160" i="2"/>
  <c r="BW160" i="2"/>
  <c r="BV160" i="2"/>
  <c r="BU160" i="2"/>
  <c r="BT160" i="2"/>
  <c r="BS160" i="2"/>
  <c r="BR160" i="2"/>
  <c r="BQ160" i="2"/>
  <c r="BP160" i="2"/>
  <c r="BO160" i="2"/>
  <c r="BN160" i="2"/>
  <c r="BM160" i="2"/>
  <c r="BL160" i="2"/>
  <c r="BK160" i="2"/>
  <c r="BJ160" i="2"/>
  <c r="BI160" i="2"/>
  <c r="BH160" i="2"/>
  <c r="BG160" i="2"/>
  <c r="BF160" i="2"/>
  <c r="BE160" i="2"/>
  <c r="BD160" i="2"/>
  <c r="BC160" i="2"/>
  <c r="BB160" i="2"/>
  <c r="BA160" i="2"/>
  <c r="AZ160" i="2"/>
  <c r="AY160" i="2"/>
  <c r="AX160" i="2"/>
  <c r="AW160" i="2"/>
  <c r="AV160" i="2"/>
  <c r="AU160" i="2"/>
  <c r="AT160" i="2"/>
  <c r="AS160" i="2"/>
  <c r="AR160" i="2"/>
  <c r="AQ160" i="2"/>
  <c r="AP160" i="2"/>
  <c r="AO160" i="2"/>
  <c r="AN160" i="2"/>
  <c r="AM160" i="2"/>
  <c r="AL160" i="2"/>
  <c r="AK160" i="2"/>
  <c r="AE160" i="2"/>
  <c r="AD160" i="2"/>
  <c r="AC160" i="2"/>
  <c r="AB160" i="2"/>
  <c r="AA160" i="2"/>
  <c r="Z160" i="2"/>
  <c r="Y160" i="2"/>
  <c r="X160" i="2"/>
  <c r="W160" i="2"/>
  <c r="V160" i="2"/>
  <c r="U160" i="2"/>
  <c r="T160" i="2"/>
  <c r="S160" i="2"/>
  <c r="R160" i="2"/>
  <c r="Q160" i="2"/>
  <c r="F160" i="2"/>
  <c r="E160" i="2"/>
  <c r="D160" i="2"/>
  <c r="CA159" i="2"/>
  <c r="BZ159" i="2"/>
  <c r="BY159" i="2"/>
  <c r="BX159" i="2"/>
  <c r="BW159" i="2"/>
  <c r="BV159" i="2"/>
  <c r="BU159" i="2"/>
  <c r="BT159" i="2"/>
  <c r="BS159" i="2"/>
  <c r="BR159" i="2"/>
  <c r="BQ159" i="2"/>
  <c r="BP159" i="2"/>
  <c r="BO159" i="2"/>
  <c r="BN159" i="2"/>
  <c r="BM159" i="2"/>
  <c r="BL159" i="2"/>
  <c r="BK159" i="2"/>
  <c r="BJ159" i="2"/>
  <c r="BI159" i="2"/>
  <c r="BH159" i="2"/>
  <c r="BG159" i="2"/>
  <c r="BF159" i="2"/>
  <c r="BE159" i="2"/>
  <c r="BD159" i="2"/>
  <c r="BC159" i="2"/>
  <c r="BB159" i="2"/>
  <c r="BA159" i="2"/>
  <c r="AZ159" i="2"/>
  <c r="AY159" i="2"/>
  <c r="AX159" i="2"/>
  <c r="AW159" i="2"/>
  <c r="AV159" i="2"/>
  <c r="AU159" i="2"/>
  <c r="AT159" i="2"/>
  <c r="AS159" i="2"/>
  <c r="AR159" i="2"/>
  <c r="AQ159" i="2"/>
  <c r="AP159" i="2"/>
  <c r="AO159" i="2"/>
  <c r="AN159" i="2"/>
  <c r="AM159" i="2"/>
  <c r="AL159" i="2"/>
  <c r="AK159" i="2"/>
  <c r="AE159" i="2"/>
  <c r="AD159" i="2"/>
  <c r="AC159" i="2"/>
  <c r="AB159" i="2"/>
  <c r="AA159" i="2"/>
  <c r="Z159" i="2"/>
  <c r="Y159" i="2"/>
  <c r="X159" i="2"/>
  <c r="W159" i="2"/>
  <c r="V159" i="2"/>
  <c r="U159" i="2"/>
  <c r="T159" i="2"/>
  <c r="S159" i="2"/>
  <c r="R159" i="2"/>
  <c r="Q159" i="2"/>
  <c r="F159" i="2"/>
  <c r="E159" i="2"/>
  <c r="D159" i="2"/>
  <c r="CA158" i="2"/>
  <c r="BZ158" i="2"/>
  <c r="BY158" i="2"/>
  <c r="BX158" i="2"/>
  <c r="BW158" i="2"/>
  <c r="BV158" i="2"/>
  <c r="BU158" i="2"/>
  <c r="BT158" i="2"/>
  <c r="BS158" i="2"/>
  <c r="BR158" i="2"/>
  <c r="BQ158" i="2"/>
  <c r="BP158" i="2"/>
  <c r="BO158" i="2"/>
  <c r="BN158" i="2"/>
  <c r="BM158" i="2"/>
  <c r="BL158" i="2"/>
  <c r="BK158" i="2"/>
  <c r="BJ158" i="2"/>
  <c r="BI158" i="2"/>
  <c r="BH158" i="2"/>
  <c r="BG158" i="2"/>
  <c r="BF158" i="2"/>
  <c r="BE158" i="2"/>
  <c r="BD158" i="2"/>
  <c r="BC158" i="2"/>
  <c r="BB158" i="2"/>
  <c r="BA158" i="2"/>
  <c r="AZ158" i="2"/>
  <c r="AY158" i="2"/>
  <c r="AX158" i="2"/>
  <c r="AW158" i="2"/>
  <c r="AV158" i="2"/>
  <c r="AU158" i="2"/>
  <c r="AT158" i="2"/>
  <c r="AS158" i="2"/>
  <c r="AR158" i="2"/>
  <c r="AQ158" i="2"/>
  <c r="AP158" i="2"/>
  <c r="AO158" i="2"/>
  <c r="AN158" i="2"/>
  <c r="AM158" i="2"/>
  <c r="AL158" i="2"/>
  <c r="AK158" i="2"/>
  <c r="AE158" i="2"/>
  <c r="AD158" i="2"/>
  <c r="AC158" i="2"/>
  <c r="AB158" i="2"/>
  <c r="AA158" i="2"/>
  <c r="Z158" i="2"/>
  <c r="Y158" i="2"/>
  <c r="X158" i="2"/>
  <c r="W158" i="2"/>
  <c r="V158" i="2"/>
  <c r="U158" i="2"/>
  <c r="T158" i="2"/>
  <c r="S158" i="2"/>
  <c r="R158" i="2"/>
  <c r="Q158" i="2"/>
  <c r="F158" i="2"/>
  <c r="E158" i="2"/>
  <c r="D158" i="2"/>
  <c r="CA157" i="2"/>
  <c r="BZ157" i="2"/>
  <c r="BY157" i="2"/>
  <c r="BX157" i="2"/>
  <c r="BW157" i="2"/>
  <c r="BV157" i="2"/>
  <c r="BU157" i="2"/>
  <c r="BT157" i="2"/>
  <c r="BS157" i="2"/>
  <c r="BR157" i="2"/>
  <c r="BQ157" i="2"/>
  <c r="BP157" i="2"/>
  <c r="BO157" i="2"/>
  <c r="BN157" i="2"/>
  <c r="BM157" i="2"/>
  <c r="BL157" i="2"/>
  <c r="BK157" i="2"/>
  <c r="BJ157" i="2"/>
  <c r="BI157" i="2"/>
  <c r="BH157" i="2"/>
  <c r="BG157" i="2"/>
  <c r="BF157" i="2"/>
  <c r="BE157" i="2"/>
  <c r="BD157" i="2"/>
  <c r="BC157" i="2"/>
  <c r="BB157" i="2"/>
  <c r="BA157" i="2"/>
  <c r="AZ157" i="2"/>
  <c r="AY157" i="2"/>
  <c r="AX157" i="2"/>
  <c r="AW157" i="2"/>
  <c r="AV157" i="2"/>
  <c r="AU157" i="2"/>
  <c r="AT157" i="2"/>
  <c r="AS157" i="2"/>
  <c r="AR157" i="2"/>
  <c r="AQ157" i="2"/>
  <c r="AP157" i="2"/>
  <c r="AO157" i="2"/>
  <c r="AN157" i="2"/>
  <c r="AM157" i="2"/>
  <c r="AL157" i="2"/>
  <c r="AK157" i="2"/>
  <c r="AE157" i="2"/>
  <c r="AD157" i="2"/>
  <c r="AC157" i="2"/>
  <c r="AB157" i="2"/>
  <c r="AA157" i="2"/>
  <c r="Z157" i="2"/>
  <c r="Y157" i="2"/>
  <c r="X157" i="2"/>
  <c r="W157" i="2"/>
  <c r="V157" i="2"/>
  <c r="U157" i="2"/>
  <c r="T157" i="2"/>
  <c r="S157" i="2"/>
  <c r="R157" i="2"/>
  <c r="Q157" i="2"/>
  <c r="F157" i="2"/>
  <c r="E157" i="2"/>
  <c r="D157" i="2"/>
  <c r="CA156" i="2"/>
  <c r="BZ156" i="2"/>
  <c r="BY156" i="2"/>
  <c r="BX156" i="2"/>
  <c r="BW156" i="2"/>
  <c r="BV156" i="2"/>
  <c r="BU156" i="2"/>
  <c r="BT156" i="2"/>
  <c r="BS156" i="2"/>
  <c r="BR156" i="2"/>
  <c r="BQ156" i="2"/>
  <c r="BP156" i="2"/>
  <c r="BO156" i="2"/>
  <c r="BN156" i="2"/>
  <c r="BM156" i="2"/>
  <c r="BL156" i="2"/>
  <c r="BK156" i="2"/>
  <c r="BJ156" i="2"/>
  <c r="BI156" i="2"/>
  <c r="BH156" i="2"/>
  <c r="BG156" i="2"/>
  <c r="BF156" i="2"/>
  <c r="BE156" i="2"/>
  <c r="BD156" i="2"/>
  <c r="BC156" i="2"/>
  <c r="BB156" i="2"/>
  <c r="BA156" i="2"/>
  <c r="AZ156" i="2"/>
  <c r="AY156" i="2"/>
  <c r="AX156" i="2"/>
  <c r="AW156" i="2"/>
  <c r="AV156" i="2"/>
  <c r="AU156" i="2"/>
  <c r="AT156" i="2"/>
  <c r="AS156" i="2"/>
  <c r="AR156" i="2"/>
  <c r="AQ156" i="2"/>
  <c r="AP156" i="2"/>
  <c r="AO156" i="2"/>
  <c r="AN156" i="2"/>
  <c r="AM156" i="2"/>
  <c r="AL156" i="2"/>
  <c r="AK156" i="2"/>
  <c r="AE156" i="2"/>
  <c r="AD156" i="2"/>
  <c r="AC156" i="2"/>
  <c r="AB156" i="2"/>
  <c r="AA156" i="2"/>
  <c r="Z156" i="2"/>
  <c r="Y156" i="2"/>
  <c r="X156" i="2"/>
  <c r="W156" i="2"/>
  <c r="V156" i="2"/>
  <c r="U156" i="2"/>
  <c r="T156" i="2"/>
  <c r="S156" i="2"/>
  <c r="R156" i="2"/>
  <c r="Q156" i="2"/>
  <c r="F156" i="2"/>
  <c r="E156" i="2"/>
  <c r="D156" i="2"/>
  <c r="CA155" i="2"/>
  <c r="BZ155" i="2"/>
  <c r="BY155" i="2"/>
  <c r="BX155" i="2"/>
  <c r="BW155" i="2"/>
  <c r="BV155" i="2"/>
  <c r="BU155" i="2"/>
  <c r="BT155" i="2"/>
  <c r="BS155" i="2"/>
  <c r="BR155" i="2"/>
  <c r="BQ155" i="2"/>
  <c r="BP155" i="2"/>
  <c r="BO155" i="2"/>
  <c r="BN155" i="2"/>
  <c r="BM155" i="2"/>
  <c r="BL155" i="2"/>
  <c r="BK155" i="2"/>
  <c r="BJ155" i="2"/>
  <c r="BI155" i="2"/>
  <c r="BH155" i="2"/>
  <c r="BG155" i="2"/>
  <c r="BF155" i="2"/>
  <c r="BE155" i="2"/>
  <c r="BD155" i="2"/>
  <c r="BC155" i="2"/>
  <c r="BB155" i="2"/>
  <c r="BA155" i="2"/>
  <c r="AZ155" i="2"/>
  <c r="AY155" i="2"/>
  <c r="AX155" i="2"/>
  <c r="AW155" i="2"/>
  <c r="AV155" i="2"/>
  <c r="AU155" i="2"/>
  <c r="AT155" i="2"/>
  <c r="AS155" i="2"/>
  <c r="AR155" i="2"/>
  <c r="AQ155" i="2"/>
  <c r="AP155" i="2"/>
  <c r="AO155" i="2"/>
  <c r="AN155" i="2"/>
  <c r="AM155" i="2"/>
  <c r="AL155" i="2"/>
  <c r="AK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F155" i="2"/>
  <c r="E155" i="2"/>
  <c r="D155" i="2"/>
  <c r="CA154" i="2"/>
  <c r="BZ154" i="2"/>
  <c r="BY154" i="2"/>
  <c r="BX154" i="2"/>
  <c r="BW154" i="2"/>
  <c r="BV154" i="2"/>
  <c r="BU154" i="2"/>
  <c r="BT154" i="2"/>
  <c r="BS154" i="2"/>
  <c r="BR154" i="2"/>
  <c r="BQ154" i="2"/>
  <c r="BP154" i="2"/>
  <c r="BO154" i="2"/>
  <c r="BN154" i="2"/>
  <c r="BM154" i="2"/>
  <c r="BL154" i="2"/>
  <c r="BK154" i="2"/>
  <c r="BJ154" i="2"/>
  <c r="BI154" i="2"/>
  <c r="BH154" i="2"/>
  <c r="BG154" i="2"/>
  <c r="BF154" i="2"/>
  <c r="BE154" i="2"/>
  <c r="BD154" i="2"/>
  <c r="BC154" i="2"/>
  <c r="BB154" i="2"/>
  <c r="BA154" i="2"/>
  <c r="AZ154" i="2"/>
  <c r="AY154" i="2"/>
  <c r="AX154" i="2"/>
  <c r="AW154" i="2"/>
  <c r="AV154" i="2"/>
  <c r="AU154" i="2"/>
  <c r="AT154" i="2"/>
  <c r="AS154" i="2"/>
  <c r="AR154" i="2"/>
  <c r="AQ154" i="2"/>
  <c r="AP154" i="2"/>
  <c r="AO154" i="2"/>
  <c r="AN154" i="2"/>
  <c r="AM154" i="2"/>
  <c r="AL154" i="2"/>
  <c r="AK154" i="2"/>
  <c r="AE154" i="2"/>
  <c r="AD154" i="2"/>
  <c r="AC154" i="2"/>
  <c r="AB154" i="2"/>
  <c r="AA154" i="2"/>
  <c r="Z154" i="2"/>
  <c r="Y154" i="2"/>
  <c r="X154" i="2"/>
  <c r="W154" i="2"/>
  <c r="V154" i="2"/>
  <c r="U154" i="2"/>
  <c r="T154" i="2"/>
  <c r="S154" i="2"/>
  <c r="R154" i="2"/>
  <c r="Q154" i="2"/>
  <c r="F154" i="2"/>
  <c r="E154" i="2"/>
  <c r="D154" i="2"/>
  <c r="CA153" i="2"/>
  <c r="BZ153" i="2"/>
  <c r="BY153" i="2"/>
  <c r="BX153" i="2"/>
  <c r="BW153" i="2"/>
  <c r="BV153" i="2"/>
  <c r="BU153" i="2"/>
  <c r="BT153" i="2"/>
  <c r="BS153" i="2"/>
  <c r="BR153" i="2"/>
  <c r="BQ153" i="2"/>
  <c r="BP153" i="2"/>
  <c r="BO153" i="2"/>
  <c r="BN153" i="2"/>
  <c r="BM153" i="2"/>
  <c r="BL153" i="2"/>
  <c r="BK153" i="2"/>
  <c r="BJ153" i="2"/>
  <c r="BI153" i="2"/>
  <c r="BH153" i="2"/>
  <c r="BG153" i="2"/>
  <c r="BF153" i="2"/>
  <c r="BE153" i="2"/>
  <c r="BD153" i="2"/>
  <c r="BC153" i="2"/>
  <c r="BB153" i="2"/>
  <c r="BA153" i="2"/>
  <c r="AZ153" i="2"/>
  <c r="AY153" i="2"/>
  <c r="AX153" i="2"/>
  <c r="AW153" i="2"/>
  <c r="AV153" i="2"/>
  <c r="AU153" i="2"/>
  <c r="AT153" i="2"/>
  <c r="AS153" i="2"/>
  <c r="AR153" i="2"/>
  <c r="AQ153" i="2"/>
  <c r="AP153" i="2"/>
  <c r="AO153" i="2"/>
  <c r="AN153" i="2"/>
  <c r="AM153" i="2"/>
  <c r="AL153" i="2"/>
  <c r="AK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F153" i="2"/>
  <c r="E153" i="2"/>
  <c r="D153" i="2"/>
  <c r="CA152" i="2"/>
  <c r="BZ152" i="2"/>
  <c r="BY152" i="2"/>
  <c r="BX152" i="2"/>
  <c r="BW152" i="2"/>
  <c r="BV152" i="2"/>
  <c r="BU152" i="2"/>
  <c r="BT152" i="2"/>
  <c r="BS152" i="2"/>
  <c r="BR152" i="2"/>
  <c r="BQ152" i="2"/>
  <c r="BP152" i="2"/>
  <c r="BO152" i="2"/>
  <c r="BN152" i="2"/>
  <c r="BM152" i="2"/>
  <c r="BL152" i="2"/>
  <c r="BK152" i="2"/>
  <c r="BJ152" i="2"/>
  <c r="BI152" i="2"/>
  <c r="BH152" i="2"/>
  <c r="BG152" i="2"/>
  <c r="BF152" i="2"/>
  <c r="BE152" i="2"/>
  <c r="BD152" i="2"/>
  <c r="BC152" i="2"/>
  <c r="BB152" i="2"/>
  <c r="BA152" i="2"/>
  <c r="AZ152" i="2"/>
  <c r="AY152" i="2"/>
  <c r="AX152" i="2"/>
  <c r="AW152" i="2"/>
  <c r="AV152" i="2"/>
  <c r="AU152" i="2"/>
  <c r="AT152" i="2"/>
  <c r="AS152" i="2"/>
  <c r="AR152" i="2"/>
  <c r="AQ152" i="2"/>
  <c r="AP152" i="2"/>
  <c r="AO152" i="2"/>
  <c r="AN152" i="2"/>
  <c r="AM152" i="2"/>
  <c r="AL152" i="2"/>
  <c r="AK152" i="2"/>
  <c r="AE152" i="2"/>
  <c r="AD152" i="2"/>
  <c r="AC152" i="2"/>
  <c r="AB152" i="2"/>
  <c r="AA152" i="2"/>
  <c r="Z152" i="2"/>
  <c r="Y152" i="2"/>
  <c r="X152" i="2"/>
  <c r="W152" i="2"/>
  <c r="V152" i="2"/>
  <c r="U152" i="2"/>
  <c r="T152" i="2"/>
  <c r="S152" i="2"/>
  <c r="R152" i="2"/>
  <c r="Q152" i="2"/>
  <c r="F152" i="2"/>
  <c r="E152" i="2"/>
  <c r="D152" i="2"/>
  <c r="CA151" i="2"/>
  <c r="BZ151" i="2"/>
  <c r="BY151" i="2"/>
  <c r="BX151" i="2"/>
  <c r="BW151" i="2"/>
  <c r="BV151" i="2"/>
  <c r="BU151" i="2"/>
  <c r="BT151" i="2"/>
  <c r="BS151" i="2"/>
  <c r="BR151" i="2"/>
  <c r="BQ151" i="2"/>
  <c r="BP151" i="2"/>
  <c r="BO151" i="2"/>
  <c r="BN151" i="2"/>
  <c r="BM151" i="2"/>
  <c r="BL151" i="2"/>
  <c r="BK151" i="2"/>
  <c r="BJ151" i="2"/>
  <c r="BI151" i="2"/>
  <c r="BH151" i="2"/>
  <c r="BG151" i="2"/>
  <c r="BF151" i="2"/>
  <c r="BE151" i="2"/>
  <c r="BD151" i="2"/>
  <c r="BC151" i="2"/>
  <c r="BB151" i="2"/>
  <c r="BA151" i="2"/>
  <c r="AZ151" i="2"/>
  <c r="AY151" i="2"/>
  <c r="AX151" i="2"/>
  <c r="AW151" i="2"/>
  <c r="AV151" i="2"/>
  <c r="AU151" i="2"/>
  <c r="AT151" i="2"/>
  <c r="AS151" i="2"/>
  <c r="AR151" i="2"/>
  <c r="AQ151" i="2"/>
  <c r="AP151" i="2"/>
  <c r="AO151" i="2"/>
  <c r="AN151" i="2"/>
  <c r="AM151" i="2"/>
  <c r="AL151" i="2"/>
  <c r="AK151" i="2"/>
  <c r="AE151" i="2"/>
  <c r="AD151" i="2"/>
  <c r="AC151" i="2"/>
  <c r="AB151" i="2"/>
  <c r="AA151" i="2"/>
  <c r="Z151" i="2"/>
  <c r="Y151" i="2"/>
  <c r="X151" i="2"/>
  <c r="W151" i="2"/>
  <c r="V151" i="2"/>
  <c r="U151" i="2"/>
  <c r="T151" i="2"/>
  <c r="S151" i="2"/>
  <c r="R151" i="2"/>
  <c r="Q151" i="2"/>
  <c r="F151" i="2"/>
  <c r="E151" i="2"/>
  <c r="D151" i="2"/>
  <c r="CA150" i="2"/>
  <c r="BZ150" i="2"/>
  <c r="BY150" i="2"/>
  <c r="BX150" i="2"/>
  <c r="BW150" i="2"/>
  <c r="BV150" i="2"/>
  <c r="BU150" i="2"/>
  <c r="BT150" i="2"/>
  <c r="BS150" i="2"/>
  <c r="BR150" i="2"/>
  <c r="BQ150" i="2"/>
  <c r="BP150" i="2"/>
  <c r="BO150" i="2"/>
  <c r="BN150" i="2"/>
  <c r="BM150" i="2"/>
  <c r="BL150" i="2"/>
  <c r="BK150" i="2"/>
  <c r="BJ150" i="2"/>
  <c r="BI150" i="2"/>
  <c r="BH150" i="2"/>
  <c r="BG150" i="2"/>
  <c r="BF150" i="2"/>
  <c r="BE150" i="2"/>
  <c r="BD150" i="2"/>
  <c r="BC150" i="2"/>
  <c r="BB150" i="2"/>
  <c r="BA150" i="2"/>
  <c r="AZ150" i="2"/>
  <c r="AY150" i="2"/>
  <c r="AX150" i="2"/>
  <c r="AW150" i="2"/>
  <c r="AV150" i="2"/>
  <c r="AU150" i="2"/>
  <c r="AT150" i="2"/>
  <c r="AS150" i="2"/>
  <c r="AR150" i="2"/>
  <c r="AQ150" i="2"/>
  <c r="AP150" i="2"/>
  <c r="AO150" i="2"/>
  <c r="AN150" i="2"/>
  <c r="AM150" i="2"/>
  <c r="AL150" i="2"/>
  <c r="AK150" i="2"/>
  <c r="AE150" i="2"/>
  <c r="AD150" i="2"/>
  <c r="AC150" i="2"/>
  <c r="AB150" i="2"/>
  <c r="AA150" i="2"/>
  <c r="Z150" i="2"/>
  <c r="Y150" i="2"/>
  <c r="X150" i="2"/>
  <c r="W150" i="2"/>
  <c r="V150" i="2"/>
  <c r="U150" i="2"/>
  <c r="T150" i="2"/>
  <c r="S150" i="2"/>
  <c r="R150" i="2"/>
  <c r="Q150" i="2"/>
  <c r="F150" i="2"/>
  <c r="E150" i="2"/>
  <c r="D150" i="2"/>
  <c r="CA149" i="2"/>
  <c r="BZ149" i="2"/>
  <c r="BY149" i="2"/>
  <c r="BX149" i="2"/>
  <c r="BW149" i="2"/>
  <c r="BV149" i="2"/>
  <c r="BU149" i="2"/>
  <c r="BT149" i="2"/>
  <c r="BS149" i="2"/>
  <c r="BR149" i="2"/>
  <c r="BQ149" i="2"/>
  <c r="BP149" i="2"/>
  <c r="BO149" i="2"/>
  <c r="BN149" i="2"/>
  <c r="BM149" i="2"/>
  <c r="BL149" i="2"/>
  <c r="BK149" i="2"/>
  <c r="BJ149" i="2"/>
  <c r="BI149" i="2"/>
  <c r="BH149" i="2"/>
  <c r="BG149" i="2"/>
  <c r="BF149" i="2"/>
  <c r="BE149" i="2"/>
  <c r="BD149" i="2"/>
  <c r="BC149" i="2"/>
  <c r="BB149" i="2"/>
  <c r="BA149" i="2"/>
  <c r="AZ149" i="2"/>
  <c r="AY149" i="2"/>
  <c r="AX149" i="2"/>
  <c r="AW149" i="2"/>
  <c r="AV149" i="2"/>
  <c r="AU149" i="2"/>
  <c r="AT149" i="2"/>
  <c r="AS149" i="2"/>
  <c r="AR149" i="2"/>
  <c r="AQ149" i="2"/>
  <c r="AP149" i="2"/>
  <c r="AO149" i="2"/>
  <c r="AN149" i="2"/>
  <c r="AM149" i="2"/>
  <c r="AL149" i="2"/>
  <c r="AK149" i="2"/>
  <c r="AE149" i="2"/>
  <c r="AD149" i="2"/>
  <c r="AC149" i="2"/>
  <c r="AB149" i="2"/>
  <c r="AA149" i="2"/>
  <c r="Z149" i="2"/>
  <c r="Y149" i="2"/>
  <c r="X149" i="2"/>
  <c r="W149" i="2"/>
  <c r="V149" i="2"/>
  <c r="U149" i="2"/>
  <c r="T149" i="2"/>
  <c r="S149" i="2"/>
  <c r="R149" i="2"/>
  <c r="Q149" i="2"/>
  <c r="F149" i="2"/>
  <c r="E149" i="2"/>
  <c r="D149" i="2"/>
  <c r="CA148" i="2"/>
  <c r="BZ148" i="2"/>
  <c r="BY148" i="2"/>
  <c r="BX148" i="2"/>
  <c r="BW148" i="2"/>
  <c r="BV148" i="2"/>
  <c r="BU148" i="2"/>
  <c r="BT148" i="2"/>
  <c r="BS148" i="2"/>
  <c r="BR148" i="2"/>
  <c r="BQ148" i="2"/>
  <c r="BP148" i="2"/>
  <c r="BO148" i="2"/>
  <c r="BN148" i="2"/>
  <c r="BM148" i="2"/>
  <c r="BL148" i="2"/>
  <c r="BK148" i="2"/>
  <c r="BJ148" i="2"/>
  <c r="BI148" i="2"/>
  <c r="BH148" i="2"/>
  <c r="BG148" i="2"/>
  <c r="BF148" i="2"/>
  <c r="BE148" i="2"/>
  <c r="BD148" i="2"/>
  <c r="BC148" i="2"/>
  <c r="BB148" i="2"/>
  <c r="BA148" i="2"/>
  <c r="AZ148" i="2"/>
  <c r="AY148" i="2"/>
  <c r="AX148" i="2"/>
  <c r="AW148" i="2"/>
  <c r="AV148" i="2"/>
  <c r="AU148" i="2"/>
  <c r="AT148" i="2"/>
  <c r="AS148" i="2"/>
  <c r="AR148" i="2"/>
  <c r="AQ148" i="2"/>
  <c r="AP148" i="2"/>
  <c r="AO148" i="2"/>
  <c r="AN148" i="2"/>
  <c r="AM148" i="2"/>
  <c r="AL148" i="2"/>
  <c r="AK148" i="2"/>
  <c r="AE148" i="2"/>
  <c r="AD148" i="2"/>
  <c r="AC148" i="2"/>
  <c r="AB148" i="2"/>
  <c r="AA148" i="2"/>
  <c r="Z148" i="2"/>
  <c r="Y148" i="2"/>
  <c r="X148" i="2"/>
  <c r="W148" i="2"/>
  <c r="V148" i="2"/>
  <c r="U148" i="2"/>
  <c r="T148" i="2"/>
  <c r="S148" i="2"/>
  <c r="R148" i="2"/>
  <c r="Q148" i="2"/>
  <c r="F148" i="2"/>
  <c r="E148" i="2"/>
  <c r="D148" i="2"/>
  <c r="CA147" i="2"/>
  <c r="BZ147" i="2"/>
  <c r="BY147" i="2"/>
  <c r="BX147" i="2"/>
  <c r="BW147" i="2"/>
  <c r="BV147" i="2"/>
  <c r="BU147" i="2"/>
  <c r="BT147" i="2"/>
  <c r="BS147" i="2"/>
  <c r="BR147" i="2"/>
  <c r="BQ147" i="2"/>
  <c r="BP147" i="2"/>
  <c r="BO147" i="2"/>
  <c r="BN147" i="2"/>
  <c r="BM147" i="2"/>
  <c r="BL147" i="2"/>
  <c r="BK147" i="2"/>
  <c r="BJ147" i="2"/>
  <c r="BI147" i="2"/>
  <c r="BH147" i="2"/>
  <c r="BG147" i="2"/>
  <c r="BF147" i="2"/>
  <c r="BE147" i="2"/>
  <c r="BD147" i="2"/>
  <c r="BC147" i="2"/>
  <c r="BB147" i="2"/>
  <c r="BA147" i="2"/>
  <c r="AZ147" i="2"/>
  <c r="AY147" i="2"/>
  <c r="AX147" i="2"/>
  <c r="AW147" i="2"/>
  <c r="AV147" i="2"/>
  <c r="AU147" i="2"/>
  <c r="AT147" i="2"/>
  <c r="AS147" i="2"/>
  <c r="AR147" i="2"/>
  <c r="AQ147" i="2"/>
  <c r="AP147" i="2"/>
  <c r="AO147" i="2"/>
  <c r="AN147" i="2"/>
  <c r="AM147" i="2"/>
  <c r="AL147" i="2"/>
  <c r="AK147" i="2"/>
  <c r="AE147" i="2"/>
  <c r="AD147" i="2"/>
  <c r="AC147" i="2"/>
  <c r="AB147" i="2"/>
  <c r="AA147" i="2"/>
  <c r="Z147" i="2"/>
  <c r="Y147" i="2"/>
  <c r="X147" i="2"/>
  <c r="W147" i="2"/>
  <c r="V147" i="2"/>
  <c r="U147" i="2"/>
  <c r="T147" i="2"/>
  <c r="S147" i="2"/>
  <c r="R147" i="2"/>
  <c r="Q147" i="2"/>
  <c r="F147" i="2"/>
  <c r="E147" i="2"/>
  <c r="D147" i="2"/>
  <c r="CA146" i="2"/>
  <c r="BZ146" i="2"/>
  <c r="BY146" i="2"/>
  <c r="BX146" i="2"/>
  <c r="BW146" i="2"/>
  <c r="BV146" i="2"/>
  <c r="BU146" i="2"/>
  <c r="BT146" i="2"/>
  <c r="BS146" i="2"/>
  <c r="BR146" i="2"/>
  <c r="BQ146" i="2"/>
  <c r="BP146" i="2"/>
  <c r="BO146" i="2"/>
  <c r="BN146" i="2"/>
  <c r="BM146" i="2"/>
  <c r="BL146" i="2"/>
  <c r="BK146" i="2"/>
  <c r="BJ146" i="2"/>
  <c r="BI146" i="2"/>
  <c r="BH146" i="2"/>
  <c r="BG146" i="2"/>
  <c r="BF146" i="2"/>
  <c r="BE146" i="2"/>
  <c r="BD146" i="2"/>
  <c r="BC146" i="2"/>
  <c r="BB146" i="2"/>
  <c r="BA146" i="2"/>
  <c r="AZ146" i="2"/>
  <c r="AY146" i="2"/>
  <c r="AX146" i="2"/>
  <c r="AW146" i="2"/>
  <c r="AV146" i="2"/>
  <c r="AU146" i="2"/>
  <c r="AT146" i="2"/>
  <c r="AS146" i="2"/>
  <c r="AR146" i="2"/>
  <c r="AQ146" i="2"/>
  <c r="AP146" i="2"/>
  <c r="AO146" i="2"/>
  <c r="AN146" i="2"/>
  <c r="AM146" i="2"/>
  <c r="AL146" i="2"/>
  <c r="AK146" i="2"/>
  <c r="AE146" i="2"/>
  <c r="AD146" i="2"/>
  <c r="AC146" i="2"/>
  <c r="AB146" i="2"/>
  <c r="AA146" i="2"/>
  <c r="Z146" i="2"/>
  <c r="Y146" i="2"/>
  <c r="X146" i="2"/>
  <c r="W146" i="2"/>
  <c r="V146" i="2"/>
  <c r="U146" i="2"/>
  <c r="T146" i="2"/>
  <c r="S146" i="2"/>
  <c r="R146" i="2"/>
  <c r="Q146" i="2"/>
  <c r="F146" i="2"/>
  <c r="E146" i="2"/>
  <c r="D146" i="2"/>
  <c r="CA145" i="2"/>
  <c r="BZ145" i="2"/>
  <c r="BY145" i="2"/>
  <c r="BX145" i="2"/>
  <c r="BW145" i="2"/>
  <c r="BV145" i="2"/>
  <c r="BU145" i="2"/>
  <c r="BT145" i="2"/>
  <c r="BS145" i="2"/>
  <c r="BR145" i="2"/>
  <c r="BQ145" i="2"/>
  <c r="BP145" i="2"/>
  <c r="BO145" i="2"/>
  <c r="BN145" i="2"/>
  <c r="BM145" i="2"/>
  <c r="BL145" i="2"/>
  <c r="BK145" i="2"/>
  <c r="BJ145" i="2"/>
  <c r="BI145" i="2"/>
  <c r="BH145" i="2"/>
  <c r="BG145" i="2"/>
  <c r="BF145" i="2"/>
  <c r="BE145" i="2"/>
  <c r="BD145" i="2"/>
  <c r="BC145" i="2"/>
  <c r="BB145" i="2"/>
  <c r="BA145" i="2"/>
  <c r="AZ145" i="2"/>
  <c r="AY145" i="2"/>
  <c r="AX145" i="2"/>
  <c r="AW145" i="2"/>
  <c r="AV145" i="2"/>
  <c r="AU145" i="2"/>
  <c r="AT145" i="2"/>
  <c r="AS145" i="2"/>
  <c r="AR145" i="2"/>
  <c r="AQ145" i="2"/>
  <c r="AP145" i="2"/>
  <c r="AO145" i="2"/>
  <c r="AN145" i="2"/>
  <c r="AM145" i="2"/>
  <c r="AL145" i="2"/>
  <c r="AK145" i="2"/>
  <c r="AE145" i="2"/>
  <c r="AD145" i="2"/>
  <c r="AC145" i="2"/>
  <c r="AB145" i="2"/>
  <c r="AA145" i="2"/>
  <c r="Z145" i="2"/>
  <c r="Y145" i="2"/>
  <c r="X145" i="2"/>
  <c r="W145" i="2"/>
  <c r="V145" i="2"/>
  <c r="U145" i="2"/>
  <c r="T145" i="2"/>
  <c r="S145" i="2"/>
  <c r="R145" i="2"/>
  <c r="Q145" i="2"/>
  <c r="F145" i="2"/>
  <c r="E145" i="2"/>
  <c r="D145" i="2"/>
  <c r="CA144" i="2"/>
  <c r="BZ144" i="2"/>
  <c r="BY144" i="2"/>
  <c r="BX144" i="2"/>
  <c r="BW144" i="2"/>
  <c r="BV144" i="2"/>
  <c r="BU144" i="2"/>
  <c r="BT144" i="2"/>
  <c r="BS144" i="2"/>
  <c r="BR144" i="2"/>
  <c r="BQ144" i="2"/>
  <c r="BP144" i="2"/>
  <c r="BO144" i="2"/>
  <c r="BN144" i="2"/>
  <c r="BM144" i="2"/>
  <c r="BL144" i="2"/>
  <c r="BK144" i="2"/>
  <c r="BJ144" i="2"/>
  <c r="BI144" i="2"/>
  <c r="BH144" i="2"/>
  <c r="BG144" i="2"/>
  <c r="BF144" i="2"/>
  <c r="BE144" i="2"/>
  <c r="BD144" i="2"/>
  <c r="BC144" i="2"/>
  <c r="BB144" i="2"/>
  <c r="BA144" i="2"/>
  <c r="AZ144" i="2"/>
  <c r="AY144" i="2"/>
  <c r="AX144" i="2"/>
  <c r="AW144" i="2"/>
  <c r="AV144" i="2"/>
  <c r="AU144" i="2"/>
  <c r="AT144" i="2"/>
  <c r="AS144" i="2"/>
  <c r="AR144" i="2"/>
  <c r="AQ144" i="2"/>
  <c r="AP144" i="2"/>
  <c r="AO144" i="2"/>
  <c r="AN144" i="2"/>
  <c r="AM144" i="2"/>
  <c r="AL144" i="2"/>
  <c r="AK144" i="2"/>
  <c r="AE144" i="2"/>
  <c r="AD144" i="2"/>
  <c r="AC144" i="2"/>
  <c r="AB144" i="2"/>
  <c r="AA144" i="2"/>
  <c r="Z144" i="2"/>
  <c r="Y144" i="2"/>
  <c r="X144" i="2"/>
  <c r="W144" i="2"/>
  <c r="V144" i="2"/>
  <c r="U144" i="2"/>
  <c r="T144" i="2"/>
  <c r="S144" i="2"/>
  <c r="R144" i="2"/>
  <c r="Q144" i="2"/>
  <c r="F144" i="2"/>
  <c r="E144" i="2"/>
  <c r="D144" i="2"/>
  <c r="CA143" i="2"/>
  <c r="BZ143" i="2"/>
  <c r="BY143" i="2"/>
  <c r="BX143" i="2"/>
  <c r="BW143" i="2"/>
  <c r="BV143" i="2"/>
  <c r="BU143" i="2"/>
  <c r="BT143" i="2"/>
  <c r="BS143" i="2"/>
  <c r="BR143" i="2"/>
  <c r="BQ143" i="2"/>
  <c r="BP143" i="2"/>
  <c r="BO143" i="2"/>
  <c r="BN143" i="2"/>
  <c r="BM143" i="2"/>
  <c r="BL143" i="2"/>
  <c r="BK143" i="2"/>
  <c r="BJ143" i="2"/>
  <c r="BI143" i="2"/>
  <c r="BH143" i="2"/>
  <c r="BG143" i="2"/>
  <c r="BF143" i="2"/>
  <c r="BE143" i="2"/>
  <c r="BD143" i="2"/>
  <c r="BC143" i="2"/>
  <c r="BB143" i="2"/>
  <c r="BA143" i="2"/>
  <c r="AZ143" i="2"/>
  <c r="AY143" i="2"/>
  <c r="AX143" i="2"/>
  <c r="AW143" i="2"/>
  <c r="AV143" i="2"/>
  <c r="AU143" i="2"/>
  <c r="AT143" i="2"/>
  <c r="AS143" i="2"/>
  <c r="AR143" i="2"/>
  <c r="AQ143" i="2"/>
  <c r="AP143" i="2"/>
  <c r="AO143" i="2"/>
  <c r="AN143" i="2"/>
  <c r="AM143" i="2"/>
  <c r="AL143" i="2"/>
  <c r="AK143" i="2"/>
  <c r="AE143" i="2"/>
  <c r="AD143" i="2"/>
  <c r="AC143" i="2"/>
  <c r="AB143" i="2"/>
  <c r="AA143" i="2"/>
  <c r="Z143" i="2"/>
  <c r="Y143" i="2"/>
  <c r="X143" i="2"/>
  <c r="W143" i="2"/>
  <c r="V143" i="2"/>
  <c r="U143" i="2"/>
  <c r="T143" i="2"/>
  <c r="S143" i="2"/>
  <c r="R143" i="2"/>
  <c r="Q143" i="2"/>
  <c r="F143" i="2"/>
  <c r="E143" i="2"/>
  <c r="D143" i="2"/>
  <c r="CA142" i="2"/>
  <c r="BZ142" i="2"/>
  <c r="BY142" i="2"/>
  <c r="BX142" i="2"/>
  <c r="BW142" i="2"/>
  <c r="BV142" i="2"/>
  <c r="BU142" i="2"/>
  <c r="BT142" i="2"/>
  <c r="BS142" i="2"/>
  <c r="BR142" i="2"/>
  <c r="BQ142" i="2"/>
  <c r="BP142" i="2"/>
  <c r="BO142" i="2"/>
  <c r="BN142" i="2"/>
  <c r="BM142" i="2"/>
  <c r="BL142" i="2"/>
  <c r="BK142" i="2"/>
  <c r="BJ142" i="2"/>
  <c r="BI142" i="2"/>
  <c r="BH142" i="2"/>
  <c r="BG142" i="2"/>
  <c r="BF142" i="2"/>
  <c r="BE142" i="2"/>
  <c r="BD142" i="2"/>
  <c r="BC142" i="2"/>
  <c r="BB142" i="2"/>
  <c r="BA142" i="2"/>
  <c r="AZ142" i="2"/>
  <c r="AY142" i="2"/>
  <c r="AX142" i="2"/>
  <c r="AW142" i="2"/>
  <c r="AV142" i="2"/>
  <c r="AU142" i="2"/>
  <c r="AT142" i="2"/>
  <c r="AS142" i="2"/>
  <c r="AR142" i="2"/>
  <c r="AQ142" i="2"/>
  <c r="AP142" i="2"/>
  <c r="AO142" i="2"/>
  <c r="AN142" i="2"/>
  <c r="AM142" i="2"/>
  <c r="AL142" i="2"/>
  <c r="AK142" i="2"/>
  <c r="AE142" i="2"/>
  <c r="AD142" i="2"/>
  <c r="AC142" i="2"/>
  <c r="AB142" i="2"/>
  <c r="AA142" i="2"/>
  <c r="Z142" i="2"/>
  <c r="Y142" i="2"/>
  <c r="X142" i="2"/>
  <c r="W142" i="2"/>
  <c r="V142" i="2"/>
  <c r="U142" i="2"/>
  <c r="T142" i="2"/>
  <c r="S142" i="2"/>
  <c r="R142" i="2"/>
  <c r="Q142" i="2"/>
  <c r="F142" i="2"/>
  <c r="E142" i="2"/>
  <c r="D142" i="2"/>
  <c r="CA141" i="2"/>
  <c r="BZ141" i="2"/>
  <c r="BY141" i="2"/>
  <c r="BX141" i="2"/>
  <c r="BW141" i="2"/>
  <c r="BV141" i="2"/>
  <c r="BU141" i="2"/>
  <c r="BT141" i="2"/>
  <c r="BS141" i="2"/>
  <c r="BR141" i="2"/>
  <c r="BQ141" i="2"/>
  <c r="BP141" i="2"/>
  <c r="BO141" i="2"/>
  <c r="BN141" i="2"/>
  <c r="BM141" i="2"/>
  <c r="BL141" i="2"/>
  <c r="BK141" i="2"/>
  <c r="BJ141" i="2"/>
  <c r="BI141" i="2"/>
  <c r="BH141" i="2"/>
  <c r="BG141" i="2"/>
  <c r="BF141" i="2"/>
  <c r="BE141" i="2"/>
  <c r="BD141" i="2"/>
  <c r="BC141" i="2"/>
  <c r="BB141" i="2"/>
  <c r="BA141" i="2"/>
  <c r="AZ141" i="2"/>
  <c r="AY141" i="2"/>
  <c r="AX141" i="2"/>
  <c r="AW141" i="2"/>
  <c r="AV141" i="2"/>
  <c r="AU141" i="2"/>
  <c r="AT141" i="2"/>
  <c r="AS141" i="2"/>
  <c r="AR141" i="2"/>
  <c r="AQ141" i="2"/>
  <c r="AP141" i="2"/>
  <c r="AO141" i="2"/>
  <c r="AN141" i="2"/>
  <c r="AM141" i="2"/>
  <c r="AL141" i="2"/>
  <c r="AK141" i="2"/>
  <c r="AE141" i="2"/>
  <c r="AD141" i="2"/>
  <c r="AC141" i="2"/>
  <c r="AB141" i="2"/>
  <c r="AA141" i="2"/>
  <c r="Z141" i="2"/>
  <c r="Y141" i="2"/>
  <c r="X141" i="2"/>
  <c r="W141" i="2"/>
  <c r="V141" i="2"/>
  <c r="U141" i="2"/>
  <c r="T141" i="2"/>
  <c r="S141" i="2"/>
  <c r="R141" i="2"/>
  <c r="Q141" i="2"/>
  <c r="F141" i="2"/>
  <c r="E141" i="2"/>
  <c r="D141" i="2"/>
  <c r="CA140" i="2"/>
  <c r="BZ140" i="2"/>
  <c r="BY140" i="2"/>
  <c r="BX140" i="2"/>
  <c r="BW140" i="2"/>
  <c r="BV140" i="2"/>
  <c r="BU140" i="2"/>
  <c r="BT140" i="2"/>
  <c r="BS140" i="2"/>
  <c r="BR140" i="2"/>
  <c r="BQ140" i="2"/>
  <c r="BP140" i="2"/>
  <c r="BO140" i="2"/>
  <c r="BN140" i="2"/>
  <c r="BM140" i="2"/>
  <c r="BL140" i="2"/>
  <c r="BK140" i="2"/>
  <c r="BJ140" i="2"/>
  <c r="BI140" i="2"/>
  <c r="BH140" i="2"/>
  <c r="BG140" i="2"/>
  <c r="BF140" i="2"/>
  <c r="BE140" i="2"/>
  <c r="BD140" i="2"/>
  <c r="BC140" i="2"/>
  <c r="BB140" i="2"/>
  <c r="BA140" i="2"/>
  <c r="AZ140" i="2"/>
  <c r="AY140" i="2"/>
  <c r="AX140" i="2"/>
  <c r="AW140" i="2"/>
  <c r="AV140" i="2"/>
  <c r="AU140" i="2"/>
  <c r="AT140" i="2"/>
  <c r="AS140" i="2"/>
  <c r="AR140" i="2"/>
  <c r="AQ140" i="2"/>
  <c r="AP140" i="2"/>
  <c r="AO140" i="2"/>
  <c r="AN140" i="2"/>
  <c r="AM140" i="2"/>
  <c r="AL140" i="2"/>
  <c r="AK140" i="2"/>
  <c r="AE140" i="2"/>
  <c r="AD140" i="2"/>
  <c r="AC140" i="2"/>
  <c r="AB140" i="2"/>
  <c r="AA140" i="2"/>
  <c r="Z140" i="2"/>
  <c r="Y140" i="2"/>
  <c r="X140" i="2"/>
  <c r="W140" i="2"/>
  <c r="V140" i="2"/>
  <c r="U140" i="2"/>
  <c r="T140" i="2"/>
  <c r="S140" i="2"/>
  <c r="R140" i="2"/>
  <c r="Q140" i="2"/>
  <c r="F140" i="2"/>
  <c r="E140" i="2"/>
  <c r="D140" i="2"/>
  <c r="CA139" i="2"/>
  <c r="BZ139" i="2"/>
  <c r="BY139" i="2"/>
  <c r="BX139" i="2"/>
  <c r="BW139" i="2"/>
  <c r="BV139" i="2"/>
  <c r="BU139" i="2"/>
  <c r="BT139" i="2"/>
  <c r="BS139" i="2"/>
  <c r="BR139" i="2"/>
  <c r="BQ139" i="2"/>
  <c r="BP139" i="2"/>
  <c r="BO139" i="2"/>
  <c r="BN139" i="2"/>
  <c r="BM139" i="2"/>
  <c r="BL139" i="2"/>
  <c r="BK139" i="2"/>
  <c r="BJ139" i="2"/>
  <c r="BI139" i="2"/>
  <c r="BH139" i="2"/>
  <c r="BG139" i="2"/>
  <c r="BF139" i="2"/>
  <c r="BE139" i="2"/>
  <c r="BD139" i="2"/>
  <c r="BC139" i="2"/>
  <c r="BB139" i="2"/>
  <c r="BA139" i="2"/>
  <c r="AZ139" i="2"/>
  <c r="AY139" i="2"/>
  <c r="AX139" i="2"/>
  <c r="AW139" i="2"/>
  <c r="AV139" i="2"/>
  <c r="AU139" i="2"/>
  <c r="AT139" i="2"/>
  <c r="AS139" i="2"/>
  <c r="AR139" i="2"/>
  <c r="AQ139" i="2"/>
  <c r="AP139" i="2"/>
  <c r="AO139" i="2"/>
  <c r="AN139" i="2"/>
  <c r="AM139" i="2"/>
  <c r="AL139" i="2"/>
  <c r="AK139" i="2"/>
  <c r="AE139" i="2"/>
  <c r="AD139" i="2"/>
  <c r="AC139" i="2"/>
  <c r="AB139" i="2"/>
  <c r="AA139" i="2"/>
  <c r="Z139" i="2"/>
  <c r="Y139" i="2"/>
  <c r="X139" i="2"/>
  <c r="W139" i="2"/>
  <c r="V139" i="2"/>
  <c r="U139" i="2"/>
  <c r="T139" i="2"/>
  <c r="S139" i="2"/>
  <c r="R139" i="2"/>
  <c r="Q139" i="2"/>
  <c r="F139" i="2"/>
  <c r="E139" i="2"/>
  <c r="D139" i="2"/>
  <c r="CA138" i="2"/>
  <c r="BZ138" i="2"/>
  <c r="BY138" i="2"/>
  <c r="BX138" i="2"/>
  <c r="BW138" i="2"/>
  <c r="BV138" i="2"/>
  <c r="BU138" i="2"/>
  <c r="BT138" i="2"/>
  <c r="BS138" i="2"/>
  <c r="BR138" i="2"/>
  <c r="BQ138" i="2"/>
  <c r="BP138" i="2"/>
  <c r="BO138" i="2"/>
  <c r="BN138" i="2"/>
  <c r="BM138" i="2"/>
  <c r="BL138" i="2"/>
  <c r="BK138" i="2"/>
  <c r="BJ138" i="2"/>
  <c r="BI138" i="2"/>
  <c r="BH138" i="2"/>
  <c r="BG138" i="2"/>
  <c r="BF138" i="2"/>
  <c r="BE138" i="2"/>
  <c r="BD138" i="2"/>
  <c r="BC138" i="2"/>
  <c r="BB138" i="2"/>
  <c r="BA138" i="2"/>
  <c r="AZ138" i="2"/>
  <c r="AY138" i="2"/>
  <c r="AX138" i="2"/>
  <c r="AW138" i="2"/>
  <c r="AV138" i="2"/>
  <c r="AU138" i="2"/>
  <c r="AT138" i="2"/>
  <c r="AS138" i="2"/>
  <c r="AR138" i="2"/>
  <c r="AQ138" i="2"/>
  <c r="AP138" i="2"/>
  <c r="AO138" i="2"/>
  <c r="AN138" i="2"/>
  <c r="AM138" i="2"/>
  <c r="AL138" i="2"/>
  <c r="AK138" i="2"/>
  <c r="AE138" i="2"/>
  <c r="AD138" i="2"/>
  <c r="AC138" i="2"/>
  <c r="AB138" i="2"/>
  <c r="AA138" i="2"/>
  <c r="Z138" i="2"/>
  <c r="Y138" i="2"/>
  <c r="X138" i="2"/>
  <c r="W138" i="2"/>
  <c r="V138" i="2"/>
  <c r="U138" i="2"/>
  <c r="T138" i="2"/>
  <c r="S138" i="2"/>
  <c r="R138" i="2"/>
  <c r="Q138" i="2"/>
  <c r="F138" i="2"/>
  <c r="E138" i="2"/>
  <c r="D138" i="2"/>
  <c r="CA137" i="2"/>
  <c r="BZ137" i="2"/>
  <c r="BY137" i="2"/>
  <c r="BX137" i="2"/>
  <c r="BW137" i="2"/>
  <c r="BV137" i="2"/>
  <c r="BU137" i="2"/>
  <c r="BT137" i="2"/>
  <c r="BS137" i="2"/>
  <c r="BR137" i="2"/>
  <c r="BQ137" i="2"/>
  <c r="BP137" i="2"/>
  <c r="BO137" i="2"/>
  <c r="BN137" i="2"/>
  <c r="BM137" i="2"/>
  <c r="BL137" i="2"/>
  <c r="BK137" i="2"/>
  <c r="BJ137" i="2"/>
  <c r="BI137" i="2"/>
  <c r="BH137" i="2"/>
  <c r="BG137" i="2"/>
  <c r="BF137" i="2"/>
  <c r="BE137" i="2"/>
  <c r="BD137" i="2"/>
  <c r="BC137" i="2"/>
  <c r="BB137" i="2"/>
  <c r="BA137" i="2"/>
  <c r="AZ137" i="2"/>
  <c r="AY137" i="2"/>
  <c r="AX137" i="2"/>
  <c r="AW137" i="2"/>
  <c r="AV137" i="2"/>
  <c r="AU137" i="2"/>
  <c r="AT137" i="2"/>
  <c r="AS137" i="2"/>
  <c r="AR137" i="2"/>
  <c r="AQ137" i="2"/>
  <c r="AP137" i="2"/>
  <c r="AO137" i="2"/>
  <c r="AN137" i="2"/>
  <c r="AM137" i="2"/>
  <c r="AL137" i="2"/>
  <c r="AK137" i="2"/>
  <c r="AE137" i="2"/>
  <c r="AD137" i="2"/>
  <c r="AC137" i="2"/>
  <c r="AB137" i="2"/>
  <c r="AA137" i="2"/>
  <c r="Z137" i="2"/>
  <c r="Y137" i="2"/>
  <c r="X137" i="2"/>
  <c r="W137" i="2"/>
  <c r="V137" i="2"/>
  <c r="U137" i="2"/>
  <c r="T137" i="2"/>
  <c r="S137" i="2"/>
  <c r="R137" i="2"/>
  <c r="Q137" i="2"/>
  <c r="F137" i="2"/>
  <c r="E137" i="2"/>
  <c r="D137" i="2"/>
  <c r="CA136" i="2"/>
  <c r="BZ136" i="2"/>
  <c r="BY136" i="2"/>
  <c r="BX136" i="2"/>
  <c r="BW136" i="2"/>
  <c r="BV136" i="2"/>
  <c r="BU136" i="2"/>
  <c r="BT136" i="2"/>
  <c r="BS136" i="2"/>
  <c r="BR136" i="2"/>
  <c r="BQ136" i="2"/>
  <c r="BP136" i="2"/>
  <c r="BO136" i="2"/>
  <c r="BN136" i="2"/>
  <c r="BM136" i="2"/>
  <c r="BL136" i="2"/>
  <c r="BK136" i="2"/>
  <c r="BJ136" i="2"/>
  <c r="BI136" i="2"/>
  <c r="BH136" i="2"/>
  <c r="BG136" i="2"/>
  <c r="BF136" i="2"/>
  <c r="BE136" i="2"/>
  <c r="BD136" i="2"/>
  <c r="BC136" i="2"/>
  <c r="BB136" i="2"/>
  <c r="BA136" i="2"/>
  <c r="AZ136" i="2"/>
  <c r="AY136" i="2"/>
  <c r="AX136" i="2"/>
  <c r="AW136" i="2"/>
  <c r="AV136" i="2"/>
  <c r="AU136" i="2"/>
  <c r="AT136" i="2"/>
  <c r="AS136" i="2"/>
  <c r="AR136" i="2"/>
  <c r="AQ136" i="2"/>
  <c r="AP136" i="2"/>
  <c r="AO136" i="2"/>
  <c r="AN136" i="2"/>
  <c r="AM136" i="2"/>
  <c r="AL136" i="2"/>
  <c r="AK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F136" i="2"/>
  <c r="E136" i="2"/>
  <c r="D136" i="2"/>
  <c r="CA135" i="2"/>
  <c r="BZ135" i="2"/>
  <c r="BY135" i="2"/>
  <c r="BX135" i="2"/>
  <c r="BW135" i="2"/>
  <c r="BV135" i="2"/>
  <c r="BU135" i="2"/>
  <c r="BT135" i="2"/>
  <c r="BS135" i="2"/>
  <c r="BR135" i="2"/>
  <c r="BQ135" i="2"/>
  <c r="BP135" i="2"/>
  <c r="BO135" i="2"/>
  <c r="BN135" i="2"/>
  <c r="BM135" i="2"/>
  <c r="BL135" i="2"/>
  <c r="BK135" i="2"/>
  <c r="BJ135" i="2"/>
  <c r="BI135" i="2"/>
  <c r="BH135" i="2"/>
  <c r="BG135" i="2"/>
  <c r="BF135" i="2"/>
  <c r="BE135" i="2"/>
  <c r="BD135" i="2"/>
  <c r="BC135" i="2"/>
  <c r="BB135" i="2"/>
  <c r="BA135" i="2"/>
  <c r="AZ135" i="2"/>
  <c r="AY135" i="2"/>
  <c r="AX135" i="2"/>
  <c r="AW135" i="2"/>
  <c r="AV135" i="2"/>
  <c r="AU135" i="2"/>
  <c r="AT135" i="2"/>
  <c r="AS135" i="2"/>
  <c r="AR135" i="2"/>
  <c r="AQ135" i="2"/>
  <c r="AP135" i="2"/>
  <c r="AO135" i="2"/>
  <c r="AN135" i="2"/>
  <c r="AM135" i="2"/>
  <c r="AL135" i="2"/>
  <c r="AK135" i="2"/>
  <c r="AE135" i="2"/>
  <c r="AD135" i="2"/>
  <c r="AC135" i="2"/>
  <c r="AB135" i="2"/>
  <c r="AA135" i="2"/>
  <c r="Z135" i="2"/>
  <c r="Y135" i="2"/>
  <c r="X135" i="2"/>
  <c r="W135" i="2"/>
  <c r="V135" i="2"/>
  <c r="U135" i="2"/>
  <c r="T135" i="2"/>
  <c r="S135" i="2"/>
  <c r="R135" i="2"/>
  <c r="Q135" i="2"/>
  <c r="F135" i="2"/>
  <c r="E135" i="2"/>
  <c r="D135" i="2"/>
  <c r="CA134" i="2"/>
  <c r="BZ134" i="2"/>
  <c r="BY134" i="2"/>
  <c r="BX134" i="2"/>
  <c r="BW134" i="2"/>
  <c r="BV134" i="2"/>
  <c r="BU134" i="2"/>
  <c r="BT134" i="2"/>
  <c r="BS134" i="2"/>
  <c r="BR134" i="2"/>
  <c r="BQ134" i="2"/>
  <c r="BP134" i="2"/>
  <c r="BO134" i="2"/>
  <c r="BN134" i="2"/>
  <c r="BM134" i="2"/>
  <c r="BL134" i="2"/>
  <c r="BK134" i="2"/>
  <c r="BJ134" i="2"/>
  <c r="BI134" i="2"/>
  <c r="BH134" i="2"/>
  <c r="BG134" i="2"/>
  <c r="BF134" i="2"/>
  <c r="BE134" i="2"/>
  <c r="BD134" i="2"/>
  <c r="BC134" i="2"/>
  <c r="BB134" i="2"/>
  <c r="BA134" i="2"/>
  <c r="AZ134" i="2"/>
  <c r="AY134" i="2"/>
  <c r="AX134" i="2"/>
  <c r="AW134" i="2"/>
  <c r="AV134" i="2"/>
  <c r="AU134" i="2"/>
  <c r="AT134" i="2"/>
  <c r="AS134" i="2"/>
  <c r="AR134" i="2"/>
  <c r="AQ134" i="2"/>
  <c r="AP134" i="2"/>
  <c r="AO134" i="2"/>
  <c r="AN134" i="2"/>
  <c r="AM134" i="2"/>
  <c r="AL134" i="2"/>
  <c r="AK134" i="2"/>
  <c r="AE134" i="2"/>
  <c r="AD134" i="2"/>
  <c r="AC134" i="2"/>
  <c r="AB134" i="2"/>
  <c r="AA134" i="2"/>
  <c r="Z134" i="2"/>
  <c r="Y134" i="2"/>
  <c r="X134" i="2"/>
  <c r="W134" i="2"/>
  <c r="V134" i="2"/>
  <c r="U134" i="2"/>
  <c r="T134" i="2"/>
  <c r="S134" i="2"/>
  <c r="R134" i="2"/>
  <c r="Q134" i="2"/>
  <c r="F134" i="2"/>
  <c r="E134" i="2"/>
  <c r="D134" i="2"/>
  <c r="CA133" i="2"/>
  <c r="BZ133" i="2"/>
  <c r="BY133" i="2"/>
  <c r="BX133" i="2"/>
  <c r="BW133" i="2"/>
  <c r="BV133" i="2"/>
  <c r="BU133" i="2"/>
  <c r="BT133" i="2"/>
  <c r="BS133" i="2"/>
  <c r="BR133" i="2"/>
  <c r="BQ133" i="2"/>
  <c r="BP133" i="2"/>
  <c r="BO133" i="2"/>
  <c r="BN133" i="2"/>
  <c r="BM133" i="2"/>
  <c r="BL133" i="2"/>
  <c r="BK133" i="2"/>
  <c r="BJ133" i="2"/>
  <c r="BI133" i="2"/>
  <c r="BH133" i="2"/>
  <c r="BG133" i="2"/>
  <c r="BF133" i="2"/>
  <c r="BE133" i="2"/>
  <c r="BD133" i="2"/>
  <c r="BC133" i="2"/>
  <c r="BB133" i="2"/>
  <c r="BA133" i="2"/>
  <c r="AZ133" i="2"/>
  <c r="AY133" i="2"/>
  <c r="AX133" i="2"/>
  <c r="AW133" i="2"/>
  <c r="AV133" i="2"/>
  <c r="AU133" i="2"/>
  <c r="AT133" i="2"/>
  <c r="AS133" i="2"/>
  <c r="AR133" i="2"/>
  <c r="AQ133" i="2"/>
  <c r="AP133" i="2"/>
  <c r="AO133" i="2"/>
  <c r="AN133" i="2"/>
  <c r="AM133" i="2"/>
  <c r="AL133" i="2"/>
  <c r="AK133" i="2"/>
  <c r="AE133" i="2"/>
  <c r="AD133" i="2"/>
  <c r="AC133" i="2"/>
  <c r="AB133" i="2"/>
  <c r="AA133" i="2"/>
  <c r="Z133" i="2"/>
  <c r="Y133" i="2"/>
  <c r="X133" i="2"/>
  <c r="W133" i="2"/>
  <c r="V133" i="2"/>
  <c r="U133" i="2"/>
  <c r="T133" i="2"/>
  <c r="S133" i="2"/>
  <c r="R133" i="2"/>
  <c r="Q133" i="2"/>
  <c r="F133" i="2"/>
  <c r="E133" i="2"/>
  <c r="D133" i="2"/>
  <c r="CA132" i="2"/>
  <c r="BZ132" i="2"/>
  <c r="BY132" i="2"/>
  <c r="BX132" i="2"/>
  <c r="BW132" i="2"/>
  <c r="BV132" i="2"/>
  <c r="BU132" i="2"/>
  <c r="BT132" i="2"/>
  <c r="BS132" i="2"/>
  <c r="BR132" i="2"/>
  <c r="BQ132" i="2"/>
  <c r="BP132" i="2"/>
  <c r="BO132" i="2"/>
  <c r="BN132" i="2"/>
  <c r="BM132" i="2"/>
  <c r="BL132" i="2"/>
  <c r="BK132" i="2"/>
  <c r="BJ132" i="2"/>
  <c r="BI132" i="2"/>
  <c r="BH132" i="2"/>
  <c r="BG132" i="2"/>
  <c r="BF132" i="2"/>
  <c r="BE132" i="2"/>
  <c r="BD132" i="2"/>
  <c r="BC132" i="2"/>
  <c r="BB132" i="2"/>
  <c r="BA132" i="2"/>
  <c r="AZ132" i="2"/>
  <c r="AY132" i="2"/>
  <c r="AX132" i="2"/>
  <c r="AW132" i="2"/>
  <c r="AV132" i="2"/>
  <c r="AU132" i="2"/>
  <c r="AT132" i="2"/>
  <c r="AS132" i="2"/>
  <c r="AR132" i="2"/>
  <c r="AQ132" i="2"/>
  <c r="AP132" i="2"/>
  <c r="AO132" i="2"/>
  <c r="AN132" i="2"/>
  <c r="AM132" i="2"/>
  <c r="AL132" i="2"/>
  <c r="AK132" i="2"/>
  <c r="AE132" i="2"/>
  <c r="AD132" i="2"/>
  <c r="AC132" i="2"/>
  <c r="AB132" i="2"/>
  <c r="AA132" i="2"/>
  <c r="Z132" i="2"/>
  <c r="Y132" i="2"/>
  <c r="X132" i="2"/>
  <c r="W132" i="2"/>
  <c r="V132" i="2"/>
  <c r="U132" i="2"/>
  <c r="T132" i="2"/>
  <c r="S132" i="2"/>
  <c r="R132" i="2"/>
  <c r="Q132" i="2"/>
  <c r="F132" i="2"/>
  <c r="E132" i="2"/>
  <c r="D132" i="2"/>
  <c r="CA131" i="2"/>
  <c r="BZ131" i="2"/>
  <c r="BY131" i="2"/>
  <c r="BX131" i="2"/>
  <c r="BW131" i="2"/>
  <c r="BV131" i="2"/>
  <c r="BU131" i="2"/>
  <c r="BT131" i="2"/>
  <c r="BS131" i="2"/>
  <c r="BR131" i="2"/>
  <c r="BQ131" i="2"/>
  <c r="BP131" i="2"/>
  <c r="BO131" i="2"/>
  <c r="BN131" i="2"/>
  <c r="BM131" i="2"/>
  <c r="BL131" i="2"/>
  <c r="BK131" i="2"/>
  <c r="BJ131" i="2"/>
  <c r="BI131" i="2"/>
  <c r="BH131" i="2"/>
  <c r="BG131" i="2"/>
  <c r="BF131" i="2"/>
  <c r="BE131" i="2"/>
  <c r="BD131" i="2"/>
  <c r="BC131" i="2"/>
  <c r="BB131" i="2"/>
  <c r="BA131" i="2"/>
  <c r="AZ131" i="2"/>
  <c r="AY131" i="2"/>
  <c r="AX131" i="2"/>
  <c r="AW131" i="2"/>
  <c r="AV131" i="2"/>
  <c r="AU131" i="2"/>
  <c r="AT131" i="2"/>
  <c r="AS131" i="2"/>
  <c r="AR131" i="2"/>
  <c r="AQ131" i="2"/>
  <c r="AP131" i="2"/>
  <c r="AO131" i="2"/>
  <c r="AN131" i="2"/>
  <c r="AM131" i="2"/>
  <c r="AL131" i="2"/>
  <c r="AK131" i="2"/>
  <c r="AE131" i="2"/>
  <c r="AD131" i="2"/>
  <c r="AC131" i="2"/>
  <c r="AB131" i="2"/>
  <c r="AA131" i="2"/>
  <c r="Z131" i="2"/>
  <c r="Y131" i="2"/>
  <c r="X131" i="2"/>
  <c r="W131" i="2"/>
  <c r="V131" i="2"/>
  <c r="U131" i="2"/>
  <c r="T131" i="2"/>
  <c r="S131" i="2"/>
  <c r="R131" i="2"/>
  <c r="Q131" i="2"/>
  <c r="F131" i="2"/>
  <c r="E131" i="2"/>
  <c r="D131" i="2"/>
  <c r="CA130" i="2"/>
  <c r="BZ130" i="2"/>
  <c r="BY130" i="2"/>
  <c r="BX130" i="2"/>
  <c r="BW130" i="2"/>
  <c r="BV130" i="2"/>
  <c r="BU130" i="2"/>
  <c r="BT130" i="2"/>
  <c r="BS130" i="2"/>
  <c r="BR130" i="2"/>
  <c r="BQ130" i="2"/>
  <c r="BP130" i="2"/>
  <c r="BO130" i="2"/>
  <c r="BN130" i="2"/>
  <c r="BM130" i="2"/>
  <c r="BL130" i="2"/>
  <c r="BK130" i="2"/>
  <c r="BJ130" i="2"/>
  <c r="BI130" i="2"/>
  <c r="BH130" i="2"/>
  <c r="BG130" i="2"/>
  <c r="BF130" i="2"/>
  <c r="BE130" i="2"/>
  <c r="BD130" i="2"/>
  <c r="BC130" i="2"/>
  <c r="BB130" i="2"/>
  <c r="BA130" i="2"/>
  <c r="AZ130" i="2"/>
  <c r="AY130" i="2"/>
  <c r="AX130" i="2"/>
  <c r="AW130" i="2"/>
  <c r="AV130" i="2"/>
  <c r="AU130" i="2"/>
  <c r="AT130" i="2"/>
  <c r="AS130" i="2"/>
  <c r="AR130" i="2"/>
  <c r="AQ130" i="2"/>
  <c r="AP130" i="2"/>
  <c r="AO130" i="2"/>
  <c r="AN130" i="2"/>
  <c r="AM130" i="2"/>
  <c r="AL130" i="2"/>
  <c r="AK130" i="2"/>
  <c r="AE130" i="2"/>
  <c r="AD130" i="2"/>
  <c r="AC130" i="2"/>
  <c r="AB130" i="2"/>
  <c r="AA130" i="2"/>
  <c r="Z130" i="2"/>
  <c r="Y130" i="2"/>
  <c r="X130" i="2"/>
  <c r="W130" i="2"/>
  <c r="V130" i="2"/>
  <c r="U130" i="2"/>
  <c r="T130" i="2"/>
  <c r="S130" i="2"/>
  <c r="R130" i="2"/>
  <c r="Q130" i="2"/>
  <c r="F130" i="2"/>
  <c r="E130" i="2"/>
  <c r="D130" i="2"/>
  <c r="CA129" i="2"/>
  <c r="BZ129" i="2"/>
  <c r="BY129" i="2"/>
  <c r="BX129" i="2"/>
  <c r="BW129" i="2"/>
  <c r="BV129" i="2"/>
  <c r="BU129" i="2"/>
  <c r="BT129" i="2"/>
  <c r="BS129" i="2"/>
  <c r="BR129" i="2"/>
  <c r="BQ129" i="2"/>
  <c r="BP129" i="2"/>
  <c r="BO129" i="2"/>
  <c r="BN129" i="2"/>
  <c r="BM129" i="2"/>
  <c r="BL129" i="2"/>
  <c r="BK129" i="2"/>
  <c r="BJ129" i="2"/>
  <c r="BI129" i="2"/>
  <c r="BH129" i="2"/>
  <c r="BG129" i="2"/>
  <c r="BF129" i="2"/>
  <c r="BE129" i="2"/>
  <c r="BD129" i="2"/>
  <c r="BC129" i="2"/>
  <c r="BB129" i="2"/>
  <c r="BA129" i="2"/>
  <c r="AZ129" i="2"/>
  <c r="AY129" i="2"/>
  <c r="AX129" i="2"/>
  <c r="AW129" i="2"/>
  <c r="AV129" i="2"/>
  <c r="AU129" i="2"/>
  <c r="AT129" i="2"/>
  <c r="AS129" i="2"/>
  <c r="AR129" i="2"/>
  <c r="AQ129" i="2"/>
  <c r="AP129" i="2"/>
  <c r="AO129" i="2"/>
  <c r="AN129" i="2"/>
  <c r="AM129" i="2"/>
  <c r="AL129" i="2"/>
  <c r="AK129" i="2"/>
  <c r="AE129" i="2"/>
  <c r="AD129" i="2"/>
  <c r="AC129" i="2"/>
  <c r="AB129" i="2"/>
  <c r="AA129" i="2"/>
  <c r="Z129" i="2"/>
  <c r="Y129" i="2"/>
  <c r="X129" i="2"/>
  <c r="W129" i="2"/>
  <c r="V129" i="2"/>
  <c r="U129" i="2"/>
  <c r="T129" i="2"/>
  <c r="S129" i="2"/>
  <c r="R129" i="2"/>
  <c r="Q129" i="2"/>
  <c r="F129" i="2"/>
  <c r="E129" i="2"/>
  <c r="D129" i="2"/>
  <c r="CA128" i="2"/>
  <c r="BZ128" i="2"/>
  <c r="BY128" i="2"/>
  <c r="BX128" i="2"/>
  <c r="BW128" i="2"/>
  <c r="BV128" i="2"/>
  <c r="BU128" i="2"/>
  <c r="BT128" i="2"/>
  <c r="BS128" i="2"/>
  <c r="BR128" i="2"/>
  <c r="BQ128" i="2"/>
  <c r="BP128" i="2"/>
  <c r="BO128" i="2"/>
  <c r="BN128" i="2"/>
  <c r="BM128" i="2"/>
  <c r="BL128" i="2"/>
  <c r="BK128" i="2"/>
  <c r="BJ128" i="2"/>
  <c r="BI128" i="2"/>
  <c r="BH128" i="2"/>
  <c r="BG128" i="2"/>
  <c r="BF128" i="2"/>
  <c r="BE128" i="2"/>
  <c r="BD128" i="2"/>
  <c r="BC128" i="2"/>
  <c r="BB128" i="2"/>
  <c r="BA128" i="2"/>
  <c r="AZ128" i="2"/>
  <c r="AY128" i="2"/>
  <c r="AX128" i="2"/>
  <c r="AW128" i="2"/>
  <c r="AV128" i="2"/>
  <c r="AU128" i="2"/>
  <c r="AT128" i="2"/>
  <c r="AS128" i="2"/>
  <c r="AR128" i="2"/>
  <c r="AQ128" i="2"/>
  <c r="AP128" i="2"/>
  <c r="AO128" i="2"/>
  <c r="AN128" i="2"/>
  <c r="AM128" i="2"/>
  <c r="AL128" i="2"/>
  <c r="AK128" i="2"/>
  <c r="AE128" i="2"/>
  <c r="AD128" i="2"/>
  <c r="AC128" i="2"/>
  <c r="AB128" i="2"/>
  <c r="AA128" i="2"/>
  <c r="Z128" i="2"/>
  <c r="Y128" i="2"/>
  <c r="X128" i="2"/>
  <c r="W128" i="2"/>
  <c r="V128" i="2"/>
  <c r="U128" i="2"/>
  <c r="T128" i="2"/>
  <c r="S128" i="2"/>
  <c r="R128" i="2"/>
  <c r="Q128" i="2"/>
  <c r="F128" i="2"/>
  <c r="E128" i="2"/>
  <c r="D128" i="2"/>
  <c r="CA127" i="2"/>
  <c r="BZ127" i="2"/>
  <c r="BY127" i="2"/>
  <c r="BX127" i="2"/>
  <c r="BW127" i="2"/>
  <c r="BV127" i="2"/>
  <c r="BU127" i="2"/>
  <c r="BT127" i="2"/>
  <c r="BS127" i="2"/>
  <c r="BR127" i="2"/>
  <c r="BQ127" i="2"/>
  <c r="BP127" i="2"/>
  <c r="BO127" i="2"/>
  <c r="BN127" i="2"/>
  <c r="BM127" i="2"/>
  <c r="BL127" i="2"/>
  <c r="BK127" i="2"/>
  <c r="BJ127" i="2"/>
  <c r="BI127" i="2"/>
  <c r="BH127" i="2"/>
  <c r="BG127" i="2"/>
  <c r="BF127" i="2"/>
  <c r="BE127" i="2"/>
  <c r="BD127" i="2"/>
  <c r="BC127" i="2"/>
  <c r="BB127" i="2"/>
  <c r="BA127" i="2"/>
  <c r="AZ127" i="2"/>
  <c r="AY127" i="2"/>
  <c r="AX127" i="2"/>
  <c r="AW127" i="2"/>
  <c r="AV127" i="2"/>
  <c r="AU127" i="2"/>
  <c r="AT127" i="2"/>
  <c r="AS127" i="2"/>
  <c r="AR127" i="2"/>
  <c r="AQ127" i="2"/>
  <c r="AP127" i="2"/>
  <c r="AO127" i="2"/>
  <c r="AN127" i="2"/>
  <c r="AM127" i="2"/>
  <c r="AL127" i="2"/>
  <c r="AK127" i="2"/>
  <c r="AE127" i="2"/>
  <c r="AD127" i="2"/>
  <c r="AC127" i="2"/>
  <c r="AB127" i="2"/>
  <c r="AA127" i="2"/>
  <c r="Z127" i="2"/>
  <c r="Y127" i="2"/>
  <c r="X127" i="2"/>
  <c r="W127" i="2"/>
  <c r="V127" i="2"/>
  <c r="U127" i="2"/>
  <c r="T127" i="2"/>
  <c r="S127" i="2"/>
  <c r="R127" i="2"/>
  <c r="Q127" i="2"/>
  <c r="F127" i="2"/>
  <c r="E127" i="2"/>
  <c r="D127" i="2"/>
  <c r="CA126" i="2"/>
  <c r="BZ126" i="2"/>
  <c r="BY126" i="2"/>
  <c r="BX126" i="2"/>
  <c r="BW126" i="2"/>
  <c r="BV126" i="2"/>
  <c r="BU126" i="2"/>
  <c r="BT126" i="2"/>
  <c r="BS126" i="2"/>
  <c r="BR126" i="2"/>
  <c r="BQ126" i="2"/>
  <c r="BP126" i="2"/>
  <c r="BO126" i="2"/>
  <c r="BN126" i="2"/>
  <c r="BM126" i="2"/>
  <c r="BL126" i="2"/>
  <c r="BK126" i="2"/>
  <c r="BJ126" i="2"/>
  <c r="BI126" i="2"/>
  <c r="BH126" i="2"/>
  <c r="BG126" i="2"/>
  <c r="BF126" i="2"/>
  <c r="BE126" i="2"/>
  <c r="BD126" i="2"/>
  <c r="BC126" i="2"/>
  <c r="BB126" i="2"/>
  <c r="BA126" i="2"/>
  <c r="AZ126" i="2"/>
  <c r="AY126" i="2"/>
  <c r="AX126" i="2"/>
  <c r="AW126" i="2"/>
  <c r="AV126" i="2"/>
  <c r="AU126" i="2"/>
  <c r="AT126" i="2"/>
  <c r="AS126" i="2"/>
  <c r="AR126" i="2"/>
  <c r="AQ126" i="2"/>
  <c r="AP126" i="2"/>
  <c r="AO126" i="2"/>
  <c r="AN126" i="2"/>
  <c r="AM126" i="2"/>
  <c r="AL126" i="2"/>
  <c r="AK126" i="2"/>
  <c r="AE126" i="2"/>
  <c r="AD126" i="2"/>
  <c r="AC126" i="2"/>
  <c r="AB126" i="2"/>
  <c r="AA126" i="2"/>
  <c r="Z126" i="2"/>
  <c r="Y126" i="2"/>
  <c r="X126" i="2"/>
  <c r="W126" i="2"/>
  <c r="V126" i="2"/>
  <c r="U126" i="2"/>
  <c r="T126" i="2"/>
  <c r="S126" i="2"/>
  <c r="R126" i="2"/>
  <c r="Q126" i="2"/>
  <c r="F126" i="2"/>
  <c r="E126" i="2"/>
  <c r="D126" i="2"/>
  <c r="CA125" i="2"/>
  <c r="BZ125" i="2"/>
  <c r="BY125" i="2"/>
  <c r="BX125" i="2"/>
  <c r="BW125" i="2"/>
  <c r="BV125" i="2"/>
  <c r="BU125" i="2"/>
  <c r="BT125" i="2"/>
  <c r="BS125" i="2"/>
  <c r="BR125" i="2"/>
  <c r="BQ125" i="2"/>
  <c r="BP125" i="2"/>
  <c r="BO125" i="2"/>
  <c r="BN125" i="2"/>
  <c r="BM125" i="2"/>
  <c r="BL125" i="2"/>
  <c r="BK125" i="2"/>
  <c r="BJ125" i="2"/>
  <c r="BI125" i="2"/>
  <c r="BH125" i="2"/>
  <c r="BG125" i="2"/>
  <c r="BF125" i="2"/>
  <c r="BE125" i="2"/>
  <c r="BD125" i="2"/>
  <c r="BC125" i="2"/>
  <c r="BB125" i="2"/>
  <c r="BA125" i="2"/>
  <c r="AZ125" i="2"/>
  <c r="AY125" i="2"/>
  <c r="AX125" i="2"/>
  <c r="AW125" i="2"/>
  <c r="AV125" i="2"/>
  <c r="AU125" i="2"/>
  <c r="AT125" i="2"/>
  <c r="AS125" i="2"/>
  <c r="AR125" i="2"/>
  <c r="AQ125" i="2"/>
  <c r="AP125" i="2"/>
  <c r="AO125" i="2"/>
  <c r="AN125" i="2"/>
  <c r="AM125" i="2"/>
  <c r="AL125" i="2"/>
  <c r="AK125" i="2"/>
  <c r="AE125" i="2"/>
  <c r="AD125" i="2"/>
  <c r="AC125" i="2"/>
  <c r="AB125" i="2"/>
  <c r="AA125" i="2"/>
  <c r="Z125" i="2"/>
  <c r="Y125" i="2"/>
  <c r="X125" i="2"/>
  <c r="W125" i="2"/>
  <c r="V125" i="2"/>
  <c r="U125" i="2"/>
  <c r="T125" i="2"/>
  <c r="S125" i="2"/>
  <c r="R125" i="2"/>
  <c r="Q125" i="2"/>
  <c r="F125" i="2"/>
  <c r="E125" i="2"/>
  <c r="D125" i="2"/>
  <c r="CA124" i="2"/>
  <c r="BZ124" i="2"/>
  <c r="BY124" i="2"/>
  <c r="BX124" i="2"/>
  <c r="BW124" i="2"/>
  <c r="BV124" i="2"/>
  <c r="BU124" i="2"/>
  <c r="BT124" i="2"/>
  <c r="BS124" i="2"/>
  <c r="BR124" i="2"/>
  <c r="BQ124" i="2"/>
  <c r="BP124" i="2"/>
  <c r="BO124" i="2"/>
  <c r="BN124" i="2"/>
  <c r="BM124" i="2"/>
  <c r="BL124" i="2"/>
  <c r="BK124" i="2"/>
  <c r="BJ124" i="2"/>
  <c r="BI124" i="2"/>
  <c r="BH124" i="2"/>
  <c r="BG124" i="2"/>
  <c r="BF124" i="2"/>
  <c r="BE124" i="2"/>
  <c r="BD124" i="2"/>
  <c r="BC124" i="2"/>
  <c r="BB124" i="2"/>
  <c r="BA124" i="2"/>
  <c r="AZ124" i="2"/>
  <c r="AY124" i="2"/>
  <c r="AX124" i="2"/>
  <c r="AW124" i="2"/>
  <c r="AV124" i="2"/>
  <c r="AU124" i="2"/>
  <c r="AT124" i="2"/>
  <c r="AS124" i="2"/>
  <c r="AR124" i="2"/>
  <c r="AQ124" i="2"/>
  <c r="AP124" i="2"/>
  <c r="AO124" i="2"/>
  <c r="AN124" i="2"/>
  <c r="AM124" i="2"/>
  <c r="AL124" i="2"/>
  <c r="AK124" i="2"/>
  <c r="AE124" i="2"/>
  <c r="AD124" i="2"/>
  <c r="AC124" i="2"/>
  <c r="AB124" i="2"/>
  <c r="AA124" i="2"/>
  <c r="Z124" i="2"/>
  <c r="Y124" i="2"/>
  <c r="X124" i="2"/>
  <c r="W124" i="2"/>
  <c r="V124" i="2"/>
  <c r="U124" i="2"/>
  <c r="T124" i="2"/>
  <c r="S124" i="2"/>
  <c r="R124" i="2"/>
  <c r="Q124" i="2"/>
  <c r="F124" i="2"/>
  <c r="E124" i="2"/>
  <c r="D124" i="2"/>
  <c r="CA123" i="2"/>
  <c r="BZ123" i="2"/>
  <c r="BY123" i="2"/>
  <c r="BX123" i="2"/>
  <c r="BW123" i="2"/>
  <c r="BV123" i="2"/>
  <c r="BU123" i="2"/>
  <c r="BT123" i="2"/>
  <c r="BS123" i="2"/>
  <c r="BR123" i="2"/>
  <c r="BQ123" i="2"/>
  <c r="BP123" i="2"/>
  <c r="BO123" i="2"/>
  <c r="BN123" i="2"/>
  <c r="BM123" i="2"/>
  <c r="BL123" i="2"/>
  <c r="BK123" i="2"/>
  <c r="BJ123" i="2"/>
  <c r="BI123" i="2"/>
  <c r="BH123" i="2"/>
  <c r="BG123" i="2"/>
  <c r="BF123" i="2"/>
  <c r="BE123" i="2"/>
  <c r="BD123" i="2"/>
  <c r="BC123" i="2"/>
  <c r="BB123" i="2"/>
  <c r="BA123" i="2"/>
  <c r="AZ123" i="2"/>
  <c r="AY123" i="2"/>
  <c r="AX123" i="2"/>
  <c r="AW123" i="2"/>
  <c r="AV123" i="2"/>
  <c r="AU123" i="2"/>
  <c r="AT123" i="2"/>
  <c r="AS123" i="2"/>
  <c r="AR123" i="2"/>
  <c r="AQ123" i="2"/>
  <c r="AP123" i="2"/>
  <c r="AO123" i="2"/>
  <c r="AN123" i="2"/>
  <c r="AM123" i="2"/>
  <c r="AL123" i="2"/>
  <c r="AK123" i="2"/>
  <c r="AE123" i="2"/>
  <c r="AD123" i="2"/>
  <c r="AC123" i="2"/>
  <c r="AB123" i="2"/>
  <c r="AA123" i="2"/>
  <c r="Z123" i="2"/>
  <c r="Y123" i="2"/>
  <c r="X123" i="2"/>
  <c r="W123" i="2"/>
  <c r="V123" i="2"/>
  <c r="U123" i="2"/>
  <c r="T123" i="2"/>
  <c r="S123" i="2"/>
  <c r="R123" i="2"/>
  <c r="Q123" i="2"/>
  <c r="F123" i="2"/>
  <c r="E123" i="2"/>
  <c r="D123" i="2"/>
  <c r="CA122" i="2"/>
  <c r="BZ122" i="2"/>
  <c r="BY122" i="2"/>
  <c r="BX122" i="2"/>
  <c r="BW122" i="2"/>
  <c r="BV122" i="2"/>
  <c r="BU122" i="2"/>
  <c r="BT122" i="2"/>
  <c r="BS122" i="2"/>
  <c r="BR122" i="2"/>
  <c r="BQ122" i="2"/>
  <c r="BP122" i="2"/>
  <c r="BO122" i="2"/>
  <c r="BN122" i="2"/>
  <c r="BM122" i="2"/>
  <c r="BL122" i="2"/>
  <c r="BK122" i="2"/>
  <c r="BJ122" i="2"/>
  <c r="BI122" i="2"/>
  <c r="BH122" i="2"/>
  <c r="BG122" i="2"/>
  <c r="BF122" i="2"/>
  <c r="BE122" i="2"/>
  <c r="BD122" i="2"/>
  <c r="BC122" i="2"/>
  <c r="BB122" i="2"/>
  <c r="BA122" i="2"/>
  <c r="AZ122" i="2"/>
  <c r="AY122" i="2"/>
  <c r="AX122" i="2"/>
  <c r="AW122" i="2"/>
  <c r="AV122" i="2"/>
  <c r="AU122" i="2"/>
  <c r="AT122" i="2"/>
  <c r="AS122" i="2"/>
  <c r="AR122" i="2"/>
  <c r="AQ122" i="2"/>
  <c r="AP122" i="2"/>
  <c r="AO122" i="2"/>
  <c r="AN122" i="2"/>
  <c r="AM122" i="2"/>
  <c r="AL122" i="2"/>
  <c r="AK122" i="2"/>
  <c r="AE122" i="2"/>
  <c r="AD122" i="2"/>
  <c r="AC122" i="2"/>
  <c r="AB122" i="2"/>
  <c r="AA122" i="2"/>
  <c r="Z122" i="2"/>
  <c r="Y122" i="2"/>
  <c r="X122" i="2"/>
  <c r="W122" i="2"/>
  <c r="V122" i="2"/>
  <c r="U122" i="2"/>
  <c r="T122" i="2"/>
  <c r="S122" i="2"/>
  <c r="R122" i="2"/>
  <c r="Q122" i="2"/>
  <c r="F122" i="2"/>
  <c r="E122" i="2"/>
  <c r="D122" i="2"/>
  <c r="CA121" i="2"/>
  <c r="BZ121" i="2"/>
  <c r="BY121" i="2"/>
  <c r="BX121" i="2"/>
  <c r="BW121" i="2"/>
  <c r="BV121" i="2"/>
  <c r="BU121" i="2"/>
  <c r="BT121" i="2"/>
  <c r="BS121" i="2"/>
  <c r="BR121" i="2"/>
  <c r="BQ121" i="2"/>
  <c r="BP121" i="2"/>
  <c r="BO121" i="2"/>
  <c r="BN121" i="2"/>
  <c r="BM121" i="2"/>
  <c r="BL121" i="2"/>
  <c r="BK121" i="2"/>
  <c r="BJ121" i="2"/>
  <c r="BI121" i="2"/>
  <c r="BH121" i="2"/>
  <c r="BG121" i="2"/>
  <c r="BF121" i="2"/>
  <c r="BE121" i="2"/>
  <c r="BD121" i="2"/>
  <c r="BC121" i="2"/>
  <c r="BB121" i="2"/>
  <c r="BA121" i="2"/>
  <c r="AZ121" i="2"/>
  <c r="AY121" i="2"/>
  <c r="AX121" i="2"/>
  <c r="AW121" i="2"/>
  <c r="AV121" i="2"/>
  <c r="AU121" i="2"/>
  <c r="AT121" i="2"/>
  <c r="AS121" i="2"/>
  <c r="AR121" i="2"/>
  <c r="AQ121" i="2"/>
  <c r="AP121" i="2"/>
  <c r="AO121" i="2"/>
  <c r="AN121" i="2"/>
  <c r="AM121" i="2"/>
  <c r="AL121" i="2"/>
  <c r="AK121" i="2"/>
  <c r="AE121" i="2"/>
  <c r="AD121" i="2"/>
  <c r="AC121" i="2"/>
  <c r="AB121" i="2"/>
  <c r="AA121" i="2"/>
  <c r="Z121" i="2"/>
  <c r="Y121" i="2"/>
  <c r="X121" i="2"/>
  <c r="W121" i="2"/>
  <c r="V121" i="2"/>
  <c r="U121" i="2"/>
  <c r="T121" i="2"/>
  <c r="S121" i="2"/>
  <c r="R121" i="2"/>
  <c r="Q121" i="2"/>
  <c r="F121" i="2"/>
  <c r="E121" i="2"/>
  <c r="D121" i="2"/>
  <c r="CA120" i="2"/>
  <c r="BZ120" i="2"/>
  <c r="BY120" i="2"/>
  <c r="BX120" i="2"/>
  <c r="BW120" i="2"/>
  <c r="BV120" i="2"/>
  <c r="BU120" i="2"/>
  <c r="BT120" i="2"/>
  <c r="BS120" i="2"/>
  <c r="BR120" i="2"/>
  <c r="BQ120" i="2"/>
  <c r="BP120" i="2"/>
  <c r="BO120" i="2"/>
  <c r="BN120" i="2"/>
  <c r="BM120" i="2"/>
  <c r="BL120" i="2"/>
  <c r="BK120" i="2"/>
  <c r="BJ120" i="2"/>
  <c r="BI120" i="2"/>
  <c r="BH120" i="2"/>
  <c r="BG120" i="2"/>
  <c r="BF120" i="2"/>
  <c r="BE120" i="2"/>
  <c r="BD120" i="2"/>
  <c r="BC120" i="2"/>
  <c r="BB120" i="2"/>
  <c r="BA120" i="2"/>
  <c r="AZ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AE120" i="2"/>
  <c r="AD120" i="2"/>
  <c r="AC120" i="2"/>
  <c r="AB120" i="2"/>
  <c r="AA120" i="2"/>
  <c r="Z120" i="2"/>
  <c r="Y120" i="2"/>
  <c r="X120" i="2"/>
  <c r="W120" i="2"/>
  <c r="V120" i="2"/>
  <c r="U120" i="2"/>
  <c r="T120" i="2"/>
  <c r="S120" i="2"/>
  <c r="R120" i="2"/>
  <c r="Q120" i="2"/>
  <c r="F120" i="2"/>
  <c r="E120" i="2"/>
  <c r="D120" i="2"/>
  <c r="CA119" i="2"/>
  <c r="BZ119" i="2"/>
  <c r="BY119" i="2"/>
  <c r="BX119" i="2"/>
  <c r="BW119" i="2"/>
  <c r="BV119" i="2"/>
  <c r="BU119" i="2"/>
  <c r="BT119" i="2"/>
  <c r="BS119" i="2"/>
  <c r="BR119" i="2"/>
  <c r="BQ119" i="2"/>
  <c r="BP119" i="2"/>
  <c r="BO119" i="2"/>
  <c r="BN119" i="2"/>
  <c r="BM119" i="2"/>
  <c r="BL119" i="2"/>
  <c r="BK119" i="2"/>
  <c r="BJ119" i="2"/>
  <c r="BI119" i="2"/>
  <c r="BH119" i="2"/>
  <c r="BG119" i="2"/>
  <c r="BF119" i="2"/>
  <c r="BE119" i="2"/>
  <c r="BD119" i="2"/>
  <c r="BC119" i="2"/>
  <c r="BB119" i="2"/>
  <c r="BA119" i="2"/>
  <c r="AZ119" i="2"/>
  <c r="AY119" i="2"/>
  <c r="AX119" i="2"/>
  <c r="AW119" i="2"/>
  <c r="AV119" i="2"/>
  <c r="AU119" i="2"/>
  <c r="AT119" i="2"/>
  <c r="AS119" i="2"/>
  <c r="AR119" i="2"/>
  <c r="AQ119" i="2"/>
  <c r="AP119" i="2"/>
  <c r="AO119" i="2"/>
  <c r="AN119" i="2"/>
  <c r="AM119" i="2"/>
  <c r="AL119" i="2"/>
  <c r="AK119" i="2"/>
  <c r="AE119" i="2"/>
  <c r="AD119" i="2"/>
  <c r="AC119" i="2"/>
  <c r="AB119" i="2"/>
  <c r="AA119" i="2"/>
  <c r="Z119" i="2"/>
  <c r="Y119" i="2"/>
  <c r="X119" i="2"/>
  <c r="W119" i="2"/>
  <c r="V119" i="2"/>
  <c r="U119" i="2"/>
  <c r="T119" i="2"/>
  <c r="S119" i="2"/>
  <c r="R119" i="2"/>
  <c r="Q119" i="2"/>
  <c r="F119" i="2"/>
  <c r="E119" i="2"/>
  <c r="D119" i="2"/>
  <c r="CA118" i="2"/>
  <c r="BZ118" i="2"/>
  <c r="BY118" i="2"/>
  <c r="BX118" i="2"/>
  <c r="BW118" i="2"/>
  <c r="BV118" i="2"/>
  <c r="BU118" i="2"/>
  <c r="BT118" i="2"/>
  <c r="BS118" i="2"/>
  <c r="BR118" i="2"/>
  <c r="BQ118" i="2"/>
  <c r="BP118" i="2"/>
  <c r="BO118" i="2"/>
  <c r="BN118" i="2"/>
  <c r="BM118" i="2"/>
  <c r="BL118" i="2"/>
  <c r="BK118" i="2"/>
  <c r="BJ118" i="2"/>
  <c r="BI118" i="2"/>
  <c r="BH118" i="2"/>
  <c r="BG118" i="2"/>
  <c r="BF118" i="2"/>
  <c r="BE118" i="2"/>
  <c r="BD118" i="2"/>
  <c r="BC118" i="2"/>
  <c r="BB118" i="2"/>
  <c r="BA118" i="2"/>
  <c r="AZ118" i="2"/>
  <c r="AY118" i="2"/>
  <c r="AX118" i="2"/>
  <c r="AW118" i="2"/>
  <c r="AV118" i="2"/>
  <c r="AU118" i="2"/>
  <c r="AT118" i="2"/>
  <c r="AS118" i="2"/>
  <c r="AR118" i="2"/>
  <c r="AQ118" i="2"/>
  <c r="AP118" i="2"/>
  <c r="AO118" i="2"/>
  <c r="AN118" i="2"/>
  <c r="AM118" i="2"/>
  <c r="AL118" i="2"/>
  <c r="AK118" i="2"/>
  <c r="AE118" i="2"/>
  <c r="AD118" i="2"/>
  <c r="AC118" i="2"/>
  <c r="AB118" i="2"/>
  <c r="AA118" i="2"/>
  <c r="Z118" i="2"/>
  <c r="Y118" i="2"/>
  <c r="X118" i="2"/>
  <c r="W118" i="2"/>
  <c r="V118" i="2"/>
  <c r="U118" i="2"/>
  <c r="T118" i="2"/>
  <c r="S118" i="2"/>
  <c r="R118" i="2"/>
  <c r="Q118" i="2"/>
  <c r="F118" i="2"/>
  <c r="E118" i="2"/>
  <c r="D118" i="2"/>
  <c r="CA117" i="2"/>
  <c r="BZ117" i="2"/>
  <c r="BY117" i="2"/>
  <c r="BX117" i="2"/>
  <c r="BW117" i="2"/>
  <c r="BV117" i="2"/>
  <c r="BU117" i="2"/>
  <c r="BT117" i="2"/>
  <c r="BS117" i="2"/>
  <c r="BR117" i="2"/>
  <c r="BQ117" i="2"/>
  <c r="BP117" i="2"/>
  <c r="BO117" i="2"/>
  <c r="BN117" i="2"/>
  <c r="BM117" i="2"/>
  <c r="BL117" i="2"/>
  <c r="BK117" i="2"/>
  <c r="BJ117" i="2"/>
  <c r="BI117" i="2"/>
  <c r="BH117" i="2"/>
  <c r="BG117" i="2"/>
  <c r="BF117" i="2"/>
  <c r="BE117" i="2"/>
  <c r="BD117" i="2"/>
  <c r="BC117" i="2"/>
  <c r="BB117" i="2"/>
  <c r="BA117" i="2"/>
  <c r="AZ117" i="2"/>
  <c r="AY117" i="2"/>
  <c r="AX117" i="2"/>
  <c r="AW117" i="2"/>
  <c r="AV117" i="2"/>
  <c r="AU117" i="2"/>
  <c r="AT117" i="2"/>
  <c r="AS117" i="2"/>
  <c r="AR117" i="2"/>
  <c r="AQ117" i="2"/>
  <c r="AP117" i="2"/>
  <c r="AO117" i="2"/>
  <c r="AN117" i="2"/>
  <c r="AM117" i="2"/>
  <c r="AL117" i="2"/>
  <c r="AK117" i="2"/>
  <c r="AE117" i="2"/>
  <c r="AD117" i="2"/>
  <c r="AC117" i="2"/>
  <c r="AB117" i="2"/>
  <c r="AA117" i="2"/>
  <c r="Z117" i="2"/>
  <c r="Y117" i="2"/>
  <c r="X117" i="2"/>
  <c r="W117" i="2"/>
  <c r="V117" i="2"/>
  <c r="U117" i="2"/>
  <c r="T117" i="2"/>
  <c r="S117" i="2"/>
  <c r="R117" i="2"/>
  <c r="Q117" i="2"/>
  <c r="F117" i="2"/>
  <c r="E117" i="2"/>
  <c r="D117" i="2"/>
  <c r="CA116" i="2"/>
  <c r="BZ116" i="2"/>
  <c r="BY116" i="2"/>
  <c r="BX116" i="2"/>
  <c r="BW116" i="2"/>
  <c r="BV116" i="2"/>
  <c r="BU116" i="2"/>
  <c r="BT116" i="2"/>
  <c r="BS116" i="2"/>
  <c r="BR116" i="2"/>
  <c r="BQ116" i="2"/>
  <c r="BP116" i="2"/>
  <c r="BO116" i="2"/>
  <c r="BN116" i="2"/>
  <c r="BM116" i="2"/>
  <c r="BL116" i="2"/>
  <c r="BK116" i="2"/>
  <c r="BJ116" i="2"/>
  <c r="BI116" i="2"/>
  <c r="BH116" i="2"/>
  <c r="BG116" i="2"/>
  <c r="BF116" i="2"/>
  <c r="BE116" i="2"/>
  <c r="BD116" i="2"/>
  <c r="BC116" i="2"/>
  <c r="BB116" i="2"/>
  <c r="BA116" i="2"/>
  <c r="AZ116" i="2"/>
  <c r="AY116" i="2"/>
  <c r="AX116" i="2"/>
  <c r="AW116" i="2"/>
  <c r="AV116" i="2"/>
  <c r="AU116" i="2"/>
  <c r="AT116" i="2"/>
  <c r="AS116" i="2"/>
  <c r="AR116" i="2"/>
  <c r="AQ116" i="2"/>
  <c r="AP116" i="2"/>
  <c r="AO116" i="2"/>
  <c r="AN116" i="2"/>
  <c r="AM116" i="2"/>
  <c r="AL116" i="2"/>
  <c r="AK116" i="2"/>
  <c r="AE116" i="2"/>
  <c r="AD116" i="2"/>
  <c r="AC116" i="2"/>
  <c r="AB116" i="2"/>
  <c r="AA116" i="2"/>
  <c r="Z116" i="2"/>
  <c r="Y116" i="2"/>
  <c r="X116" i="2"/>
  <c r="W116" i="2"/>
  <c r="V116" i="2"/>
  <c r="U116" i="2"/>
  <c r="T116" i="2"/>
  <c r="S116" i="2"/>
  <c r="R116" i="2"/>
  <c r="Q116" i="2"/>
  <c r="F116" i="2"/>
  <c r="E116" i="2"/>
  <c r="D116" i="2"/>
  <c r="CA115" i="2"/>
  <c r="BZ115" i="2"/>
  <c r="BY115" i="2"/>
  <c r="BX115" i="2"/>
  <c r="BW115" i="2"/>
  <c r="BV115" i="2"/>
  <c r="BU115" i="2"/>
  <c r="BT115" i="2"/>
  <c r="BS115" i="2"/>
  <c r="BR115" i="2"/>
  <c r="BQ115" i="2"/>
  <c r="BP115" i="2"/>
  <c r="BO115" i="2"/>
  <c r="BN115" i="2"/>
  <c r="BM115" i="2"/>
  <c r="BL115" i="2"/>
  <c r="BK115" i="2"/>
  <c r="BJ115" i="2"/>
  <c r="BI115" i="2"/>
  <c r="BH115" i="2"/>
  <c r="BG115" i="2"/>
  <c r="BF115" i="2"/>
  <c r="BE115" i="2"/>
  <c r="BD115" i="2"/>
  <c r="BC115" i="2"/>
  <c r="BB115" i="2"/>
  <c r="BA115" i="2"/>
  <c r="AZ115" i="2"/>
  <c r="AY115" i="2"/>
  <c r="AX115" i="2"/>
  <c r="AW115" i="2"/>
  <c r="AV115" i="2"/>
  <c r="AU115" i="2"/>
  <c r="AT115" i="2"/>
  <c r="AS115" i="2"/>
  <c r="AR115" i="2"/>
  <c r="AQ115" i="2"/>
  <c r="AP115" i="2"/>
  <c r="AO115" i="2"/>
  <c r="AN115" i="2"/>
  <c r="AM115" i="2"/>
  <c r="AL115" i="2"/>
  <c r="AK115" i="2"/>
  <c r="AE115" i="2"/>
  <c r="AD115" i="2"/>
  <c r="AC115" i="2"/>
  <c r="AB115" i="2"/>
  <c r="AA115" i="2"/>
  <c r="Z115" i="2"/>
  <c r="Y115" i="2"/>
  <c r="X115" i="2"/>
  <c r="W115" i="2"/>
  <c r="V115" i="2"/>
  <c r="U115" i="2"/>
  <c r="T115" i="2"/>
  <c r="S115" i="2"/>
  <c r="R115" i="2"/>
  <c r="Q115" i="2"/>
  <c r="F115" i="2"/>
  <c r="E115" i="2"/>
  <c r="D115" i="2"/>
  <c r="CA114" i="2"/>
  <c r="BZ114" i="2"/>
  <c r="BY114" i="2"/>
  <c r="BX114" i="2"/>
  <c r="BW114" i="2"/>
  <c r="BV114" i="2"/>
  <c r="BU114" i="2"/>
  <c r="BT114" i="2"/>
  <c r="BS114" i="2"/>
  <c r="BR114" i="2"/>
  <c r="BQ114" i="2"/>
  <c r="BP114" i="2"/>
  <c r="BO114" i="2"/>
  <c r="BN114" i="2"/>
  <c r="BM114" i="2"/>
  <c r="BL114" i="2"/>
  <c r="BK114" i="2"/>
  <c r="BJ114" i="2"/>
  <c r="BI114" i="2"/>
  <c r="BH114" i="2"/>
  <c r="BG114" i="2"/>
  <c r="BF114" i="2"/>
  <c r="BE114" i="2"/>
  <c r="BD114" i="2"/>
  <c r="BC114" i="2"/>
  <c r="BB114" i="2"/>
  <c r="BA114" i="2"/>
  <c r="AZ114" i="2"/>
  <c r="AY114" i="2"/>
  <c r="AX114" i="2"/>
  <c r="AW114" i="2"/>
  <c r="AV114" i="2"/>
  <c r="AU114" i="2"/>
  <c r="AT114" i="2"/>
  <c r="AS114" i="2"/>
  <c r="AR114" i="2"/>
  <c r="AQ114" i="2"/>
  <c r="AP114" i="2"/>
  <c r="AO114" i="2"/>
  <c r="AN114" i="2"/>
  <c r="AM114" i="2"/>
  <c r="AL114" i="2"/>
  <c r="AK114" i="2"/>
  <c r="AE114" i="2"/>
  <c r="AD114" i="2"/>
  <c r="AC114" i="2"/>
  <c r="AB114" i="2"/>
  <c r="AA114" i="2"/>
  <c r="Z114" i="2"/>
  <c r="Y114" i="2"/>
  <c r="X114" i="2"/>
  <c r="W114" i="2"/>
  <c r="V114" i="2"/>
  <c r="U114" i="2"/>
  <c r="T114" i="2"/>
  <c r="S114" i="2"/>
  <c r="R114" i="2"/>
  <c r="Q114" i="2"/>
  <c r="F114" i="2"/>
  <c r="E114" i="2"/>
  <c r="D114" i="2"/>
  <c r="CA113" i="2"/>
  <c r="BZ113" i="2"/>
  <c r="BY113" i="2"/>
  <c r="BX113" i="2"/>
  <c r="BW113" i="2"/>
  <c r="BV113" i="2"/>
  <c r="BU113" i="2"/>
  <c r="BT113" i="2"/>
  <c r="BS113" i="2"/>
  <c r="BR113" i="2"/>
  <c r="BQ113" i="2"/>
  <c r="BP113" i="2"/>
  <c r="BO113" i="2"/>
  <c r="BN113" i="2"/>
  <c r="BM113" i="2"/>
  <c r="BL113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Q113" i="2"/>
  <c r="AP113" i="2"/>
  <c r="AO113" i="2"/>
  <c r="AN113" i="2"/>
  <c r="AM113" i="2"/>
  <c r="AL113" i="2"/>
  <c r="AK113" i="2"/>
  <c r="AE113" i="2"/>
  <c r="AD113" i="2"/>
  <c r="AC113" i="2"/>
  <c r="AB113" i="2"/>
  <c r="AA113" i="2"/>
  <c r="Z113" i="2"/>
  <c r="Y113" i="2"/>
  <c r="X113" i="2"/>
  <c r="W113" i="2"/>
  <c r="V113" i="2"/>
  <c r="U113" i="2"/>
  <c r="T113" i="2"/>
  <c r="S113" i="2"/>
  <c r="R113" i="2"/>
  <c r="Q113" i="2"/>
  <c r="F113" i="2"/>
  <c r="E113" i="2"/>
  <c r="D113" i="2"/>
  <c r="CA112" i="2"/>
  <c r="BZ112" i="2"/>
  <c r="BY112" i="2"/>
  <c r="BX112" i="2"/>
  <c r="BW112" i="2"/>
  <c r="BV112" i="2"/>
  <c r="BU112" i="2"/>
  <c r="BT112" i="2"/>
  <c r="BS112" i="2"/>
  <c r="BR112" i="2"/>
  <c r="BQ112" i="2"/>
  <c r="BP112" i="2"/>
  <c r="BO112" i="2"/>
  <c r="BN112" i="2"/>
  <c r="BM112" i="2"/>
  <c r="BL112" i="2"/>
  <c r="BK112" i="2"/>
  <c r="BJ112" i="2"/>
  <c r="BI112" i="2"/>
  <c r="BH112" i="2"/>
  <c r="BG112" i="2"/>
  <c r="BF112" i="2"/>
  <c r="BE112" i="2"/>
  <c r="BD112" i="2"/>
  <c r="BC112" i="2"/>
  <c r="BB112" i="2"/>
  <c r="BA112" i="2"/>
  <c r="AZ112" i="2"/>
  <c r="AY112" i="2"/>
  <c r="AX112" i="2"/>
  <c r="AW112" i="2"/>
  <c r="AV112" i="2"/>
  <c r="AU112" i="2"/>
  <c r="AT112" i="2"/>
  <c r="AS112" i="2"/>
  <c r="AR112" i="2"/>
  <c r="AQ112" i="2"/>
  <c r="AP112" i="2"/>
  <c r="AO112" i="2"/>
  <c r="AN112" i="2"/>
  <c r="AM112" i="2"/>
  <c r="AL112" i="2"/>
  <c r="AK112" i="2"/>
  <c r="AJ112" i="2"/>
  <c r="AI112" i="2"/>
  <c r="AH112" i="2"/>
  <c r="AG112" i="2"/>
  <c r="AF112" i="2"/>
  <c r="AE112" i="2"/>
  <c r="AD112" i="2"/>
  <c r="AC112" i="2"/>
  <c r="AB112" i="2"/>
  <c r="AA112" i="2"/>
  <c r="Z112" i="2"/>
  <c r="Y112" i="2"/>
  <c r="X112" i="2"/>
  <c r="W112" i="2"/>
  <c r="V112" i="2"/>
  <c r="U112" i="2"/>
  <c r="T112" i="2"/>
  <c r="S112" i="2"/>
  <c r="R112" i="2"/>
  <c r="Q112" i="2"/>
  <c r="F112" i="2"/>
  <c r="E112" i="2"/>
  <c r="D112" i="2"/>
  <c r="CA111" i="2"/>
  <c r="BZ111" i="2"/>
  <c r="BY111" i="2"/>
  <c r="BX111" i="2"/>
  <c r="BW111" i="2"/>
  <c r="BV111" i="2"/>
  <c r="BU111" i="2"/>
  <c r="BT111" i="2"/>
  <c r="BS111" i="2"/>
  <c r="BR111" i="2"/>
  <c r="BQ111" i="2"/>
  <c r="BP111" i="2"/>
  <c r="BO111" i="2"/>
  <c r="BN111" i="2"/>
  <c r="BM111" i="2"/>
  <c r="BL111" i="2"/>
  <c r="BK111" i="2"/>
  <c r="BJ111" i="2"/>
  <c r="BI111" i="2"/>
  <c r="BH111" i="2"/>
  <c r="BG111" i="2"/>
  <c r="BF111" i="2"/>
  <c r="BE111" i="2"/>
  <c r="BD111" i="2"/>
  <c r="BC111" i="2"/>
  <c r="BB111" i="2"/>
  <c r="BA111" i="2"/>
  <c r="AZ111" i="2"/>
  <c r="AY111" i="2"/>
  <c r="AX111" i="2"/>
  <c r="AW111" i="2"/>
  <c r="AV111" i="2"/>
  <c r="AU111" i="2"/>
  <c r="AT111" i="2"/>
  <c r="AS111" i="2"/>
  <c r="AR111" i="2"/>
  <c r="AQ111" i="2"/>
  <c r="AP111" i="2"/>
  <c r="AO111" i="2"/>
  <c r="AN111" i="2"/>
  <c r="AM111" i="2"/>
  <c r="AL111" i="2"/>
  <c r="AK111" i="2"/>
  <c r="AJ111" i="2"/>
  <c r="AI111" i="2"/>
  <c r="AH111" i="2"/>
  <c r="AG111" i="2"/>
  <c r="AF111" i="2"/>
  <c r="AE111" i="2"/>
  <c r="AD111" i="2"/>
  <c r="AC111" i="2"/>
  <c r="AB111" i="2"/>
  <c r="AA111" i="2"/>
  <c r="Z111" i="2"/>
  <c r="Y111" i="2"/>
  <c r="X111" i="2"/>
  <c r="W111" i="2"/>
  <c r="V111" i="2"/>
  <c r="U111" i="2"/>
  <c r="T111" i="2"/>
  <c r="S111" i="2"/>
  <c r="R111" i="2"/>
  <c r="Q111" i="2"/>
  <c r="F111" i="2"/>
  <c r="E111" i="2"/>
  <c r="D111" i="2"/>
  <c r="CA110" i="2"/>
  <c r="BZ110" i="2"/>
  <c r="BY110" i="2"/>
  <c r="BX110" i="2"/>
  <c r="BW110" i="2"/>
  <c r="BV110" i="2"/>
  <c r="BU110" i="2"/>
  <c r="BT110" i="2"/>
  <c r="BS110" i="2"/>
  <c r="BR110" i="2"/>
  <c r="BQ110" i="2"/>
  <c r="BP110" i="2"/>
  <c r="BO110" i="2"/>
  <c r="BN110" i="2"/>
  <c r="BM110" i="2"/>
  <c r="BL110" i="2"/>
  <c r="BK110" i="2"/>
  <c r="BJ110" i="2"/>
  <c r="BI110" i="2"/>
  <c r="BH110" i="2"/>
  <c r="BG110" i="2"/>
  <c r="BF110" i="2"/>
  <c r="BE110" i="2"/>
  <c r="BD110" i="2"/>
  <c r="BC110" i="2"/>
  <c r="BB110" i="2"/>
  <c r="BA110" i="2"/>
  <c r="AZ110" i="2"/>
  <c r="AY110" i="2"/>
  <c r="AX110" i="2"/>
  <c r="AW110" i="2"/>
  <c r="AV110" i="2"/>
  <c r="AU110" i="2"/>
  <c r="AT110" i="2"/>
  <c r="AS110" i="2"/>
  <c r="AR110" i="2"/>
  <c r="AQ110" i="2"/>
  <c r="AP110" i="2"/>
  <c r="AO110" i="2"/>
  <c r="AN110" i="2"/>
  <c r="AM110" i="2"/>
  <c r="AL110" i="2"/>
  <c r="AK110" i="2"/>
  <c r="AJ110" i="2"/>
  <c r="AI110" i="2"/>
  <c r="AH110" i="2"/>
  <c r="AG110" i="2"/>
  <c r="AF110" i="2"/>
  <c r="AE110" i="2"/>
  <c r="AD110" i="2"/>
  <c r="AC110" i="2"/>
  <c r="AB110" i="2"/>
  <c r="AA110" i="2"/>
  <c r="Z110" i="2"/>
  <c r="Y110" i="2"/>
  <c r="X110" i="2"/>
  <c r="W110" i="2"/>
  <c r="V110" i="2"/>
  <c r="U110" i="2"/>
  <c r="T110" i="2"/>
  <c r="S110" i="2"/>
  <c r="R110" i="2"/>
  <c r="Q110" i="2"/>
  <c r="F110" i="2"/>
  <c r="E110" i="2"/>
  <c r="D110" i="2"/>
  <c r="CA109" i="2"/>
  <c r="BZ109" i="2"/>
  <c r="BY109" i="2"/>
  <c r="BX109" i="2"/>
  <c r="BW109" i="2"/>
  <c r="BV109" i="2"/>
  <c r="BU109" i="2"/>
  <c r="BT109" i="2"/>
  <c r="BS109" i="2"/>
  <c r="BR109" i="2"/>
  <c r="BQ109" i="2"/>
  <c r="BP109" i="2"/>
  <c r="BO109" i="2"/>
  <c r="BN109" i="2"/>
  <c r="BM109" i="2"/>
  <c r="BL109" i="2"/>
  <c r="BK109" i="2"/>
  <c r="BJ109" i="2"/>
  <c r="BI109" i="2"/>
  <c r="BH109" i="2"/>
  <c r="BG109" i="2"/>
  <c r="BF109" i="2"/>
  <c r="BE109" i="2"/>
  <c r="BD109" i="2"/>
  <c r="BC109" i="2"/>
  <c r="BB109" i="2"/>
  <c r="BA109" i="2"/>
  <c r="AZ109" i="2"/>
  <c r="AY109" i="2"/>
  <c r="AX109" i="2"/>
  <c r="AW109" i="2"/>
  <c r="AV109" i="2"/>
  <c r="AU109" i="2"/>
  <c r="AT109" i="2"/>
  <c r="AS109" i="2"/>
  <c r="AR109" i="2"/>
  <c r="AQ109" i="2"/>
  <c r="AP109" i="2"/>
  <c r="AO109" i="2"/>
  <c r="AN109" i="2"/>
  <c r="AM109" i="2"/>
  <c r="AL109" i="2"/>
  <c r="AK109" i="2"/>
  <c r="AJ109" i="2"/>
  <c r="AI109" i="2"/>
  <c r="AH109" i="2"/>
  <c r="AG109" i="2"/>
  <c r="AF109" i="2"/>
  <c r="AE109" i="2"/>
  <c r="AD109" i="2"/>
  <c r="AC109" i="2"/>
  <c r="AB109" i="2"/>
  <c r="AA109" i="2"/>
  <c r="Z109" i="2"/>
  <c r="Y109" i="2"/>
  <c r="X109" i="2"/>
  <c r="W109" i="2"/>
  <c r="V109" i="2"/>
  <c r="U109" i="2"/>
  <c r="T109" i="2"/>
  <c r="S109" i="2"/>
  <c r="R109" i="2"/>
  <c r="Q109" i="2"/>
  <c r="F109" i="2"/>
  <c r="E109" i="2"/>
  <c r="D109" i="2"/>
  <c r="CA108" i="2"/>
  <c r="BZ108" i="2"/>
  <c r="BY108" i="2"/>
  <c r="BX108" i="2"/>
  <c r="BW108" i="2"/>
  <c r="BV108" i="2"/>
  <c r="BU108" i="2"/>
  <c r="BT108" i="2"/>
  <c r="BS108" i="2"/>
  <c r="BR108" i="2"/>
  <c r="BQ108" i="2"/>
  <c r="BP108" i="2"/>
  <c r="BO108" i="2"/>
  <c r="BN108" i="2"/>
  <c r="BM108" i="2"/>
  <c r="BL108" i="2"/>
  <c r="BK108" i="2"/>
  <c r="BJ108" i="2"/>
  <c r="BI108" i="2"/>
  <c r="BH108" i="2"/>
  <c r="BG108" i="2"/>
  <c r="BF108" i="2"/>
  <c r="BE108" i="2"/>
  <c r="BD108" i="2"/>
  <c r="BC108" i="2"/>
  <c r="BB108" i="2"/>
  <c r="BA108" i="2"/>
  <c r="AZ108" i="2"/>
  <c r="AY108" i="2"/>
  <c r="AX108" i="2"/>
  <c r="AW108" i="2"/>
  <c r="AV108" i="2"/>
  <c r="AU108" i="2"/>
  <c r="AT108" i="2"/>
  <c r="AS108" i="2"/>
  <c r="AR108" i="2"/>
  <c r="AQ108" i="2"/>
  <c r="AP108" i="2"/>
  <c r="AO108" i="2"/>
  <c r="AN108" i="2"/>
  <c r="AM108" i="2"/>
  <c r="AL108" i="2"/>
  <c r="AK108" i="2"/>
  <c r="AJ108" i="2"/>
  <c r="AI108" i="2"/>
  <c r="AH108" i="2"/>
  <c r="AG108" i="2"/>
  <c r="AF108" i="2"/>
  <c r="AE108" i="2"/>
  <c r="AD108" i="2"/>
  <c r="AC108" i="2"/>
  <c r="AB108" i="2"/>
  <c r="AA108" i="2"/>
  <c r="Z108" i="2"/>
  <c r="Y108" i="2"/>
  <c r="X108" i="2"/>
  <c r="W108" i="2"/>
  <c r="V108" i="2"/>
  <c r="U108" i="2"/>
  <c r="T108" i="2"/>
  <c r="S108" i="2"/>
  <c r="R108" i="2"/>
  <c r="Q108" i="2"/>
  <c r="F108" i="2"/>
  <c r="E108" i="2"/>
  <c r="D108" i="2"/>
  <c r="CA107" i="2"/>
  <c r="BZ107" i="2"/>
  <c r="BY107" i="2"/>
  <c r="BX107" i="2"/>
  <c r="BW107" i="2"/>
  <c r="BV107" i="2"/>
  <c r="BU107" i="2"/>
  <c r="BT107" i="2"/>
  <c r="BS107" i="2"/>
  <c r="BR107" i="2"/>
  <c r="BQ107" i="2"/>
  <c r="BP107" i="2"/>
  <c r="BO107" i="2"/>
  <c r="BN107" i="2"/>
  <c r="BM107" i="2"/>
  <c r="BL107" i="2"/>
  <c r="BK107" i="2"/>
  <c r="BJ107" i="2"/>
  <c r="BI107" i="2"/>
  <c r="BH107" i="2"/>
  <c r="BG107" i="2"/>
  <c r="BF107" i="2"/>
  <c r="BE107" i="2"/>
  <c r="BD107" i="2"/>
  <c r="BC107" i="2"/>
  <c r="BB107" i="2"/>
  <c r="BA107" i="2"/>
  <c r="AZ107" i="2"/>
  <c r="AY107" i="2"/>
  <c r="AX107" i="2"/>
  <c r="AW107" i="2"/>
  <c r="AV107" i="2"/>
  <c r="AU107" i="2"/>
  <c r="AT107" i="2"/>
  <c r="AS107" i="2"/>
  <c r="AR107" i="2"/>
  <c r="AQ107" i="2"/>
  <c r="AP107" i="2"/>
  <c r="AO107" i="2"/>
  <c r="AN107" i="2"/>
  <c r="AM107" i="2"/>
  <c r="AL107" i="2"/>
  <c r="AK107" i="2"/>
  <c r="AJ107" i="2"/>
  <c r="AI107" i="2"/>
  <c r="AH107" i="2"/>
  <c r="AG107" i="2"/>
  <c r="AF107" i="2"/>
  <c r="AE107" i="2"/>
  <c r="AD107" i="2"/>
  <c r="AC107" i="2"/>
  <c r="AB107" i="2"/>
  <c r="AA107" i="2"/>
  <c r="Z107" i="2"/>
  <c r="Y107" i="2"/>
  <c r="X107" i="2"/>
  <c r="W107" i="2"/>
  <c r="V107" i="2"/>
  <c r="U107" i="2"/>
  <c r="T107" i="2"/>
  <c r="S107" i="2"/>
  <c r="R107" i="2"/>
  <c r="Q107" i="2"/>
  <c r="F107" i="2"/>
  <c r="E107" i="2"/>
  <c r="D107" i="2"/>
  <c r="CA106" i="2"/>
  <c r="BZ106" i="2"/>
  <c r="BY106" i="2"/>
  <c r="BX106" i="2"/>
  <c r="BW106" i="2"/>
  <c r="BV106" i="2"/>
  <c r="BU106" i="2"/>
  <c r="BT106" i="2"/>
  <c r="BS106" i="2"/>
  <c r="BR106" i="2"/>
  <c r="BQ106" i="2"/>
  <c r="BP106" i="2"/>
  <c r="BO106" i="2"/>
  <c r="BN106" i="2"/>
  <c r="BM106" i="2"/>
  <c r="BL106" i="2"/>
  <c r="BK106" i="2"/>
  <c r="BJ106" i="2"/>
  <c r="BI106" i="2"/>
  <c r="BH106" i="2"/>
  <c r="BG106" i="2"/>
  <c r="BF106" i="2"/>
  <c r="BE106" i="2"/>
  <c r="BD106" i="2"/>
  <c r="BC106" i="2"/>
  <c r="BB106" i="2"/>
  <c r="BA106" i="2"/>
  <c r="AZ106" i="2"/>
  <c r="AY106" i="2"/>
  <c r="AX106" i="2"/>
  <c r="AW106" i="2"/>
  <c r="AV106" i="2"/>
  <c r="AU106" i="2"/>
  <c r="AT106" i="2"/>
  <c r="AS106" i="2"/>
  <c r="AR106" i="2"/>
  <c r="AQ106" i="2"/>
  <c r="AP106" i="2"/>
  <c r="AO106" i="2"/>
  <c r="AN106" i="2"/>
  <c r="AM106" i="2"/>
  <c r="AL106" i="2"/>
  <c r="AK106" i="2"/>
  <c r="AJ106" i="2"/>
  <c r="AI106" i="2"/>
  <c r="AH106" i="2"/>
  <c r="AG106" i="2"/>
  <c r="AF106" i="2"/>
  <c r="AE106" i="2"/>
  <c r="AD106" i="2"/>
  <c r="AC106" i="2"/>
  <c r="AB106" i="2"/>
  <c r="AA106" i="2"/>
  <c r="Z106" i="2"/>
  <c r="Y106" i="2"/>
  <c r="X106" i="2"/>
  <c r="W106" i="2"/>
  <c r="V106" i="2"/>
  <c r="U106" i="2"/>
  <c r="T106" i="2"/>
  <c r="S106" i="2"/>
  <c r="R106" i="2"/>
  <c r="Q106" i="2"/>
  <c r="F106" i="2"/>
  <c r="E106" i="2"/>
  <c r="D106" i="2"/>
  <c r="CA105" i="2"/>
  <c r="BZ105" i="2"/>
  <c r="BY105" i="2"/>
  <c r="BX105" i="2"/>
  <c r="BW105" i="2"/>
  <c r="BV105" i="2"/>
  <c r="BU105" i="2"/>
  <c r="BT105" i="2"/>
  <c r="BS105" i="2"/>
  <c r="BR105" i="2"/>
  <c r="BQ105" i="2"/>
  <c r="BP105" i="2"/>
  <c r="BO105" i="2"/>
  <c r="BN105" i="2"/>
  <c r="BM105" i="2"/>
  <c r="BL105" i="2"/>
  <c r="BK105" i="2"/>
  <c r="BJ105" i="2"/>
  <c r="BI105" i="2"/>
  <c r="BH105" i="2"/>
  <c r="BG105" i="2"/>
  <c r="BF105" i="2"/>
  <c r="BE105" i="2"/>
  <c r="BD105" i="2"/>
  <c r="BC105" i="2"/>
  <c r="BB105" i="2"/>
  <c r="BA105" i="2"/>
  <c r="AZ105" i="2"/>
  <c r="AY105" i="2"/>
  <c r="AX105" i="2"/>
  <c r="AW105" i="2"/>
  <c r="AV105" i="2"/>
  <c r="AU105" i="2"/>
  <c r="AT105" i="2"/>
  <c r="AS105" i="2"/>
  <c r="AR105" i="2"/>
  <c r="AQ105" i="2"/>
  <c r="AP105" i="2"/>
  <c r="AO105" i="2"/>
  <c r="AN105" i="2"/>
  <c r="AM105" i="2"/>
  <c r="AL105" i="2"/>
  <c r="AK105" i="2"/>
  <c r="AJ105" i="2"/>
  <c r="AI105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F105" i="2"/>
  <c r="E105" i="2"/>
  <c r="D105" i="2"/>
  <c r="CA104" i="2"/>
  <c r="BZ104" i="2"/>
  <c r="BY104" i="2"/>
  <c r="BX104" i="2"/>
  <c r="BW104" i="2"/>
  <c r="BV104" i="2"/>
  <c r="BU104" i="2"/>
  <c r="BT104" i="2"/>
  <c r="BS104" i="2"/>
  <c r="BR104" i="2"/>
  <c r="BQ104" i="2"/>
  <c r="BP104" i="2"/>
  <c r="BO104" i="2"/>
  <c r="BN104" i="2"/>
  <c r="BM104" i="2"/>
  <c r="BL104" i="2"/>
  <c r="BK104" i="2"/>
  <c r="BJ104" i="2"/>
  <c r="BI104" i="2"/>
  <c r="BH104" i="2"/>
  <c r="BG104" i="2"/>
  <c r="BF104" i="2"/>
  <c r="BE104" i="2"/>
  <c r="BD104" i="2"/>
  <c r="BC104" i="2"/>
  <c r="BB104" i="2"/>
  <c r="BA104" i="2"/>
  <c r="AZ104" i="2"/>
  <c r="AY104" i="2"/>
  <c r="AX104" i="2"/>
  <c r="AW104" i="2"/>
  <c r="AV104" i="2"/>
  <c r="AU104" i="2"/>
  <c r="AT104" i="2"/>
  <c r="AS104" i="2"/>
  <c r="AR104" i="2"/>
  <c r="AQ104" i="2"/>
  <c r="AP104" i="2"/>
  <c r="AO104" i="2"/>
  <c r="AN104" i="2"/>
  <c r="AM104" i="2"/>
  <c r="AL104" i="2"/>
  <c r="AK104" i="2"/>
  <c r="AJ104" i="2"/>
  <c r="AI104" i="2"/>
  <c r="AH104" i="2"/>
  <c r="AG104" i="2"/>
  <c r="AF104" i="2"/>
  <c r="AE104" i="2"/>
  <c r="AD104" i="2"/>
  <c r="AC104" i="2"/>
  <c r="AB104" i="2"/>
  <c r="AA104" i="2"/>
  <c r="Z104" i="2"/>
  <c r="Y104" i="2"/>
  <c r="X104" i="2"/>
  <c r="W104" i="2"/>
  <c r="V104" i="2"/>
  <c r="U104" i="2"/>
  <c r="T104" i="2"/>
  <c r="S104" i="2"/>
  <c r="R104" i="2"/>
  <c r="Q104" i="2"/>
  <c r="F104" i="2"/>
  <c r="E104" i="2"/>
  <c r="D104" i="2"/>
  <c r="CA103" i="2"/>
  <c r="BZ103" i="2"/>
  <c r="BY103" i="2"/>
  <c r="BX103" i="2"/>
  <c r="BW103" i="2"/>
  <c r="BV103" i="2"/>
  <c r="BU103" i="2"/>
  <c r="BT103" i="2"/>
  <c r="BS103" i="2"/>
  <c r="BR103" i="2"/>
  <c r="BQ103" i="2"/>
  <c r="BP103" i="2"/>
  <c r="BO103" i="2"/>
  <c r="BN103" i="2"/>
  <c r="BM103" i="2"/>
  <c r="BL103" i="2"/>
  <c r="BK103" i="2"/>
  <c r="BJ103" i="2"/>
  <c r="BI103" i="2"/>
  <c r="BH103" i="2"/>
  <c r="BG103" i="2"/>
  <c r="BF103" i="2"/>
  <c r="BE103" i="2"/>
  <c r="BD103" i="2"/>
  <c r="BC103" i="2"/>
  <c r="BB103" i="2"/>
  <c r="BA103" i="2"/>
  <c r="AZ103" i="2"/>
  <c r="AY103" i="2"/>
  <c r="AX103" i="2"/>
  <c r="AW103" i="2"/>
  <c r="AV103" i="2"/>
  <c r="AU103" i="2"/>
  <c r="AT103" i="2"/>
  <c r="AS103" i="2"/>
  <c r="AR103" i="2"/>
  <c r="AQ103" i="2"/>
  <c r="AP103" i="2"/>
  <c r="AO103" i="2"/>
  <c r="AN103" i="2"/>
  <c r="AM103" i="2"/>
  <c r="AL103" i="2"/>
  <c r="AK103" i="2"/>
  <c r="AJ103" i="2"/>
  <c r="AI103" i="2"/>
  <c r="AH103" i="2"/>
  <c r="AG103" i="2"/>
  <c r="AF103" i="2"/>
  <c r="AE103" i="2"/>
  <c r="AD103" i="2"/>
  <c r="AC103" i="2"/>
  <c r="AB103" i="2"/>
  <c r="AA103" i="2"/>
  <c r="Z103" i="2"/>
  <c r="Y103" i="2"/>
  <c r="X103" i="2"/>
  <c r="W103" i="2"/>
  <c r="V103" i="2"/>
  <c r="U103" i="2"/>
  <c r="T103" i="2"/>
  <c r="S103" i="2"/>
  <c r="R103" i="2"/>
  <c r="Q103" i="2"/>
  <c r="F103" i="2"/>
  <c r="E103" i="2"/>
  <c r="D103" i="2"/>
  <c r="CA102" i="2"/>
  <c r="BZ102" i="2"/>
  <c r="BY102" i="2"/>
  <c r="BX102" i="2"/>
  <c r="BW102" i="2"/>
  <c r="BV102" i="2"/>
  <c r="BU102" i="2"/>
  <c r="BT102" i="2"/>
  <c r="BS102" i="2"/>
  <c r="BR102" i="2"/>
  <c r="BQ102" i="2"/>
  <c r="BP102" i="2"/>
  <c r="BO102" i="2"/>
  <c r="BN102" i="2"/>
  <c r="BM102" i="2"/>
  <c r="BL102" i="2"/>
  <c r="BK102" i="2"/>
  <c r="BJ102" i="2"/>
  <c r="BI102" i="2"/>
  <c r="BH102" i="2"/>
  <c r="BG102" i="2"/>
  <c r="BF102" i="2"/>
  <c r="BE102" i="2"/>
  <c r="BD102" i="2"/>
  <c r="BC102" i="2"/>
  <c r="BB102" i="2"/>
  <c r="BA102" i="2"/>
  <c r="AZ102" i="2"/>
  <c r="AY102" i="2"/>
  <c r="AX102" i="2"/>
  <c r="AW102" i="2"/>
  <c r="AV102" i="2"/>
  <c r="AU102" i="2"/>
  <c r="AT102" i="2"/>
  <c r="AS102" i="2"/>
  <c r="AR102" i="2"/>
  <c r="AQ102" i="2"/>
  <c r="AP102" i="2"/>
  <c r="AO102" i="2"/>
  <c r="AN102" i="2"/>
  <c r="AM102" i="2"/>
  <c r="AL102" i="2"/>
  <c r="AK102" i="2"/>
  <c r="AJ102" i="2"/>
  <c r="AI102" i="2"/>
  <c r="AH102" i="2"/>
  <c r="AG102" i="2"/>
  <c r="AF102" i="2"/>
  <c r="AE102" i="2"/>
  <c r="AD102" i="2"/>
  <c r="AC102" i="2"/>
  <c r="AB102" i="2"/>
  <c r="AA102" i="2"/>
  <c r="Z102" i="2"/>
  <c r="Y102" i="2"/>
  <c r="X102" i="2"/>
  <c r="W102" i="2"/>
  <c r="V102" i="2"/>
  <c r="U102" i="2"/>
  <c r="T102" i="2"/>
  <c r="S102" i="2"/>
  <c r="R102" i="2"/>
  <c r="Q102" i="2"/>
  <c r="F102" i="2"/>
  <c r="E102" i="2"/>
  <c r="D102" i="2"/>
  <c r="CA101" i="2"/>
  <c r="BZ101" i="2"/>
  <c r="BY101" i="2"/>
  <c r="BX101" i="2"/>
  <c r="BW101" i="2"/>
  <c r="BV101" i="2"/>
  <c r="BU101" i="2"/>
  <c r="BT101" i="2"/>
  <c r="BS101" i="2"/>
  <c r="BR101" i="2"/>
  <c r="BQ101" i="2"/>
  <c r="BP101" i="2"/>
  <c r="BO101" i="2"/>
  <c r="BN101" i="2"/>
  <c r="BM101" i="2"/>
  <c r="BL101" i="2"/>
  <c r="BK101" i="2"/>
  <c r="BJ101" i="2"/>
  <c r="BI101" i="2"/>
  <c r="BH101" i="2"/>
  <c r="BG101" i="2"/>
  <c r="BF101" i="2"/>
  <c r="BE101" i="2"/>
  <c r="BD101" i="2"/>
  <c r="BC101" i="2"/>
  <c r="BB101" i="2"/>
  <c r="BA101" i="2"/>
  <c r="AZ101" i="2"/>
  <c r="AY101" i="2"/>
  <c r="AX101" i="2"/>
  <c r="AW101" i="2"/>
  <c r="AV101" i="2"/>
  <c r="AU101" i="2"/>
  <c r="AT101" i="2"/>
  <c r="AS101" i="2"/>
  <c r="AR101" i="2"/>
  <c r="AQ101" i="2"/>
  <c r="AP101" i="2"/>
  <c r="AO101" i="2"/>
  <c r="AN101" i="2"/>
  <c r="AM101" i="2"/>
  <c r="AL101" i="2"/>
  <c r="AK101" i="2"/>
  <c r="AJ101" i="2"/>
  <c r="AI101" i="2"/>
  <c r="AH101" i="2"/>
  <c r="AG101" i="2"/>
  <c r="AF101" i="2"/>
  <c r="AE101" i="2"/>
  <c r="AD101" i="2"/>
  <c r="AC101" i="2"/>
  <c r="AB101" i="2"/>
  <c r="AA101" i="2"/>
  <c r="Z101" i="2"/>
  <c r="Y101" i="2"/>
  <c r="X101" i="2"/>
  <c r="W101" i="2"/>
  <c r="V101" i="2"/>
  <c r="U101" i="2"/>
  <c r="T101" i="2"/>
  <c r="S101" i="2"/>
  <c r="R101" i="2"/>
  <c r="Q101" i="2"/>
  <c r="F101" i="2"/>
  <c r="E101" i="2"/>
  <c r="D101" i="2"/>
  <c r="CA100" i="2"/>
  <c r="BZ100" i="2"/>
  <c r="BY100" i="2"/>
  <c r="BX100" i="2"/>
  <c r="BW100" i="2"/>
  <c r="BV100" i="2"/>
  <c r="BU100" i="2"/>
  <c r="BT100" i="2"/>
  <c r="BS100" i="2"/>
  <c r="BR100" i="2"/>
  <c r="BQ100" i="2"/>
  <c r="BP100" i="2"/>
  <c r="BO100" i="2"/>
  <c r="BN100" i="2"/>
  <c r="BM100" i="2"/>
  <c r="BL100" i="2"/>
  <c r="BK100" i="2"/>
  <c r="BJ100" i="2"/>
  <c r="BI100" i="2"/>
  <c r="BH100" i="2"/>
  <c r="BG100" i="2"/>
  <c r="BF100" i="2"/>
  <c r="BE100" i="2"/>
  <c r="BD100" i="2"/>
  <c r="BC100" i="2"/>
  <c r="BB100" i="2"/>
  <c r="BA100" i="2"/>
  <c r="AZ100" i="2"/>
  <c r="AY100" i="2"/>
  <c r="AX100" i="2"/>
  <c r="AW100" i="2"/>
  <c r="AV100" i="2"/>
  <c r="AU100" i="2"/>
  <c r="AT100" i="2"/>
  <c r="AS100" i="2"/>
  <c r="AR100" i="2"/>
  <c r="AQ100" i="2"/>
  <c r="AP100" i="2"/>
  <c r="AO100" i="2"/>
  <c r="AN100" i="2"/>
  <c r="AM100" i="2"/>
  <c r="AL100" i="2"/>
  <c r="AK100" i="2"/>
  <c r="AJ100" i="2"/>
  <c r="AI100" i="2"/>
  <c r="AH100" i="2"/>
  <c r="AG100" i="2"/>
  <c r="AF100" i="2"/>
  <c r="AE100" i="2"/>
  <c r="AD100" i="2"/>
  <c r="AC100" i="2"/>
  <c r="AB100" i="2"/>
  <c r="AA100" i="2"/>
  <c r="Z100" i="2"/>
  <c r="Y100" i="2"/>
  <c r="X100" i="2"/>
  <c r="W100" i="2"/>
  <c r="V100" i="2"/>
  <c r="U100" i="2"/>
  <c r="T100" i="2"/>
  <c r="S100" i="2"/>
  <c r="R100" i="2"/>
  <c r="Q100" i="2"/>
  <c r="F100" i="2"/>
  <c r="E100" i="2"/>
  <c r="D100" i="2"/>
  <c r="CA99" i="2"/>
  <c r="BZ99" i="2"/>
  <c r="BY99" i="2"/>
  <c r="BX99" i="2"/>
  <c r="BW99" i="2"/>
  <c r="BV99" i="2"/>
  <c r="BU99" i="2"/>
  <c r="BT99" i="2"/>
  <c r="BS99" i="2"/>
  <c r="BR99" i="2"/>
  <c r="BQ99" i="2"/>
  <c r="BP99" i="2"/>
  <c r="BO99" i="2"/>
  <c r="BN99" i="2"/>
  <c r="BM99" i="2"/>
  <c r="BL99" i="2"/>
  <c r="BK99" i="2"/>
  <c r="BJ99" i="2"/>
  <c r="BI99" i="2"/>
  <c r="BH99" i="2"/>
  <c r="BG99" i="2"/>
  <c r="BF99" i="2"/>
  <c r="BE99" i="2"/>
  <c r="BD99" i="2"/>
  <c r="BC99" i="2"/>
  <c r="BB99" i="2"/>
  <c r="BA99" i="2"/>
  <c r="AZ99" i="2"/>
  <c r="AY99" i="2"/>
  <c r="AX99" i="2"/>
  <c r="AW99" i="2"/>
  <c r="AV99" i="2"/>
  <c r="AU99" i="2"/>
  <c r="AT99" i="2"/>
  <c r="AS99" i="2"/>
  <c r="AR99" i="2"/>
  <c r="AQ99" i="2"/>
  <c r="AP99" i="2"/>
  <c r="AO99" i="2"/>
  <c r="AN99" i="2"/>
  <c r="AM99" i="2"/>
  <c r="AL99" i="2"/>
  <c r="AK99" i="2"/>
  <c r="AJ99" i="2"/>
  <c r="AI99" i="2"/>
  <c r="AH99" i="2"/>
  <c r="AG99" i="2"/>
  <c r="AF99" i="2"/>
  <c r="AE99" i="2"/>
  <c r="AD99" i="2"/>
  <c r="AC99" i="2"/>
  <c r="AB99" i="2"/>
  <c r="AA99" i="2"/>
  <c r="Z99" i="2"/>
  <c r="Y99" i="2"/>
  <c r="X99" i="2"/>
  <c r="W99" i="2"/>
  <c r="V99" i="2"/>
  <c r="U99" i="2"/>
  <c r="T99" i="2"/>
  <c r="S99" i="2"/>
  <c r="R99" i="2"/>
  <c r="Q99" i="2"/>
  <c r="F99" i="2"/>
  <c r="E99" i="2"/>
  <c r="D99" i="2"/>
  <c r="CA98" i="2"/>
  <c r="BZ98" i="2"/>
  <c r="BY98" i="2"/>
  <c r="BX98" i="2"/>
  <c r="BW98" i="2"/>
  <c r="BV98" i="2"/>
  <c r="BU98" i="2"/>
  <c r="BT98" i="2"/>
  <c r="BS98" i="2"/>
  <c r="BR98" i="2"/>
  <c r="BQ98" i="2"/>
  <c r="BP98" i="2"/>
  <c r="BO98" i="2"/>
  <c r="BN98" i="2"/>
  <c r="BM98" i="2"/>
  <c r="BL98" i="2"/>
  <c r="BK98" i="2"/>
  <c r="BJ98" i="2"/>
  <c r="BI98" i="2"/>
  <c r="BH98" i="2"/>
  <c r="BG98" i="2"/>
  <c r="BF98" i="2"/>
  <c r="BE98" i="2"/>
  <c r="BD98" i="2"/>
  <c r="BC98" i="2"/>
  <c r="BB98" i="2"/>
  <c r="BA98" i="2"/>
  <c r="AZ98" i="2"/>
  <c r="AY98" i="2"/>
  <c r="AX98" i="2"/>
  <c r="AW98" i="2"/>
  <c r="AV98" i="2"/>
  <c r="AU98" i="2"/>
  <c r="AT98" i="2"/>
  <c r="AS98" i="2"/>
  <c r="AR98" i="2"/>
  <c r="AQ98" i="2"/>
  <c r="AP98" i="2"/>
  <c r="AO98" i="2"/>
  <c r="AN98" i="2"/>
  <c r="AM98" i="2"/>
  <c r="AL98" i="2"/>
  <c r="AK98" i="2"/>
  <c r="AJ98" i="2"/>
  <c r="AI98" i="2"/>
  <c r="AH98" i="2"/>
  <c r="AG98" i="2"/>
  <c r="AF98" i="2"/>
  <c r="AE98" i="2"/>
  <c r="AD98" i="2"/>
  <c r="AC98" i="2"/>
  <c r="AB98" i="2"/>
  <c r="AA98" i="2"/>
  <c r="Z98" i="2"/>
  <c r="Y98" i="2"/>
  <c r="X98" i="2"/>
  <c r="W98" i="2"/>
  <c r="V98" i="2"/>
  <c r="U98" i="2"/>
  <c r="T98" i="2"/>
  <c r="S98" i="2"/>
  <c r="R98" i="2"/>
  <c r="Q98" i="2"/>
  <c r="F98" i="2"/>
  <c r="E98" i="2"/>
  <c r="D98" i="2"/>
  <c r="CA97" i="2"/>
  <c r="BZ97" i="2"/>
  <c r="BY97" i="2"/>
  <c r="BX97" i="2"/>
  <c r="BW97" i="2"/>
  <c r="BV97" i="2"/>
  <c r="BU97" i="2"/>
  <c r="BT97" i="2"/>
  <c r="BS97" i="2"/>
  <c r="BR97" i="2"/>
  <c r="BQ97" i="2"/>
  <c r="BP97" i="2"/>
  <c r="BO97" i="2"/>
  <c r="BN97" i="2"/>
  <c r="BM97" i="2"/>
  <c r="BL97" i="2"/>
  <c r="BK97" i="2"/>
  <c r="BJ97" i="2"/>
  <c r="BI97" i="2"/>
  <c r="BH97" i="2"/>
  <c r="BG97" i="2"/>
  <c r="BF97" i="2"/>
  <c r="BE97" i="2"/>
  <c r="BD97" i="2"/>
  <c r="BC97" i="2"/>
  <c r="BB97" i="2"/>
  <c r="BA97" i="2"/>
  <c r="AZ97" i="2"/>
  <c r="AY97" i="2"/>
  <c r="AX97" i="2"/>
  <c r="AW97" i="2"/>
  <c r="AV97" i="2"/>
  <c r="AU97" i="2"/>
  <c r="AT97" i="2"/>
  <c r="AS97" i="2"/>
  <c r="AR97" i="2"/>
  <c r="AQ97" i="2"/>
  <c r="AP97" i="2"/>
  <c r="AO97" i="2"/>
  <c r="AN97" i="2"/>
  <c r="AM97" i="2"/>
  <c r="AL97" i="2"/>
  <c r="AK97" i="2"/>
  <c r="AJ97" i="2"/>
  <c r="AI97" i="2"/>
  <c r="AH97" i="2"/>
  <c r="AG97" i="2"/>
  <c r="AF97" i="2"/>
  <c r="AE97" i="2"/>
  <c r="AD97" i="2"/>
  <c r="AC97" i="2"/>
  <c r="AB97" i="2"/>
  <c r="AA97" i="2"/>
  <c r="Z97" i="2"/>
  <c r="Y97" i="2"/>
  <c r="X97" i="2"/>
  <c r="W97" i="2"/>
  <c r="V97" i="2"/>
  <c r="U97" i="2"/>
  <c r="T97" i="2"/>
  <c r="S97" i="2"/>
  <c r="R97" i="2"/>
  <c r="Q97" i="2"/>
  <c r="F97" i="2"/>
  <c r="E97" i="2"/>
  <c r="D97" i="2"/>
  <c r="CA96" i="2"/>
  <c r="BZ96" i="2"/>
  <c r="BY96" i="2"/>
  <c r="BX96" i="2"/>
  <c r="BW96" i="2"/>
  <c r="BV96" i="2"/>
  <c r="BU96" i="2"/>
  <c r="BT96" i="2"/>
  <c r="BS96" i="2"/>
  <c r="BR96" i="2"/>
  <c r="BQ96" i="2"/>
  <c r="BP96" i="2"/>
  <c r="BO96" i="2"/>
  <c r="BN96" i="2"/>
  <c r="BM96" i="2"/>
  <c r="BL96" i="2"/>
  <c r="BK96" i="2"/>
  <c r="BJ96" i="2"/>
  <c r="BI96" i="2"/>
  <c r="BH96" i="2"/>
  <c r="BG96" i="2"/>
  <c r="BF96" i="2"/>
  <c r="BE96" i="2"/>
  <c r="BD96" i="2"/>
  <c r="BC96" i="2"/>
  <c r="BB96" i="2"/>
  <c r="BA96" i="2"/>
  <c r="AZ96" i="2"/>
  <c r="AY96" i="2"/>
  <c r="AX96" i="2"/>
  <c r="AW96" i="2"/>
  <c r="AV96" i="2"/>
  <c r="AU96" i="2"/>
  <c r="AT96" i="2"/>
  <c r="AS96" i="2"/>
  <c r="AR96" i="2"/>
  <c r="AQ96" i="2"/>
  <c r="AP96" i="2"/>
  <c r="AO96" i="2"/>
  <c r="AN96" i="2"/>
  <c r="AM96" i="2"/>
  <c r="AL96" i="2"/>
  <c r="AK96" i="2"/>
  <c r="AJ96" i="2"/>
  <c r="AI96" i="2"/>
  <c r="AH96" i="2"/>
  <c r="AG96" i="2"/>
  <c r="AF96" i="2"/>
  <c r="AE96" i="2"/>
  <c r="AD96" i="2"/>
  <c r="AC96" i="2"/>
  <c r="AB96" i="2"/>
  <c r="AA96" i="2"/>
  <c r="Z96" i="2"/>
  <c r="Y96" i="2"/>
  <c r="X96" i="2"/>
  <c r="W96" i="2"/>
  <c r="V96" i="2"/>
  <c r="U96" i="2"/>
  <c r="T96" i="2"/>
  <c r="S96" i="2"/>
  <c r="R96" i="2"/>
  <c r="Q96" i="2"/>
  <c r="F96" i="2"/>
  <c r="E96" i="2"/>
  <c r="D96" i="2"/>
  <c r="CA95" i="2"/>
  <c r="BZ95" i="2"/>
  <c r="BY95" i="2"/>
  <c r="BX95" i="2"/>
  <c r="BW95" i="2"/>
  <c r="BV95" i="2"/>
  <c r="BU95" i="2"/>
  <c r="BT95" i="2"/>
  <c r="BS95" i="2"/>
  <c r="BR95" i="2"/>
  <c r="BQ95" i="2"/>
  <c r="BP95" i="2"/>
  <c r="BO95" i="2"/>
  <c r="BN95" i="2"/>
  <c r="BM95" i="2"/>
  <c r="BL95" i="2"/>
  <c r="BK95" i="2"/>
  <c r="BJ95" i="2"/>
  <c r="BI95" i="2"/>
  <c r="BH95" i="2"/>
  <c r="BG95" i="2"/>
  <c r="BF95" i="2"/>
  <c r="BE95" i="2"/>
  <c r="BD95" i="2"/>
  <c r="BC95" i="2"/>
  <c r="BB95" i="2"/>
  <c r="BA95" i="2"/>
  <c r="AZ95" i="2"/>
  <c r="AY95" i="2"/>
  <c r="AX95" i="2"/>
  <c r="AW95" i="2"/>
  <c r="AV95" i="2"/>
  <c r="AU95" i="2"/>
  <c r="AT95" i="2"/>
  <c r="AS95" i="2"/>
  <c r="AR95" i="2"/>
  <c r="AQ95" i="2"/>
  <c r="AP95" i="2"/>
  <c r="AO95" i="2"/>
  <c r="AN95" i="2"/>
  <c r="AM95" i="2"/>
  <c r="AL95" i="2"/>
  <c r="AK95" i="2"/>
  <c r="AJ95" i="2"/>
  <c r="AI95" i="2"/>
  <c r="AH95" i="2"/>
  <c r="AG95" i="2"/>
  <c r="AF95" i="2"/>
  <c r="AE95" i="2"/>
  <c r="AD95" i="2"/>
  <c r="AC95" i="2"/>
  <c r="AB95" i="2"/>
  <c r="AA95" i="2"/>
  <c r="Z95" i="2"/>
  <c r="Y95" i="2"/>
  <c r="X95" i="2"/>
  <c r="W95" i="2"/>
  <c r="V95" i="2"/>
  <c r="U95" i="2"/>
  <c r="T95" i="2"/>
  <c r="S95" i="2"/>
  <c r="R95" i="2"/>
  <c r="Q95" i="2"/>
  <c r="F95" i="2"/>
  <c r="E95" i="2"/>
  <c r="D95" i="2"/>
  <c r="CA94" i="2"/>
  <c r="BZ94" i="2"/>
  <c r="BY94" i="2"/>
  <c r="BX94" i="2"/>
  <c r="BW94" i="2"/>
  <c r="BV94" i="2"/>
  <c r="BU94" i="2"/>
  <c r="BT94" i="2"/>
  <c r="BS94" i="2"/>
  <c r="BR94" i="2"/>
  <c r="BQ94" i="2"/>
  <c r="BP94" i="2"/>
  <c r="BO94" i="2"/>
  <c r="BN94" i="2"/>
  <c r="BM94" i="2"/>
  <c r="BL94" i="2"/>
  <c r="BK94" i="2"/>
  <c r="BJ94" i="2"/>
  <c r="BI94" i="2"/>
  <c r="BH94" i="2"/>
  <c r="BG94" i="2"/>
  <c r="BF94" i="2"/>
  <c r="BE94" i="2"/>
  <c r="BD94" i="2"/>
  <c r="BC94" i="2"/>
  <c r="BB94" i="2"/>
  <c r="BA94" i="2"/>
  <c r="AZ94" i="2"/>
  <c r="AY94" i="2"/>
  <c r="AX94" i="2"/>
  <c r="AW94" i="2"/>
  <c r="AV94" i="2"/>
  <c r="AU94" i="2"/>
  <c r="AT94" i="2"/>
  <c r="AS94" i="2"/>
  <c r="AR94" i="2"/>
  <c r="AQ94" i="2"/>
  <c r="AP94" i="2"/>
  <c r="AO94" i="2"/>
  <c r="AN94" i="2"/>
  <c r="AM94" i="2"/>
  <c r="AL94" i="2"/>
  <c r="AK94" i="2"/>
  <c r="AJ94" i="2"/>
  <c r="AI94" i="2"/>
  <c r="AH94" i="2"/>
  <c r="AG94" i="2"/>
  <c r="AF94" i="2"/>
  <c r="AE94" i="2"/>
  <c r="AD94" i="2"/>
  <c r="AC94" i="2"/>
  <c r="AB94" i="2"/>
  <c r="AA94" i="2"/>
  <c r="Z94" i="2"/>
  <c r="Y94" i="2"/>
  <c r="X94" i="2"/>
  <c r="W94" i="2"/>
  <c r="V94" i="2"/>
  <c r="U94" i="2"/>
  <c r="T94" i="2"/>
  <c r="S94" i="2"/>
  <c r="R94" i="2"/>
  <c r="Q94" i="2"/>
  <c r="F94" i="2"/>
  <c r="E94" i="2"/>
  <c r="D94" i="2"/>
  <c r="CA93" i="2"/>
  <c r="BZ93" i="2"/>
  <c r="BY93" i="2"/>
  <c r="BX93" i="2"/>
  <c r="BW93" i="2"/>
  <c r="BV93" i="2"/>
  <c r="BU93" i="2"/>
  <c r="BT93" i="2"/>
  <c r="BS93" i="2"/>
  <c r="BR93" i="2"/>
  <c r="BQ93" i="2"/>
  <c r="BP93" i="2"/>
  <c r="BO93" i="2"/>
  <c r="BN93" i="2"/>
  <c r="BM93" i="2"/>
  <c r="BL93" i="2"/>
  <c r="BK93" i="2"/>
  <c r="BJ93" i="2"/>
  <c r="BI93" i="2"/>
  <c r="BH93" i="2"/>
  <c r="BG93" i="2"/>
  <c r="BF93" i="2"/>
  <c r="BE93" i="2"/>
  <c r="BD93" i="2"/>
  <c r="BC93" i="2"/>
  <c r="BB93" i="2"/>
  <c r="BA93" i="2"/>
  <c r="AZ93" i="2"/>
  <c r="AY93" i="2"/>
  <c r="AX93" i="2"/>
  <c r="AW93" i="2"/>
  <c r="AV93" i="2"/>
  <c r="AU93" i="2"/>
  <c r="AT93" i="2"/>
  <c r="AS93" i="2"/>
  <c r="AR93" i="2"/>
  <c r="AQ93" i="2"/>
  <c r="AP93" i="2"/>
  <c r="AO93" i="2"/>
  <c r="AN93" i="2"/>
  <c r="AM93" i="2"/>
  <c r="AL93" i="2"/>
  <c r="AK93" i="2"/>
  <c r="AJ93" i="2"/>
  <c r="AI93" i="2"/>
  <c r="AH93" i="2"/>
  <c r="AG93" i="2"/>
  <c r="AF93" i="2"/>
  <c r="AE93" i="2"/>
  <c r="AD93" i="2"/>
  <c r="AC93" i="2"/>
  <c r="AB93" i="2"/>
  <c r="AA93" i="2"/>
  <c r="Z93" i="2"/>
  <c r="Y93" i="2"/>
  <c r="X93" i="2"/>
  <c r="W93" i="2"/>
  <c r="V93" i="2"/>
  <c r="U93" i="2"/>
  <c r="T93" i="2"/>
  <c r="S93" i="2"/>
  <c r="R93" i="2"/>
  <c r="Q93" i="2"/>
  <c r="F93" i="2"/>
  <c r="E93" i="2"/>
  <c r="D93" i="2"/>
  <c r="CA92" i="2"/>
  <c r="BZ92" i="2"/>
  <c r="BY92" i="2"/>
  <c r="BX92" i="2"/>
  <c r="BW92" i="2"/>
  <c r="BV92" i="2"/>
  <c r="BU92" i="2"/>
  <c r="BT92" i="2"/>
  <c r="BS92" i="2"/>
  <c r="BR92" i="2"/>
  <c r="BQ92" i="2"/>
  <c r="BP92" i="2"/>
  <c r="BO92" i="2"/>
  <c r="BN92" i="2"/>
  <c r="BM92" i="2"/>
  <c r="BL92" i="2"/>
  <c r="BK92" i="2"/>
  <c r="BJ92" i="2"/>
  <c r="BI92" i="2"/>
  <c r="BH92" i="2"/>
  <c r="BG92" i="2"/>
  <c r="BF92" i="2"/>
  <c r="BE92" i="2"/>
  <c r="BD92" i="2"/>
  <c r="BC92" i="2"/>
  <c r="BB92" i="2"/>
  <c r="BA92" i="2"/>
  <c r="AZ92" i="2"/>
  <c r="AY92" i="2"/>
  <c r="AX92" i="2"/>
  <c r="AW92" i="2"/>
  <c r="AV92" i="2"/>
  <c r="AU92" i="2"/>
  <c r="AT92" i="2"/>
  <c r="AS92" i="2"/>
  <c r="AR92" i="2"/>
  <c r="AQ92" i="2"/>
  <c r="AP92" i="2"/>
  <c r="AO92" i="2"/>
  <c r="AN92" i="2"/>
  <c r="AM92" i="2"/>
  <c r="AL92" i="2"/>
  <c r="AK92" i="2"/>
  <c r="AJ92" i="2"/>
  <c r="AI92" i="2"/>
  <c r="AH92" i="2"/>
  <c r="AG92" i="2"/>
  <c r="AF92" i="2"/>
  <c r="AE92" i="2"/>
  <c r="AD92" i="2"/>
  <c r="AC92" i="2"/>
  <c r="AB92" i="2"/>
  <c r="AA92" i="2"/>
  <c r="Z92" i="2"/>
  <c r="Y92" i="2"/>
  <c r="X92" i="2"/>
  <c r="W92" i="2"/>
  <c r="V92" i="2"/>
  <c r="U92" i="2"/>
  <c r="T92" i="2"/>
  <c r="S92" i="2"/>
  <c r="R92" i="2"/>
  <c r="Q92" i="2"/>
  <c r="F92" i="2"/>
  <c r="E92" i="2"/>
  <c r="D92" i="2"/>
  <c r="CA91" i="2"/>
  <c r="BZ91" i="2"/>
  <c r="BY91" i="2"/>
  <c r="BX91" i="2"/>
  <c r="BW91" i="2"/>
  <c r="BV91" i="2"/>
  <c r="BU91" i="2"/>
  <c r="BT91" i="2"/>
  <c r="BS91" i="2"/>
  <c r="BR91" i="2"/>
  <c r="BQ91" i="2"/>
  <c r="BP91" i="2"/>
  <c r="BO91" i="2"/>
  <c r="BN91" i="2"/>
  <c r="BM91" i="2"/>
  <c r="BL91" i="2"/>
  <c r="BK91" i="2"/>
  <c r="BJ91" i="2"/>
  <c r="BI91" i="2"/>
  <c r="BH91" i="2"/>
  <c r="BG91" i="2"/>
  <c r="BF91" i="2"/>
  <c r="BE91" i="2"/>
  <c r="BD91" i="2"/>
  <c r="BC91" i="2"/>
  <c r="BB91" i="2"/>
  <c r="BA91" i="2"/>
  <c r="AZ91" i="2"/>
  <c r="AY91" i="2"/>
  <c r="AX91" i="2"/>
  <c r="AW91" i="2"/>
  <c r="AV91" i="2"/>
  <c r="AU91" i="2"/>
  <c r="AT91" i="2"/>
  <c r="AS91" i="2"/>
  <c r="AR91" i="2"/>
  <c r="AQ91" i="2"/>
  <c r="AP91" i="2"/>
  <c r="AO91" i="2"/>
  <c r="AN91" i="2"/>
  <c r="AM91" i="2"/>
  <c r="AL91" i="2"/>
  <c r="AK91" i="2"/>
  <c r="AJ91" i="2"/>
  <c r="AI91" i="2"/>
  <c r="AH91" i="2"/>
  <c r="AG91" i="2"/>
  <c r="AF91" i="2"/>
  <c r="AE91" i="2"/>
  <c r="AD91" i="2"/>
  <c r="AC91" i="2"/>
  <c r="AB91" i="2"/>
  <c r="AA91" i="2"/>
  <c r="Z91" i="2"/>
  <c r="Y91" i="2"/>
  <c r="X91" i="2"/>
  <c r="W91" i="2"/>
  <c r="V91" i="2"/>
  <c r="U91" i="2"/>
  <c r="T91" i="2"/>
  <c r="S91" i="2"/>
  <c r="R91" i="2"/>
  <c r="Q91" i="2"/>
  <c r="F91" i="2"/>
  <c r="E91" i="2"/>
  <c r="D91" i="2"/>
  <c r="CA90" i="2"/>
  <c r="BZ90" i="2"/>
  <c r="BY90" i="2"/>
  <c r="BX90" i="2"/>
  <c r="BW90" i="2"/>
  <c r="BV90" i="2"/>
  <c r="BU90" i="2"/>
  <c r="BT90" i="2"/>
  <c r="BS90" i="2"/>
  <c r="BR90" i="2"/>
  <c r="BQ90" i="2"/>
  <c r="BP90" i="2"/>
  <c r="BO90" i="2"/>
  <c r="BN90" i="2"/>
  <c r="BM90" i="2"/>
  <c r="BL90" i="2"/>
  <c r="BK90" i="2"/>
  <c r="BJ90" i="2"/>
  <c r="BI90" i="2"/>
  <c r="BH90" i="2"/>
  <c r="BG90" i="2"/>
  <c r="BF90" i="2"/>
  <c r="BE90" i="2"/>
  <c r="BD90" i="2"/>
  <c r="BC90" i="2"/>
  <c r="BB90" i="2"/>
  <c r="BA90" i="2"/>
  <c r="AZ90" i="2"/>
  <c r="AY90" i="2"/>
  <c r="AX90" i="2"/>
  <c r="AW90" i="2"/>
  <c r="AV90" i="2"/>
  <c r="AU90" i="2"/>
  <c r="AT90" i="2"/>
  <c r="AS90" i="2"/>
  <c r="AR90" i="2"/>
  <c r="AQ90" i="2"/>
  <c r="AP90" i="2"/>
  <c r="AO90" i="2"/>
  <c r="AN90" i="2"/>
  <c r="AM90" i="2"/>
  <c r="AL90" i="2"/>
  <c r="AK90" i="2"/>
  <c r="AJ90" i="2"/>
  <c r="AI90" i="2"/>
  <c r="AH90" i="2"/>
  <c r="AG90" i="2"/>
  <c r="AF90" i="2"/>
  <c r="AE90" i="2"/>
  <c r="AD90" i="2"/>
  <c r="AC90" i="2"/>
  <c r="AB90" i="2"/>
  <c r="AA90" i="2"/>
  <c r="Z90" i="2"/>
  <c r="Y90" i="2"/>
  <c r="X90" i="2"/>
  <c r="W90" i="2"/>
  <c r="V90" i="2"/>
  <c r="U90" i="2"/>
  <c r="T90" i="2"/>
  <c r="S90" i="2"/>
  <c r="R90" i="2"/>
  <c r="Q90" i="2"/>
  <c r="F90" i="2"/>
  <c r="E90" i="2"/>
  <c r="D90" i="2"/>
  <c r="CA89" i="2"/>
  <c r="BZ89" i="2"/>
  <c r="BY89" i="2"/>
  <c r="BX89" i="2"/>
  <c r="BW89" i="2"/>
  <c r="BV89" i="2"/>
  <c r="BU89" i="2"/>
  <c r="BT89" i="2"/>
  <c r="BS89" i="2"/>
  <c r="BR89" i="2"/>
  <c r="BQ89" i="2"/>
  <c r="BP89" i="2"/>
  <c r="BO89" i="2"/>
  <c r="BN89" i="2"/>
  <c r="BM89" i="2"/>
  <c r="BL89" i="2"/>
  <c r="BK89" i="2"/>
  <c r="BJ89" i="2"/>
  <c r="BI89" i="2"/>
  <c r="BH89" i="2"/>
  <c r="BG89" i="2"/>
  <c r="BF89" i="2"/>
  <c r="BE89" i="2"/>
  <c r="BD89" i="2"/>
  <c r="BC89" i="2"/>
  <c r="BB89" i="2"/>
  <c r="BA89" i="2"/>
  <c r="AZ89" i="2"/>
  <c r="AY89" i="2"/>
  <c r="AX89" i="2"/>
  <c r="AW89" i="2"/>
  <c r="AV89" i="2"/>
  <c r="AU89" i="2"/>
  <c r="AT89" i="2"/>
  <c r="AS89" i="2"/>
  <c r="AR89" i="2"/>
  <c r="AQ89" i="2"/>
  <c r="AP89" i="2"/>
  <c r="AO89" i="2"/>
  <c r="AN89" i="2"/>
  <c r="AM89" i="2"/>
  <c r="AL89" i="2"/>
  <c r="AK89" i="2"/>
  <c r="AJ89" i="2"/>
  <c r="AI89" i="2"/>
  <c r="AH89" i="2"/>
  <c r="AG89" i="2"/>
  <c r="AF89" i="2"/>
  <c r="AE89" i="2"/>
  <c r="AD89" i="2"/>
  <c r="AC89" i="2"/>
  <c r="AB89" i="2"/>
  <c r="AA89" i="2"/>
  <c r="Z89" i="2"/>
  <c r="Y89" i="2"/>
  <c r="X89" i="2"/>
  <c r="W89" i="2"/>
  <c r="V89" i="2"/>
  <c r="U89" i="2"/>
  <c r="T89" i="2"/>
  <c r="S89" i="2"/>
  <c r="R89" i="2"/>
  <c r="Q89" i="2"/>
  <c r="F89" i="2"/>
  <c r="E89" i="2"/>
  <c r="D89" i="2"/>
  <c r="CA88" i="2"/>
  <c r="BZ88" i="2"/>
  <c r="BY88" i="2"/>
  <c r="BX88" i="2"/>
  <c r="BW88" i="2"/>
  <c r="BV88" i="2"/>
  <c r="BU88" i="2"/>
  <c r="BT88" i="2"/>
  <c r="BS88" i="2"/>
  <c r="BR88" i="2"/>
  <c r="BQ88" i="2"/>
  <c r="BP88" i="2"/>
  <c r="BO88" i="2"/>
  <c r="BN88" i="2"/>
  <c r="BM88" i="2"/>
  <c r="BL88" i="2"/>
  <c r="BK88" i="2"/>
  <c r="BJ88" i="2"/>
  <c r="BI88" i="2"/>
  <c r="BH88" i="2"/>
  <c r="BG88" i="2"/>
  <c r="BF88" i="2"/>
  <c r="BE88" i="2"/>
  <c r="BD88" i="2"/>
  <c r="BC88" i="2"/>
  <c r="BB88" i="2"/>
  <c r="BA88" i="2"/>
  <c r="AZ88" i="2"/>
  <c r="AY88" i="2"/>
  <c r="AX88" i="2"/>
  <c r="AW88" i="2"/>
  <c r="AV88" i="2"/>
  <c r="AU88" i="2"/>
  <c r="AT88" i="2"/>
  <c r="AS88" i="2"/>
  <c r="AR88" i="2"/>
  <c r="AQ88" i="2"/>
  <c r="AP88" i="2"/>
  <c r="AO88" i="2"/>
  <c r="AN88" i="2"/>
  <c r="AM88" i="2"/>
  <c r="AL88" i="2"/>
  <c r="AK88" i="2"/>
  <c r="AJ88" i="2"/>
  <c r="AI88" i="2"/>
  <c r="AH88" i="2"/>
  <c r="AG88" i="2"/>
  <c r="AF88" i="2"/>
  <c r="AE88" i="2"/>
  <c r="AD88" i="2"/>
  <c r="AC88" i="2"/>
  <c r="AB88" i="2"/>
  <c r="AA88" i="2"/>
  <c r="Z88" i="2"/>
  <c r="Y88" i="2"/>
  <c r="X88" i="2"/>
  <c r="W88" i="2"/>
  <c r="V88" i="2"/>
  <c r="U88" i="2"/>
  <c r="T88" i="2"/>
  <c r="S88" i="2"/>
  <c r="R88" i="2"/>
  <c r="Q88" i="2"/>
  <c r="F88" i="2"/>
  <c r="E88" i="2"/>
  <c r="D88" i="2"/>
  <c r="CA87" i="2"/>
  <c r="BZ87" i="2"/>
  <c r="BY87" i="2"/>
  <c r="BX87" i="2"/>
  <c r="BW87" i="2"/>
  <c r="BV87" i="2"/>
  <c r="BU87" i="2"/>
  <c r="BT87" i="2"/>
  <c r="BS87" i="2"/>
  <c r="BR87" i="2"/>
  <c r="BQ87" i="2"/>
  <c r="BP87" i="2"/>
  <c r="BO87" i="2"/>
  <c r="BN87" i="2"/>
  <c r="BM87" i="2"/>
  <c r="BL87" i="2"/>
  <c r="BK87" i="2"/>
  <c r="BJ87" i="2"/>
  <c r="BI87" i="2"/>
  <c r="BH87" i="2"/>
  <c r="BG87" i="2"/>
  <c r="BF87" i="2"/>
  <c r="BE87" i="2"/>
  <c r="BD87" i="2"/>
  <c r="BC87" i="2"/>
  <c r="BB87" i="2"/>
  <c r="BA87" i="2"/>
  <c r="AZ87" i="2"/>
  <c r="AY87" i="2"/>
  <c r="AX87" i="2"/>
  <c r="AW87" i="2"/>
  <c r="AV87" i="2"/>
  <c r="AU87" i="2"/>
  <c r="AT87" i="2"/>
  <c r="AS87" i="2"/>
  <c r="AR87" i="2"/>
  <c r="AQ87" i="2"/>
  <c r="AP87" i="2"/>
  <c r="AO87" i="2"/>
  <c r="AN87" i="2"/>
  <c r="AM87" i="2"/>
  <c r="AL87" i="2"/>
  <c r="AK87" i="2"/>
  <c r="AJ87" i="2"/>
  <c r="AI87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F87" i="2"/>
  <c r="E87" i="2"/>
  <c r="D87" i="2"/>
  <c r="CA86" i="2"/>
  <c r="BZ86" i="2"/>
  <c r="BY86" i="2"/>
  <c r="BX86" i="2"/>
  <c r="BW86" i="2"/>
  <c r="BV86" i="2"/>
  <c r="BU86" i="2"/>
  <c r="BT86" i="2"/>
  <c r="BS86" i="2"/>
  <c r="BR86" i="2"/>
  <c r="BQ86" i="2"/>
  <c r="BP86" i="2"/>
  <c r="BO86" i="2"/>
  <c r="BN86" i="2"/>
  <c r="BM86" i="2"/>
  <c r="BL86" i="2"/>
  <c r="BK86" i="2"/>
  <c r="BJ86" i="2"/>
  <c r="BI86" i="2"/>
  <c r="BH86" i="2"/>
  <c r="BG86" i="2"/>
  <c r="BF86" i="2"/>
  <c r="BE86" i="2"/>
  <c r="BD86" i="2"/>
  <c r="BC86" i="2"/>
  <c r="BB86" i="2"/>
  <c r="BA86" i="2"/>
  <c r="AZ86" i="2"/>
  <c r="AY86" i="2"/>
  <c r="AX86" i="2"/>
  <c r="AW86" i="2"/>
  <c r="AV86" i="2"/>
  <c r="AU86" i="2"/>
  <c r="AT86" i="2"/>
  <c r="AS86" i="2"/>
  <c r="AR86" i="2"/>
  <c r="AQ86" i="2"/>
  <c r="AP86" i="2"/>
  <c r="AO86" i="2"/>
  <c r="AN86" i="2"/>
  <c r="AM86" i="2"/>
  <c r="AL86" i="2"/>
  <c r="AK86" i="2"/>
  <c r="AJ86" i="2"/>
  <c r="AI86" i="2"/>
  <c r="AH86" i="2"/>
  <c r="AG86" i="2"/>
  <c r="AF86" i="2"/>
  <c r="AE86" i="2"/>
  <c r="AD86" i="2"/>
  <c r="AC86" i="2"/>
  <c r="AB86" i="2"/>
  <c r="AA86" i="2"/>
  <c r="Z86" i="2"/>
  <c r="Y86" i="2"/>
  <c r="X86" i="2"/>
  <c r="W86" i="2"/>
  <c r="V86" i="2"/>
  <c r="U86" i="2"/>
  <c r="T86" i="2"/>
  <c r="S86" i="2"/>
  <c r="R86" i="2"/>
  <c r="Q86" i="2"/>
  <c r="F86" i="2"/>
  <c r="E86" i="2"/>
  <c r="D86" i="2"/>
  <c r="CA85" i="2"/>
  <c r="BZ85" i="2"/>
  <c r="BY85" i="2"/>
  <c r="BX85" i="2"/>
  <c r="BW85" i="2"/>
  <c r="BV85" i="2"/>
  <c r="BU85" i="2"/>
  <c r="BT85" i="2"/>
  <c r="BS85" i="2"/>
  <c r="BR85" i="2"/>
  <c r="BQ85" i="2"/>
  <c r="BP85" i="2"/>
  <c r="BO85" i="2"/>
  <c r="BN85" i="2"/>
  <c r="BM85" i="2"/>
  <c r="BL85" i="2"/>
  <c r="BK85" i="2"/>
  <c r="BJ85" i="2"/>
  <c r="BI85" i="2"/>
  <c r="BH85" i="2"/>
  <c r="BG85" i="2"/>
  <c r="BF85" i="2"/>
  <c r="BE85" i="2"/>
  <c r="BD85" i="2"/>
  <c r="BC85" i="2"/>
  <c r="BB85" i="2"/>
  <c r="BA85" i="2"/>
  <c r="AZ85" i="2"/>
  <c r="AY85" i="2"/>
  <c r="AX85" i="2"/>
  <c r="AW85" i="2"/>
  <c r="AV85" i="2"/>
  <c r="AU85" i="2"/>
  <c r="AT85" i="2"/>
  <c r="AS85" i="2"/>
  <c r="AR85" i="2"/>
  <c r="AQ85" i="2"/>
  <c r="AP85" i="2"/>
  <c r="AO85" i="2"/>
  <c r="AN85" i="2"/>
  <c r="AM85" i="2"/>
  <c r="AL85" i="2"/>
  <c r="AK85" i="2"/>
  <c r="AJ85" i="2"/>
  <c r="AI85" i="2"/>
  <c r="AH85" i="2"/>
  <c r="AG85" i="2"/>
  <c r="AF85" i="2"/>
  <c r="AE85" i="2"/>
  <c r="AD85" i="2"/>
  <c r="AC85" i="2"/>
  <c r="AB85" i="2"/>
  <c r="AA85" i="2"/>
  <c r="Z85" i="2"/>
  <c r="Y85" i="2"/>
  <c r="X85" i="2"/>
  <c r="W85" i="2"/>
  <c r="V85" i="2"/>
  <c r="U85" i="2"/>
  <c r="T85" i="2"/>
  <c r="S85" i="2"/>
  <c r="R85" i="2"/>
  <c r="Q85" i="2"/>
  <c r="F85" i="2"/>
  <c r="E85" i="2"/>
  <c r="D85" i="2"/>
  <c r="CA84" i="2"/>
  <c r="BZ84" i="2"/>
  <c r="BY84" i="2"/>
  <c r="BX84" i="2"/>
  <c r="BW84" i="2"/>
  <c r="BV84" i="2"/>
  <c r="BU84" i="2"/>
  <c r="BT84" i="2"/>
  <c r="BS84" i="2"/>
  <c r="BR84" i="2"/>
  <c r="BQ84" i="2"/>
  <c r="BP84" i="2"/>
  <c r="BO84" i="2"/>
  <c r="BN84" i="2"/>
  <c r="BM84" i="2"/>
  <c r="BL84" i="2"/>
  <c r="BK84" i="2"/>
  <c r="BJ84" i="2"/>
  <c r="BI84" i="2"/>
  <c r="BH84" i="2"/>
  <c r="BG84" i="2"/>
  <c r="BF84" i="2"/>
  <c r="BE84" i="2"/>
  <c r="BD84" i="2"/>
  <c r="BC84" i="2"/>
  <c r="BB84" i="2"/>
  <c r="BA84" i="2"/>
  <c r="AZ84" i="2"/>
  <c r="AY84" i="2"/>
  <c r="AX84" i="2"/>
  <c r="AW84" i="2"/>
  <c r="AV84" i="2"/>
  <c r="AU84" i="2"/>
  <c r="AT84" i="2"/>
  <c r="AS84" i="2"/>
  <c r="AR84" i="2"/>
  <c r="AQ84" i="2"/>
  <c r="AP84" i="2"/>
  <c r="AO84" i="2"/>
  <c r="AN84" i="2"/>
  <c r="AM84" i="2"/>
  <c r="AL84" i="2"/>
  <c r="AK84" i="2"/>
  <c r="AJ84" i="2"/>
  <c r="AI84" i="2"/>
  <c r="AH84" i="2"/>
  <c r="AG84" i="2"/>
  <c r="AF84" i="2"/>
  <c r="AE84" i="2"/>
  <c r="AD84" i="2"/>
  <c r="AC84" i="2"/>
  <c r="AB84" i="2"/>
  <c r="AA84" i="2"/>
  <c r="Z84" i="2"/>
  <c r="Y84" i="2"/>
  <c r="X84" i="2"/>
  <c r="W84" i="2"/>
  <c r="V84" i="2"/>
  <c r="U84" i="2"/>
  <c r="T84" i="2"/>
  <c r="S84" i="2"/>
  <c r="R84" i="2"/>
  <c r="Q84" i="2"/>
  <c r="F84" i="2"/>
  <c r="E84" i="2"/>
  <c r="D84" i="2"/>
  <c r="CA83" i="2"/>
  <c r="BZ83" i="2"/>
  <c r="BY83" i="2"/>
  <c r="BX83" i="2"/>
  <c r="BW83" i="2"/>
  <c r="BV83" i="2"/>
  <c r="BU83" i="2"/>
  <c r="BT83" i="2"/>
  <c r="BS83" i="2"/>
  <c r="BR83" i="2"/>
  <c r="BQ83" i="2"/>
  <c r="BP83" i="2"/>
  <c r="BO83" i="2"/>
  <c r="BN83" i="2"/>
  <c r="BM83" i="2"/>
  <c r="BL83" i="2"/>
  <c r="BK83" i="2"/>
  <c r="BJ83" i="2"/>
  <c r="BI83" i="2"/>
  <c r="BH83" i="2"/>
  <c r="BG83" i="2"/>
  <c r="BF83" i="2"/>
  <c r="BE83" i="2"/>
  <c r="BD83" i="2"/>
  <c r="BC83" i="2"/>
  <c r="BB83" i="2"/>
  <c r="BA83" i="2"/>
  <c r="AZ83" i="2"/>
  <c r="AY83" i="2"/>
  <c r="AX83" i="2"/>
  <c r="AW83" i="2"/>
  <c r="AV83" i="2"/>
  <c r="AU83" i="2"/>
  <c r="AT83" i="2"/>
  <c r="AS83" i="2"/>
  <c r="AR83" i="2"/>
  <c r="AQ83" i="2"/>
  <c r="AP83" i="2"/>
  <c r="AO83" i="2"/>
  <c r="AN83" i="2"/>
  <c r="AM83" i="2"/>
  <c r="AL83" i="2"/>
  <c r="AK83" i="2"/>
  <c r="AJ83" i="2"/>
  <c r="AI83" i="2"/>
  <c r="AH83" i="2"/>
  <c r="AG83" i="2"/>
  <c r="AF83" i="2"/>
  <c r="AE83" i="2"/>
  <c r="AD83" i="2"/>
  <c r="AC83" i="2"/>
  <c r="AB83" i="2"/>
  <c r="AA83" i="2"/>
  <c r="Z83" i="2"/>
  <c r="Y83" i="2"/>
  <c r="X83" i="2"/>
  <c r="W83" i="2"/>
  <c r="V83" i="2"/>
  <c r="U83" i="2"/>
  <c r="T83" i="2"/>
  <c r="S83" i="2"/>
  <c r="R83" i="2"/>
  <c r="Q83" i="2"/>
  <c r="F83" i="2"/>
  <c r="E83" i="2"/>
  <c r="D83" i="2"/>
  <c r="CA82" i="2"/>
  <c r="BZ82" i="2"/>
  <c r="BY82" i="2"/>
  <c r="BX82" i="2"/>
  <c r="BW82" i="2"/>
  <c r="BV82" i="2"/>
  <c r="BU82" i="2"/>
  <c r="BT82" i="2"/>
  <c r="BS82" i="2"/>
  <c r="BR82" i="2"/>
  <c r="BQ82" i="2"/>
  <c r="BP82" i="2"/>
  <c r="BO82" i="2"/>
  <c r="BN82" i="2"/>
  <c r="BM82" i="2"/>
  <c r="BL82" i="2"/>
  <c r="BK82" i="2"/>
  <c r="BJ82" i="2"/>
  <c r="BI82" i="2"/>
  <c r="BH82" i="2"/>
  <c r="BG82" i="2"/>
  <c r="BF82" i="2"/>
  <c r="BE82" i="2"/>
  <c r="BD82" i="2"/>
  <c r="BC82" i="2"/>
  <c r="BB82" i="2"/>
  <c r="BA82" i="2"/>
  <c r="AZ82" i="2"/>
  <c r="AY82" i="2"/>
  <c r="AX82" i="2"/>
  <c r="AW82" i="2"/>
  <c r="AV82" i="2"/>
  <c r="AU82" i="2"/>
  <c r="AT82" i="2"/>
  <c r="AS82" i="2"/>
  <c r="AR82" i="2"/>
  <c r="AQ82" i="2"/>
  <c r="AP82" i="2"/>
  <c r="AO82" i="2"/>
  <c r="AN82" i="2"/>
  <c r="AM82" i="2"/>
  <c r="AL82" i="2"/>
  <c r="AK82" i="2"/>
  <c r="AJ82" i="2"/>
  <c r="AI82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F82" i="2"/>
  <c r="E82" i="2"/>
  <c r="D82" i="2"/>
  <c r="CA81" i="2"/>
  <c r="BZ81" i="2"/>
  <c r="BY81" i="2"/>
  <c r="BX81" i="2"/>
  <c r="BW81" i="2"/>
  <c r="BV81" i="2"/>
  <c r="BU81" i="2"/>
  <c r="BT81" i="2"/>
  <c r="BS81" i="2"/>
  <c r="BR81" i="2"/>
  <c r="BQ81" i="2"/>
  <c r="BP81" i="2"/>
  <c r="BO81" i="2"/>
  <c r="BN81" i="2"/>
  <c r="BM81" i="2"/>
  <c r="BL81" i="2"/>
  <c r="BK81" i="2"/>
  <c r="BJ81" i="2"/>
  <c r="BI81" i="2"/>
  <c r="BH81" i="2"/>
  <c r="BG81" i="2"/>
  <c r="BF81" i="2"/>
  <c r="BE81" i="2"/>
  <c r="BD81" i="2"/>
  <c r="BC81" i="2"/>
  <c r="BB81" i="2"/>
  <c r="BA81" i="2"/>
  <c r="AZ81" i="2"/>
  <c r="AY81" i="2"/>
  <c r="AX81" i="2"/>
  <c r="AW81" i="2"/>
  <c r="AV81" i="2"/>
  <c r="AU81" i="2"/>
  <c r="AT81" i="2"/>
  <c r="AS81" i="2"/>
  <c r="AR81" i="2"/>
  <c r="AQ81" i="2"/>
  <c r="AP81" i="2"/>
  <c r="AO81" i="2"/>
  <c r="AN81" i="2"/>
  <c r="AM81" i="2"/>
  <c r="AL81" i="2"/>
  <c r="AK81" i="2"/>
  <c r="AJ81" i="2"/>
  <c r="AI81" i="2"/>
  <c r="AH81" i="2"/>
  <c r="AG81" i="2"/>
  <c r="AF81" i="2"/>
  <c r="AE81" i="2"/>
  <c r="AD81" i="2"/>
  <c r="AC81" i="2"/>
  <c r="AB81" i="2"/>
  <c r="AA81" i="2"/>
  <c r="Z81" i="2"/>
  <c r="Y81" i="2"/>
  <c r="X81" i="2"/>
  <c r="W81" i="2"/>
  <c r="V81" i="2"/>
  <c r="U81" i="2"/>
  <c r="T81" i="2"/>
  <c r="S81" i="2"/>
  <c r="R81" i="2"/>
  <c r="Q81" i="2"/>
  <c r="F81" i="2"/>
  <c r="E81" i="2"/>
  <c r="D81" i="2"/>
  <c r="CA80" i="2"/>
  <c r="BZ80" i="2"/>
  <c r="BY80" i="2"/>
  <c r="BX80" i="2"/>
  <c r="BW80" i="2"/>
  <c r="BV80" i="2"/>
  <c r="BU80" i="2"/>
  <c r="BT80" i="2"/>
  <c r="BS80" i="2"/>
  <c r="BR80" i="2"/>
  <c r="BQ80" i="2"/>
  <c r="BP80" i="2"/>
  <c r="BO80" i="2"/>
  <c r="BN80" i="2"/>
  <c r="BM80" i="2"/>
  <c r="BL80" i="2"/>
  <c r="BK80" i="2"/>
  <c r="BJ80" i="2"/>
  <c r="BI80" i="2"/>
  <c r="BH80" i="2"/>
  <c r="BG80" i="2"/>
  <c r="BF80" i="2"/>
  <c r="BE80" i="2"/>
  <c r="BD80" i="2"/>
  <c r="BC80" i="2"/>
  <c r="BB80" i="2"/>
  <c r="BA80" i="2"/>
  <c r="AZ80" i="2"/>
  <c r="AY80" i="2"/>
  <c r="AX80" i="2"/>
  <c r="AW80" i="2"/>
  <c r="AV80" i="2"/>
  <c r="AU80" i="2"/>
  <c r="AT80" i="2"/>
  <c r="AS80" i="2"/>
  <c r="AR80" i="2"/>
  <c r="AQ80" i="2"/>
  <c r="AP80" i="2"/>
  <c r="AO80" i="2"/>
  <c r="AN80" i="2"/>
  <c r="AM80" i="2"/>
  <c r="AL80" i="2"/>
  <c r="AK80" i="2"/>
  <c r="AJ80" i="2"/>
  <c r="AI80" i="2"/>
  <c r="AH80" i="2"/>
  <c r="AG80" i="2"/>
  <c r="AF80" i="2"/>
  <c r="AE80" i="2"/>
  <c r="AD80" i="2"/>
  <c r="AC80" i="2"/>
  <c r="AB80" i="2"/>
  <c r="AA80" i="2"/>
  <c r="Z80" i="2"/>
  <c r="Y80" i="2"/>
  <c r="X80" i="2"/>
  <c r="W80" i="2"/>
  <c r="V80" i="2"/>
  <c r="U80" i="2"/>
  <c r="T80" i="2"/>
  <c r="S80" i="2"/>
  <c r="R80" i="2"/>
  <c r="Q80" i="2"/>
  <c r="F80" i="2"/>
  <c r="E80" i="2"/>
  <c r="D80" i="2"/>
  <c r="CA79" i="2"/>
  <c r="BZ79" i="2"/>
  <c r="BY79" i="2"/>
  <c r="BX79" i="2"/>
  <c r="BW79" i="2"/>
  <c r="BV79" i="2"/>
  <c r="BU79" i="2"/>
  <c r="BT79" i="2"/>
  <c r="BS79" i="2"/>
  <c r="BR79" i="2"/>
  <c r="BQ79" i="2"/>
  <c r="BP79" i="2"/>
  <c r="BO79" i="2"/>
  <c r="BN79" i="2"/>
  <c r="BM79" i="2"/>
  <c r="BL79" i="2"/>
  <c r="BK79" i="2"/>
  <c r="BJ79" i="2"/>
  <c r="BI79" i="2"/>
  <c r="BH79" i="2"/>
  <c r="BG79" i="2"/>
  <c r="BF79" i="2"/>
  <c r="BE79" i="2"/>
  <c r="BD79" i="2"/>
  <c r="BC79" i="2"/>
  <c r="BB79" i="2"/>
  <c r="BA79" i="2"/>
  <c r="AZ79" i="2"/>
  <c r="AY79" i="2"/>
  <c r="AX79" i="2"/>
  <c r="AW79" i="2"/>
  <c r="AV79" i="2"/>
  <c r="AU79" i="2"/>
  <c r="AT79" i="2"/>
  <c r="AS79" i="2"/>
  <c r="AR79" i="2"/>
  <c r="AQ79" i="2"/>
  <c r="AP79" i="2"/>
  <c r="AO79" i="2"/>
  <c r="AN79" i="2"/>
  <c r="AM79" i="2"/>
  <c r="AL79" i="2"/>
  <c r="AK79" i="2"/>
  <c r="AJ79" i="2"/>
  <c r="AI79" i="2"/>
  <c r="AH79" i="2"/>
  <c r="AG79" i="2"/>
  <c r="AF79" i="2"/>
  <c r="AE79" i="2"/>
  <c r="AD79" i="2"/>
  <c r="AC79" i="2"/>
  <c r="AB79" i="2"/>
  <c r="AA79" i="2"/>
  <c r="Z79" i="2"/>
  <c r="Y79" i="2"/>
  <c r="X79" i="2"/>
  <c r="W79" i="2"/>
  <c r="V79" i="2"/>
  <c r="U79" i="2"/>
  <c r="T79" i="2"/>
  <c r="S79" i="2"/>
  <c r="R79" i="2"/>
  <c r="Q79" i="2"/>
  <c r="F79" i="2"/>
  <c r="E79" i="2"/>
  <c r="D79" i="2"/>
  <c r="CA78" i="2"/>
  <c r="BZ78" i="2"/>
  <c r="BY78" i="2"/>
  <c r="BX78" i="2"/>
  <c r="BW78" i="2"/>
  <c r="BV78" i="2"/>
  <c r="BU78" i="2"/>
  <c r="BT78" i="2"/>
  <c r="BS78" i="2"/>
  <c r="BR78" i="2"/>
  <c r="BQ78" i="2"/>
  <c r="BP78" i="2"/>
  <c r="BO78" i="2"/>
  <c r="BN78" i="2"/>
  <c r="BM78" i="2"/>
  <c r="BL78" i="2"/>
  <c r="BK78" i="2"/>
  <c r="BJ78" i="2"/>
  <c r="BI78" i="2"/>
  <c r="BH78" i="2"/>
  <c r="BG78" i="2"/>
  <c r="BF78" i="2"/>
  <c r="BE78" i="2"/>
  <c r="BD78" i="2"/>
  <c r="BC78" i="2"/>
  <c r="BB78" i="2"/>
  <c r="BA78" i="2"/>
  <c r="AZ78" i="2"/>
  <c r="AY78" i="2"/>
  <c r="AX78" i="2"/>
  <c r="AW78" i="2"/>
  <c r="AV78" i="2"/>
  <c r="AU78" i="2"/>
  <c r="AT78" i="2"/>
  <c r="AS78" i="2"/>
  <c r="AR78" i="2"/>
  <c r="AQ78" i="2"/>
  <c r="AP78" i="2"/>
  <c r="AO78" i="2"/>
  <c r="AN78" i="2"/>
  <c r="AM78" i="2"/>
  <c r="AL78" i="2"/>
  <c r="AK78" i="2"/>
  <c r="AJ78" i="2"/>
  <c r="AI78" i="2"/>
  <c r="AH78" i="2"/>
  <c r="AG78" i="2"/>
  <c r="AF78" i="2"/>
  <c r="AE78" i="2"/>
  <c r="AD78" i="2"/>
  <c r="AC78" i="2"/>
  <c r="AB78" i="2"/>
  <c r="AA78" i="2"/>
  <c r="Z78" i="2"/>
  <c r="Y78" i="2"/>
  <c r="X78" i="2"/>
  <c r="W78" i="2"/>
  <c r="V78" i="2"/>
  <c r="U78" i="2"/>
  <c r="T78" i="2"/>
  <c r="S78" i="2"/>
  <c r="R78" i="2"/>
  <c r="Q78" i="2"/>
  <c r="F78" i="2"/>
  <c r="E78" i="2"/>
  <c r="D78" i="2"/>
  <c r="CA77" i="2"/>
  <c r="BZ77" i="2"/>
  <c r="BY77" i="2"/>
  <c r="BX77" i="2"/>
  <c r="BW77" i="2"/>
  <c r="BV77" i="2"/>
  <c r="BU77" i="2"/>
  <c r="BT77" i="2"/>
  <c r="BS77" i="2"/>
  <c r="BR77" i="2"/>
  <c r="BQ77" i="2"/>
  <c r="BP77" i="2"/>
  <c r="BO77" i="2"/>
  <c r="BN77" i="2"/>
  <c r="BM77" i="2"/>
  <c r="BL77" i="2"/>
  <c r="BK77" i="2"/>
  <c r="BJ77" i="2"/>
  <c r="BI77" i="2"/>
  <c r="BH77" i="2"/>
  <c r="BG77" i="2"/>
  <c r="BF77" i="2"/>
  <c r="BE77" i="2"/>
  <c r="BD77" i="2"/>
  <c r="BC77" i="2"/>
  <c r="BB77" i="2"/>
  <c r="BA77" i="2"/>
  <c r="AZ77" i="2"/>
  <c r="AY77" i="2"/>
  <c r="AX77" i="2"/>
  <c r="AW77" i="2"/>
  <c r="AV77" i="2"/>
  <c r="AU77" i="2"/>
  <c r="AT77" i="2"/>
  <c r="AS77" i="2"/>
  <c r="AR77" i="2"/>
  <c r="AQ77" i="2"/>
  <c r="AP77" i="2"/>
  <c r="AO77" i="2"/>
  <c r="AN77" i="2"/>
  <c r="AM77" i="2"/>
  <c r="AL77" i="2"/>
  <c r="AK77" i="2"/>
  <c r="AJ77" i="2"/>
  <c r="AI77" i="2"/>
  <c r="AH77" i="2"/>
  <c r="AG77" i="2"/>
  <c r="AF77" i="2"/>
  <c r="AE77" i="2"/>
  <c r="AD77" i="2"/>
  <c r="AC77" i="2"/>
  <c r="AB77" i="2"/>
  <c r="AA77" i="2"/>
  <c r="Z77" i="2"/>
  <c r="Y77" i="2"/>
  <c r="X77" i="2"/>
  <c r="W77" i="2"/>
  <c r="V77" i="2"/>
  <c r="U77" i="2"/>
  <c r="T77" i="2"/>
  <c r="S77" i="2"/>
  <c r="R77" i="2"/>
  <c r="Q77" i="2"/>
  <c r="F77" i="2"/>
  <c r="E77" i="2"/>
  <c r="D77" i="2"/>
  <c r="CA76" i="2"/>
  <c r="BZ76" i="2"/>
  <c r="BY76" i="2"/>
  <c r="BX76" i="2"/>
  <c r="BW76" i="2"/>
  <c r="BV76" i="2"/>
  <c r="BU76" i="2"/>
  <c r="BT76" i="2"/>
  <c r="BS76" i="2"/>
  <c r="BR76" i="2"/>
  <c r="BQ76" i="2"/>
  <c r="BP76" i="2"/>
  <c r="BO76" i="2"/>
  <c r="BN76" i="2"/>
  <c r="BM76" i="2"/>
  <c r="BL76" i="2"/>
  <c r="BK76" i="2"/>
  <c r="BJ76" i="2"/>
  <c r="BI76" i="2"/>
  <c r="BH76" i="2"/>
  <c r="BG76" i="2"/>
  <c r="BF76" i="2"/>
  <c r="BE76" i="2"/>
  <c r="BD76" i="2"/>
  <c r="BC76" i="2"/>
  <c r="BB76" i="2"/>
  <c r="BA76" i="2"/>
  <c r="AZ76" i="2"/>
  <c r="AY76" i="2"/>
  <c r="AX76" i="2"/>
  <c r="AW76" i="2"/>
  <c r="AV76" i="2"/>
  <c r="AU76" i="2"/>
  <c r="AT76" i="2"/>
  <c r="AS76" i="2"/>
  <c r="AR76" i="2"/>
  <c r="AQ76" i="2"/>
  <c r="AP76" i="2"/>
  <c r="AO76" i="2"/>
  <c r="AN76" i="2"/>
  <c r="AM76" i="2"/>
  <c r="AL76" i="2"/>
  <c r="AK76" i="2"/>
  <c r="AJ76" i="2"/>
  <c r="AI76" i="2"/>
  <c r="AH76" i="2"/>
  <c r="AG76" i="2"/>
  <c r="AF76" i="2"/>
  <c r="AE76" i="2"/>
  <c r="AD76" i="2"/>
  <c r="AC76" i="2"/>
  <c r="AB76" i="2"/>
  <c r="AA76" i="2"/>
  <c r="Z76" i="2"/>
  <c r="Y76" i="2"/>
  <c r="X76" i="2"/>
  <c r="W76" i="2"/>
  <c r="V76" i="2"/>
  <c r="U76" i="2"/>
  <c r="T76" i="2"/>
  <c r="S76" i="2"/>
  <c r="R76" i="2"/>
  <c r="Q76" i="2"/>
  <c r="F76" i="2"/>
  <c r="E76" i="2"/>
  <c r="D76" i="2"/>
  <c r="CA75" i="2"/>
  <c r="BZ75" i="2"/>
  <c r="BY75" i="2"/>
  <c r="BX75" i="2"/>
  <c r="BW75" i="2"/>
  <c r="BV75" i="2"/>
  <c r="BU75" i="2"/>
  <c r="BT75" i="2"/>
  <c r="BS75" i="2"/>
  <c r="BR75" i="2"/>
  <c r="BQ75" i="2"/>
  <c r="BP75" i="2"/>
  <c r="BO75" i="2"/>
  <c r="BN75" i="2"/>
  <c r="BM75" i="2"/>
  <c r="BL75" i="2"/>
  <c r="BK75" i="2"/>
  <c r="BJ75" i="2"/>
  <c r="BI75" i="2"/>
  <c r="BH75" i="2"/>
  <c r="BG75" i="2"/>
  <c r="BF75" i="2"/>
  <c r="BE75" i="2"/>
  <c r="BD75" i="2"/>
  <c r="BC75" i="2"/>
  <c r="BB75" i="2"/>
  <c r="BA75" i="2"/>
  <c r="AZ75" i="2"/>
  <c r="AY75" i="2"/>
  <c r="AX75" i="2"/>
  <c r="AW75" i="2"/>
  <c r="AV75" i="2"/>
  <c r="AU75" i="2"/>
  <c r="AT75" i="2"/>
  <c r="AS75" i="2"/>
  <c r="AR75" i="2"/>
  <c r="AQ75" i="2"/>
  <c r="AP75" i="2"/>
  <c r="AO75" i="2"/>
  <c r="AN75" i="2"/>
  <c r="AM75" i="2"/>
  <c r="AL75" i="2"/>
  <c r="AK75" i="2"/>
  <c r="AJ75" i="2"/>
  <c r="AI75" i="2"/>
  <c r="AH75" i="2"/>
  <c r="AG75" i="2"/>
  <c r="AF75" i="2"/>
  <c r="AE75" i="2"/>
  <c r="AD75" i="2"/>
  <c r="AC75" i="2"/>
  <c r="AB75" i="2"/>
  <c r="AA75" i="2"/>
  <c r="Z75" i="2"/>
  <c r="Y75" i="2"/>
  <c r="X75" i="2"/>
  <c r="W75" i="2"/>
  <c r="V75" i="2"/>
  <c r="U75" i="2"/>
  <c r="T75" i="2"/>
  <c r="S75" i="2"/>
  <c r="R75" i="2"/>
  <c r="Q75" i="2"/>
  <c r="F75" i="2"/>
  <c r="E75" i="2"/>
  <c r="D75" i="2"/>
  <c r="CA74" i="2"/>
  <c r="BZ74" i="2"/>
  <c r="BY74" i="2"/>
  <c r="BX74" i="2"/>
  <c r="BW74" i="2"/>
  <c r="BV74" i="2"/>
  <c r="BU74" i="2"/>
  <c r="BT74" i="2"/>
  <c r="BS74" i="2"/>
  <c r="BR74" i="2"/>
  <c r="BQ74" i="2"/>
  <c r="BP74" i="2"/>
  <c r="BO74" i="2"/>
  <c r="BN74" i="2"/>
  <c r="BM74" i="2"/>
  <c r="BL74" i="2"/>
  <c r="BK74" i="2"/>
  <c r="BJ74" i="2"/>
  <c r="BI74" i="2"/>
  <c r="BH74" i="2"/>
  <c r="BG74" i="2"/>
  <c r="BF74" i="2"/>
  <c r="BE74" i="2"/>
  <c r="BD74" i="2"/>
  <c r="BC74" i="2"/>
  <c r="BB74" i="2"/>
  <c r="BA74" i="2"/>
  <c r="AZ74" i="2"/>
  <c r="AY74" i="2"/>
  <c r="AX74" i="2"/>
  <c r="AW74" i="2"/>
  <c r="AV74" i="2"/>
  <c r="AU74" i="2"/>
  <c r="AT74" i="2"/>
  <c r="AS74" i="2"/>
  <c r="AR74" i="2"/>
  <c r="AQ74" i="2"/>
  <c r="AP74" i="2"/>
  <c r="AO74" i="2"/>
  <c r="AN74" i="2"/>
  <c r="AM74" i="2"/>
  <c r="AL74" i="2"/>
  <c r="AK74" i="2"/>
  <c r="AJ74" i="2"/>
  <c r="AI74" i="2"/>
  <c r="AH74" i="2"/>
  <c r="AG74" i="2"/>
  <c r="AF74" i="2"/>
  <c r="AE74" i="2"/>
  <c r="AD74" i="2"/>
  <c r="AC74" i="2"/>
  <c r="AB74" i="2"/>
  <c r="AA74" i="2"/>
  <c r="Z74" i="2"/>
  <c r="Y74" i="2"/>
  <c r="X74" i="2"/>
  <c r="W74" i="2"/>
  <c r="V74" i="2"/>
  <c r="U74" i="2"/>
  <c r="T74" i="2"/>
  <c r="S74" i="2"/>
  <c r="R74" i="2"/>
  <c r="Q74" i="2"/>
  <c r="F74" i="2"/>
  <c r="E74" i="2"/>
  <c r="D74" i="2"/>
  <c r="CA73" i="2"/>
  <c r="BZ73" i="2"/>
  <c r="BY73" i="2"/>
  <c r="BX73" i="2"/>
  <c r="BW73" i="2"/>
  <c r="BV73" i="2"/>
  <c r="BU73" i="2"/>
  <c r="BT73" i="2"/>
  <c r="BS73" i="2"/>
  <c r="BR73" i="2"/>
  <c r="BQ73" i="2"/>
  <c r="BP73" i="2"/>
  <c r="BO73" i="2"/>
  <c r="BN73" i="2"/>
  <c r="BM73" i="2"/>
  <c r="BL73" i="2"/>
  <c r="BK73" i="2"/>
  <c r="BJ73" i="2"/>
  <c r="BI73" i="2"/>
  <c r="BH73" i="2"/>
  <c r="BG73" i="2"/>
  <c r="BF73" i="2"/>
  <c r="BE73" i="2"/>
  <c r="BD73" i="2"/>
  <c r="BC73" i="2"/>
  <c r="BB73" i="2"/>
  <c r="BA73" i="2"/>
  <c r="AZ73" i="2"/>
  <c r="AY73" i="2"/>
  <c r="AX73" i="2"/>
  <c r="AW73" i="2"/>
  <c r="AV73" i="2"/>
  <c r="AU73" i="2"/>
  <c r="AT73" i="2"/>
  <c r="AS73" i="2"/>
  <c r="AR73" i="2"/>
  <c r="AQ73" i="2"/>
  <c r="AP73" i="2"/>
  <c r="AO73" i="2"/>
  <c r="AN73" i="2"/>
  <c r="AM73" i="2"/>
  <c r="AL73" i="2"/>
  <c r="AK73" i="2"/>
  <c r="AJ73" i="2"/>
  <c r="AI73" i="2"/>
  <c r="AH73" i="2"/>
  <c r="AG73" i="2"/>
  <c r="AF73" i="2"/>
  <c r="AE73" i="2"/>
  <c r="AD73" i="2"/>
  <c r="AC73" i="2"/>
  <c r="AB73" i="2"/>
  <c r="AA73" i="2"/>
  <c r="Z73" i="2"/>
  <c r="Y73" i="2"/>
  <c r="X73" i="2"/>
  <c r="W73" i="2"/>
  <c r="V73" i="2"/>
  <c r="U73" i="2"/>
  <c r="T73" i="2"/>
  <c r="S73" i="2"/>
  <c r="R73" i="2"/>
  <c r="Q73" i="2"/>
  <c r="F73" i="2"/>
  <c r="E73" i="2"/>
  <c r="D73" i="2"/>
  <c r="CA72" i="2"/>
  <c r="BZ72" i="2"/>
  <c r="BY72" i="2"/>
  <c r="BX72" i="2"/>
  <c r="BW72" i="2"/>
  <c r="BV72" i="2"/>
  <c r="BU72" i="2"/>
  <c r="BT72" i="2"/>
  <c r="BS72" i="2"/>
  <c r="BR72" i="2"/>
  <c r="BQ72" i="2"/>
  <c r="BP72" i="2"/>
  <c r="BO72" i="2"/>
  <c r="BN72" i="2"/>
  <c r="BM72" i="2"/>
  <c r="BL72" i="2"/>
  <c r="BK72" i="2"/>
  <c r="BJ72" i="2"/>
  <c r="BI72" i="2"/>
  <c r="BH72" i="2"/>
  <c r="BG72" i="2"/>
  <c r="BF72" i="2"/>
  <c r="BE72" i="2"/>
  <c r="BD72" i="2"/>
  <c r="BC72" i="2"/>
  <c r="BB72" i="2"/>
  <c r="BA72" i="2"/>
  <c r="AZ72" i="2"/>
  <c r="AY72" i="2"/>
  <c r="AX72" i="2"/>
  <c r="AW72" i="2"/>
  <c r="AV72" i="2"/>
  <c r="AU72" i="2"/>
  <c r="AT72" i="2"/>
  <c r="AS72" i="2"/>
  <c r="AR72" i="2"/>
  <c r="AQ72" i="2"/>
  <c r="AP72" i="2"/>
  <c r="AO72" i="2"/>
  <c r="AN72" i="2"/>
  <c r="AM72" i="2"/>
  <c r="AL72" i="2"/>
  <c r="AK72" i="2"/>
  <c r="AJ72" i="2"/>
  <c r="AI72" i="2"/>
  <c r="AH72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F72" i="2"/>
  <c r="E72" i="2"/>
  <c r="D72" i="2"/>
  <c r="CA71" i="2"/>
  <c r="BZ71" i="2"/>
  <c r="BY71" i="2"/>
  <c r="BX71" i="2"/>
  <c r="BW71" i="2"/>
  <c r="BV71" i="2"/>
  <c r="BU71" i="2"/>
  <c r="BT71" i="2"/>
  <c r="BS71" i="2"/>
  <c r="BR71" i="2"/>
  <c r="BQ71" i="2"/>
  <c r="BP71" i="2"/>
  <c r="BO71" i="2"/>
  <c r="BN71" i="2"/>
  <c r="BM71" i="2"/>
  <c r="BL71" i="2"/>
  <c r="BK71" i="2"/>
  <c r="BJ71" i="2"/>
  <c r="BI71" i="2"/>
  <c r="BH71" i="2"/>
  <c r="BG71" i="2"/>
  <c r="BF71" i="2"/>
  <c r="BE71" i="2"/>
  <c r="BD71" i="2"/>
  <c r="BC71" i="2"/>
  <c r="BB71" i="2"/>
  <c r="BA71" i="2"/>
  <c r="AZ71" i="2"/>
  <c r="AY71" i="2"/>
  <c r="AX71" i="2"/>
  <c r="AW71" i="2"/>
  <c r="AV71" i="2"/>
  <c r="AU71" i="2"/>
  <c r="AT71" i="2"/>
  <c r="AS71" i="2"/>
  <c r="AR71" i="2"/>
  <c r="AQ71" i="2"/>
  <c r="AP71" i="2"/>
  <c r="AO71" i="2"/>
  <c r="AN71" i="2"/>
  <c r="AM71" i="2"/>
  <c r="AL71" i="2"/>
  <c r="AK71" i="2"/>
  <c r="AJ71" i="2"/>
  <c r="AI71" i="2"/>
  <c r="AH71" i="2"/>
  <c r="AG71" i="2"/>
  <c r="AF71" i="2"/>
  <c r="AE71" i="2"/>
  <c r="AD71" i="2"/>
  <c r="AC71" i="2"/>
  <c r="AB71" i="2"/>
  <c r="AA71" i="2"/>
  <c r="Z71" i="2"/>
  <c r="Y71" i="2"/>
  <c r="X71" i="2"/>
  <c r="W71" i="2"/>
  <c r="V71" i="2"/>
  <c r="U71" i="2"/>
  <c r="T71" i="2"/>
  <c r="S71" i="2"/>
  <c r="R71" i="2"/>
  <c r="Q71" i="2"/>
  <c r="F71" i="2"/>
  <c r="E71" i="2"/>
  <c r="D71" i="2"/>
  <c r="CA70" i="2"/>
  <c r="BZ70" i="2"/>
  <c r="BY70" i="2"/>
  <c r="BX70" i="2"/>
  <c r="BW70" i="2"/>
  <c r="BV70" i="2"/>
  <c r="BU70" i="2"/>
  <c r="BT70" i="2"/>
  <c r="BS70" i="2"/>
  <c r="BR70" i="2"/>
  <c r="BQ70" i="2"/>
  <c r="BP70" i="2"/>
  <c r="BO70" i="2"/>
  <c r="BN70" i="2"/>
  <c r="BM70" i="2"/>
  <c r="BL70" i="2"/>
  <c r="BK70" i="2"/>
  <c r="BJ70" i="2"/>
  <c r="BI70" i="2"/>
  <c r="BH70" i="2"/>
  <c r="BG70" i="2"/>
  <c r="BF70" i="2"/>
  <c r="BE70" i="2"/>
  <c r="BD70" i="2"/>
  <c r="BC70" i="2"/>
  <c r="BB70" i="2"/>
  <c r="BA70" i="2"/>
  <c r="AZ70" i="2"/>
  <c r="AY70" i="2"/>
  <c r="AX70" i="2"/>
  <c r="AW70" i="2"/>
  <c r="AV70" i="2"/>
  <c r="AU70" i="2"/>
  <c r="AT70" i="2"/>
  <c r="AS70" i="2"/>
  <c r="AR70" i="2"/>
  <c r="AQ70" i="2"/>
  <c r="AP70" i="2"/>
  <c r="AO70" i="2"/>
  <c r="AN70" i="2"/>
  <c r="AM70" i="2"/>
  <c r="AL70" i="2"/>
  <c r="AK70" i="2"/>
  <c r="AJ70" i="2"/>
  <c r="AI70" i="2"/>
  <c r="AH70" i="2"/>
  <c r="AG70" i="2"/>
  <c r="AF70" i="2"/>
  <c r="AE70" i="2"/>
  <c r="AD70" i="2"/>
  <c r="AC70" i="2"/>
  <c r="AB70" i="2"/>
  <c r="AA70" i="2"/>
  <c r="Z70" i="2"/>
  <c r="Y70" i="2"/>
  <c r="X70" i="2"/>
  <c r="W70" i="2"/>
  <c r="V70" i="2"/>
  <c r="U70" i="2"/>
  <c r="T70" i="2"/>
  <c r="S70" i="2"/>
  <c r="R70" i="2"/>
  <c r="Q70" i="2"/>
  <c r="F70" i="2"/>
  <c r="E70" i="2"/>
  <c r="D70" i="2"/>
  <c r="CA69" i="2"/>
  <c r="BZ69" i="2"/>
  <c r="BY69" i="2"/>
  <c r="BX69" i="2"/>
  <c r="BW69" i="2"/>
  <c r="BV69" i="2"/>
  <c r="BU69" i="2"/>
  <c r="BT69" i="2"/>
  <c r="BS69" i="2"/>
  <c r="BR69" i="2"/>
  <c r="BQ69" i="2"/>
  <c r="BP69" i="2"/>
  <c r="BO69" i="2"/>
  <c r="BN69" i="2"/>
  <c r="BM69" i="2"/>
  <c r="BL69" i="2"/>
  <c r="BK69" i="2"/>
  <c r="BJ69" i="2"/>
  <c r="BI69" i="2"/>
  <c r="BH69" i="2"/>
  <c r="BG69" i="2"/>
  <c r="BF69" i="2"/>
  <c r="BE69" i="2"/>
  <c r="BD69" i="2"/>
  <c r="BC69" i="2"/>
  <c r="BB69" i="2"/>
  <c r="BA69" i="2"/>
  <c r="AZ69" i="2"/>
  <c r="AY69" i="2"/>
  <c r="AX69" i="2"/>
  <c r="AW69" i="2"/>
  <c r="AV69" i="2"/>
  <c r="AU69" i="2"/>
  <c r="AT69" i="2"/>
  <c r="AS69" i="2"/>
  <c r="AR69" i="2"/>
  <c r="AQ69" i="2"/>
  <c r="AP69" i="2"/>
  <c r="AO69" i="2"/>
  <c r="AN69" i="2"/>
  <c r="AM69" i="2"/>
  <c r="AL69" i="2"/>
  <c r="AK69" i="2"/>
  <c r="AJ69" i="2"/>
  <c r="AI69" i="2"/>
  <c r="AH69" i="2"/>
  <c r="AG69" i="2"/>
  <c r="AF69" i="2"/>
  <c r="AE69" i="2"/>
  <c r="AD69" i="2"/>
  <c r="AC69" i="2"/>
  <c r="AB69" i="2"/>
  <c r="AA69" i="2"/>
  <c r="Z69" i="2"/>
  <c r="Y69" i="2"/>
  <c r="X69" i="2"/>
  <c r="W69" i="2"/>
  <c r="V69" i="2"/>
  <c r="U69" i="2"/>
  <c r="T69" i="2"/>
  <c r="S69" i="2"/>
  <c r="R69" i="2"/>
  <c r="Q69" i="2"/>
  <c r="F69" i="2"/>
  <c r="E69" i="2"/>
  <c r="D69" i="2"/>
  <c r="CA68" i="2"/>
  <c r="BZ68" i="2"/>
  <c r="BY68" i="2"/>
  <c r="BX68" i="2"/>
  <c r="BW68" i="2"/>
  <c r="BV68" i="2"/>
  <c r="BU68" i="2"/>
  <c r="BT68" i="2"/>
  <c r="BS68" i="2"/>
  <c r="BR68" i="2"/>
  <c r="BQ68" i="2"/>
  <c r="BP68" i="2"/>
  <c r="BO68" i="2"/>
  <c r="BN68" i="2"/>
  <c r="BM68" i="2"/>
  <c r="BL68" i="2"/>
  <c r="BK68" i="2"/>
  <c r="BJ68" i="2"/>
  <c r="BI68" i="2"/>
  <c r="BH68" i="2"/>
  <c r="BG68" i="2"/>
  <c r="BF68" i="2"/>
  <c r="BE68" i="2"/>
  <c r="BD68" i="2"/>
  <c r="BC68" i="2"/>
  <c r="BB68" i="2"/>
  <c r="BA68" i="2"/>
  <c r="AZ68" i="2"/>
  <c r="AY68" i="2"/>
  <c r="AX68" i="2"/>
  <c r="AW68" i="2"/>
  <c r="AV68" i="2"/>
  <c r="AU68" i="2"/>
  <c r="AT68" i="2"/>
  <c r="AS68" i="2"/>
  <c r="AR68" i="2"/>
  <c r="AQ68" i="2"/>
  <c r="AP68" i="2"/>
  <c r="AO68" i="2"/>
  <c r="AN68" i="2"/>
  <c r="AM68" i="2"/>
  <c r="AL68" i="2"/>
  <c r="AK68" i="2"/>
  <c r="AJ68" i="2"/>
  <c r="AI68" i="2"/>
  <c r="AH68" i="2"/>
  <c r="AG68" i="2"/>
  <c r="AF68" i="2"/>
  <c r="AE68" i="2"/>
  <c r="AD68" i="2"/>
  <c r="AC68" i="2"/>
  <c r="AB68" i="2"/>
  <c r="AA68" i="2"/>
  <c r="Z68" i="2"/>
  <c r="Y68" i="2"/>
  <c r="X68" i="2"/>
  <c r="W68" i="2"/>
  <c r="V68" i="2"/>
  <c r="U68" i="2"/>
  <c r="T68" i="2"/>
  <c r="S68" i="2"/>
  <c r="R68" i="2"/>
  <c r="Q68" i="2"/>
  <c r="F68" i="2"/>
  <c r="E68" i="2"/>
  <c r="D68" i="2"/>
  <c r="CA67" i="2"/>
  <c r="BZ67" i="2"/>
  <c r="BY67" i="2"/>
  <c r="BX67" i="2"/>
  <c r="BW67" i="2"/>
  <c r="BV67" i="2"/>
  <c r="BU67" i="2"/>
  <c r="BT67" i="2"/>
  <c r="BS67" i="2"/>
  <c r="BR67" i="2"/>
  <c r="BQ67" i="2"/>
  <c r="BP67" i="2"/>
  <c r="BO67" i="2"/>
  <c r="BN67" i="2"/>
  <c r="BM67" i="2"/>
  <c r="BL67" i="2"/>
  <c r="BK67" i="2"/>
  <c r="BJ67" i="2"/>
  <c r="BI67" i="2"/>
  <c r="BH67" i="2"/>
  <c r="BG67" i="2"/>
  <c r="BF67" i="2"/>
  <c r="BE67" i="2"/>
  <c r="BD67" i="2"/>
  <c r="BC67" i="2"/>
  <c r="BB67" i="2"/>
  <c r="BA67" i="2"/>
  <c r="AZ67" i="2"/>
  <c r="AY67" i="2"/>
  <c r="AX67" i="2"/>
  <c r="AW67" i="2"/>
  <c r="AV67" i="2"/>
  <c r="AU67" i="2"/>
  <c r="AT67" i="2"/>
  <c r="AS67" i="2"/>
  <c r="AR67" i="2"/>
  <c r="AQ67" i="2"/>
  <c r="AP67" i="2"/>
  <c r="AO67" i="2"/>
  <c r="AN67" i="2"/>
  <c r="AM67" i="2"/>
  <c r="AL67" i="2"/>
  <c r="AK67" i="2"/>
  <c r="AJ67" i="2"/>
  <c r="AI67" i="2"/>
  <c r="AH67" i="2"/>
  <c r="AG67" i="2"/>
  <c r="AF67" i="2"/>
  <c r="AE67" i="2"/>
  <c r="AD67" i="2"/>
  <c r="AC67" i="2"/>
  <c r="AB67" i="2"/>
  <c r="AA67" i="2"/>
  <c r="Z67" i="2"/>
  <c r="Y67" i="2"/>
  <c r="X67" i="2"/>
  <c r="W67" i="2"/>
  <c r="V67" i="2"/>
  <c r="U67" i="2"/>
  <c r="T67" i="2"/>
  <c r="S67" i="2"/>
  <c r="R67" i="2"/>
  <c r="Q67" i="2"/>
  <c r="F67" i="2"/>
  <c r="E67" i="2"/>
  <c r="D67" i="2"/>
  <c r="CA66" i="2"/>
  <c r="BZ66" i="2"/>
  <c r="BY66" i="2"/>
  <c r="BX66" i="2"/>
  <c r="BW66" i="2"/>
  <c r="BV66" i="2"/>
  <c r="BU66" i="2"/>
  <c r="BT66" i="2"/>
  <c r="BS66" i="2"/>
  <c r="BR66" i="2"/>
  <c r="BQ66" i="2"/>
  <c r="BP66" i="2"/>
  <c r="BO66" i="2"/>
  <c r="BN66" i="2"/>
  <c r="BM66" i="2"/>
  <c r="BL66" i="2"/>
  <c r="BK66" i="2"/>
  <c r="BJ66" i="2"/>
  <c r="BI66" i="2"/>
  <c r="BH66" i="2"/>
  <c r="BG66" i="2"/>
  <c r="BF66" i="2"/>
  <c r="BE66" i="2"/>
  <c r="BD66" i="2"/>
  <c r="BC66" i="2"/>
  <c r="BB66" i="2"/>
  <c r="BA66" i="2"/>
  <c r="AZ66" i="2"/>
  <c r="AY66" i="2"/>
  <c r="AX66" i="2"/>
  <c r="AW66" i="2"/>
  <c r="AV66" i="2"/>
  <c r="AU66" i="2"/>
  <c r="AT66" i="2"/>
  <c r="AS66" i="2"/>
  <c r="AR66" i="2"/>
  <c r="AQ66" i="2"/>
  <c r="AP66" i="2"/>
  <c r="AO66" i="2"/>
  <c r="AN66" i="2"/>
  <c r="AM66" i="2"/>
  <c r="AL66" i="2"/>
  <c r="AK66" i="2"/>
  <c r="AJ66" i="2"/>
  <c r="AI66" i="2"/>
  <c r="AH66" i="2"/>
  <c r="AG66" i="2"/>
  <c r="AF66" i="2"/>
  <c r="AE66" i="2"/>
  <c r="AD66" i="2"/>
  <c r="AC66" i="2"/>
  <c r="AB66" i="2"/>
  <c r="AA66" i="2"/>
  <c r="Z66" i="2"/>
  <c r="Y66" i="2"/>
  <c r="X66" i="2"/>
  <c r="W66" i="2"/>
  <c r="V66" i="2"/>
  <c r="U66" i="2"/>
  <c r="T66" i="2"/>
  <c r="S66" i="2"/>
  <c r="R66" i="2"/>
  <c r="Q66" i="2"/>
  <c r="F66" i="2"/>
  <c r="E66" i="2"/>
  <c r="D66" i="2"/>
  <c r="CA65" i="2"/>
  <c r="BZ65" i="2"/>
  <c r="BY65" i="2"/>
  <c r="BX65" i="2"/>
  <c r="BW65" i="2"/>
  <c r="BV65" i="2"/>
  <c r="BU65" i="2"/>
  <c r="BT65" i="2"/>
  <c r="BS65" i="2"/>
  <c r="BR65" i="2"/>
  <c r="BQ65" i="2"/>
  <c r="BP65" i="2"/>
  <c r="BO65" i="2"/>
  <c r="BN65" i="2"/>
  <c r="BM65" i="2"/>
  <c r="BL65" i="2"/>
  <c r="BK65" i="2"/>
  <c r="BJ65" i="2"/>
  <c r="BI65" i="2"/>
  <c r="BH65" i="2"/>
  <c r="BG65" i="2"/>
  <c r="BF65" i="2"/>
  <c r="BE65" i="2"/>
  <c r="BD65" i="2"/>
  <c r="BC65" i="2"/>
  <c r="BB65" i="2"/>
  <c r="BA65" i="2"/>
  <c r="AZ65" i="2"/>
  <c r="AY65" i="2"/>
  <c r="AX65" i="2"/>
  <c r="AW65" i="2"/>
  <c r="AV65" i="2"/>
  <c r="AU65" i="2"/>
  <c r="AT65" i="2"/>
  <c r="AS65" i="2"/>
  <c r="AR65" i="2"/>
  <c r="AQ65" i="2"/>
  <c r="AP65" i="2"/>
  <c r="AO65" i="2"/>
  <c r="AN65" i="2"/>
  <c r="AM65" i="2"/>
  <c r="AL65" i="2"/>
  <c r="AK65" i="2"/>
  <c r="AJ65" i="2"/>
  <c r="AI65" i="2"/>
  <c r="AH65" i="2"/>
  <c r="AG65" i="2"/>
  <c r="AF65" i="2"/>
  <c r="AE65" i="2"/>
  <c r="AD65" i="2"/>
  <c r="AC65" i="2"/>
  <c r="AB65" i="2"/>
  <c r="AA65" i="2"/>
  <c r="Z65" i="2"/>
  <c r="Y65" i="2"/>
  <c r="X65" i="2"/>
  <c r="W65" i="2"/>
  <c r="V65" i="2"/>
  <c r="U65" i="2"/>
  <c r="T65" i="2"/>
  <c r="S65" i="2"/>
  <c r="R65" i="2"/>
  <c r="Q65" i="2"/>
  <c r="F65" i="2"/>
  <c r="E65" i="2"/>
  <c r="D65" i="2"/>
  <c r="CA64" i="2"/>
  <c r="BZ64" i="2"/>
  <c r="BY64" i="2"/>
  <c r="BX64" i="2"/>
  <c r="BW64" i="2"/>
  <c r="BV64" i="2"/>
  <c r="BU64" i="2"/>
  <c r="BT64" i="2"/>
  <c r="BS64" i="2"/>
  <c r="BR64" i="2"/>
  <c r="BQ64" i="2"/>
  <c r="BP64" i="2"/>
  <c r="BO64" i="2"/>
  <c r="BN64" i="2"/>
  <c r="BM64" i="2"/>
  <c r="BL64" i="2"/>
  <c r="BK64" i="2"/>
  <c r="BJ64" i="2"/>
  <c r="BI64" i="2"/>
  <c r="BH64" i="2"/>
  <c r="BG64" i="2"/>
  <c r="BF64" i="2"/>
  <c r="BE64" i="2"/>
  <c r="BD64" i="2"/>
  <c r="BC64" i="2"/>
  <c r="BB64" i="2"/>
  <c r="BA64" i="2"/>
  <c r="AZ64" i="2"/>
  <c r="AY64" i="2"/>
  <c r="AX64" i="2"/>
  <c r="AW64" i="2"/>
  <c r="AV64" i="2"/>
  <c r="AU64" i="2"/>
  <c r="AT64" i="2"/>
  <c r="AS64" i="2"/>
  <c r="AR64" i="2"/>
  <c r="AQ64" i="2"/>
  <c r="AP64" i="2"/>
  <c r="AO64" i="2"/>
  <c r="AN64" i="2"/>
  <c r="AM64" i="2"/>
  <c r="AL64" i="2"/>
  <c r="AK64" i="2"/>
  <c r="AJ64" i="2"/>
  <c r="AI64" i="2"/>
  <c r="AH64" i="2"/>
  <c r="AG64" i="2"/>
  <c r="AF64" i="2"/>
  <c r="AE64" i="2"/>
  <c r="AD64" i="2"/>
  <c r="AC64" i="2"/>
  <c r="AB64" i="2"/>
  <c r="AA64" i="2"/>
  <c r="Z64" i="2"/>
  <c r="Y64" i="2"/>
  <c r="X64" i="2"/>
  <c r="W64" i="2"/>
  <c r="V64" i="2"/>
  <c r="U64" i="2"/>
  <c r="T64" i="2"/>
  <c r="S64" i="2"/>
  <c r="R64" i="2"/>
  <c r="Q64" i="2"/>
  <c r="F64" i="2"/>
  <c r="E64" i="2"/>
  <c r="D64" i="2"/>
  <c r="CA63" i="2"/>
  <c r="BZ63" i="2"/>
  <c r="BY63" i="2"/>
  <c r="BX63" i="2"/>
  <c r="BW63" i="2"/>
  <c r="BV63" i="2"/>
  <c r="BU63" i="2"/>
  <c r="BT63" i="2"/>
  <c r="BS63" i="2"/>
  <c r="BR63" i="2"/>
  <c r="BQ63" i="2"/>
  <c r="BP63" i="2"/>
  <c r="BO63" i="2"/>
  <c r="BN63" i="2"/>
  <c r="BM63" i="2"/>
  <c r="BL63" i="2"/>
  <c r="BK63" i="2"/>
  <c r="BJ63" i="2"/>
  <c r="BI63" i="2"/>
  <c r="BH63" i="2"/>
  <c r="BG63" i="2"/>
  <c r="BF63" i="2"/>
  <c r="BE63" i="2"/>
  <c r="BD63" i="2"/>
  <c r="BC63" i="2"/>
  <c r="BB63" i="2"/>
  <c r="BA63" i="2"/>
  <c r="AZ63" i="2"/>
  <c r="AY63" i="2"/>
  <c r="AX63" i="2"/>
  <c r="AW63" i="2"/>
  <c r="AV63" i="2"/>
  <c r="AU63" i="2"/>
  <c r="AT63" i="2"/>
  <c r="AS63" i="2"/>
  <c r="AR63" i="2"/>
  <c r="AQ63" i="2"/>
  <c r="AP63" i="2"/>
  <c r="AO63" i="2"/>
  <c r="AN63" i="2"/>
  <c r="AM63" i="2"/>
  <c r="AL63" i="2"/>
  <c r="AK63" i="2"/>
  <c r="AJ63" i="2"/>
  <c r="AI63" i="2"/>
  <c r="AH63" i="2"/>
  <c r="AG63" i="2"/>
  <c r="AF63" i="2"/>
  <c r="AE63" i="2"/>
  <c r="AD63" i="2"/>
  <c r="AC63" i="2"/>
  <c r="AB63" i="2"/>
  <c r="AA63" i="2"/>
  <c r="Z63" i="2"/>
  <c r="Y63" i="2"/>
  <c r="X63" i="2"/>
  <c r="W63" i="2"/>
  <c r="V63" i="2"/>
  <c r="U63" i="2"/>
  <c r="T63" i="2"/>
  <c r="S63" i="2"/>
  <c r="R63" i="2"/>
  <c r="Q63" i="2"/>
  <c r="F63" i="2"/>
  <c r="E63" i="2"/>
  <c r="D63" i="2"/>
  <c r="CA62" i="2"/>
  <c r="BZ62" i="2"/>
  <c r="BY62" i="2"/>
  <c r="BX62" i="2"/>
  <c r="BW62" i="2"/>
  <c r="BV62" i="2"/>
  <c r="BU62" i="2"/>
  <c r="BT62" i="2"/>
  <c r="BS62" i="2"/>
  <c r="BR62" i="2"/>
  <c r="BQ62" i="2"/>
  <c r="BP62" i="2"/>
  <c r="BO62" i="2"/>
  <c r="BN62" i="2"/>
  <c r="BM62" i="2"/>
  <c r="BL62" i="2"/>
  <c r="BK62" i="2"/>
  <c r="BJ62" i="2"/>
  <c r="BI62" i="2"/>
  <c r="BH62" i="2"/>
  <c r="BG62" i="2"/>
  <c r="BF62" i="2"/>
  <c r="BE62" i="2"/>
  <c r="BD62" i="2"/>
  <c r="BC62" i="2"/>
  <c r="BB62" i="2"/>
  <c r="BA62" i="2"/>
  <c r="AZ62" i="2"/>
  <c r="AY62" i="2"/>
  <c r="AX62" i="2"/>
  <c r="AW62" i="2"/>
  <c r="AV62" i="2"/>
  <c r="AU62" i="2"/>
  <c r="AT62" i="2"/>
  <c r="AS62" i="2"/>
  <c r="AR62" i="2"/>
  <c r="AQ62" i="2"/>
  <c r="AP62" i="2"/>
  <c r="AO62" i="2"/>
  <c r="AN62" i="2"/>
  <c r="AM62" i="2"/>
  <c r="AL62" i="2"/>
  <c r="AK62" i="2"/>
  <c r="AJ62" i="2"/>
  <c r="AI62" i="2"/>
  <c r="AH62" i="2"/>
  <c r="AG62" i="2"/>
  <c r="AF62" i="2"/>
  <c r="AE62" i="2"/>
  <c r="AD62" i="2"/>
  <c r="AC62" i="2"/>
  <c r="AB62" i="2"/>
  <c r="AA62" i="2"/>
  <c r="Z62" i="2"/>
  <c r="Y62" i="2"/>
  <c r="X62" i="2"/>
  <c r="W62" i="2"/>
  <c r="V62" i="2"/>
  <c r="U62" i="2"/>
  <c r="T62" i="2"/>
  <c r="S62" i="2"/>
  <c r="R62" i="2"/>
  <c r="Q62" i="2"/>
  <c r="F62" i="2"/>
  <c r="E62" i="2"/>
  <c r="D62" i="2"/>
  <c r="CA61" i="2"/>
  <c r="BZ61" i="2"/>
  <c r="BY61" i="2"/>
  <c r="BX61" i="2"/>
  <c r="BW61" i="2"/>
  <c r="BV61" i="2"/>
  <c r="BU61" i="2"/>
  <c r="BT61" i="2"/>
  <c r="BS61" i="2"/>
  <c r="BR61" i="2"/>
  <c r="BQ61" i="2"/>
  <c r="BP61" i="2"/>
  <c r="BO61" i="2"/>
  <c r="BN61" i="2"/>
  <c r="BM61" i="2"/>
  <c r="BL61" i="2"/>
  <c r="BK61" i="2"/>
  <c r="BJ61" i="2"/>
  <c r="BI61" i="2"/>
  <c r="BH61" i="2"/>
  <c r="BG61" i="2"/>
  <c r="BF61" i="2"/>
  <c r="BE61" i="2"/>
  <c r="BD61" i="2"/>
  <c r="BC61" i="2"/>
  <c r="BB61" i="2"/>
  <c r="BA61" i="2"/>
  <c r="AZ61" i="2"/>
  <c r="AY61" i="2"/>
  <c r="AX61" i="2"/>
  <c r="AW61" i="2"/>
  <c r="AV61" i="2"/>
  <c r="AU61" i="2"/>
  <c r="AT61" i="2"/>
  <c r="AS61" i="2"/>
  <c r="AR61" i="2"/>
  <c r="AQ61" i="2"/>
  <c r="AP61" i="2"/>
  <c r="AO61" i="2"/>
  <c r="AN61" i="2"/>
  <c r="AM61" i="2"/>
  <c r="AL61" i="2"/>
  <c r="AK61" i="2"/>
  <c r="AJ61" i="2"/>
  <c r="AI61" i="2"/>
  <c r="AH61" i="2"/>
  <c r="AG61" i="2"/>
  <c r="AF61" i="2"/>
  <c r="AE61" i="2"/>
  <c r="AD61" i="2"/>
  <c r="AC61" i="2"/>
  <c r="AB61" i="2"/>
  <c r="AA61" i="2"/>
  <c r="Z61" i="2"/>
  <c r="Y61" i="2"/>
  <c r="X61" i="2"/>
  <c r="W61" i="2"/>
  <c r="V61" i="2"/>
  <c r="U61" i="2"/>
  <c r="T61" i="2"/>
  <c r="S61" i="2"/>
  <c r="R61" i="2"/>
  <c r="Q61" i="2"/>
  <c r="F61" i="2"/>
  <c r="E61" i="2"/>
  <c r="D61" i="2"/>
  <c r="CA60" i="2"/>
  <c r="BZ60" i="2"/>
  <c r="BY60" i="2"/>
  <c r="BX60" i="2"/>
  <c r="BW60" i="2"/>
  <c r="BV60" i="2"/>
  <c r="BU60" i="2"/>
  <c r="BT60" i="2"/>
  <c r="BS60" i="2"/>
  <c r="BR60" i="2"/>
  <c r="BQ60" i="2"/>
  <c r="BP60" i="2"/>
  <c r="BO60" i="2"/>
  <c r="BN60" i="2"/>
  <c r="BM60" i="2"/>
  <c r="BL60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Q60" i="2"/>
  <c r="AP60" i="2"/>
  <c r="AO60" i="2"/>
  <c r="AN60" i="2"/>
  <c r="AM60" i="2"/>
  <c r="AL60" i="2"/>
  <c r="AK60" i="2"/>
  <c r="AJ60" i="2"/>
  <c r="AI60" i="2"/>
  <c r="AH60" i="2"/>
  <c r="AG60" i="2"/>
  <c r="AF60" i="2"/>
  <c r="AE60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F60" i="2"/>
  <c r="E60" i="2"/>
  <c r="D60" i="2"/>
  <c r="CA59" i="2"/>
  <c r="BZ59" i="2"/>
  <c r="BY59" i="2"/>
  <c r="BX59" i="2"/>
  <c r="BW59" i="2"/>
  <c r="BV59" i="2"/>
  <c r="BU59" i="2"/>
  <c r="BT59" i="2"/>
  <c r="BS59" i="2"/>
  <c r="BR59" i="2"/>
  <c r="BQ59" i="2"/>
  <c r="BP59" i="2"/>
  <c r="BO59" i="2"/>
  <c r="BN59" i="2"/>
  <c r="BM59" i="2"/>
  <c r="BL59" i="2"/>
  <c r="BK59" i="2"/>
  <c r="BJ59" i="2"/>
  <c r="BI59" i="2"/>
  <c r="BH59" i="2"/>
  <c r="BG59" i="2"/>
  <c r="BF59" i="2"/>
  <c r="BE59" i="2"/>
  <c r="BD59" i="2"/>
  <c r="BC59" i="2"/>
  <c r="BB59" i="2"/>
  <c r="BA59" i="2"/>
  <c r="AZ59" i="2"/>
  <c r="AY59" i="2"/>
  <c r="AX59" i="2"/>
  <c r="AW59" i="2"/>
  <c r="AV59" i="2"/>
  <c r="AU59" i="2"/>
  <c r="AT59" i="2"/>
  <c r="AS59" i="2"/>
  <c r="AR59" i="2"/>
  <c r="AQ59" i="2"/>
  <c r="AP59" i="2"/>
  <c r="AO59" i="2"/>
  <c r="AN59" i="2"/>
  <c r="AM59" i="2"/>
  <c r="AL59" i="2"/>
  <c r="AK59" i="2"/>
  <c r="AJ59" i="2"/>
  <c r="AI59" i="2"/>
  <c r="AH59" i="2"/>
  <c r="AG59" i="2"/>
  <c r="AF59" i="2"/>
  <c r="AE59" i="2"/>
  <c r="AD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F59" i="2"/>
  <c r="E59" i="2"/>
  <c r="D59" i="2"/>
  <c r="CA58" i="2"/>
  <c r="BZ58" i="2"/>
  <c r="BY58" i="2"/>
  <c r="BX58" i="2"/>
  <c r="BW58" i="2"/>
  <c r="BV58" i="2"/>
  <c r="BU58" i="2"/>
  <c r="BT58" i="2"/>
  <c r="BS58" i="2"/>
  <c r="BR58" i="2"/>
  <c r="BQ58" i="2"/>
  <c r="BP58" i="2"/>
  <c r="BO58" i="2"/>
  <c r="BN58" i="2"/>
  <c r="BM58" i="2"/>
  <c r="BL58" i="2"/>
  <c r="BK58" i="2"/>
  <c r="BJ58" i="2"/>
  <c r="BI58" i="2"/>
  <c r="BH58" i="2"/>
  <c r="BG58" i="2"/>
  <c r="BF58" i="2"/>
  <c r="BE58" i="2"/>
  <c r="BD58" i="2"/>
  <c r="BC58" i="2"/>
  <c r="BB58" i="2"/>
  <c r="BA58" i="2"/>
  <c r="AZ58" i="2"/>
  <c r="AY58" i="2"/>
  <c r="AX58" i="2"/>
  <c r="AW58" i="2"/>
  <c r="AV58" i="2"/>
  <c r="AU58" i="2"/>
  <c r="AT58" i="2"/>
  <c r="AS58" i="2"/>
  <c r="AR58" i="2"/>
  <c r="AQ58" i="2"/>
  <c r="AP58" i="2"/>
  <c r="AO58" i="2"/>
  <c r="AN58" i="2"/>
  <c r="AM58" i="2"/>
  <c r="AL58" i="2"/>
  <c r="AK58" i="2"/>
  <c r="AJ58" i="2"/>
  <c r="AI58" i="2"/>
  <c r="AH58" i="2"/>
  <c r="AG58" i="2"/>
  <c r="AF58" i="2"/>
  <c r="AE58" i="2"/>
  <c r="AD58" i="2"/>
  <c r="AC58" i="2"/>
  <c r="AB58" i="2"/>
  <c r="AA58" i="2"/>
  <c r="Z58" i="2"/>
  <c r="Y58" i="2"/>
  <c r="X58" i="2"/>
  <c r="W58" i="2"/>
  <c r="V58" i="2"/>
  <c r="U58" i="2"/>
  <c r="T58" i="2"/>
  <c r="S58" i="2"/>
  <c r="R58" i="2"/>
  <c r="Q58" i="2"/>
  <c r="F58" i="2"/>
  <c r="E58" i="2"/>
  <c r="D58" i="2"/>
  <c r="CA57" i="2"/>
  <c r="BZ57" i="2"/>
  <c r="BY57" i="2"/>
  <c r="BX57" i="2"/>
  <c r="BW57" i="2"/>
  <c r="BV57" i="2"/>
  <c r="BU57" i="2"/>
  <c r="BT57" i="2"/>
  <c r="BS57" i="2"/>
  <c r="BR57" i="2"/>
  <c r="BQ57" i="2"/>
  <c r="BP57" i="2"/>
  <c r="BO57" i="2"/>
  <c r="BN57" i="2"/>
  <c r="BM57" i="2"/>
  <c r="BL57" i="2"/>
  <c r="BK57" i="2"/>
  <c r="BJ57" i="2"/>
  <c r="BI57" i="2"/>
  <c r="BH57" i="2"/>
  <c r="BG57" i="2"/>
  <c r="BF57" i="2"/>
  <c r="BE57" i="2"/>
  <c r="BD57" i="2"/>
  <c r="BC57" i="2"/>
  <c r="BB57" i="2"/>
  <c r="BA57" i="2"/>
  <c r="AZ57" i="2"/>
  <c r="AY57" i="2"/>
  <c r="AX57" i="2"/>
  <c r="AW57" i="2"/>
  <c r="AV57" i="2"/>
  <c r="AU57" i="2"/>
  <c r="AT57" i="2"/>
  <c r="AS57" i="2"/>
  <c r="AR57" i="2"/>
  <c r="AQ57" i="2"/>
  <c r="AP57" i="2"/>
  <c r="AO57" i="2"/>
  <c r="AN57" i="2"/>
  <c r="AM57" i="2"/>
  <c r="AL57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F57" i="2"/>
  <c r="E57" i="2"/>
  <c r="D57" i="2"/>
  <c r="CA56" i="2"/>
  <c r="BZ56" i="2"/>
  <c r="BY56" i="2"/>
  <c r="BX56" i="2"/>
  <c r="BW56" i="2"/>
  <c r="BV56" i="2"/>
  <c r="BU56" i="2"/>
  <c r="BT56" i="2"/>
  <c r="BS56" i="2"/>
  <c r="BR56" i="2"/>
  <c r="BQ56" i="2"/>
  <c r="BP56" i="2"/>
  <c r="BO56" i="2"/>
  <c r="BN56" i="2"/>
  <c r="BM56" i="2"/>
  <c r="BL56" i="2"/>
  <c r="BK56" i="2"/>
  <c r="BJ56" i="2"/>
  <c r="BI56" i="2"/>
  <c r="BH56" i="2"/>
  <c r="BG56" i="2"/>
  <c r="BF56" i="2"/>
  <c r="BE56" i="2"/>
  <c r="BD56" i="2"/>
  <c r="BC56" i="2"/>
  <c r="BB56" i="2"/>
  <c r="BA56" i="2"/>
  <c r="AZ56" i="2"/>
  <c r="AY56" i="2"/>
  <c r="AX56" i="2"/>
  <c r="AW56" i="2"/>
  <c r="AV56" i="2"/>
  <c r="AU56" i="2"/>
  <c r="AT56" i="2"/>
  <c r="AS56" i="2"/>
  <c r="AR56" i="2"/>
  <c r="AQ56" i="2"/>
  <c r="AP56" i="2"/>
  <c r="AO56" i="2"/>
  <c r="AN56" i="2"/>
  <c r="AM56" i="2"/>
  <c r="AL56" i="2"/>
  <c r="AK56" i="2"/>
  <c r="AJ56" i="2"/>
  <c r="AI56" i="2"/>
  <c r="AH56" i="2"/>
  <c r="AG56" i="2"/>
  <c r="AF56" i="2"/>
  <c r="AE56" i="2"/>
  <c r="AD56" i="2"/>
  <c r="AC56" i="2"/>
  <c r="AB56" i="2"/>
  <c r="AA56" i="2"/>
  <c r="Z56" i="2"/>
  <c r="Y56" i="2"/>
  <c r="X56" i="2"/>
  <c r="W56" i="2"/>
  <c r="V56" i="2"/>
  <c r="U56" i="2"/>
  <c r="T56" i="2"/>
  <c r="S56" i="2"/>
  <c r="R56" i="2"/>
  <c r="Q56" i="2"/>
  <c r="F56" i="2"/>
  <c r="E56" i="2"/>
  <c r="D56" i="2"/>
  <c r="CA55" i="2"/>
  <c r="BZ55" i="2"/>
  <c r="BY55" i="2"/>
  <c r="BX55" i="2"/>
  <c r="BW55" i="2"/>
  <c r="BV55" i="2"/>
  <c r="BU55" i="2"/>
  <c r="BT55" i="2"/>
  <c r="BS55" i="2"/>
  <c r="BR55" i="2"/>
  <c r="BQ55" i="2"/>
  <c r="BP55" i="2"/>
  <c r="BO55" i="2"/>
  <c r="BN55" i="2"/>
  <c r="BM55" i="2"/>
  <c r="BL55" i="2"/>
  <c r="BK55" i="2"/>
  <c r="BJ55" i="2"/>
  <c r="BI55" i="2"/>
  <c r="BH55" i="2"/>
  <c r="BG55" i="2"/>
  <c r="BF55" i="2"/>
  <c r="BE55" i="2"/>
  <c r="BD55" i="2"/>
  <c r="BC55" i="2"/>
  <c r="BB55" i="2"/>
  <c r="BA55" i="2"/>
  <c r="AZ55" i="2"/>
  <c r="AY55" i="2"/>
  <c r="AX55" i="2"/>
  <c r="AW55" i="2"/>
  <c r="AV55" i="2"/>
  <c r="AU55" i="2"/>
  <c r="AT55" i="2"/>
  <c r="AS55" i="2"/>
  <c r="AR55" i="2"/>
  <c r="AQ55" i="2"/>
  <c r="AP55" i="2"/>
  <c r="AO55" i="2"/>
  <c r="AN55" i="2"/>
  <c r="AM55" i="2"/>
  <c r="AL55" i="2"/>
  <c r="AK55" i="2"/>
  <c r="AJ55" i="2"/>
  <c r="AI55" i="2"/>
  <c r="AH55" i="2"/>
  <c r="AG55" i="2"/>
  <c r="AF55" i="2"/>
  <c r="AE55" i="2"/>
  <c r="AD55" i="2"/>
  <c r="AC55" i="2"/>
  <c r="AB55" i="2"/>
  <c r="AA55" i="2"/>
  <c r="Z55" i="2"/>
  <c r="Y55" i="2"/>
  <c r="X55" i="2"/>
  <c r="W55" i="2"/>
  <c r="V55" i="2"/>
  <c r="U55" i="2"/>
  <c r="T55" i="2"/>
  <c r="S55" i="2"/>
  <c r="R55" i="2"/>
  <c r="Q55" i="2"/>
  <c r="F55" i="2"/>
  <c r="E55" i="2"/>
  <c r="D55" i="2"/>
  <c r="CA54" i="2"/>
  <c r="BZ54" i="2"/>
  <c r="BY54" i="2"/>
  <c r="BX54" i="2"/>
  <c r="BW54" i="2"/>
  <c r="BV54" i="2"/>
  <c r="BU54" i="2"/>
  <c r="BT54" i="2"/>
  <c r="BS54" i="2"/>
  <c r="BR54" i="2"/>
  <c r="BQ54" i="2"/>
  <c r="BP54" i="2"/>
  <c r="BO54" i="2"/>
  <c r="BN54" i="2"/>
  <c r="BM54" i="2"/>
  <c r="BL54" i="2"/>
  <c r="BK54" i="2"/>
  <c r="BJ54" i="2"/>
  <c r="BI54" i="2"/>
  <c r="BH54" i="2"/>
  <c r="BG54" i="2"/>
  <c r="BF54" i="2"/>
  <c r="BE54" i="2"/>
  <c r="BD54" i="2"/>
  <c r="BC54" i="2"/>
  <c r="BB54" i="2"/>
  <c r="BA54" i="2"/>
  <c r="AZ54" i="2"/>
  <c r="AY54" i="2"/>
  <c r="AX54" i="2"/>
  <c r="AW54" i="2"/>
  <c r="AV54" i="2"/>
  <c r="AU54" i="2"/>
  <c r="AT54" i="2"/>
  <c r="AS54" i="2"/>
  <c r="AR54" i="2"/>
  <c r="AQ54" i="2"/>
  <c r="AP54" i="2"/>
  <c r="AO54" i="2"/>
  <c r="AN54" i="2"/>
  <c r="AM54" i="2"/>
  <c r="AL54" i="2"/>
  <c r="AK54" i="2"/>
  <c r="AJ54" i="2"/>
  <c r="AI5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F54" i="2"/>
  <c r="E54" i="2"/>
  <c r="D54" i="2"/>
  <c r="CA53" i="2"/>
  <c r="BZ53" i="2"/>
  <c r="BY53" i="2"/>
  <c r="BX53" i="2"/>
  <c r="BW53" i="2"/>
  <c r="BV53" i="2"/>
  <c r="BU53" i="2"/>
  <c r="BT53" i="2"/>
  <c r="BS53" i="2"/>
  <c r="BR53" i="2"/>
  <c r="BQ53" i="2"/>
  <c r="BP53" i="2"/>
  <c r="BO53" i="2"/>
  <c r="BN53" i="2"/>
  <c r="BM53" i="2"/>
  <c r="BL53" i="2"/>
  <c r="BK53" i="2"/>
  <c r="BJ53" i="2"/>
  <c r="BI53" i="2"/>
  <c r="BH53" i="2"/>
  <c r="BG53" i="2"/>
  <c r="BF53" i="2"/>
  <c r="BE53" i="2"/>
  <c r="BD53" i="2"/>
  <c r="BC53" i="2"/>
  <c r="BB53" i="2"/>
  <c r="BA53" i="2"/>
  <c r="AZ53" i="2"/>
  <c r="AY53" i="2"/>
  <c r="AX53" i="2"/>
  <c r="AW53" i="2"/>
  <c r="AV53" i="2"/>
  <c r="AU53" i="2"/>
  <c r="AT53" i="2"/>
  <c r="AS53" i="2"/>
  <c r="AR53" i="2"/>
  <c r="AQ53" i="2"/>
  <c r="AP53" i="2"/>
  <c r="AO53" i="2"/>
  <c r="AN53" i="2"/>
  <c r="AM53" i="2"/>
  <c r="AL53" i="2"/>
  <c r="AK53" i="2"/>
  <c r="AJ53" i="2"/>
  <c r="AI53" i="2"/>
  <c r="AH53" i="2"/>
  <c r="AG53" i="2"/>
  <c r="AF53" i="2"/>
  <c r="AE53" i="2"/>
  <c r="AD53" i="2"/>
  <c r="AC53" i="2"/>
  <c r="AB53" i="2"/>
  <c r="AA53" i="2"/>
  <c r="Z53" i="2"/>
  <c r="Y53" i="2"/>
  <c r="X53" i="2"/>
  <c r="W53" i="2"/>
  <c r="V53" i="2"/>
  <c r="U53" i="2"/>
  <c r="T53" i="2"/>
  <c r="S53" i="2"/>
  <c r="R53" i="2"/>
  <c r="Q53" i="2"/>
  <c r="F53" i="2"/>
  <c r="E53" i="2"/>
  <c r="D53" i="2"/>
  <c r="CA52" i="2"/>
  <c r="BZ52" i="2"/>
  <c r="BY52" i="2"/>
  <c r="BX52" i="2"/>
  <c r="BW52" i="2"/>
  <c r="BV52" i="2"/>
  <c r="BU52" i="2"/>
  <c r="BT52" i="2"/>
  <c r="BS52" i="2"/>
  <c r="BR52" i="2"/>
  <c r="BQ52" i="2"/>
  <c r="BP52" i="2"/>
  <c r="BO52" i="2"/>
  <c r="BN52" i="2"/>
  <c r="BM52" i="2"/>
  <c r="BL52" i="2"/>
  <c r="BK52" i="2"/>
  <c r="BJ52" i="2"/>
  <c r="BI52" i="2"/>
  <c r="BH52" i="2"/>
  <c r="BG52" i="2"/>
  <c r="BF52" i="2"/>
  <c r="BE52" i="2"/>
  <c r="BD52" i="2"/>
  <c r="BC52" i="2"/>
  <c r="BB52" i="2"/>
  <c r="BA52" i="2"/>
  <c r="AZ52" i="2"/>
  <c r="AY52" i="2"/>
  <c r="AX52" i="2"/>
  <c r="AW52" i="2"/>
  <c r="AV52" i="2"/>
  <c r="AU52" i="2"/>
  <c r="AT52" i="2"/>
  <c r="AS52" i="2"/>
  <c r="AR52" i="2"/>
  <c r="AQ52" i="2"/>
  <c r="AP52" i="2"/>
  <c r="AO52" i="2"/>
  <c r="AN52" i="2"/>
  <c r="AM52" i="2"/>
  <c r="AL52" i="2"/>
  <c r="AK52" i="2"/>
  <c r="AJ52" i="2"/>
  <c r="AI52" i="2"/>
  <c r="AH52" i="2"/>
  <c r="AG52" i="2"/>
  <c r="AF52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F52" i="2"/>
  <c r="E52" i="2"/>
  <c r="D52" i="2"/>
  <c r="CA51" i="2"/>
  <c r="BZ51" i="2"/>
  <c r="BY51" i="2"/>
  <c r="BX51" i="2"/>
  <c r="BW51" i="2"/>
  <c r="BV51" i="2"/>
  <c r="BU51" i="2"/>
  <c r="BT51" i="2"/>
  <c r="BS51" i="2"/>
  <c r="BR51" i="2"/>
  <c r="BQ51" i="2"/>
  <c r="BP51" i="2"/>
  <c r="BO51" i="2"/>
  <c r="BN51" i="2"/>
  <c r="BM51" i="2"/>
  <c r="BL51" i="2"/>
  <c r="BK51" i="2"/>
  <c r="BJ51" i="2"/>
  <c r="BI51" i="2"/>
  <c r="BH51" i="2"/>
  <c r="BG51" i="2"/>
  <c r="BF51" i="2"/>
  <c r="BE51" i="2"/>
  <c r="BD51" i="2"/>
  <c r="BC51" i="2"/>
  <c r="BB51" i="2"/>
  <c r="BA51" i="2"/>
  <c r="AZ51" i="2"/>
  <c r="AY51" i="2"/>
  <c r="AX51" i="2"/>
  <c r="AW51" i="2"/>
  <c r="AV51" i="2"/>
  <c r="AU51" i="2"/>
  <c r="AT51" i="2"/>
  <c r="AS51" i="2"/>
  <c r="AR51" i="2"/>
  <c r="AQ51" i="2"/>
  <c r="AP51" i="2"/>
  <c r="AO51" i="2"/>
  <c r="AN51" i="2"/>
  <c r="AM51" i="2"/>
  <c r="AL51" i="2"/>
  <c r="AK51" i="2"/>
  <c r="AJ51" i="2"/>
  <c r="AI51" i="2"/>
  <c r="AH51" i="2"/>
  <c r="AG51" i="2"/>
  <c r="AF51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F51" i="2"/>
  <c r="E51" i="2"/>
  <c r="D51" i="2"/>
  <c r="CA50" i="2"/>
  <c r="BZ50" i="2"/>
  <c r="BY50" i="2"/>
  <c r="BX50" i="2"/>
  <c r="BW50" i="2"/>
  <c r="BV50" i="2"/>
  <c r="BU50" i="2"/>
  <c r="BT50" i="2"/>
  <c r="BS50" i="2"/>
  <c r="BR50" i="2"/>
  <c r="BQ50" i="2"/>
  <c r="BP50" i="2"/>
  <c r="BO50" i="2"/>
  <c r="BN50" i="2"/>
  <c r="BM50" i="2"/>
  <c r="BL50" i="2"/>
  <c r="BK50" i="2"/>
  <c r="BJ50" i="2"/>
  <c r="BI50" i="2"/>
  <c r="BH50" i="2"/>
  <c r="BG50" i="2"/>
  <c r="BF50" i="2"/>
  <c r="BE50" i="2"/>
  <c r="BD50" i="2"/>
  <c r="BC50" i="2"/>
  <c r="BB50" i="2"/>
  <c r="BA50" i="2"/>
  <c r="AZ50" i="2"/>
  <c r="AY50" i="2"/>
  <c r="AX50" i="2"/>
  <c r="AW50" i="2"/>
  <c r="AV50" i="2"/>
  <c r="AU50" i="2"/>
  <c r="AT50" i="2"/>
  <c r="AS50" i="2"/>
  <c r="AR50" i="2"/>
  <c r="AQ50" i="2"/>
  <c r="AP50" i="2"/>
  <c r="AO50" i="2"/>
  <c r="AN50" i="2"/>
  <c r="AM50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F50" i="2"/>
  <c r="E50" i="2"/>
  <c r="D50" i="2"/>
  <c r="CA49" i="2"/>
  <c r="BZ49" i="2"/>
  <c r="BY49" i="2"/>
  <c r="BX49" i="2"/>
  <c r="BW49" i="2"/>
  <c r="BV49" i="2"/>
  <c r="BU49" i="2"/>
  <c r="BT49" i="2"/>
  <c r="BS49" i="2"/>
  <c r="BR49" i="2"/>
  <c r="BQ49" i="2"/>
  <c r="BP49" i="2"/>
  <c r="BO49" i="2"/>
  <c r="BN49" i="2"/>
  <c r="BM49" i="2"/>
  <c r="BL49" i="2"/>
  <c r="BK49" i="2"/>
  <c r="BJ49" i="2"/>
  <c r="BI49" i="2"/>
  <c r="BH49" i="2"/>
  <c r="BG49" i="2"/>
  <c r="BF49" i="2"/>
  <c r="BE49" i="2"/>
  <c r="BD49" i="2"/>
  <c r="BC49" i="2"/>
  <c r="BB49" i="2"/>
  <c r="BA49" i="2"/>
  <c r="AZ49" i="2"/>
  <c r="AY49" i="2"/>
  <c r="AX49" i="2"/>
  <c r="AW49" i="2"/>
  <c r="AV49" i="2"/>
  <c r="AU49" i="2"/>
  <c r="AT49" i="2"/>
  <c r="AS49" i="2"/>
  <c r="AR49" i="2"/>
  <c r="AQ49" i="2"/>
  <c r="AP49" i="2"/>
  <c r="AO49" i="2"/>
  <c r="AN49" i="2"/>
  <c r="AM49" i="2"/>
  <c r="AL49" i="2"/>
  <c r="AK49" i="2"/>
  <c r="AJ49" i="2"/>
  <c r="AI49" i="2"/>
  <c r="AH49" i="2"/>
  <c r="AG49" i="2"/>
  <c r="AF49" i="2"/>
  <c r="AE49" i="2"/>
  <c r="AD49" i="2"/>
  <c r="AC49" i="2"/>
  <c r="AB49" i="2"/>
  <c r="AA49" i="2"/>
  <c r="Z49" i="2"/>
  <c r="Y49" i="2"/>
  <c r="X49" i="2"/>
  <c r="W49" i="2"/>
  <c r="V49" i="2"/>
  <c r="U49" i="2"/>
  <c r="T49" i="2"/>
  <c r="S49" i="2"/>
  <c r="R49" i="2"/>
  <c r="Q49" i="2"/>
  <c r="F49" i="2"/>
  <c r="E49" i="2"/>
  <c r="D49" i="2"/>
  <c r="CA48" i="2"/>
  <c r="BZ48" i="2"/>
  <c r="BY48" i="2"/>
  <c r="BX48" i="2"/>
  <c r="BW48" i="2"/>
  <c r="BV48" i="2"/>
  <c r="BU48" i="2"/>
  <c r="BT48" i="2"/>
  <c r="BS48" i="2"/>
  <c r="BR48" i="2"/>
  <c r="BQ48" i="2"/>
  <c r="BP48" i="2"/>
  <c r="BO48" i="2"/>
  <c r="BN48" i="2"/>
  <c r="BM48" i="2"/>
  <c r="BL48" i="2"/>
  <c r="BK48" i="2"/>
  <c r="BJ48" i="2"/>
  <c r="BI48" i="2"/>
  <c r="BH48" i="2"/>
  <c r="BG48" i="2"/>
  <c r="BF48" i="2"/>
  <c r="BE48" i="2"/>
  <c r="BD48" i="2"/>
  <c r="BC48" i="2"/>
  <c r="BB48" i="2"/>
  <c r="BA48" i="2"/>
  <c r="AZ48" i="2"/>
  <c r="AY48" i="2"/>
  <c r="AX48" i="2"/>
  <c r="AW48" i="2"/>
  <c r="AV48" i="2"/>
  <c r="AU48" i="2"/>
  <c r="AT48" i="2"/>
  <c r="AS48" i="2"/>
  <c r="AR48" i="2"/>
  <c r="AQ48" i="2"/>
  <c r="AP48" i="2"/>
  <c r="AO48" i="2"/>
  <c r="AN48" i="2"/>
  <c r="AM48" i="2"/>
  <c r="AL48" i="2"/>
  <c r="AK48" i="2"/>
  <c r="AJ48" i="2"/>
  <c r="AI48" i="2"/>
  <c r="AH48" i="2"/>
  <c r="AG48" i="2"/>
  <c r="AF48" i="2"/>
  <c r="AE48" i="2"/>
  <c r="AD48" i="2"/>
  <c r="AC48" i="2"/>
  <c r="AB48" i="2"/>
  <c r="AA48" i="2"/>
  <c r="Z48" i="2"/>
  <c r="Y48" i="2"/>
  <c r="X48" i="2"/>
  <c r="W48" i="2"/>
  <c r="V48" i="2"/>
  <c r="U48" i="2"/>
  <c r="T48" i="2"/>
  <c r="S48" i="2"/>
  <c r="R48" i="2"/>
  <c r="Q48" i="2"/>
  <c r="F48" i="2"/>
  <c r="E48" i="2"/>
  <c r="D48" i="2"/>
  <c r="CA47" i="2"/>
  <c r="BZ47" i="2"/>
  <c r="BY47" i="2"/>
  <c r="BX47" i="2"/>
  <c r="BW47" i="2"/>
  <c r="BV47" i="2"/>
  <c r="BU47" i="2"/>
  <c r="BT47" i="2"/>
  <c r="BS47" i="2"/>
  <c r="BR47" i="2"/>
  <c r="BQ47" i="2"/>
  <c r="BP47" i="2"/>
  <c r="BO47" i="2"/>
  <c r="BN47" i="2"/>
  <c r="BM47" i="2"/>
  <c r="BL47" i="2"/>
  <c r="BK47" i="2"/>
  <c r="BJ47" i="2"/>
  <c r="BI47" i="2"/>
  <c r="BH47" i="2"/>
  <c r="BG47" i="2"/>
  <c r="BF47" i="2"/>
  <c r="BE47" i="2"/>
  <c r="BD47" i="2"/>
  <c r="BC47" i="2"/>
  <c r="BB47" i="2"/>
  <c r="BA47" i="2"/>
  <c r="AZ47" i="2"/>
  <c r="AY47" i="2"/>
  <c r="AX47" i="2"/>
  <c r="AW47" i="2"/>
  <c r="AV47" i="2"/>
  <c r="AU47" i="2"/>
  <c r="AT47" i="2"/>
  <c r="AS47" i="2"/>
  <c r="AR47" i="2"/>
  <c r="AQ47" i="2"/>
  <c r="AP47" i="2"/>
  <c r="AO47" i="2"/>
  <c r="AN47" i="2"/>
  <c r="AM47" i="2"/>
  <c r="AL47" i="2"/>
  <c r="AK47" i="2"/>
  <c r="AJ47" i="2"/>
  <c r="AI47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F47" i="2"/>
  <c r="E47" i="2"/>
  <c r="D47" i="2"/>
  <c r="CA46" i="2"/>
  <c r="BZ46" i="2"/>
  <c r="BY46" i="2"/>
  <c r="BX46" i="2"/>
  <c r="BW46" i="2"/>
  <c r="BV46" i="2"/>
  <c r="BU46" i="2"/>
  <c r="BT46" i="2"/>
  <c r="BS46" i="2"/>
  <c r="BR46" i="2"/>
  <c r="BQ46" i="2"/>
  <c r="BP46" i="2"/>
  <c r="BO46" i="2"/>
  <c r="BN46" i="2"/>
  <c r="BM46" i="2"/>
  <c r="BL46" i="2"/>
  <c r="BK46" i="2"/>
  <c r="BJ46" i="2"/>
  <c r="BI46" i="2"/>
  <c r="BH46" i="2"/>
  <c r="BG46" i="2"/>
  <c r="BF46" i="2"/>
  <c r="BE46" i="2"/>
  <c r="BD46" i="2"/>
  <c r="BC46" i="2"/>
  <c r="BB46" i="2"/>
  <c r="BA46" i="2"/>
  <c r="AZ46" i="2"/>
  <c r="AY46" i="2"/>
  <c r="AX46" i="2"/>
  <c r="AW46" i="2"/>
  <c r="AV46" i="2"/>
  <c r="AU46" i="2"/>
  <c r="AT46" i="2"/>
  <c r="AS46" i="2"/>
  <c r="AR46" i="2"/>
  <c r="AQ46" i="2"/>
  <c r="AP46" i="2"/>
  <c r="AO46" i="2"/>
  <c r="AN46" i="2"/>
  <c r="AM46" i="2"/>
  <c r="AL46" i="2"/>
  <c r="AK46" i="2"/>
  <c r="AJ46" i="2"/>
  <c r="AI46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F46" i="2"/>
  <c r="E46" i="2"/>
  <c r="D46" i="2"/>
  <c r="CA45" i="2"/>
  <c r="BZ45" i="2"/>
  <c r="BY45" i="2"/>
  <c r="BX45" i="2"/>
  <c r="BW45" i="2"/>
  <c r="BV45" i="2"/>
  <c r="BU45" i="2"/>
  <c r="BT45" i="2"/>
  <c r="BS45" i="2"/>
  <c r="BR45" i="2"/>
  <c r="BQ45" i="2"/>
  <c r="BP45" i="2"/>
  <c r="BO45" i="2"/>
  <c r="BN45" i="2"/>
  <c r="BM45" i="2"/>
  <c r="BL45" i="2"/>
  <c r="BK45" i="2"/>
  <c r="BJ45" i="2"/>
  <c r="BI45" i="2"/>
  <c r="BH45" i="2"/>
  <c r="BG45" i="2"/>
  <c r="BF45" i="2"/>
  <c r="BE45" i="2"/>
  <c r="BD45" i="2"/>
  <c r="BC45" i="2"/>
  <c r="BB45" i="2"/>
  <c r="BA45" i="2"/>
  <c r="AZ45" i="2"/>
  <c r="AY45" i="2"/>
  <c r="AX45" i="2"/>
  <c r="AW45" i="2"/>
  <c r="AV45" i="2"/>
  <c r="AU45" i="2"/>
  <c r="AT45" i="2"/>
  <c r="AS45" i="2"/>
  <c r="AR45" i="2"/>
  <c r="AQ45" i="2"/>
  <c r="AP45" i="2"/>
  <c r="AO45" i="2"/>
  <c r="AN45" i="2"/>
  <c r="AM45" i="2"/>
  <c r="AL45" i="2"/>
  <c r="AK45" i="2"/>
  <c r="AJ45" i="2"/>
  <c r="AI45" i="2"/>
  <c r="AH45" i="2"/>
  <c r="AG45" i="2"/>
  <c r="AF45" i="2"/>
  <c r="AE45" i="2"/>
  <c r="AD45" i="2"/>
  <c r="AC45" i="2"/>
  <c r="AB45" i="2"/>
  <c r="AA45" i="2"/>
  <c r="Z45" i="2"/>
  <c r="Y45" i="2"/>
  <c r="X45" i="2"/>
  <c r="W45" i="2"/>
  <c r="V45" i="2"/>
  <c r="U45" i="2"/>
  <c r="T45" i="2"/>
  <c r="S45" i="2"/>
  <c r="R45" i="2"/>
  <c r="Q45" i="2"/>
  <c r="F45" i="2"/>
  <c r="E45" i="2"/>
  <c r="D45" i="2"/>
  <c r="CA44" i="2"/>
  <c r="BZ44" i="2"/>
  <c r="BY44" i="2"/>
  <c r="BX44" i="2"/>
  <c r="BW44" i="2"/>
  <c r="BV44" i="2"/>
  <c r="BU44" i="2"/>
  <c r="BT44" i="2"/>
  <c r="BS44" i="2"/>
  <c r="BR44" i="2"/>
  <c r="BQ44" i="2"/>
  <c r="BP44" i="2"/>
  <c r="BO44" i="2"/>
  <c r="BN44" i="2"/>
  <c r="BM44" i="2"/>
  <c r="BL44" i="2"/>
  <c r="BK44" i="2"/>
  <c r="BJ44" i="2"/>
  <c r="BI44" i="2"/>
  <c r="BH44" i="2"/>
  <c r="BG44" i="2"/>
  <c r="BF44" i="2"/>
  <c r="BE44" i="2"/>
  <c r="BD44" i="2"/>
  <c r="BC44" i="2"/>
  <c r="BB44" i="2"/>
  <c r="BA44" i="2"/>
  <c r="AZ44" i="2"/>
  <c r="AY44" i="2"/>
  <c r="AX44" i="2"/>
  <c r="AW44" i="2"/>
  <c r="AV44" i="2"/>
  <c r="AU44" i="2"/>
  <c r="AT44" i="2"/>
  <c r="AS44" i="2"/>
  <c r="AR44" i="2"/>
  <c r="AQ44" i="2"/>
  <c r="AP44" i="2"/>
  <c r="AO44" i="2"/>
  <c r="AN44" i="2"/>
  <c r="AM44" i="2"/>
  <c r="AL44" i="2"/>
  <c r="AK44" i="2"/>
  <c r="AJ44" i="2"/>
  <c r="AI44" i="2"/>
  <c r="AH44" i="2"/>
  <c r="AG44" i="2"/>
  <c r="AF44" i="2"/>
  <c r="AE44" i="2"/>
  <c r="AD44" i="2"/>
  <c r="AC44" i="2"/>
  <c r="AB44" i="2"/>
  <c r="AA44" i="2"/>
  <c r="Z44" i="2"/>
  <c r="Y44" i="2"/>
  <c r="X44" i="2"/>
  <c r="W44" i="2"/>
  <c r="V44" i="2"/>
  <c r="U44" i="2"/>
  <c r="T44" i="2"/>
  <c r="S44" i="2"/>
  <c r="R44" i="2"/>
  <c r="Q44" i="2"/>
  <c r="F44" i="2"/>
  <c r="E44" i="2"/>
  <c r="D44" i="2"/>
  <c r="CA43" i="2"/>
  <c r="BZ43" i="2"/>
  <c r="BY43" i="2"/>
  <c r="BX43" i="2"/>
  <c r="BW43" i="2"/>
  <c r="BV43" i="2"/>
  <c r="BU43" i="2"/>
  <c r="BT43" i="2"/>
  <c r="BS43" i="2"/>
  <c r="BR43" i="2"/>
  <c r="BQ43" i="2"/>
  <c r="BP43" i="2"/>
  <c r="BO43" i="2"/>
  <c r="BN43" i="2"/>
  <c r="BM43" i="2"/>
  <c r="BL43" i="2"/>
  <c r="BK43" i="2"/>
  <c r="BJ43" i="2"/>
  <c r="BI43" i="2"/>
  <c r="BH43" i="2"/>
  <c r="BG43" i="2"/>
  <c r="BF43" i="2"/>
  <c r="BE43" i="2"/>
  <c r="BD43" i="2"/>
  <c r="BC43" i="2"/>
  <c r="BB43" i="2"/>
  <c r="BA43" i="2"/>
  <c r="AZ43" i="2"/>
  <c r="AY43" i="2"/>
  <c r="AX43" i="2"/>
  <c r="AW43" i="2"/>
  <c r="AV43" i="2"/>
  <c r="AU43" i="2"/>
  <c r="AT43" i="2"/>
  <c r="AS43" i="2"/>
  <c r="AR43" i="2"/>
  <c r="AQ43" i="2"/>
  <c r="AP43" i="2"/>
  <c r="AO43" i="2"/>
  <c r="AN43" i="2"/>
  <c r="AM43" i="2"/>
  <c r="AL43" i="2"/>
  <c r="AK43" i="2"/>
  <c r="AJ43" i="2"/>
  <c r="AI43" i="2"/>
  <c r="AH43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F43" i="2"/>
  <c r="E43" i="2"/>
  <c r="D43" i="2"/>
  <c r="CA42" i="2"/>
  <c r="BZ42" i="2"/>
  <c r="BY42" i="2"/>
  <c r="BX42" i="2"/>
  <c r="BW42" i="2"/>
  <c r="BV42" i="2"/>
  <c r="BU42" i="2"/>
  <c r="BT42" i="2"/>
  <c r="BS42" i="2"/>
  <c r="BR42" i="2"/>
  <c r="BQ42" i="2"/>
  <c r="BP42" i="2"/>
  <c r="BO42" i="2"/>
  <c r="BN42" i="2"/>
  <c r="BM42" i="2"/>
  <c r="BL42" i="2"/>
  <c r="BK42" i="2"/>
  <c r="BJ42" i="2"/>
  <c r="BI42" i="2"/>
  <c r="BH42" i="2"/>
  <c r="BG42" i="2"/>
  <c r="BF42" i="2"/>
  <c r="BE42" i="2"/>
  <c r="BD42" i="2"/>
  <c r="BC42" i="2"/>
  <c r="BB42" i="2"/>
  <c r="BA42" i="2"/>
  <c r="AZ42" i="2"/>
  <c r="AY42" i="2"/>
  <c r="AX42" i="2"/>
  <c r="AW42" i="2"/>
  <c r="AV42" i="2"/>
  <c r="AU42" i="2"/>
  <c r="AT42" i="2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F42" i="2"/>
  <c r="E42" i="2"/>
  <c r="D42" i="2"/>
  <c r="CA41" i="2"/>
  <c r="BZ41" i="2"/>
  <c r="BY41" i="2"/>
  <c r="BX41" i="2"/>
  <c r="BW41" i="2"/>
  <c r="BV41" i="2"/>
  <c r="BU41" i="2"/>
  <c r="BT41" i="2"/>
  <c r="BS41" i="2"/>
  <c r="BR41" i="2"/>
  <c r="BQ41" i="2"/>
  <c r="BP41" i="2"/>
  <c r="BO41" i="2"/>
  <c r="BN41" i="2"/>
  <c r="BM41" i="2"/>
  <c r="BL41" i="2"/>
  <c r="BK41" i="2"/>
  <c r="BJ41" i="2"/>
  <c r="BI41" i="2"/>
  <c r="BH41" i="2"/>
  <c r="BG41" i="2"/>
  <c r="BF41" i="2"/>
  <c r="BE41" i="2"/>
  <c r="BD41" i="2"/>
  <c r="BC41" i="2"/>
  <c r="BB41" i="2"/>
  <c r="BA41" i="2"/>
  <c r="AZ41" i="2"/>
  <c r="AY41" i="2"/>
  <c r="AX41" i="2"/>
  <c r="AW41" i="2"/>
  <c r="AV41" i="2"/>
  <c r="AU41" i="2"/>
  <c r="AT41" i="2"/>
  <c r="AS41" i="2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F41" i="2"/>
  <c r="E41" i="2"/>
  <c r="D41" i="2"/>
  <c r="CA40" i="2"/>
  <c r="BZ40" i="2"/>
  <c r="BY40" i="2"/>
  <c r="BX40" i="2"/>
  <c r="BW40" i="2"/>
  <c r="BV40" i="2"/>
  <c r="BU40" i="2"/>
  <c r="BT40" i="2"/>
  <c r="BS40" i="2"/>
  <c r="BR40" i="2"/>
  <c r="BQ40" i="2"/>
  <c r="BP40" i="2"/>
  <c r="BO40" i="2"/>
  <c r="BN40" i="2"/>
  <c r="BM40" i="2"/>
  <c r="BL40" i="2"/>
  <c r="BK40" i="2"/>
  <c r="BJ40" i="2"/>
  <c r="BI40" i="2"/>
  <c r="BH40" i="2"/>
  <c r="BG40" i="2"/>
  <c r="BF40" i="2"/>
  <c r="BE40" i="2"/>
  <c r="BD40" i="2"/>
  <c r="BC40" i="2"/>
  <c r="BB40" i="2"/>
  <c r="BA40" i="2"/>
  <c r="AZ40" i="2"/>
  <c r="AY40" i="2"/>
  <c r="AX40" i="2"/>
  <c r="AW40" i="2"/>
  <c r="AV40" i="2"/>
  <c r="AU40" i="2"/>
  <c r="AT40" i="2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F40" i="2"/>
  <c r="E40" i="2"/>
  <c r="D40" i="2"/>
  <c r="CA39" i="2"/>
  <c r="BZ39" i="2"/>
  <c r="BY39" i="2"/>
  <c r="BX39" i="2"/>
  <c r="BW39" i="2"/>
  <c r="BV39" i="2"/>
  <c r="BU39" i="2"/>
  <c r="BT39" i="2"/>
  <c r="BS39" i="2"/>
  <c r="BR39" i="2"/>
  <c r="BQ39" i="2"/>
  <c r="BP39" i="2"/>
  <c r="BO39" i="2"/>
  <c r="BN39" i="2"/>
  <c r="BM39" i="2"/>
  <c r="BL39" i="2"/>
  <c r="BK39" i="2"/>
  <c r="BJ39" i="2"/>
  <c r="BI39" i="2"/>
  <c r="BH39" i="2"/>
  <c r="BG39" i="2"/>
  <c r="BF39" i="2"/>
  <c r="BE39" i="2"/>
  <c r="BD39" i="2"/>
  <c r="BC39" i="2"/>
  <c r="BB39" i="2"/>
  <c r="BA39" i="2"/>
  <c r="AZ39" i="2"/>
  <c r="AY39" i="2"/>
  <c r="AX39" i="2"/>
  <c r="AW39" i="2"/>
  <c r="AV39" i="2"/>
  <c r="AU39" i="2"/>
  <c r="AT39" i="2"/>
  <c r="AS39" i="2"/>
  <c r="AR39" i="2"/>
  <c r="AQ39" i="2"/>
  <c r="AP39" i="2"/>
  <c r="AO39" i="2"/>
  <c r="AN39" i="2"/>
  <c r="AM39" i="2"/>
  <c r="AL39" i="2"/>
  <c r="AK39" i="2"/>
  <c r="AJ39" i="2"/>
  <c r="AI39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F39" i="2"/>
  <c r="E39" i="2"/>
  <c r="D39" i="2"/>
  <c r="CA38" i="2"/>
  <c r="BZ38" i="2"/>
  <c r="BY38" i="2"/>
  <c r="BX38" i="2"/>
  <c r="BW38" i="2"/>
  <c r="BV38" i="2"/>
  <c r="BU38" i="2"/>
  <c r="BT38" i="2"/>
  <c r="BS38" i="2"/>
  <c r="BR38" i="2"/>
  <c r="BQ38" i="2"/>
  <c r="BP38" i="2"/>
  <c r="BO38" i="2"/>
  <c r="BN38" i="2"/>
  <c r="BM38" i="2"/>
  <c r="BL38" i="2"/>
  <c r="BK38" i="2"/>
  <c r="BJ38" i="2"/>
  <c r="BI38" i="2"/>
  <c r="BH38" i="2"/>
  <c r="BG38" i="2"/>
  <c r="BF38" i="2"/>
  <c r="BE38" i="2"/>
  <c r="BD38" i="2"/>
  <c r="BC38" i="2"/>
  <c r="BB38" i="2"/>
  <c r="BA38" i="2"/>
  <c r="AZ38" i="2"/>
  <c r="AY38" i="2"/>
  <c r="AX38" i="2"/>
  <c r="AW38" i="2"/>
  <c r="AV38" i="2"/>
  <c r="AU38" i="2"/>
  <c r="AT38" i="2"/>
  <c r="AS38" i="2"/>
  <c r="AR38" i="2"/>
  <c r="AQ38" i="2"/>
  <c r="AP38" i="2"/>
  <c r="AO38" i="2"/>
  <c r="AN38" i="2"/>
  <c r="AM38" i="2"/>
  <c r="AL38" i="2"/>
  <c r="AK38" i="2"/>
  <c r="AJ38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F38" i="2"/>
  <c r="E38" i="2"/>
  <c r="D38" i="2"/>
  <c r="CA37" i="2"/>
  <c r="BZ37" i="2"/>
  <c r="BY37" i="2"/>
  <c r="BX37" i="2"/>
  <c r="BW37" i="2"/>
  <c r="BV37" i="2"/>
  <c r="BU37" i="2"/>
  <c r="BT37" i="2"/>
  <c r="BS37" i="2"/>
  <c r="BR37" i="2"/>
  <c r="BQ37" i="2"/>
  <c r="BP37" i="2"/>
  <c r="BO37" i="2"/>
  <c r="BN37" i="2"/>
  <c r="BM37" i="2"/>
  <c r="BL37" i="2"/>
  <c r="BK37" i="2"/>
  <c r="BJ37" i="2"/>
  <c r="BI37" i="2"/>
  <c r="BH37" i="2"/>
  <c r="BG37" i="2"/>
  <c r="BF37" i="2"/>
  <c r="BE37" i="2"/>
  <c r="BD37" i="2"/>
  <c r="BC37" i="2"/>
  <c r="BB37" i="2"/>
  <c r="BA37" i="2"/>
  <c r="AZ37" i="2"/>
  <c r="AY37" i="2"/>
  <c r="AX37" i="2"/>
  <c r="AW37" i="2"/>
  <c r="AV37" i="2"/>
  <c r="AU37" i="2"/>
  <c r="AT37" i="2"/>
  <c r="AS37" i="2"/>
  <c r="AR37" i="2"/>
  <c r="AQ37" i="2"/>
  <c r="AP37" i="2"/>
  <c r="AO37" i="2"/>
  <c r="AN37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F37" i="2"/>
  <c r="E37" i="2"/>
  <c r="D37" i="2"/>
  <c r="CA36" i="2"/>
  <c r="BZ36" i="2"/>
  <c r="BY36" i="2"/>
  <c r="BX36" i="2"/>
  <c r="BW36" i="2"/>
  <c r="BV36" i="2"/>
  <c r="BU36" i="2"/>
  <c r="BT36" i="2"/>
  <c r="BS36" i="2"/>
  <c r="BR36" i="2"/>
  <c r="BQ36" i="2"/>
  <c r="BP36" i="2"/>
  <c r="BO36" i="2"/>
  <c r="BN36" i="2"/>
  <c r="BM36" i="2"/>
  <c r="BL36" i="2"/>
  <c r="BK36" i="2"/>
  <c r="BJ36" i="2"/>
  <c r="BI36" i="2"/>
  <c r="BH36" i="2"/>
  <c r="BG36" i="2"/>
  <c r="BF36" i="2"/>
  <c r="BE36" i="2"/>
  <c r="BD36" i="2"/>
  <c r="BC36" i="2"/>
  <c r="BB36" i="2"/>
  <c r="BA36" i="2"/>
  <c r="AZ36" i="2"/>
  <c r="AY36" i="2"/>
  <c r="AX36" i="2"/>
  <c r="AW36" i="2"/>
  <c r="AV36" i="2"/>
  <c r="AU36" i="2"/>
  <c r="AT36" i="2"/>
  <c r="AS36" i="2"/>
  <c r="AR36" i="2"/>
  <c r="AQ36" i="2"/>
  <c r="AP36" i="2"/>
  <c r="AO36" i="2"/>
  <c r="AN36" i="2"/>
  <c r="AM36" i="2"/>
  <c r="AL36" i="2"/>
  <c r="AK36" i="2"/>
  <c r="AJ36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F36" i="2"/>
  <c r="E36" i="2"/>
  <c r="D36" i="2"/>
  <c r="CA35" i="2"/>
  <c r="BZ35" i="2"/>
  <c r="BY35" i="2"/>
  <c r="BX35" i="2"/>
  <c r="BW35" i="2"/>
  <c r="BV35" i="2"/>
  <c r="BU35" i="2"/>
  <c r="BT35" i="2"/>
  <c r="BS35" i="2"/>
  <c r="BR35" i="2"/>
  <c r="BQ35" i="2"/>
  <c r="BP35" i="2"/>
  <c r="BO35" i="2"/>
  <c r="BN35" i="2"/>
  <c r="BM35" i="2"/>
  <c r="BL35" i="2"/>
  <c r="BK35" i="2"/>
  <c r="BJ35" i="2"/>
  <c r="BI35" i="2"/>
  <c r="BH35" i="2"/>
  <c r="BG35" i="2"/>
  <c r="BF35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F35" i="2"/>
  <c r="E35" i="2"/>
  <c r="D35" i="2"/>
  <c r="CA34" i="2"/>
  <c r="BZ34" i="2"/>
  <c r="BY34" i="2"/>
  <c r="BX34" i="2"/>
  <c r="BW34" i="2"/>
  <c r="BV34" i="2"/>
  <c r="BU34" i="2"/>
  <c r="BT34" i="2"/>
  <c r="BS34" i="2"/>
  <c r="BR34" i="2"/>
  <c r="BQ34" i="2"/>
  <c r="BP34" i="2"/>
  <c r="BO34" i="2"/>
  <c r="BN34" i="2"/>
  <c r="BM34" i="2"/>
  <c r="BL34" i="2"/>
  <c r="BK34" i="2"/>
  <c r="BJ34" i="2"/>
  <c r="BI34" i="2"/>
  <c r="BH34" i="2"/>
  <c r="BG34" i="2"/>
  <c r="BF34" i="2"/>
  <c r="BE34" i="2"/>
  <c r="BD34" i="2"/>
  <c r="BC34" i="2"/>
  <c r="BB34" i="2"/>
  <c r="BA34" i="2"/>
  <c r="AZ34" i="2"/>
  <c r="AY34" i="2"/>
  <c r="AX34" i="2"/>
  <c r="AW34" i="2"/>
  <c r="AV34" i="2"/>
  <c r="AU34" i="2"/>
  <c r="AT34" i="2"/>
  <c r="AS34" i="2"/>
  <c r="AR34" i="2"/>
  <c r="AQ34" i="2"/>
  <c r="AP34" i="2"/>
  <c r="AO34" i="2"/>
  <c r="AN34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F34" i="2"/>
  <c r="E34" i="2"/>
  <c r="D34" i="2"/>
  <c r="CA33" i="2"/>
  <c r="BZ33" i="2"/>
  <c r="BY33" i="2"/>
  <c r="BX33" i="2"/>
  <c r="BW33" i="2"/>
  <c r="BV33" i="2"/>
  <c r="BU33" i="2"/>
  <c r="BT33" i="2"/>
  <c r="BS33" i="2"/>
  <c r="BR33" i="2"/>
  <c r="BQ33" i="2"/>
  <c r="BP33" i="2"/>
  <c r="BO33" i="2"/>
  <c r="BN33" i="2"/>
  <c r="BM33" i="2"/>
  <c r="BL33" i="2"/>
  <c r="BK33" i="2"/>
  <c r="BJ33" i="2"/>
  <c r="BI33" i="2"/>
  <c r="BH33" i="2"/>
  <c r="BG33" i="2"/>
  <c r="BF33" i="2"/>
  <c r="BE33" i="2"/>
  <c r="BD33" i="2"/>
  <c r="BC33" i="2"/>
  <c r="BB33" i="2"/>
  <c r="BA33" i="2"/>
  <c r="AZ33" i="2"/>
  <c r="AY33" i="2"/>
  <c r="AX33" i="2"/>
  <c r="AW33" i="2"/>
  <c r="AV33" i="2"/>
  <c r="AU33" i="2"/>
  <c r="AT33" i="2"/>
  <c r="AS33" i="2"/>
  <c r="AR33" i="2"/>
  <c r="AQ33" i="2"/>
  <c r="AP33" i="2"/>
  <c r="AO33" i="2"/>
  <c r="AN33" i="2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F33" i="2"/>
  <c r="E33" i="2"/>
  <c r="D33" i="2"/>
  <c r="CA32" i="2"/>
  <c r="BZ32" i="2"/>
  <c r="BY32" i="2"/>
  <c r="BX32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BI32" i="2"/>
  <c r="BH32" i="2"/>
  <c r="BG32" i="2"/>
  <c r="BF32" i="2"/>
  <c r="BE32" i="2"/>
  <c r="BD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F32" i="2"/>
  <c r="E32" i="2"/>
  <c r="D32" i="2"/>
  <c r="CA31" i="2"/>
  <c r="BZ31" i="2"/>
  <c r="BY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F31" i="2"/>
  <c r="E31" i="2"/>
  <c r="D31" i="2"/>
  <c r="CA30" i="2"/>
  <c r="BZ30" i="2"/>
  <c r="BY30" i="2"/>
  <c r="BX30" i="2"/>
  <c r="BW30" i="2"/>
  <c r="BV30" i="2"/>
  <c r="BU30" i="2"/>
  <c r="BT30" i="2"/>
  <c r="BS30" i="2"/>
  <c r="BR30" i="2"/>
  <c r="BQ30" i="2"/>
  <c r="BP30" i="2"/>
  <c r="BO30" i="2"/>
  <c r="BN30" i="2"/>
  <c r="BM30" i="2"/>
  <c r="BL30" i="2"/>
  <c r="BK30" i="2"/>
  <c r="BJ30" i="2"/>
  <c r="BI30" i="2"/>
  <c r="BH30" i="2"/>
  <c r="BG30" i="2"/>
  <c r="BF30" i="2"/>
  <c r="BE30" i="2"/>
  <c r="BD30" i="2"/>
  <c r="BC30" i="2"/>
  <c r="BB30" i="2"/>
  <c r="BA30" i="2"/>
  <c r="AZ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F30" i="2"/>
  <c r="E30" i="2"/>
  <c r="D30" i="2"/>
  <c r="CA29" i="2"/>
  <c r="BZ29" i="2"/>
  <c r="BY29" i="2"/>
  <c r="BX29" i="2"/>
  <c r="BW29" i="2"/>
  <c r="BV29" i="2"/>
  <c r="BU29" i="2"/>
  <c r="BT29" i="2"/>
  <c r="BS29" i="2"/>
  <c r="BR29" i="2"/>
  <c r="BQ29" i="2"/>
  <c r="BP29" i="2"/>
  <c r="BO29" i="2"/>
  <c r="BN29" i="2"/>
  <c r="BM29" i="2"/>
  <c r="BL29" i="2"/>
  <c r="BK29" i="2"/>
  <c r="BJ29" i="2"/>
  <c r="BI29" i="2"/>
  <c r="BH29" i="2"/>
  <c r="BG29" i="2"/>
  <c r="BF29" i="2"/>
  <c r="BE29" i="2"/>
  <c r="BD29" i="2"/>
  <c r="BC29" i="2"/>
  <c r="BB29" i="2"/>
  <c r="BA29" i="2"/>
  <c r="AZ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F29" i="2"/>
  <c r="E29" i="2"/>
  <c r="D29" i="2"/>
  <c r="CA28" i="2"/>
  <c r="BZ28" i="2"/>
  <c r="BY28" i="2"/>
  <c r="BX28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F28" i="2"/>
  <c r="E28" i="2"/>
  <c r="D28" i="2"/>
  <c r="CA27" i="2"/>
  <c r="BZ27" i="2"/>
  <c r="BY27" i="2"/>
  <c r="BX27" i="2"/>
  <c r="BW27" i="2"/>
  <c r="BV27" i="2"/>
  <c r="BU27" i="2"/>
  <c r="BT27" i="2"/>
  <c r="BS27" i="2"/>
  <c r="BR27" i="2"/>
  <c r="BQ27" i="2"/>
  <c r="BP27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BB27" i="2"/>
  <c r="BA27" i="2"/>
  <c r="AZ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F27" i="2"/>
  <c r="E27" i="2"/>
  <c r="D27" i="2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F26" i="2"/>
  <c r="E26" i="2"/>
  <c r="D26" i="2"/>
  <c r="CA25" i="2"/>
  <c r="BZ25" i="2"/>
  <c r="BY25" i="2"/>
  <c r="BX25" i="2"/>
  <c r="BW25" i="2"/>
  <c r="BV25" i="2"/>
  <c r="BU25" i="2"/>
  <c r="BT25" i="2"/>
  <c r="BS25" i="2"/>
  <c r="BR25" i="2"/>
  <c r="BQ25" i="2"/>
  <c r="BP25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F25" i="2"/>
  <c r="E25" i="2"/>
  <c r="D25" i="2"/>
  <c r="CA24" i="2"/>
  <c r="BZ24" i="2"/>
  <c r="BY24" i="2"/>
  <c r="BX24" i="2"/>
  <c r="BW24" i="2"/>
  <c r="BV24" i="2"/>
  <c r="BU24" i="2"/>
  <c r="BT24" i="2"/>
  <c r="BS24" i="2"/>
  <c r="BR24" i="2"/>
  <c r="BQ24" i="2"/>
  <c r="BP24" i="2"/>
  <c r="BO24" i="2"/>
  <c r="BN24" i="2"/>
  <c r="BM24" i="2"/>
  <c r="BL24" i="2"/>
  <c r="BK24" i="2"/>
  <c r="BJ24" i="2"/>
  <c r="BI24" i="2"/>
  <c r="BH24" i="2"/>
  <c r="BG24" i="2"/>
  <c r="BF24" i="2"/>
  <c r="BE24" i="2"/>
  <c r="BD24" i="2"/>
  <c r="BC24" i="2"/>
  <c r="BB24" i="2"/>
  <c r="BA24" i="2"/>
  <c r="AZ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F24" i="2"/>
  <c r="E24" i="2"/>
  <c r="D24" i="2"/>
  <c r="CA23" i="2"/>
  <c r="BZ23" i="2"/>
  <c r="BY23" i="2"/>
  <c r="BX23" i="2"/>
  <c r="BW23" i="2"/>
  <c r="BV23" i="2"/>
  <c r="BU23" i="2"/>
  <c r="BT23" i="2"/>
  <c r="BS23" i="2"/>
  <c r="BR23" i="2"/>
  <c r="BQ23" i="2"/>
  <c r="BP23" i="2"/>
  <c r="BO23" i="2"/>
  <c r="BN23" i="2"/>
  <c r="BM23" i="2"/>
  <c r="BL23" i="2"/>
  <c r="BK23" i="2"/>
  <c r="BJ23" i="2"/>
  <c r="BI23" i="2"/>
  <c r="BH23" i="2"/>
  <c r="BG23" i="2"/>
  <c r="BF23" i="2"/>
  <c r="BE23" i="2"/>
  <c r="BD23" i="2"/>
  <c r="BC23" i="2"/>
  <c r="BB23" i="2"/>
  <c r="BA23" i="2"/>
  <c r="AZ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F23" i="2"/>
  <c r="E23" i="2"/>
  <c r="D23" i="2"/>
  <c r="CA22" i="2"/>
  <c r="BZ22" i="2"/>
  <c r="BY22" i="2"/>
  <c r="BX22" i="2"/>
  <c r="BW22" i="2"/>
  <c r="BV22" i="2"/>
  <c r="BU22" i="2"/>
  <c r="BT22" i="2"/>
  <c r="BS22" i="2"/>
  <c r="BR22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F22" i="2"/>
  <c r="E22" i="2"/>
  <c r="D22" i="2"/>
  <c r="CA21" i="2"/>
  <c r="BZ21" i="2"/>
  <c r="BY21" i="2"/>
  <c r="BX21" i="2"/>
  <c r="BW21" i="2"/>
  <c r="BV21" i="2"/>
  <c r="BU21" i="2"/>
  <c r="BT21" i="2"/>
  <c r="BS21" i="2"/>
  <c r="BR21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F21" i="2"/>
  <c r="E21" i="2"/>
  <c r="D21" i="2"/>
  <c r="CA20" i="2"/>
  <c r="BZ20" i="2"/>
  <c r="BY20" i="2"/>
  <c r="BX20" i="2"/>
  <c r="BW20" i="2"/>
  <c r="BV20" i="2"/>
  <c r="BU20" i="2"/>
  <c r="BT20" i="2"/>
  <c r="BS20" i="2"/>
  <c r="BR20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F20" i="2"/>
  <c r="E20" i="2"/>
  <c r="D20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F19" i="2"/>
  <c r="E19" i="2"/>
  <c r="D19" i="2"/>
  <c r="CA18" i="2"/>
  <c r="BZ18" i="2"/>
  <c r="BY18" i="2"/>
  <c r="BX18" i="2"/>
  <c r="BW18" i="2"/>
  <c r="BV18" i="2"/>
  <c r="BU18" i="2"/>
  <c r="BT18" i="2"/>
  <c r="BS18" i="2"/>
  <c r="BR18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F18" i="2"/>
  <c r="E18" i="2"/>
  <c r="D18" i="2"/>
  <c r="CA17" i="2"/>
  <c r="BZ17" i="2"/>
  <c r="BY17" i="2"/>
  <c r="BX17" i="2"/>
  <c r="BW17" i="2"/>
  <c r="BV17" i="2"/>
  <c r="BU17" i="2"/>
  <c r="BT17" i="2"/>
  <c r="BS17" i="2"/>
  <c r="BR17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F17" i="2"/>
  <c r="E17" i="2"/>
  <c r="D17" i="2"/>
  <c r="CA16" i="2"/>
  <c r="BZ16" i="2"/>
  <c r="BY16" i="2"/>
  <c r="BX16" i="2"/>
  <c r="BW16" i="2"/>
  <c r="BV16" i="2"/>
  <c r="BU16" i="2"/>
  <c r="BT16" i="2"/>
  <c r="BS16" i="2"/>
  <c r="BR16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F16" i="2"/>
  <c r="E16" i="2"/>
  <c r="D16" i="2"/>
  <c r="CA15" i="2"/>
  <c r="BZ15" i="2"/>
  <c r="BY15" i="2"/>
  <c r="BX15" i="2"/>
  <c r="BW15" i="2"/>
  <c r="BV15" i="2"/>
  <c r="BU15" i="2"/>
  <c r="BT15" i="2"/>
  <c r="BS15" i="2"/>
  <c r="BR15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F15" i="2"/>
  <c r="E15" i="2"/>
  <c r="D15" i="2"/>
  <c r="CA14" i="2"/>
  <c r="BZ14" i="2"/>
  <c r="BY14" i="2"/>
  <c r="BX14" i="2"/>
  <c r="BW14" i="2"/>
  <c r="BV14" i="2"/>
  <c r="BU14" i="2"/>
  <c r="BT14" i="2"/>
  <c r="BS14" i="2"/>
  <c r="BR14" i="2"/>
  <c r="BQ14" i="2"/>
  <c r="BP14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F14" i="2"/>
  <c r="E14" i="2"/>
  <c r="D14" i="2"/>
  <c r="CA13" i="2"/>
  <c r="BZ13" i="2"/>
  <c r="BY13" i="2"/>
  <c r="BX13" i="2"/>
  <c r="BW13" i="2"/>
  <c r="BV13" i="2"/>
  <c r="BU13" i="2"/>
  <c r="BT13" i="2"/>
  <c r="BS13" i="2"/>
  <c r="BR13" i="2"/>
  <c r="BQ13" i="2"/>
  <c r="BP13" i="2"/>
  <c r="BO13" i="2"/>
  <c r="BN13" i="2"/>
  <c r="BM13" i="2"/>
  <c r="BL13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F13" i="2"/>
  <c r="E13" i="2"/>
  <c r="D13" i="2"/>
  <c r="CA12" i="2"/>
  <c r="BZ12" i="2"/>
  <c r="BY12" i="2"/>
  <c r="BX12" i="2"/>
  <c r="BW12" i="2"/>
  <c r="BV12" i="2"/>
  <c r="BU12" i="2"/>
  <c r="BT12" i="2"/>
  <c r="BS12" i="2"/>
  <c r="BR12" i="2"/>
  <c r="BQ12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F12" i="2"/>
  <c r="E12" i="2"/>
  <c r="D12" i="2"/>
  <c r="CA11" i="2"/>
  <c r="BZ11" i="2"/>
  <c r="BY11" i="2"/>
  <c r="BX11" i="2"/>
  <c r="BW11" i="2"/>
  <c r="BV11" i="2"/>
  <c r="BU11" i="2"/>
  <c r="BT11" i="2"/>
  <c r="BS11" i="2"/>
  <c r="BR11" i="2"/>
  <c r="BQ11" i="2"/>
  <c r="BP11" i="2"/>
  <c r="BO11" i="2"/>
  <c r="BN11" i="2"/>
  <c r="BM11" i="2"/>
  <c r="BL11" i="2"/>
  <c r="BK11" i="2"/>
  <c r="BJ11" i="2"/>
  <c r="BI11" i="2"/>
  <c r="BH11" i="2"/>
  <c r="BG11" i="2"/>
  <c r="BF11" i="2"/>
  <c r="BE11" i="2"/>
  <c r="BD11" i="2"/>
  <c r="BC11" i="2"/>
  <c r="BB11" i="2"/>
  <c r="BA11" i="2"/>
  <c r="AZ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F11" i="2"/>
  <c r="E11" i="2"/>
  <c r="D11" i="2"/>
  <c r="CA10" i="2"/>
  <c r="BZ10" i="2"/>
  <c r="BY10" i="2"/>
  <c r="BX10" i="2"/>
  <c r="BW10" i="2"/>
  <c r="BV10" i="2"/>
  <c r="BU10" i="2"/>
  <c r="BT10" i="2"/>
  <c r="BS10" i="2"/>
  <c r="BR10" i="2"/>
  <c r="BQ10" i="2"/>
  <c r="BP10" i="2"/>
  <c r="BO10" i="2"/>
  <c r="BN10" i="2"/>
  <c r="BM10" i="2"/>
  <c r="BL10" i="2"/>
  <c r="BK10" i="2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F10" i="2"/>
  <c r="E10" i="2"/>
  <c r="D10" i="2"/>
  <c r="CA9" i="2"/>
  <c r="BZ9" i="2"/>
  <c r="BY9" i="2"/>
  <c r="BX9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F9" i="2"/>
  <c r="E9" i="2"/>
  <c r="D9" i="2"/>
  <c r="CA8" i="2"/>
  <c r="BZ8" i="2"/>
  <c r="BY8" i="2"/>
  <c r="BX8" i="2"/>
  <c r="BW8" i="2"/>
  <c r="BV8" i="2"/>
  <c r="BU8" i="2"/>
  <c r="BT8" i="2"/>
  <c r="BS8" i="2"/>
  <c r="BR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F8" i="2"/>
  <c r="E8" i="2"/>
  <c r="D8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F7" i="2"/>
  <c r="E7" i="2"/>
  <c r="D7" i="2"/>
  <c r="CA6" i="2"/>
  <c r="BZ6" i="2"/>
  <c r="BY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F6" i="2"/>
  <c r="E6" i="2"/>
  <c r="D6" i="2"/>
  <c r="CA5" i="2"/>
  <c r="BZ5" i="2"/>
  <c r="BY5" i="2"/>
  <c r="BX5" i="2"/>
  <c r="BW5" i="2"/>
  <c r="BV5" i="2"/>
  <c r="BU5" i="2"/>
  <c r="BT5" i="2"/>
  <c r="BS5" i="2"/>
  <c r="BR5" i="2"/>
  <c r="BQ5" i="2"/>
  <c r="BP5" i="2"/>
  <c r="BO5" i="2"/>
  <c r="BN5" i="2"/>
  <c r="BM5" i="2"/>
  <c r="BL5" i="2"/>
  <c r="BK5" i="2"/>
  <c r="BJ5" i="2"/>
  <c r="BI5" i="2"/>
  <c r="BH5" i="2"/>
  <c r="BG5" i="2"/>
  <c r="BF5" i="2"/>
  <c r="BE5" i="2"/>
  <c r="BD5" i="2"/>
  <c r="BC5" i="2"/>
  <c r="BB5" i="2"/>
  <c r="BA5" i="2"/>
  <c r="AZ5" i="2"/>
  <c r="AY5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F5" i="2"/>
  <c r="E5" i="2"/>
  <c r="D5" i="2"/>
  <c r="CE4" i="2"/>
  <c r="CA4" i="2"/>
  <c r="BZ4" i="2"/>
  <c r="BY4" i="2"/>
  <c r="BX4" i="2"/>
  <c r="BW4" i="2"/>
  <c r="BV4" i="2"/>
  <c r="BU4" i="2"/>
  <c r="BT4" i="2"/>
  <c r="BS4" i="2"/>
  <c r="BR4" i="2"/>
  <c r="BQ4" i="2"/>
  <c r="BP4" i="2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BB4" i="2"/>
  <c r="BA4" i="2"/>
  <c r="AZ4" i="2"/>
  <c r="AY4" i="2"/>
  <c r="AX4" i="2"/>
  <c r="AW4" i="2"/>
  <c r="AV4" i="2"/>
  <c r="AU4" i="2"/>
  <c r="AT4" i="2"/>
  <c r="AS4" i="2"/>
  <c r="AR4" i="2"/>
  <c r="AQ4" i="2"/>
  <c r="AP4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F4" i="2"/>
  <c r="E4" i="2"/>
  <c r="D4" i="2"/>
  <c r="CA3" i="2"/>
  <c r="BZ3" i="2"/>
  <c r="BY3" i="2"/>
  <c r="BX3" i="2"/>
  <c r="BW3" i="2"/>
  <c r="BV3" i="2"/>
  <c r="BU3" i="2"/>
  <c r="BT3" i="2"/>
  <c r="BS3" i="2"/>
  <c r="BR3" i="2"/>
  <c r="BQ3" i="2"/>
  <c r="BP3" i="2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F3" i="2"/>
  <c r="E3" i="2"/>
  <c r="D3" i="2"/>
  <c r="CA2" i="2"/>
  <c r="BZ2" i="2"/>
  <c r="BY2" i="2"/>
  <c r="BX2" i="2"/>
  <c r="BW2" i="2"/>
  <c r="BV2" i="2"/>
  <c r="BU2" i="2"/>
  <c r="BT2" i="2"/>
  <c r="BS2" i="2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AY2" i="2"/>
  <c r="AX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AH2" i="2"/>
  <c r="AG2" i="2"/>
  <c r="AF2" i="2"/>
  <c r="W2" i="2"/>
  <c r="V2" i="2"/>
  <c r="U2" i="2"/>
  <c r="T2" i="2"/>
  <c r="S2" i="2"/>
  <c r="R2" i="2"/>
  <c r="Q2" i="2"/>
  <c r="F2" i="2"/>
  <c r="E2" i="2"/>
  <c r="D2" i="2"/>
  <c r="F1" i="2"/>
  <c r="H4" i="1"/>
  <c r="J2" i="1"/>
  <c r="J1" i="1"/>
  <c r="E1" i="1" a="1"/>
  <c r="E1" i="1" s="1"/>
  <c r="B4" i="10" s="1"/>
  <c r="M123" i="16"/>
  <c r="I123" i="16"/>
  <c r="M122" i="16"/>
  <c r="I122" i="16"/>
  <c r="M121" i="16"/>
  <c r="I121" i="16"/>
  <c r="M120" i="16"/>
  <c r="I120" i="16"/>
  <c r="M119" i="16"/>
  <c r="I119" i="16"/>
  <c r="M118" i="16"/>
  <c r="I118" i="16"/>
  <c r="M117" i="16"/>
  <c r="I117" i="16"/>
  <c r="M116" i="16"/>
  <c r="I116" i="16"/>
  <c r="M115" i="16"/>
  <c r="I115" i="16"/>
  <c r="M114" i="16"/>
  <c r="I114" i="16"/>
  <c r="M113" i="16"/>
  <c r="I113" i="16"/>
  <c r="M112" i="16"/>
  <c r="I112" i="16"/>
  <c r="M111" i="16"/>
  <c r="I111" i="16"/>
  <c r="M110" i="16"/>
  <c r="I110" i="16"/>
  <c r="M109" i="16"/>
  <c r="I109" i="16"/>
  <c r="M108" i="16"/>
  <c r="I108" i="16"/>
  <c r="M107" i="16"/>
  <c r="I107" i="16"/>
  <c r="M106" i="16"/>
  <c r="I106" i="16"/>
  <c r="M105" i="16"/>
  <c r="I105" i="16"/>
  <c r="M104" i="16"/>
  <c r="I104" i="16"/>
  <c r="M103" i="16"/>
  <c r="I103" i="16"/>
  <c r="M102" i="16"/>
  <c r="I102" i="16"/>
  <c r="M101" i="16"/>
  <c r="I101" i="16"/>
  <c r="M100" i="16"/>
  <c r="I100" i="16"/>
  <c r="M99" i="16"/>
  <c r="I99" i="16"/>
  <c r="M98" i="16"/>
  <c r="I98" i="16"/>
  <c r="M97" i="16"/>
  <c r="I97" i="16"/>
  <c r="M96" i="16"/>
  <c r="I96" i="16"/>
  <c r="M95" i="16"/>
  <c r="I95" i="16"/>
  <c r="M94" i="16"/>
  <c r="I94" i="16"/>
  <c r="B94" i="16"/>
  <c r="M93" i="16"/>
  <c r="I93" i="16"/>
  <c r="B93" i="16"/>
  <c r="M92" i="16"/>
  <c r="I92" i="16"/>
  <c r="B92" i="16"/>
  <c r="M91" i="16"/>
  <c r="I91" i="16"/>
  <c r="B91" i="16"/>
  <c r="M90" i="16"/>
  <c r="I90" i="16"/>
  <c r="B90" i="16"/>
  <c r="M89" i="16"/>
  <c r="I89" i="16"/>
  <c r="B89" i="16"/>
  <c r="M88" i="16"/>
  <c r="I88" i="16"/>
  <c r="B88" i="16"/>
  <c r="M87" i="16"/>
  <c r="I87" i="16"/>
  <c r="B87" i="16"/>
  <c r="M86" i="16"/>
  <c r="I86" i="16"/>
  <c r="B86" i="16"/>
  <c r="M85" i="16"/>
  <c r="I85" i="16"/>
  <c r="B85" i="16"/>
  <c r="M84" i="16"/>
  <c r="I84" i="16"/>
  <c r="B84" i="16"/>
  <c r="M83" i="16"/>
  <c r="I83" i="16"/>
  <c r="B83" i="16"/>
  <c r="M82" i="16"/>
  <c r="I82" i="16"/>
  <c r="B82" i="16"/>
  <c r="M81" i="16"/>
  <c r="I81" i="16"/>
  <c r="B81" i="16"/>
  <c r="M80" i="16"/>
  <c r="I80" i="16"/>
  <c r="B80" i="16"/>
  <c r="M79" i="16"/>
  <c r="I79" i="16"/>
  <c r="B79" i="16"/>
  <c r="M78" i="16"/>
  <c r="I78" i="16"/>
  <c r="B78" i="16"/>
  <c r="M77" i="16"/>
  <c r="I77" i="16"/>
  <c r="B77" i="16"/>
  <c r="M76" i="16"/>
  <c r="I76" i="16"/>
  <c r="B76" i="16"/>
  <c r="M75" i="16"/>
  <c r="I75" i="16"/>
  <c r="B75" i="16"/>
  <c r="M74" i="16"/>
  <c r="I74" i="16"/>
  <c r="B74" i="16"/>
  <c r="M73" i="16"/>
  <c r="I73" i="16"/>
  <c r="B73" i="16"/>
  <c r="M72" i="16"/>
  <c r="I72" i="16"/>
  <c r="B72" i="16"/>
  <c r="M71" i="16"/>
  <c r="I71" i="16"/>
  <c r="B71" i="16"/>
  <c r="M70" i="16"/>
  <c r="I70" i="16"/>
  <c r="B70" i="16"/>
  <c r="M69" i="16"/>
  <c r="I69" i="16"/>
  <c r="B69" i="16"/>
  <c r="M68" i="16"/>
  <c r="I68" i="16"/>
  <c r="B68" i="16"/>
  <c r="M67" i="16"/>
  <c r="I67" i="16"/>
  <c r="B67" i="16"/>
  <c r="M66" i="16"/>
  <c r="I66" i="16"/>
  <c r="B66" i="16"/>
  <c r="M65" i="16"/>
  <c r="I65" i="16"/>
  <c r="B65" i="16"/>
  <c r="M64" i="16"/>
  <c r="I64" i="16"/>
  <c r="B64" i="16"/>
  <c r="M63" i="16"/>
  <c r="I63" i="16"/>
  <c r="B63" i="16"/>
  <c r="M62" i="16"/>
  <c r="I62" i="16"/>
  <c r="B62" i="16"/>
  <c r="M61" i="16"/>
  <c r="I61" i="16"/>
  <c r="B61" i="16"/>
  <c r="M60" i="16"/>
  <c r="I60" i="16"/>
  <c r="B60" i="16"/>
  <c r="M59" i="16"/>
  <c r="I59" i="16"/>
  <c r="B59" i="16"/>
  <c r="M58" i="16"/>
  <c r="I58" i="16"/>
  <c r="B58" i="16"/>
  <c r="M57" i="16"/>
  <c r="I57" i="16"/>
  <c r="B57" i="16"/>
  <c r="M56" i="16"/>
  <c r="I56" i="16"/>
  <c r="B56" i="16"/>
  <c r="M55" i="16"/>
  <c r="I55" i="16"/>
  <c r="B55" i="16"/>
  <c r="M54" i="16"/>
  <c r="I54" i="16"/>
  <c r="B54" i="16"/>
  <c r="M53" i="16"/>
  <c r="I53" i="16"/>
  <c r="B53" i="16"/>
  <c r="M52" i="16"/>
  <c r="I52" i="16"/>
  <c r="B52" i="16"/>
  <c r="M51" i="16"/>
  <c r="I51" i="16"/>
  <c r="B51" i="16"/>
  <c r="M50" i="16"/>
  <c r="I50" i="16"/>
  <c r="B50" i="16"/>
  <c r="M49" i="16"/>
  <c r="I49" i="16"/>
  <c r="B49" i="16"/>
  <c r="M48" i="16"/>
  <c r="I48" i="16"/>
  <c r="B48" i="16"/>
  <c r="M47" i="16"/>
  <c r="I47" i="16"/>
  <c r="B47" i="16"/>
  <c r="M46" i="16"/>
  <c r="I46" i="16"/>
  <c r="B46" i="16"/>
  <c r="M45" i="16"/>
  <c r="I45" i="16"/>
  <c r="B45" i="16"/>
  <c r="M44" i="16"/>
  <c r="I44" i="16"/>
  <c r="B44" i="16"/>
  <c r="M43" i="16"/>
  <c r="I43" i="16"/>
  <c r="B43" i="16"/>
  <c r="M42" i="16"/>
  <c r="I42" i="16"/>
  <c r="B42" i="16"/>
  <c r="M41" i="16"/>
  <c r="I41" i="16"/>
  <c r="B41" i="16"/>
  <c r="M40" i="16"/>
  <c r="I40" i="16"/>
  <c r="B40" i="16"/>
  <c r="M39" i="16"/>
  <c r="I39" i="16"/>
  <c r="B39" i="16"/>
  <c r="M38" i="16"/>
  <c r="I38" i="16"/>
  <c r="B38" i="16"/>
  <c r="M37" i="16"/>
  <c r="I37" i="16"/>
  <c r="B37" i="16"/>
  <c r="M36" i="16"/>
  <c r="I36" i="16"/>
  <c r="B36" i="16"/>
  <c r="M35" i="16"/>
  <c r="I35" i="16"/>
  <c r="B35" i="16"/>
  <c r="M34" i="16"/>
  <c r="I34" i="16"/>
  <c r="B34" i="16"/>
  <c r="M33" i="16"/>
  <c r="I33" i="16"/>
  <c r="B33" i="16"/>
  <c r="M32" i="16"/>
  <c r="I32" i="16"/>
  <c r="B32" i="16"/>
  <c r="M31" i="16"/>
  <c r="I31" i="16"/>
  <c r="B31" i="16"/>
  <c r="M30" i="16"/>
  <c r="I30" i="16"/>
  <c r="B30" i="16"/>
  <c r="M29" i="16"/>
  <c r="I29" i="16"/>
  <c r="B29" i="16"/>
  <c r="M28" i="16"/>
  <c r="I28" i="16"/>
  <c r="B28" i="16"/>
  <c r="M27" i="16"/>
  <c r="I27" i="16"/>
  <c r="B27" i="16"/>
  <c r="M26" i="16"/>
  <c r="I26" i="16"/>
  <c r="B26" i="16"/>
  <c r="M25" i="16"/>
  <c r="I25" i="16"/>
  <c r="B25" i="16"/>
  <c r="M24" i="16"/>
  <c r="I24" i="16"/>
  <c r="B24" i="16"/>
  <c r="M23" i="16"/>
  <c r="I23" i="16"/>
  <c r="B23" i="16"/>
  <c r="M22" i="16"/>
  <c r="I22" i="16"/>
  <c r="B22" i="16"/>
  <c r="M21" i="16"/>
  <c r="I21" i="16"/>
  <c r="B21" i="16"/>
  <c r="M20" i="16"/>
  <c r="I20" i="16"/>
  <c r="B20" i="16"/>
  <c r="M19" i="16"/>
  <c r="I19" i="16"/>
  <c r="B19" i="16"/>
  <c r="M18" i="16"/>
  <c r="I18" i="16"/>
  <c r="B18" i="16"/>
  <c r="M17" i="16"/>
  <c r="I17" i="16"/>
  <c r="B17" i="16"/>
  <c r="M16" i="16"/>
  <c r="I16" i="16"/>
  <c r="B16" i="16"/>
  <c r="M15" i="16"/>
  <c r="I15" i="16"/>
  <c r="B15" i="16"/>
  <c r="M14" i="16"/>
  <c r="I14" i="16"/>
  <c r="B14" i="16"/>
  <c r="M13" i="16"/>
  <c r="I13" i="16"/>
  <c r="B13" i="16"/>
  <c r="M12" i="16"/>
  <c r="I12" i="16"/>
  <c r="B12" i="16"/>
  <c r="M11" i="16"/>
  <c r="I11" i="16"/>
  <c r="B11" i="16"/>
  <c r="M10" i="16"/>
  <c r="I10" i="16"/>
  <c r="B10" i="16"/>
  <c r="M9" i="16"/>
  <c r="I9" i="16"/>
  <c r="B9" i="16"/>
  <c r="M8" i="16"/>
  <c r="I8" i="16"/>
  <c r="B8" i="16"/>
  <c r="M7" i="16"/>
  <c r="I7" i="16"/>
  <c r="B7" i="16"/>
  <c r="M6" i="16"/>
  <c r="I6" i="16"/>
  <c r="B6" i="16"/>
  <c r="M5" i="16"/>
  <c r="I5" i="16"/>
  <c r="B5" i="16"/>
  <c r="M4" i="16"/>
  <c r="I4" i="16"/>
  <c r="B4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B. Macgregor</author>
  </authors>
  <commentList>
    <comment ref="AF1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Step Size for Temperature Splining</t>
        </r>
      </text>
    </comment>
    <comment ref="AK1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New Resplined Curve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<sst xmlns="http://schemas.openxmlformats.org/spreadsheetml/2006/main" count="325" uniqueCount="270">
  <si>
    <t xml:space="preserve"> HC Time</t>
  </si>
  <si>
    <t>HC Temp</t>
  </si>
  <si>
    <t>HC OD</t>
  </si>
  <si>
    <t>HC dT/dt</t>
  </si>
  <si>
    <t>HC dOD/dT</t>
  </si>
  <si>
    <t>CC Temp</t>
  </si>
  <si>
    <t>CC OD</t>
  </si>
  <si>
    <t>CC dT/dt</t>
  </si>
  <si>
    <t>CC dOD/dT</t>
  </si>
  <si>
    <t>Tm Deriv:</t>
  </si>
  <si>
    <t>HC_OD</t>
  </si>
  <si>
    <t>CC_OD</t>
  </si>
  <si>
    <t>Rounded HC Temp</t>
  </si>
  <si>
    <t>Rounded CC Temp</t>
  </si>
  <si>
    <t>A_HC</t>
  </si>
  <si>
    <t>A_CC</t>
  </si>
  <si>
    <t>HC Lower BL</t>
  </si>
  <si>
    <t>HC Upper BL</t>
  </si>
  <si>
    <t>CC Lower BL</t>
  </si>
  <si>
    <t>CC Upper BL</t>
  </si>
  <si>
    <t>Tm Finder</t>
  </si>
  <si>
    <t>Tm Baseline:</t>
  </si>
  <si>
    <t>HC_t</t>
  </si>
  <si>
    <t>CC_t</t>
  </si>
  <si>
    <t>HC OD Adj</t>
  </si>
  <si>
    <t>CC OD Adj</t>
  </si>
  <si>
    <t>HC t Adj</t>
  </si>
  <si>
    <t>CC t Adj</t>
  </si>
  <si>
    <t>dAH/dT</t>
  </si>
  <si>
    <t>dAC/dT</t>
  </si>
  <si>
    <t>1/T</t>
  </si>
  <si>
    <t>°C</t>
  </si>
  <si>
    <t>HC_Smoothed</t>
  </si>
  <si>
    <t>CC_Smoothed</t>
  </si>
  <si>
    <t>HC dt/dT</t>
  </si>
  <si>
    <t>CC dt/dT</t>
  </si>
  <si>
    <t>kon</t>
  </si>
  <si>
    <t>koff</t>
  </si>
  <si>
    <t>Rate Lower Range:</t>
  </si>
  <si>
    <t>Rate Upper Range:</t>
  </si>
  <si>
    <t>ln(kon)</t>
  </si>
  <si>
    <t>ln(koff)</t>
  </si>
  <si>
    <t>Results:</t>
  </si>
  <si>
    <t>Eon:</t>
  </si>
  <si>
    <t>Eoff:</t>
  </si>
  <si>
    <t>J/mol</t>
  </si>
  <si>
    <t>ln(kon0)</t>
  </si>
  <si>
    <t>ln(koff0)</t>
  </si>
  <si>
    <r>
      <t>D</t>
    </r>
    <r>
      <rPr>
        <sz val="10"/>
        <rFont val="Arial"/>
        <family val="2"/>
      </rPr>
      <t>H</t>
    </r>
    <r>
      <rPr>
        <vertAlign val="subscript"/>
        <sz val="10"/>
        <rFont val="Arial"/>
        <family val="2"/>
      </rPr>
      <t>vH</t>
    </r>
    <r>
      <rPr>
        <sz val="10"/>
        <rFont val="Arial"/>
        <family val="2"/>
      </rPr>
      <t>:</t>
    </r>
  </si>
  <si>
    <t>A_HC    (for DHvH)</t>
  </si>
  <si>
    <r>
      <t>D</t>
    </r>
    <r>
      <rPr>
        <sz val="10"/>
        <rFont val="Arial"/>
        <family val="2"/>
      </rPr>
      <t>H</t>
    </r>
    <r>
      <rPr>
        <vertAlign val="subscript"/>
        <sz val="10"/>
        <rFont val="Arial"/>
        <family val="2"/>
      </rPr>
      <t>Eon-Eoff</t>
    </r>
    <r>
      <rPr>
        <sz val="10"/>
        <rFont val="Arial"/>
        <family val="2"/>
      </rPr>
      <t>:</t>
    </r>
  </si>
  <si>
    <t>bH</t>
  </si>
  <si>
    <t>aC</t>
  </si>
  <si>
    <t>bC</t>
  </si>
  <si>
    <t>aH</t>
  </si>
  <si>
    <t>Temperature:</t>
  </si>
  <si>
    <t>kon/koff</t>
  </si>
  <si>
    <t>1/(sec uM)</t>
  </si>
  <si>
    <t>DNA Label</t>
  </si>
  <si>
    <t>Constant Pressure (MPA)</t>
  </si>
  <si>
    <t xml:space="preserve">Tm (°C) or Pm (MPa) </t>
  </si>
  <si>
    <r>
      <t>D</t>
    </r>
    <r>
      <rPr>
        <sz val="10"/>
        <rFont val="Arial"/>
        <family val="2"/>
      </rPr>
      <t>Hvh  (J/mol)</t>
    </r>
  </si>
  <si>
    <t>Kinetic Results</t>
  </si>
  <si>
    <t>(bi=ln(k0))</t>
  </si>
  <si>
    <t>Good curve?</t>
  </si>
  <si>
    <t>Comments</t>
  </si>
  <si>
    <r>
      <t>l</t>
    </r>
    <r>
      <rPr>
        <sz val="10"/>
        <rFont val="Arial"/>
        <family val="2"/>
      </rPr>
      <t xml:space="preserve"> (nm)</t>
    </r>
  </si>
  <si>
    <t>OD min</t>
  </si>
  <si>
    <t>OD max</t>
  </si>
  <si>
    <t xml:space="preserve">Transition Amplitude </t>
  </si>
  <si>
    <t>r</t>
  </si>
  <si>
    <t>Exp#</t>
  </si>
  <si>
    <t>Compression Rate (MPa/min)</t>
  </si>
  <si>
    <t>Decompression Rate (MPa/min)</t>
  </si>
  <si>
    <t>Starting Pressure (MPa)</t>
  </si>
  <si>
    <t>Peak Pressure (MPa)</t>
  </si>
  <si>
    <t>Final Pressure (MPa)</t>
  </si>
  <si>
    <t>Const Temp (°C)</t>
  </si>
  <si>
    <t>Heating Rate (°C/min)</t>
  </si>
  <si>
    <t>Cooling Rate (°C/min)</t>
  </si>
  <si>
    <t>Starting Temp (°C)</t>
  </si>
  <si>
    <t>Peak Temp (°C)</t>
  </si>
  <si>
    <t>Final Temp (°C)</t>
  </si>
  <si>
    <t>Denaturation Curve Baselines (°C or MPa)</t>
  </si>
  <si>
    <t>Low Int</t>
  </si>
  <si>
    <t>Low Slope</t>
  </si>
  <si>
    <t>High Int</t>
  </si>
  <si>
    <t>High Slope</t>
  </si>
  <si>
    <t>Renaturation Curve Baseline (°C or MPa)</t>
  </si>
  <si>
    <t>File Name</t>
  </si>
  <si>
    <t>*midpt</t>
  </si>
  <si>
    <t>*deriv</t>
  </si>
  <si>
    <t>Eon (J/mol)</t>
  </si>
  <si>
    <t>b on</t>
  </si>
  <si>
    <t>Eoff (J/mol)</t>
  </si>
  <si>
    <t>b off</t>
  </si>
  <si>
    <t>(OD)</t>
  </si>
  <si>
    <t>[S2T]/[S1T]</t>
  </si>
  <si>
    <t>Low1</t>
  </si>
  <si>
    <t>Low 2</t>
  </si>
  <si>
    <t>Up1</t>
  </si>
  <si>
    <t>Up2</t>
  </si>
  <si>
    <t>(OD/°C)</t>
  </si>
  <si>
    <t>Low2</t>
  </si>
  <si>
    <t>Mcty</t>
  </si>
  <si>
    <t>Mcty:</t>
  </si>
  <si>
    <t>File Name:</t>
  </si>
  <si>
    <t>Max Temp: (°C)</t>
  </si>
  <si>
    <t>DNA Label:</t>
  </si>
  <si>
    <t>Wavelength:</t>
  </si>
  <si>
    <t>Alt-0135: Double Dagger</t>
  </si>
  <si>
    <t>000510.wk1</t>
  </si>
  <si>
    <t>AA</t>
  </si>
  <si>
    <t>ymin:</t>
  </si>
  <si>
    <t>ymax:</t>
  </si>
  <si>
    <t>xmin:</t>
  </si>
  <si>
    <t>xmax:</t>
  </si>
  <si>
    <t>Baseline Scaling:</t>
  </si>
  <si>
    <t>Kval Scaling:</t>
  </si>
  <si>
    <t>HC Misfits 2</t>
  </si>
  <si>
    <t>HC Misfits 3</t>
  </si>
  <si>
    <t>HC Misfits 1</t>
  </si>
  <si>
    <t>CC Misfits 1</t>
  </si>
  <si>
    <t>CC Misfits 2</t>
  </si>
  <si>
    <t>CC Misfits 3</t>
  </si>
  <si>
    <t>HC MISFITS ALL</t>
  </si>
  <si>
    <t>CC MISFITS ALL</t>
  </si>
  <si>
    <t>Data Count</t>
  </si>
  <si>
    <t>Cooling Count</t>
  </si>
  <si>
    <t>CC Time</t>
  </si>
  <si>
    <t>°C / min</t>
  </si>
  <si>
    <t>HC LOWER PTS: T</t>
  </si>
  <si>
    <t>HC UPPER PTS: OD</t>
  </si>
  <si>
    <t>CC LOWER PTS: T</t>
  </si>
  <si>
    <t>CC UPPER PTS: OD</t>
  </si>
  <si>
    <t>Max dOD/dT</t>
  </si>
  <si>
    <t>Tlowerlim</t>
  </si>
  <si>
    <t>Tupperlim</t>
  </si>
  <si>
    <t>FINDMAX dOD/dT: HC</t>
  </si>
  <si>
    <t>CC Max:</t>
  </si>
  <si>
    <t>Temps</t>
  </si>
  <si>
    <t>FINDMAX dOD/dT: CC</t>
  </si>
  <si>
    <t>SUM:</t>
  </si>
  <si>
    <t>(Check if baseline there)</t>
  </si>
  <si>
    <t>Mt (M)</t>
  </si>
  <si>
    <t>*Time(s)</t>
  </si>
  <si>
    <t>Rho: (ratio of SS con'ns)</t>
  </si>
  <si>
    <t>(1=equimolar, 0.5 if self-complementary)</t>
  </si>
  <si>
    <t>&lt;---- PASTE HEATING/MELTING CURVE DATA HERE</t>
  </si>
  <si>
    <t>Con'n of limiting strand (M)</t>
  </si>
  <si>
    <t>(Ranges are normalized limits for kinetic analysis and enthalpy determination)</t>
  </si>
  <si>
    <t>Temp(°C)</t>
  </si>
  <si>
    <t>Time (sec)</t>
  </si>
  <si>
    <t>Temperature (°C)</t>
  </si>
  <si>
    <t>HC BL:</t>
  </si>
  <si>
    <t>Baseline Determination:</t>
  </si>
  <si>
    <t>Heating Curve:</t>
  </si>
  <si>
    <t>Lower Baseline Starting Temp:</t>
  </si>
  <si>
    <t>Upper Baseline Starting Temp:</t>
  </si>
  <si>
    <t>Upper Baseline Ending Temp:</t>
  </si>
  <si>
    <t>Lower Baseline Ending Temp:</t>
  </si>
  <si>
    <t>Cooling Curve:</t>
  </si>
  <si>
    <t>R</t>
  </si>
  <si>
    <t>40˚ —&gt; 30s</t>
  </si>
  <si>
    <t>40.5˚ —&gt; 15s</t>
  </si>
  <si>
    <t>41˚ —&gt; 15s</t>
  </si>
  <si>
    <t>41.5˚ —&gt; 15s</t>
  </si>
  <si>
    <t>42˚ —&gt; 15s</t>
  </si>
  <si>
    <t>42.5˚ —&gt; 15s</t>
  </si>
  <si>
    <t>43˚ —&gt; 15s</t>
  </si>
  <si>
    <t>43.5˚ —&gt; 15s</t>
  </si>
  <si>
    <t>44˚ —&gt; 15s</t>
  </si>
  <si>
    <t>44.5˚ —&gt; 15s</t>
  </si>
  <si>
    <t>45˚ —&gt; 15s</t>
  </si>
  <si>
    <t>45.5˚ —&gt; 15s</t>
  </si>
  <si>
    <t>46˚ —&gt; 15s</t>
  </si>
  <si>
    <t>46.5˚ —&gt; 15s</t>
  </si>
  <si>
    <t>47˚ —&gt; 15s</t>
  </si>
  <si>
    <t>47.5˚ —&gt; 15s</t>
  </si>
  <si>
    <t>48˚ —&gt; 15s</t>
  </si>
  <si>
    <t>48.5˚ —&gt; 15s</t>
  </si>
  <si>
    <t>49˚ —&gt; 15s</t>
  </si>
  <si>
    <t>49.5˚ —&gt; 15s</t>
  </si>
  <si>
    <t>50˚ —&gt; 15s</t>
  </si>
  <si>
    <t>50.5˚ —&gt; 15s</t>
  </si>
  <si>
    <t>51˚ —&gt; 15s</t>
  </si>
  <si>
    <t>51.5˚ —&gt; 15s</t>
  </si>
  <si>
    <t>52˚ —&gt; 15s</t>
  </si>
  <si>
    <t>52.5˚ —&gt; 15s</t>
  </si>
  <si>
    <t>53˚ —&gt; 15s</t>
  </si>
  <si>
    <t>53.5˚ —&gt; 15s</t>
  </si>
  <si>
    <t>54˚ —&gt; 15s</t>
  </si>
  <si>
    <t>54.5˚ —&gt; 15s</t>
  </si>
  <si>
    <t>55˚ —&gt; 15s</t>
  </si>
  <si>
    <t>55.5˚ —&gt; 15s</t>
  </si>
  <si>
    <t>56˚ —&gt; 15s</t>
  </si>
  <si>
    <t>56.5˚ —&gt; 15s</t>
  </si>
  <si>
    <t>57˚ —&gt; 15s</t>
  </si>
  <si>
    <t>57.5˚ —&gt; 15s</t>
  </si>
  <si>
    <t>58˚ —&gt; 15s</t>
  </si>
  <si>
    <t>58.5˚ —&gt; 15s</t>
  </si>
  <si>
    <t>59˚ —&gt; 15s</t>
  </si>
  <si>
    <t>59.5˚ —&gt; 15s</t>
  </si>
  <si>
    <t>60˚ —&gt;  15s</t>
  </si>
  <si>
    <t>60.5˚ —&gt; 15s</t>
  </si>
  <si>
    <t>61˚ —&gt; 15s</t>
  </si>
  <si>
    <t>61.5˚ —&gt; 15s</t>
  </si>
  <si>
    <t>62˚ —&gt; 15s</t>
  </si>
  <si>
    <t>62.5˚ —&gt; 15s</t>
  </si>
  <si>
    <t>63˚ —&gt; 15s</t>
  </si>
  <si>
    <t>63.5˚ —&gt; 15s</t>
  </si>
  <si>
    <t>64˚ —&gt; 15s</t>
  </si>
  <si>
    <t>64.5˚ —&gt; 15s</t>
  </si>
  <si>
    <t>65˚ —&gt; 15s</t>
  </si>
  <si>
    <t>65.5˚ —&gt; 15s</t>
  </si>
  <si>
    <t>66˚ —&gt; 15s</t>
  </si>
  <si>
    <t>66.5˚ —&gt; 15s</t>
  </si>
  <si>
    <t>67˚ —&gt; 15s</t>
  </si>
  <si>
    <t>67.5˚ —&gt; 15s</t>
  </si>
  <si>
    <t>68˚ —&gt; 15s</t>
  </si>
  <si>
    <t>68.5˚ —&gt; 15s</t>
  </si>
  <si>
    <t>69˚ —&gt; 15s</t>
  </si>
  <si>
    <t>69.5˚ —&gt; 15s</t>
  </si>
  <si>
    <t>70˚ —&gt; 30s</t>
  </si>
  <si>
    <t>70˚ —&gt; 1min?</t>
  </si>
  <si>
    <t>69˚ —&gt; 1min19sec</t>
  </si>
  <si>
    <t>68˚ —&gt; 1min18sec</t>
  </si>
  <si>
    <t>67˚ —&gt; 1min18sec </t>
  </si>
  <si>
    <t>66˚ —&gt; 1min18sec</t>
  </si>
  <si>
    <t>65˚ —&gt; 1min17sec</t>
  </si>
  <si>
    <t>64˚ —&gt; 1min17sec</t>
  </si>
  <si>
    <t>63˚ —&gt; 1min16sec</t>
  </si>
  <si>
    <t>62˚ —&gt; 1min16sec</t>
  </si>
  <si>
    <t>61˚ —&gt; 1min16sec</t>
  </si>
  <si>
    <t>60˚ —&gt; 1min15sec</t>
  </si>
  <si>
    <t>59˚ —&gt; 1min15sec</t>
  </si>
  <si>
    <t>58˚ —&gt; 1min14sec</t>
  </si>
  <si>
    <t>57˚ —&gt; 1min13sec  </t>
  </si>
  <si>
    <t>56˚ —&gt; 1min13sec</t>
  </si>
  <si>
    <t>55˚ —&gt; 1min12sec</t>
  </si>
  <si>
    <t>54˚ —&gt; 1min11sec</t>
  </si>
  <si>
    <t>53˚ —&gt; 1min10sec </t>
  </si>
  <si>
    <t>52˚ —&gt; 1min10sec</t>
  </si>
  <si>
    <t>51˚ —&gt; 1min9sec </t>
  </si>
  <si>
    <t>50˚ —&gt; 1min8sec</t>
  </si>
  <si>
    <t>49˚ —&gt; 1min8sec</t>
  </si>
  <si>
    <t>48˚ —&gt; 1min7sec</t>
  </si>
  <si>
    <t>47˚ —&gt; 1min8sec</t>
  </si>
  <si>
    <t>46˚ —&gt; 1min8sec</t>
  </si>
  <si>
    <t>45˚ —&gt; 1min9sec</t>
  </si>
  <si>
    <t>44˚ —&gt; 1min9sec</t>
  </si>
  <si>
    <t>43˚ —&gt; 1min9sec</t>
  </si>
  <si>
    <t>42˚ —&gt; 1min9sec</t>
  </si>
  <si>
    <t>41˚ —&gt; 1min9sec</t>
  </si>
  <si>
    <t>40˚ —&gt; 1min3sec</t>
  </si>
  <si>
    <t>F1</t>
  </si>
  <si>
    <t>Max abs(dOD/dT:)</t>
  </si>
  <si>
    <t>degC/min</t>
  </si>
  <si>
    <t>°C/min</t>
  </si>
  <si>
    <t>Time</t>
  </si>
  <si>
    <t>Temperature</t>
  </si>
  <si>
    <t>Fluorescence</t>
  </si>
  <si>
    <t>Note: Segment 1 Plateau  1 Well 49</t>
  </si>
  <si>
    <t>HC_Lint &lt;- 13335.8437958773      #first guess for Lint</t>
  </si>
  <si>
    <t>HC_Lslope &lt;- -56.2005610859732   #first guess for Lslope</t>
  </si>
  <si>
    <t>HC_Uint &lt;- 1720.5                #first guess for Uint</t>
  </si>
  <si>
    <t>HC_Uslope &lt;- -8                  #first guess for Uslope</t>
  </si>
  <si>
    <t>Starting values:</t>
  </si>
  <si>
    <t>params &lt;- c(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</si>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</sst>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_);_(* \(#,##0\);_(* &quot;-&quot;_);_(@_)"/>
    <numFmt numFmtId="165" formatCode="_(* #,##0.00_);_(* \(#,##0.00\);_(* &quot;-&quot;??_);_(@_)"/>
    <numFmt numFmtId="166" formatCode="0.0"/>
    <numFmt numFmtId="167" formatCode="0.00000"/>
    <numFmt numFmtId="168" formatCode="0.0E+00"/>
    <numFmt numFmtId="169" formatCode="0.000"/>
  </numFmts>
  <fonts count="18" x14ac:knownFonts="1">
    <font>
      <sz val="10"/>
      <name val="Arial"/>
    </font>
    <font>
      <sz val="10"/>
      <name val="Arial"/>
      <family val="2"/>
    </font>
    <font>
      <sz val="10"/>
      <color indexed="12"/>
      <name val="Arial"/>
      <family val="2"/>
    </font>
    <font>
      <sz val="10"/>
      <name val="Symbol"/>
      <family val="1"/>
      <charset val="2"/>
    </font>
    <font>
      <vertAlign val="subscript"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3"/>
      <name val="Arial"/>
      <family val="2"/>
    </font>
    <font>
      <sz val="13.3"/>
      <name val="Symbol"/>
      <family val="1"/>
      <charset val="2"/>
    </font>
    <font>
      <b/>
      <sz val="20"/>
      <color indexed="57"/>
      <name val="Arial"/>
      <family val="2"/>
    </font>
    <font>
      <sz val="8"/>
      <name val="Tahoma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8"/>
      <color indexed="81"/>
      <name val="Tahoma"/>
      <family val="2"/>
    </font>
    <font>
      <sz val="12"/>
      <color rgb="FF000000"/>
      <name val="Times New Roman"/>
      <family val="1"/>
    </font>
    <font>
      <sz val="10"/>
      <color rgb="FF0070C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left"/>
    </xf>
    <xf numFmtId="0" fontId="0" fillId="2" borderId="0" xfId="0" applyFill="1"/>
    <xf numFmtId="0" fontId="2" fillId="0" borderId="0" xfId="0" applyFont="1"/>
    <xf numFmtId="166" fontId="0" fillId="0" borderId="0" xfId="0" applyNumberFormat="1"/>
    <xf numFmtId="0" fontId="0" fillId="3" borderId="1" xfId="0" applyFill="1" applyBorder="1"/>
    <xf numFmtId="0" fontId="0" fillId="3" borderId="2" xfId="0" applyFill="1" applyBorder="1"/>
    <xf numFmtId="0" fontId="0" fillId="0" borderId="0" xfId="0" applyAlignment="1">
      <alignment horizontal="left" wrapText="1"/>
    </xf>
    <xf numFmtId="0" fontId="0" fillId="3" borderId="0" xfId="0" applyFill="1"/>
    <xf numFmtId="0" fontId="0" fillId="3" borderId="3" xfId="0" applyFill="1" applyBorder="1" applyAlignment="1">
      <alignment horizontal="center" wrapText="1"/>
    </xf>
    <xf numFmtId="0" fontId="0" fillId="3" borderId="4" xfId="0" applyFill="1" applyBorder="1" applyAlignment="1">
      <alignment horizontal="center" vertical="top" wrapText="1"/>
    </xf>
    <xf numFmtId="0" fontId="0" fillId="3" borderId="5" xfId="0" applyFill="1" applyBorder="1" applyAlignment="1">
      <alignment horizontal="center" vertical="top" wrapText="1"/>
    </xf>
    <xf numFmtId="0" fontId="0" fillId="3" borderId="3" xfId="0" applyFill="1" applyBorder="1" applyAlignment="1">
      <alignment horizontal="center" vertical="top" wrapText="1"/>
    </xf>
    <xf numFmtId="0" fontId="3" fillId="3" borderId="4" xfId="0" applyFont="1" applyFill="1" applyBorder="1" applyAlignment="1">
      <alignment horizontal="center" vertical="top" wrapText="1"/>
    </xf>
    <xf numFmtId="0" fontId="7" fillId="3" borderId="3" xfId="0" applyFont="1" applyFill="1" applyBorder="1" applyAlignment="1">
      <alignment vertical="top" wrapText="1"/>
    </xf>
    <xf numFmtId="0" fontId="0" fillId="3" borderId="4" xfId="0" applyFill="1" applyBorder="1"/>
    <xf numFmtId="0" fontId="0" fillId="3" borderId="4" xfId="0" applyFill="1" applyBorder="1" applyAlignment="1">
      <alignment vertical="top"/>
    </xf>
    <xf numFmtId="0" fontId="0" fillId="3" borderId="6" xfId="0" applyFill="1" applyBorder="1" applyAlignment="1">
      <alignment vertical="top"/>
    </xf>
    <xf numFmtId="0" fontId="0" fillId="3" borderId="3" xfId="0" applyFill="1" applyBorder="1" applyAlignment="1">
      <alignment vertical="top" wrapText="1"/>
    </xf>
    <xf numFmtId="0" fontId="3" fillId="3" borderId="3" xfId="0" applyFont="1" applyFill="1" applyBorder="1" applyAlignment="1">
      <alignment horizontal="center" vertical="top" wrapText="1"/>
    </xf>
    <xf numFmtId="0" fontId="0" fillId="3" borderId="6" xfId="0" applyFill="1" applyBorder="1" applyAlignment="1">
      <alignment horizontal="center" vertical="top" wrapText="1"/>
    </xf>
    <xf numFmtId="1" fontId="0" fillId="3" borderId="6" xfId="0" applyNumberFormat="1" applyFill="1" applyBorder="1" applyAlignment="1">
      <alignment horizontal="center" vertical="top" wrapText="1"/>
    </xf>
    <xf numFmtId="0" fontId="0" fillId="3" borderId="6" xfId="0" applyFill="1" applyBorder="1" applyAlignment="1">
      <alignment horizontal="center" vertical="top"/>
    </xf>
    <xf numFmtId="0" fontId="0" fillId="3" borderId="2" xfId="0" applyFill="1" applyBorder="1" applyAlignment="1">
      <alignment horizontal="center" wrapText="1"/>
    </xf>
    <xf numFmtId="0" fontId="0" fillId="3" borderId="7" xfId="0" applyFill="1" applyBorder="1" applyAlignment="1">
      <alignment horizontal="center" vertical="top" wrapText="1"/>
    </xf>
    <xf numFmtId="0" fontId="0" fillId="3" borderId="2" xfId="0" applyFill="1" applyBorder="1" applyAlignment="1">
      <alignment horizontal="center" vertical="top" wrapText="1"/>
    </xf>
    <xf numFmtId="0" fontId="3" fillId="3" borderId="7" xfId="0" applyFont="1" applyFill="1" applyBorder="1" applyAlignment="1">
      <alignment horizontal="center" vertical="top" wrapText="1"/>
    </xf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1" fontId="3" fillId="3" borderId="8" xfId="0" applyNumberFormat="1" applyFont="1" applyFill="1" applyBorder="1" applyAlignment="1">
      <alignment horizontal="center"/>
    </xf>
    <xf numFmtId="0" fontId="6" fillId="3" borderId="2" xfId="1" applyNumberFormat="1" applyFont="1" applyFill="1" applyBorder="1" applyAlignment="1">
      <alignment horizontal="center" vertical="center" wrapText="1"/>
    </xf>
    <xf numFmtId="0" fontId="6" fillId="3" borderId="7" xfId="1" applyNumberFormat="1" applyFont="1" applyFill="1" applyBorder="1" applyAlignment="1">
      <alignment horizontal="center" vertical="center" wrapText="1"/>
    </xf>
    <xf numFmtId="0" fontId="1" fillId="3" borderId="7" xfId="1" applyNumberFormat="1" applyFont="1" applyFill="1" applyBorder="1" applyAlignment="1">
      <alignment vertical="center"/>
    </xf>
    <xf numFmtId="2" fontId="2" fillId="3" borderId="10" xfId="0" applyNumberFormat="1" applyFont="1" applyFill="1" applyBorder="1"/>
    <xf numFmtId="166" fontId="2" fillId="3" borderId="10" xfId="0" applyNumberFormat="1" applyFont="1" applyFill="1" applyBorder="1"/>
    <xf numFmtId="0" fontId="2" fillId="3" borderId="10" xfId="0" applyFont="1" applyFill="1" applyBorder="1"/>
    <xf numFmtId="0" fontId="2" fillId="3" borderId="11" xfId="0" applyFont="1" applyFill="1" applyBorder="1"/>
    <xf numFmtId="0" fontId="2" fillId="3" borderId="12" xfId="0" applyFont="1" applyFill="1" applyBorder="1"/>
    <xf numFmtId="0" fontId="0" fillId="3" borderId="6" xfId="0" applyFill="1" applyBorder="1"/>
    <xf numFmtId="166" fontId="2" fillId="3" borderId="0" xfId="0" applyNumberFormat="1" applyFont="1" applyFill="1"/>
    <xf numFmtId="0" fontId="0" fillId="3" borderId="13" xfId="0" applyFill="1" applyBorder="1"/>
    <xf numFmtId="2" fontId="2" fillId="3" borderId="0" xfId="0" applyNumberFormat="1" applyFont="1" applyFill="1"/>
    <xf numFmtId="0" fontId="2" fillId="3" borderId="0" xfId="0" applyFont="1" applyFill="1"/>
    <xf numFmtId="0" fontId="3" fillId="3" borderId="1" xfId="0" applyFont="1" applyFill="1" applyBorder="1"/>
    <xf numFmtId="166" fontId="2" fillId="3" borderId="7" xfId="0" applyNumberFormat="1" applyFont="1" applyFill="1" applyBorder="1"/>
    <xf numFmtId="0" fontId="0" fillId="3" borderId="8" xfId="0" applyFill="1" applyBorder="1"/>
    <xf numFmtId="11" fontId="2" fillId="3" borderId="0" xfId="0" applyNumberFormat="1" applyFont="1" applyFill="1"/>
    <xf numFmtId="11" fontId="0" fillId="3" borderId="0" xfId="0" applyNumberFormat="1" applyFill="1"/>
    <xf numFmtId="166" fontId="8" fillId="3" borderId="5" xfId="0" applyNumberFormat="1" applyFont="1" applyFill="1" applyBorder="1"/>
    <xf numFmtId="0" fontId="8" fillId="3" borderId="5" xfId="0" applyFont="1" applyFill="1" applyBorder="1"/>
    <xf numFmtId="0" fontId="8" fillId="3" borderId="14" xfId="0" applyFont="1" applyFill="1" applyBorder="1"/>
    <xf numFmtId="0" fontId="8" fillId="3" borderId="9" xfId="0" applyFont="1" applyFill="1" applyBorder="1"/>
    <xf numFmtId="0" fontId="8" fillId="2" borderId="0" xfId="0" applyFont="1" applyFill="1"/>
    <xf numFmtId="0" fontId="0" fillId="4" borderId="0" xfId="0" applyFill="1"/>
    <xf numFmtId="0" fontId="9" fillId="4" borderId="0" xfId="0" applyFont="1" applyFill="1"/>
    <xf numFmtId="0" fontId="0" fillId="2" borderId="1" xfId="0" applyFill="1" applyBorder="1"/>
    <xf numFmtId="0" fontId="0" fillId="5" borderId="11" xfId="0" applyFill="1" applyBorder="1" applyAlignment="1">
      <alignment horizontal="left"/>
    </xf>
    <xf numFmtId="167" fontId="2" fillId="3" borderId="0" xfId="0" applyNumberFormat="1" applyFont="1" applyFill="1"/>
    <xf numFmtId="2" fontId="2" fillId="2" borderId="0" xfId="0" applyNumberFormat="1" applyFont="1" applyFill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1" xfId="0" applyBorder="1"/>
    <xf numFmtId="0" fontId="0" fillId="0" borderId="13" xfId="0" applyBorder="1"/>
    <xf numFmtId="0" fontId="0" fillId="0" borderId="2" xfId="0" applyBorder="1"/>
    <xf numFmtId="0" fontId="0" fillId="0" borderId="7" xfId="0" applyBorder="1"/>
    <xf numFmtId="0" fontId="0" fillId="0" borderId="8" xfId="0" applyBorder="1"/>
    <xf numFmtId="0" fontId="8" fillId="3" borderId="15" xfId="0" applyFont="1" applyFill="1" applyBorder="1"/>
    <xf numFmtId="166" fontId="0" fillId="0" borderId="1" xfId="0" applyNumberFormat="1" applyBorder="1"/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6" borderId="6" xfId="0" applyFill="1" applyBorder="1" applyAlignment="1">
      <alignment horizontal="left"/>
    </xf>
    <xf numFmtId="166" fontId="0" fillId="0" borderId="3" xfId="0" applyNumberFormat="1" applyBorder="1"/>
    <xf numFmtId="2" fontId="0" fillId="0" borderId="0" xfId="0" applyNumberFormat="1"/>
    <xf numFmtId="168" fontId="8" fillId="3" borderId="14" xfId="0" applyNumberFormat="1" applyFont="1" applyFill="1" applyBorder="1"/>
    <xf numFmtId="0" fontId="10" fillId="4" borderId="0" xfId="0" applyFont="1" applyFill="1" applyAlignment="1">
      <alignment horizontal="left"/>
    </xf>
    <xf numFmtId="168" fontId="2" fillId="3" borderId="10" xfId="0" applyNumberFormat="1" applyFont="1" applyFill="1" applyBorder="1"/>
    <xf numFmtId="0" fontId="0" fillId="2" borderId="0" xfId="0" applyFill="1" applyAlignment="1">
      <alignment horizontal="left"/>
    </xf>
    <xf numFmtId="0" fontId="0" fillId="5" borderId="12" xfId="0" applyFill="1" applyBorder="1" applyAlignment="1">
      <alignment horizontal="left"/>
    </xf>
    <xf numFmtId="0" fontId="5" fillId="2" borderId="0" xfId="0" applyFont="1" applyFill="1"/>
    <xf numFmtId="0" fontId="11" fillId="3" borderId="3" xfId="0" applyFont="1" applyFill="1" applyBorder="1"/>
    <xf numFmtId="0" fontId="8" fillId="3" borderId="14" xfId="0" applyFont="1" applyFill="1" applyBorder="1" applyAlignment="1">
      <alignment horizontal="right"/>
    </xf>
    <xf numFmtId="0" fontId="1" fillId="5" borderId="10" xfId="0" applyFont="1" applyFill="1" applyBorder="1" applyAlignment="1">
      <alignment horizontal="center"/>
    </xf>
    <xf numFmtId="0" fontId="5" fillId="0" borderId="0" xfId="0" applyFont="1"/>
    <xf numFmtId="0" fontId="1" fillId="3" borderId="0" xfId="0" applyFont="1" applyFill="1"/>
    <xf numFmtId="0" fontId="5" fillId="3" borderId="0" xfId="0" applyFont="1" applyFill="1"/>
    <xf numFmtId="166" fontId="1" fillId="3" borderId="0" xfId="0" applyNumberFormat="1" applyFont="1" applyFill="1"/>
    <xf numFmtId="0" fontId="1" fillId="0" borderId="0" xfId="0" applyFont="1"/>
    <xf numFmtId="0" fontId="16" fillId="0" borderId="0" xfId="0" applyFont="1"/>
    <xf numFmtId="0" fontId="1" fillId="0" borderId="0" xfId="0" applyFont="1" applyAlignment="1">
      <alignment horizontal="left"/>
    </xf>
    <xf numFmtId="169" fontId="2" fillId="3" borderId="10" xfId="0" applyNumberFormat="1" applyFont="1" applyFill="1" applyBorder="1"/>
    <xf numFmtId="0" fontId="17" fillId="3" borderId="0" xfId="0" applyFont="1" applyFill="1"/>
    <xf numFmtId="0" fontId="1" fillId="4" borderId="0" xfId="0" applyFont="1" applyFill="1"/>
    <xf numFmtId="0" fontId="0" fillId="3" borderId="4" xfId="0" applyFill="1" applyBorder="1" applyAlignment="1">
      <alignment horizontal="center" vertical="top" wrapText="1"/>
    </xf>
    <xf numFmtId="0" fontId="0" fillId="3" borderId="7" xfId="0" applyFill="1" applyBorder="1" applyAlignment="1">
      <alignment horizontal="center" vertical="top" wrapText="1"/>
    </xf>
    <xf numFmtId="0" fontId="0" fillId="3" borderId="6" xfId="0" applyFill="1" applyBorder="1" applyAlignment="1">
      <alignment horizontal="center" vertical="top" wrapText="1"/>
    </xf>
    <xf numFmtId="0" fontId="0" fillId="3" borderId="8" xfId="0" applyFill="1" applyBorder="1" applyAlignment="1">
      <alignment horizontal="center" vertical="top" wrapText="1"/>
    </xf>
    <xf numFmtId="0" fontId="0" fillId="3" borderId="3" xfId="0" applyFill="1" applyBorder="1" applyAlignment="1">
      <alignment horizontal="center" vertical="top" wrapText="1"/>
    </xf>
    <xf numFmtId="0" fontId="0" fillId="3" borderId="2" xfId="0" applyFill="1" applyBorder="1" applyAlignment="1">
      <alignment horizontal="center" vertical="top" wrapText="1"/>
    </xf>
    <xf numFmtId="0" fontId="0" fillId="3" borderId="5" xfId="0" applyFill="1" applyBorder="1" applyAlignment="1">
      <alignment horizontal="center" vertical="top" wrapText="1"/>
    </xf>
    <xf numFmtId="0" fontId="0" fillId="3" borderId="9" xfId="0" applyFill="1" applyBorder="1" applyAlignment="1">
      <alignment horizontal="center" vertical="top" wrapText="1"/>
    </xf>
    <xf numFmtId="0" fontId="1" fillId="3" borderId="3" xfId="1" applyNumberFormat="1" applyFont="1" applyFill="1" applyBorder="1" applyAlignment="1">
      <alignment horizontal="center" vertical="top" wrapText="1"/>
    </xf>
    <xf numFmtId="0" fontId="1" fillId="3" borderId="4" xfId="1" applyNumberFormat="1" applyFill="1" applyBorder="1" applyAlignment="1">
      <alignment horizontal="center" vertical="top" wrapText="1"/>
    </xf>
  </cellXfs>
  <cellStyles count="3">
    <cellStyle name="Comma" xfId="1" builtinId="3"/>
    <cellStyle name="Comma Y0]" xfId="2" xr:uid="{00000000-0005-0000-0000-000001000000}"/>
    <cellStyle name="Normal" xfId="0" builtinId="0"/>
  </cellStyles>
  <dxfs count="1">
    <dxf>
      <fill>
        <patternFill>
          <bgColor indexed="4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4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dialogsheet" Target="dialogsheets/sheet1.xml"/><Relationship Id="rId5" Type="http://schemas.openxmlformats.org/officeDocument/2006/relationships/chartsheet" Target="chartsheets/sheet2.xml"/><Relationship Id="rId15" Type="http://schemas.openxmlformats.org/officeDocument/2006/relationships/sheetMetadata" Target="metadata.xml"/><Relationship Id="rId10" Type="http://schemas.openxmlformats.org/officeDocument/2006/relationships/worksheet" Target="worksheets/sheet6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5.xml"/><Relationship Id="rId1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Derivative</a:t>
            </a:r>
            <a:r>
              <a:rPr lang="en-US" baseline="0"/>
              <a:t> Plot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372918978912314E-2"/>
          <c:y val="3.4257748776508973E-2"/>
          <c:w val="0.90677025527192012"/>
          <c:h val="0.9314845024469821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Curves!$AR$1</c:f>
              <c:strCache>
                <c:ptCount val="1"/>
                <c:pt idx="0">
                  <c:v>HC dOD/dT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Curves!$AK$2:$AK$512</c:f>
              <c:numCache>
                <c:formatCode>0.0</c:formatCode>
                <c:ptCount val="511"/>
                <c:pt idx="0">
                  <c:v>25</c:v>
                </c:pt>
                <c:pt idx="1">
                  <c:v>25.1</c:v>
                </c:pt>
                <c:pt idx="2">
                  <c:v>25.200000000000003</c:v>
                </c:pt>
                <c:pt idx="3">
                  <c:v>25.300000000000004</c:v>
                </c:pt>
                <c:pt idx="4">
                  <c:v>25.400000000000006</c:v>
                </c:pt>
                <c:pt idx="5">
                  <c:v>25.500000000000007</c:v>
                </c:pt>
                <c:pt idx="6">
                  <c:v>25.600000000000009</c:v>
                </c:pt>
                <c:pt idx="7">
                  <c:v>25.70000000000001</c:v>
                </c:pt>
                <c:pt idx="8">
                  <c:v>25.800000000000011</c:v>
                </c:pt>
                <c:pt idx="9">
                  <c:v>25.900000000000013</c:v>
                </c:pt>
                <c:pt idx="10">
                  <c:v>26.000000000000014</c:v>
                </c:pt>
                <c:pt idx="11">
                  <c:v>26.100000000000016</c:v>
                </c:pt>
                <c:pt idx="12">
                  <c:v>26.200000000000017</c:v>
                </c:pt>
                <c:pt idx="13">
                  <c:v>26.300000000000018</c:v>
                </c:pt>
                <c:pt idx="14">
                  <c:v>26.40000000000002</c:v>
                </c:pt>
                <c:pt idx="15">
                  <c:v>26.500000000000021</c:v>
                </c:pt>
                <c:pt idx="16">
                  <c:v>26.600000000000023</c:v>
                </c:pt>
                <c:pt idx="17">
                  <c:v>26.700000000000024</c:v>
                </c:pt>
                <c:pt idx="18">
                  <c:v>26.800000000000026</c:v>
                </c:pt>
                <c:pt idx="19">
                  <c:v>26.900000000000027</c:v>
                </c:pt>
                <c:pt idx="20">
                  <c:v>27.000000000000028</c:v>
                </c:pt>
                <c:pt idx="21">
                  <c:v>27.10000000000003</c:v>
                </c:pt>
                <c:pt idx="22">
                  <c:v>27.200000000000031</c:v>
                </c:pt>
                <c:pt idx="23">
                  <c:v>27.300000000000033</c:v>
                </c:pt>
                <c:pt idx="24">
                  <c:v>27.400000000000034</c:v>
                </c:pt>
                <c:pt idx="25">
                  <c:v>27.500000000000036</c:v>
                </c:pt>
                <c:pt idx="26">
                  <c:v>27.600000000000037</c:v>
                </c:pt>
                <c:pt idx="27">
                  <c:v>27.700000000000038</c:v>
                </c:pt>
                <c:pt idx="28">
                  <c:v>27.80000000000004</c:v>
                </c:pt>
                <c:pt idx="29">
                  <c:v>27.900000000000041</c:v>
                </c:pt>
                <c:pt idx="30">
                  <c:v>28.000000000000043</c:v>
                </c:pt>
                <c:pt idx="31">
                  <c:v>28.100000000000044</c:v>
                </c:pt>
                <c:pt idx="32">
                  <c:v>28.200000000000045</c:v>
                </c:pt>
                <c:pt idx="33">
                  <c:v>28.300000000000047</c:v>
                </c:pt>
                <c:pt idx="34">
                  <c:v>28.400000000000048</c:v>
                </c:pt>
                <c:pt idx="35">
                  <c:v>28.50000000000005</c:v>
                </c:pt>
                <c:pt idx="36">
                  <c:v>28.600000000000051</c:v>
                </c:pt>
                <c:pt idx="37">
                  <c:v>28.700000000000053</c:v>
                </c:pt>
                <c:pt idx="38">
                  <c:v>28.800000000000054</c:v>
                </c:pt>
                <c:pt idx="39">
                  <c:v>28.900000000000055</c:v>
                </c:pt>
                <c:pt idx="40">
                  <c:v>29.000000000000057</c:v>
                </c:pt>
                <c:pt idx="41">
                  <c:v>29.100000000000058</c:v>
                </c:pt>
                <c:pt idx="42">
                  <c:v>29.20000000000006</c:v>
                </c:pt>
                <c:pt idx="43">
                  <c:v>29.300000000000061</c:v>
                </c:pt>
                <c:pt idx="44">
                  <c:v>29.400000000000063</c:v>
                </c:pt>
                <c:pt idx="45">
                  <c:v>29.500000000000064</c:v>
                </c:pt>
                <c:pt idx="46">
                  <c:v>29.600000000000065</c:v>
                </c:pt>
                <c:pt idx="47">
                  <c:v>29.700000000000067</c:v>
                </c:pt>
                <c:pt idx="48">
                  <c:v>29.800000000000068</c:v>
                </c:pt>
                <c:pt idx="49">
                  <c:v>29.90000000000007</c:v>
                </c:pt>
                <c:pt idx="50">
                  <c:v>30.000000000000071</c:v>
                </c:pt>
                <c:pt idx="51">
                  <c:v>30.100000000000072</c:v>
                </c:pt>
                <c:pt idx="52">
                  <c:v>30.200000000000074</c:v>
                </c:pt>
                <c:pt idx="53">
                  <c:v>30.300000000000075</c:v>
                </c:pt>
                <c:pt idx="54">
                  <c:v>30.400000000000077</c:v>
                </c:pt>
                <c:pt idx="55">
                  <c:v>30.500000000000078</c:v>
                </c:pt>
                <c:pt idx="56">
                  <c:v>30.60000000000008</c:v>
                </c:pt>
                <c:pt idx="57">
                  <c:v>30.700000000000081</c:v>
                </c:pt>
                <c:pt idx="58">
                  <c:v>30.800000000000082</c:v>
                </c:pt>
                <c:pt idx="59">
                  <c:v>30.900000000000084</c:v>
                </c:pt>
                <c:pt idx="60">
                  <c:v>31.000000000000085</c:v>
                </c:pt>
                <c:pt idx="61">
                  <c:v>31.100000000000087</c:v>
                </c:pt>
                <c:pt idx="62">
                  <c:v>31.200000000000088</c:v>
                </c:pt>
                <c:pt idx="63">
                  <c:v>31.30000000000009</c:v>
                </c:pt>
                <c:pt idx="64">
                  <c:v>31.400000000000091</c:v>
                </c:pt>
                <c:pt idx="65">
                  <c:v>31.500000000000092</c:v>
                </c:pt>
                <c:pt idx="66">
                  <c:v>31.600000000000094</c:v>
                </c:pt>
                <c:pt idx="67">
                  <c:v>31.700000000000095</c:v>
                </c:pt>
                <c:pt idx="68">
                  <c:v>31.800000000000097</c:v>
                </c:pt>
                <c:pt idx="69">
                  <c:v>31.900000000000098</c:v>
                </c:pt>
                <c:pt idx="70">
                  <c:v>32.000000000000099</c:v>
                </c:pt>
                <c:pt idx="71">
                  <c:v>32.100000000000101</c:v>
                </c:pt>
                <c:pt idx="72">
                  <c:v>32.200000000000102</c:v>
                </c:pt>
                <c:pt idx="73">
                  <c:v>32.300000000000104</c:v>
                </c:pt>
                <c:pt idx="74">
                  <c:v>32.400000000000105</c:v>
                </c:pt>
                <c:pt idx="75">
                  <c:v>32.500000000000107</c:v>
                </c:pt>
                <c:pt idx="76">
                  <c:v>32.600000000000108</c:v>
                </c:pt>
                <c:pt idx="77">
                  <c:v>32.700000000000109</c:v>
                </c:pt>
                <c:pt idx="78">
                  <c:v>32.800000000000111</c:v>
                </c:pt>
                <c:pt idx="79">
                  <c:v>32.900000000000112</c:v>
                </c:pt>
                <c:pt idx="80">
                  <c:v>33.000000000000114</c:v>
                </c:pt>
                <c:pt idx="81">
                  <c:v>33.100000000000115</c:v>
                </c:pt>
                <c:pt idx="82">
                  <c:v>33.200000000000117</c:v>
                </c:pt>
                <c:pt idx="83">
                  <c:v>33.300000000000118</c:v>
                </c:pt>
                <c:pt idx="84">
                  <c:v>33.400000000000119</c:v>
                </c:pt>
                <c:pt idx="85">
                  <c:v>33.500000000000121</c:v>
                </c:pt>
                <c:pt idx="86">
                  <c:v>33.600000000000122</c:v>
                </c:pt>
                <c:pt idx="87">
                  <c:v>33.700000000000124</c:v>
                </c:pt>
                <c:pt idx="88">
                  <c:v>33.800000000000125</c:v>
                </c:pt>
                <c:pt idx="89">
                  <c:v>33.900000000000126</c:v>
                </c:pt>
                <c:pt idx="90">
                  <c:v>34.000000000000128</c:v>
                </c:pt>
                <c:pt idx="91">
                  <c:v>34.100000000000129</c:v>
                </c:pt>
                <c:pt idx="92">
                  <c:v>34.200000000000131</c:v>
                </c:pt>
                <c:pt idx="93">
                  <c:v>34.300000000000132</c:v>
                </c:pt>
                <c:pt idx="94">
                  <c:v>34.400000000000134</c:v>
                </c:pt>
                <c:pt idx="95">
                  <c:v>34.500000000000135</c:v>
                </c:pt>
                <c:pt idx="96">
                  <c:v>34.600000000000136</c:v>
                </c:pt>
                <c:pt idx="97">
                  <c:v>34.700000000000138</c:v>
                </c:pt>
                <c:pt idx="98">
                  <c:v>34.800000000000139</c:v>
                </c:pt>
                <c:pt idx="99">
                  <c:v>34.900000000000141</c:v>
                </c:pt>
                <c:pt idx="100">
                  <c:v>35.000000000000142</c:v>
                </c:pt>
                <c:pt idx="101">
                  <c:v>35.100000000000144</c:v>
                </c:pt>
                <c:pt idx="102">
                  <c:v>35.200000000000145</c:v>
                </c:pt>
                <c:pt idx="103">
                  <c:v>35.300000000000146</c:v>
                </c:pt>
                <c:pt idx="104">
                  <c:v>35.400000000000148</c:v>
                </c:pt>
                <c:pt idx="105">
                  <c:v>35.500000000000149</c:v>
                </c:pt>
                <c:pt idx="106">
                  <c:v>35.600000000000151</c:v>
                </c:pt>
                <c:pt idx="107">
                  <c:v>35.700000000000152</c:v>
                </c:pt>
                <c:pt idx="108">
                  <c:v>35.800000000000153</c:v>
                </c:pt>
                <c:pt idx="109">
                  <c:v>35.900000000000155</c:v>
                </c:pt>
                <c:pt idx="110">
                  <c:v>36.000000000000156</c:v>
                </c:pt>
                <c:pt idx="111">
                  <c:v>36.100000000000158</c:v>
                </c:pt>
                <c:pt idx="112">
                  <c:v>36.200000000000159</c:v>
                </c:pt>
                <c:pt idx="113">
                  <c:v>36.300000000000161</c:v>
                </c:pt>
                <c:pt idx="114">
                  <c:v>36.400000000000162</c:v>
                </c:pt>
                <c:pt idx="115">
                  <c:v>36.500000000000163</c:v>
                </c:pt>
                <c:pt idx="116">
                  <c:v>36.600000000000165</c:v>
                </c:pt>
                <c:pt idx="117">
                  <c:v>36.700000000000166</c:v>
                </c:pt>
                <c:pt idx="118">
                  <c:v>36.800000000000168</c:v>
                </c:pt>
                <c:pt idx="119">
                  <c:v>36.900000000000169</c:v>
                </c:pt>
                <c:pt idx="120">
                  <c:v>37.000000000000171</c:v>
                </c:pt>
                <c:pt idx="121">
                  <c:v>37.100000000000172</c:v>
                </c:pt>
                <c:pt idx="122">
                  <c:v>37.200000000000173</c:v>
                </c:pt>
                <c:pt idx="123">
                  <c:v>37.300000000000175</c:v>
                </c:pt>
                <c:pt idx="124">
                  <c:v>37.400000000000176</c:v>
                </c:pt>
                <c:pt idx="125">
                  <c:v>37.500000000000178</c:v>
                </c:pt>
                <c:pt idx="126">
                  <c:v>37.600000000000179</c:v>
                </c:pt>
                <c:pt idx="127">
                  <c:v>37.70000000000018</c:v>
                </c:pt>
                <c:pt idx="128">
                  <c:v>37.800000000000182</c:v>
                </c:pt>
                <c:pt idx="129">
                  <c:v>37.900000000000183</c:v>
                </c:pt>
                <c:pt idx="130">
                  <c:v>38.000000000000185</c:v>
                </c:pt>
                <c:pt idx="131">
                  <c:v>38.100000000000186</c:v>
                </c:pt>
                <c:pt idx="132">
                  <c:v>38.200000000000188</c:v>
                </c:pt>
                <c:pt idx="133">
                  <c:v>38.300000000000189</c:v>
                </c:pt>
                <c:pt idx="134">
                  <c:v>38.40000000000019</c:v>
                </c:pt>
                <c:pt idx="135">
                  <c:v>38.500000000000192</c:v>
                </c:pt>
                <c:pt idx="136">
                  <c:v>38.600000000000193</c:v>
                </c:pt>
                <c:pt idx="137">
                  <c:v>38.700000000000195</c:v>
                </c:pt>
                <c:pt idx="138">
                  <c:v>38.800000000000196</c:v>
                </c:pt>
                <c:pt idx="139">
                  <c:v>38.900000000000198</c:v>
                </c:pt>
                <c:pt idx="140">
                  <c:v>39.000000000000199</c:v>
                </c:pt>
                <c:pt idx="141">
                  <c:v>39.1000000000002</c:v>
                </c:pt>
                <c:pt idx="142">
                  <c:v>39.200000000000202</c:v>
                </c:pt>
                <c:pt idx="143">
                  <c:v>39.300000000000203</c:v>
                </c:pt>
                <c:pt idx="144">
                  <c:v>39.400000000000205</c:v>
                </c:pt>
                <c:pt idx="145">
                  <c:v>39.500000000000206</c:v>
                </c:pt>
                <c:pt idx="146">
                  <c:v>39.600000000000207</c:v>
                </c:pt>
                <c:pt idx="147">
                  <c:v>39.700000000000209</c:v>
                </c:pt>
                <c:pt idx="148">
                  <c:v>39.80000000000021</c:v>
                </c:pt>
                <c:pt idx="149">
                  <c:v>39.900000000000212</c:v>
                </c:pt>
                <c:pt idx="150">
                  <c:v>40.000000000000213</c:v>
                </c:pt>
                <c:pt idx="151">
                  <c:v>40.100000000000215</c:v>
                </c:pt>
                <c:pt idx="152">
                  <c:v>40.200000000000216</c:v>
                </c:pt>
                <c:pt idx="153">
                  <c:v>40.300000000000217</c:v>
                </c:pt>
                <c:pt idx="154">
                  <c:v>40.400000000000219</c:v>
                </c:pt>
                <c:pt idx="155">
                  <c:v>40.50000000000022</c:v>
                </c:pt>
                <c:pt idx="156">
                  <c:v>40.600000000000222</c:v>
                </c:pt>
                <c:pt idx="157">
                  <c:v>40.700000000000223</c:v>
                </c:pt>
                <c:pt idx="158">
                  <c:v>40.800000000000225</c:v>
                </c:pt>
                <c:pt idx="159">
                  <c:v>40.900000000000226</c:v>
                </c:pt>
                <c:pt idx="160">
                  <c:v>41.000000000000227</c:v>
                </c:pt>
                <c:pt idx="161">
                  <c:v>41.100000000000229</c:v>
                </c:pt>
                <c:pt idx="162">
                  <c:v>41.20000000000023</c:v>
                </c:pt>
                <c:pt idx="163">
                  <c:v>41.300000000000232</c:v>
                </c:pt>
                <c:pt idx="164">
                  <c:v>41.400000000000233</c:v>
                </c:pt>
                <c:pt idx="165">
                  <c:v>41.500000000000234</c:v>
                </c:pt>
                <c:pt idx="166">
                  <c:v>41.600000000000236</c:v>
                </c:pt>
                <c:pt idx="167">
                  <c:v>41.700000000000237</c:v>
                </c:pt>
                <c:pt idx="168">
                  <c:v>41.800000000000239</c:v>
                </c:pt>
                <c:pt idx="169">
                  <c:v>41.90000000000024</c:v>
                </c:pt>
                <c:pt idx="170">
                  <c:v>42.000000000000242</c:v>
                </c:pt>
                <c:pt idx="171">
                  <c:v>42.100000000000243</c:v>
                </c:pt>
                <c:pt idx="172">
                  <c:v>42.200000000000244</c:v>
                </c:pt>
                <c:pt idx="173">
                  <c:v>42.300000000000246</c:v>
                </c:pt>
                <c:pt idx="174">
                  <c:v>42.400000000000247</c:v>
                </c:pt>
                <c:pt idx="175">
                  <c:v>42.500000000000249</c:v>
                </c:pt>
                <c:pt idx="176">
                  <c:v>42.60000000000025</c:v>
                </c:pt>
                <c:pt idx="177">
                  <c:v>42.700000000000252</c:v>
                </c:pt>
                <c:pt idx="178">
                  <c:v>42.800000000000253</c:v>
                </c:pt>
                <c:pt idx="179">
                  <c:v>42.900000000000254</c:v>
                </c:pt>
                <c:pt idx="180">
                  <c:v>43.000000000000256</c:v>
                </c:pt>
                <c:pt idx="181">
                  <c:v>43.100000000000257</c:v>
                </c:pt>
                <c:pt idx="182">
                  <c:v>43.200000000000259</c:v>
                </c:pt>
                <c:pt idx="183">
                  <c:v>43.30000000000026</c:v>
                </c:pt>
                <c:pt idx="184">
                  <c:v>43.400000000000261</c:v>
                </c:pt>
                <c:pt idx="185">
                  <c:v>43.500000000000263</c:v>
                </c:pt>
                <c:pt idx="186">
                  <c:v>43.600000000000264</c:v>
                </c:pt>
                <c:pt idx="187">
                  <c:v>43.700000000000266</c:v>
                </c:pt>
                <c:pt idx="188">
                  <c:v>43.800000000000267</c:v>
                </c:pt>
                <c:pt idx="189">
                  <c:v>43.900000000000269</c:v>
                </c:pt>
                <c:pt idx="190">
                  <c:v>44.00000000000027</c:v>
                </c:pt>
                <c:pt idx="191">
                  <c:v>44.100000000000271</c:v>
                </c:pt>
                <c:pt idx="192">
                  <c:v>44.200000000000273</c:v>
                </c:pt>
                <c:pt idx="193">
                  <c:v>44.300000000000274</c:v>
                </c:pt>
                <c:pt idx="194">
                  <c:v>44.400000000000276</c:v>
                </c:pt>
                <c:pt idx="195">
                  <c:v>44.500000000000277</c:v>
                </c:pt>
                <c:pt idx="196">
                  <c:v>44.600000000000279</c:v>
                </c:pt>
                <c:pt idx="197">
                  <c:v>44.70000000000028</c:v>
                </c:pt>
                <c:pt idx="198">
                  <c:v>44.800000000000281</c:v>
                </c:pt>
                <c:pt idx="199">
                  <c:v>44.900000000000283</c:v>
                </c:pt>
                <c:pt idx="200">
                  <c:v>45.000000000000284</c:v>
                </c:pt>
                <c:pt idx="201">
                  <c:v>45.100000000000286</c:v>
                </c:pt>
                <c:pt idx="202">
                  <c:v>45.200000000000287</c:v>
                </c:pt>
                <c:pt idx="203">
                  <c:v>45.300000000000288</c:v>
                </c:pt>
                <c:pt idx="204">
                  <c:v>45.40000000000029</c:v>
                </c:pt>
                <c:pt idx="205">
                  <c:v>45.500000000000291</c:v>
                </c:pt>
                <c:pt idx="206">
                  <c:v>45.600000000000293</c:v>
                </c:pt>
                <c:pt idx="207">
                  <c:v>45.700000000000294</c:v>
                </c:pt>
                <c:pt idx="208">
                  <c:v>45.800000000000296</c:v>
                </c:pt>
                <c:pt idx="209">
                  <c:v>45.900000000000297</c:v>
                </c:pt>
                <c:pt idx="210">
                  <c:v>46.000000000000298</c:v>
                </c:pt>
                <c:pt idx="211">
                  <c:v>46.1000000000003</c:v>
                </c:pt>
                <c:pt idx="212">
                  <c:v>46.200000000000301</c:v>
                </c:pt>
                <c:pt idx="213">
                  <c:v>46.300000000000303</c:v>
                </c:pt>
                <c:pt idx="214">
                  <c:v>46.400000000000304</c:v>
                </c:pt>
                <c:pt idx="215">
                  <c:v>46.500000000000306</c:v>
                </c:pt>
                <c:pt idx="216">
                  <c:v>46.600000000000307</c:v>
                </c:pt>
                <c:pt idx="217">
                  <c:v>46.700000000000308</c:v>
                </c:pt>
                <c:pt idx="218">
                  <c:v>46.80000000000031</c:v>
                </c:pt>
                <c:pt idx="219">
                  <c:v>46.900000000000311</c:v>
                </c:pt>
                <c:pt idx="220">
                  <c:v>47.000000000000313</c:v>
                </c:pt>
                <c:pt idx="221">
                  <c:v>47.100000000000314</c:v>
                </c:pt>
                <c:pt idx="222">
                  <c:v>47.200000000000315</c:v>
                </c:pt>
                <c:pt idx="223">
                  <c:v>47.300000000000317</c:v>
                </c:pt>
                <c:pt idx="224">
                  <c:v>47.400000000000318</c:v>
                </c:pt>
                <c:pt idx="225">
                  <c:v>47.50000000000032</c:v>
                </c:pt>
                <c:pt idx="226">
                  <c:v>47.600000000000321</c:v>
                </c:pt>
                <c:pt idx="227">
                  <c:v>47.700000000000323</c:v>
                </c:pt>
                <c:pt idx="228">
                  <c:v>47.800000000000324</c:v>
                </c:pt>
                <c:pt idx="229">
                  <c:v>47.900000000000325</c:v>
                </c:pt>
                <c:pt idx="230">
                  <c:v>48.000000000000327</c:v>
                </c:pt>
                <c:pt idx="231">
                  <c:v>48.100000000000328</c:v>
                </c:pt>
                <c:pt idx="232">
                  <c:v>48.20000000000033</c:v>
                </c:pt>
                <c:pt idx="233">
                  <c:v>48.300000000000331</c:v>
                </c:pt>
                <c:pt idx="234">
                  <c:v>48.400000000000333</c:v>
                </c:pt>
                <c:pt idx="235">
                  <c:v>48.500000000000334</c:v>
                </c:pt>
                <c:pt idx="236">
                  <c:v>48.600000000000335</c:v>
                </c:pt>
                <c:pt idx="237">
                  <c:v>48.700000000000337</c:v>
                </c:pt>
                <c:pt idx="238">
                  <c:v>48.800000000000338</c:v>
                </c:pt>
                <c:pt idx="239">
                  <c:v>48.90000000000034</c:v>
                </c:pt>
                <c:pt idx="240">
                  <c:v>49.000000000000341</c:v>
                </c:pt>
                <c:pt idx="241">
                  <c:v>49.100000000000342</c:v>
                </c:pt>
                <c:pt idx="242">
                  <c:v>49.200000000000344</c:v>
                </c:pt>
                <c:pt idx="243">
                  <c:v>49.300000000000345</c:v>
                </c:pt>
                <c:pt idx="244">
                  <c:v>49.400000000000347</c:v>
                </c:pt>
                <c:pt idx="245">
                  <c:v>49.500000000000348</c:v>
                </c:pt>
                <c:pt idx="246">
                  <c:v>49.60000000000035</c:v>
                </c:pt>
                <c:pt idx="247">
                  <c:v>49.700000000000351</c:v>
                </c:pt>
                <c:pt idx="248">
                  <c:v>49.800000000000352</c:v>
                </c:pt>
                <c:pt idx="249">
                  <c:v>49.900000000000354</c:v>
                </c:pt>
                <c:pt idx="250">
                  <c:v>50.000000000000355</c:v>
                </c:pt>
                <c:pt idx="251">
                  <c:v>50.100000000000357</c:v>
                </c:pt>
                <c:pt idx="252">
                  <c:v>50.200000000000358</c:v>
                </c:pt>
                <c:pt idx="253">
                  <c:v>50.30000000000036</c:v>
                </c:pt>
                <c:pt idx="254">
                  <c:v>50.400000000000361</c:v>
                </c:pt>
                <c:pt idx="255">
                  <c:v>50.500000000000362</c:v>
                </c:pt>
                <c:pt idx="256">
                  <c:v>50.600000000000364</c:v>
                </c:pt>
                <c:pt idx="257">
                  <c:v>50.700000000000365</c:v>
                </c:pt>
                <c:pt idx="258">
                  <c:v>50.800000000000367</c:v>
                </c:pt>
                <c:pt idx="259">
                  <c:v>50.900000000000368</c:v>
                </c:pt>
                <c:pt idx="260">
                  <c:v>51.000000000000369</c:v>
                </c:pt>
                <c:pt idx="261">
                  <c:v>51.100000000000371</c:v>
                </c:pt>
                <c:pt idx="262">
                  <c:v>51.200000000000372</c:v>
                </c:pt>
                <c:pt idx="263">
                  <c:v>51.300000000000374</c:v>
                </c:pt>
                <c:pt idx="264">
                  <c:v>51.400000000000375</c:v>
                </c:pt>
                <c:pt idx="265">
                  <c:v>51.500000000000377</c:v>
                </c:pt>
                <c:pt idx="266">
                  <c:v>51.600000000000378</c:v>
                </c:pt>
                <c:pt idx="267">
                  <c:v>51.700000000000379</c:v>
                </c:pt>
                <c:pt idx="268">
                  <c:v>51.800000000000381</c:v>
                </c:pt>
                <c:pt idx="269">
                  <c:v>51.900000000000382</c:v>
                </c:pt>
                <c:pt idx="270">
                  <c:v>52.000000000000384</c:v>
                </c:pt>
                <c:pt idx="271">
                  <c:v>52.100000000000385</c:v>
                </c:pt>
                <c:pt idx="272">
                  <c:v>52.200000000000387</c:v>
                </c:pt>
                <c:pt idx="273">
                  <c:v>52.300000000000388</c:v>
                </c:pt>
                <c:pt idx="274">
                  <c:v>52.400000000000389</c:v>
                </c:pt>
                <c:pt idx="275">
                  <c:v>52.500000000000391</c:v>
                </c:pt>
                <c:pt idx="276">
                  <c:v>52.600000000000392</c:v>
                </c:pt>
                <c:pt idx="277">
                  <c:v>52.700000000000394</c:v>
                </c:pt>
                <c:pt idx="278">
                  <c:v>52.800000000000395</c:v>
                </c:pt>
                <c:pt idx="279">
                  <c:v>52.900000000000396</c:v>
                </c:pt>
                <c:pt idx="280">
                  <c:v>53.000000000000398</c:v>
                </c:pt>
                <c:pt idx="281">
                  <c:v>53.100000000000399</c:v>
                </c:pt>
                <c:pt idx="282">
                  <c:v>53.200000000000401</c:v>
                </c:pt>
                <c:pt idx="283">
                  <c:v>53.300000000000402</c:v>
                </c:pt>
                <c:pt idx="284">
                  <c:v>53.400000000000404</c:v>
                </c:pt>
                <c:pt idx="285">
                  <c:v>53.500000000000405</c:v>
                </c:pt>
                <c:pt idx="286">
                  <c:v>53.600000000000406</c:v>
                </c:pt>
                <c:pt idx="287">
                  <c:v>53.700000000000408</c:v>
                </c:pt>
                <c:pt idx="288">
                  <c:v>53.800000000000409</c:v>
                </c:pt>
                <c:pt idx="289">
                  <c:v>53.900000000000411</c:v>
                </c:pt>
                <c:pt idx="290">
                  <c:v>54.000000000000412</c:v>
                </c:pt>
                <c:pt idx="291">
                  <c:v>54.100000000000414</c:v>
                </c:pt>
                <c:pt idx="292">
                  <c:v>54.200000000000415</c:v>
                </c:pt>
                <c:pt idx="293">
                  <c:v>54.300000000000416</c:v>
                </c:pt>
                <c:pt idx="294">
                  <c:v>54.400000000000418</c:v>
                </c:pt>
                <c:pt idx="295">
                  <c:v>54.500000000000419</c:v>
                </c:pt>
                <c:pt idx="296">
                  <c:v>54.600000000000421</c:v>
                </c:pt>
                <c:pt idx="297">
                  <c:v>54.700000000000422</c:v>
                </c:pt>
                <c:pt idx="298">
                  <c:v>54.800000000000423</c:v>
                </c:pt>
                <c:pt idx="299">
                  <c:v>54.900000000000425</c:v>
                </c:pt>
                <c:pt idx="300">
                  <c:v>55.000000000000426</c:v>
                </c:pt>
                <c:pt idx="301">
                  <c:v>55.100000000000428</c:v>
                </c:pt>
                <c:pt idx="302">
                  <c:v>55.200000000000429</c:v>
                </c:pt>
                <c:pt idx="303">
                  <c:v>55.300000000000431</c:v>
                </c:pt>
                <c:pt idx="304">
                  <c:v>55.400000000000432</c:v>
                </c:pt>
                <c:pt idx="305">
                  <c:v>55.500000000000433</c:v>
                </c:pt>
                <c:pt idx="306">
                  <c:v>55.600000000000435</c:v>
                </c:pt>
                <c:pt idx="307">
                  <c:v>55.700000000000436</c:v>
                </c:pt>
                <c:pt idx="308">
                  <c:v>55.800000000000438</c:v>
                </c:pt>
                <c:pt idx="309">
                  <c:v>55.900000000000439</c:v>
                </c:pt>
                <c:pt idx="310">
                  <c:v>56.000000000000441</c:v>
                </c:pt>
                <c:pt idx="311">
                  <c:v>56.100000000000442</c:v>
                </c:pt>
                <c:pt idx="312">
                  <c:v>56.200000000000443</c:v>
                </c:pt>
                <c:pt idx="313">
                  <c:v>56.300000000000445</c:v>
                </c:pt>
                <c:pt idx="314">
                  <c:v>56.400000000000446</c:v>
                </c:pt>
                <c:pt idx="315">
                  <c:v>56.500000000000448</c:v>
                </c:pt>
                <c:pt idx="316">
                  <c:v>56.600000000000449</c:v>
                </c:pt>
                <c:pt idx="317">
                  <c:v>56.70000000000045</c:v>
                </c:pt>
                <c:pt idx="318">
                  <c:v>56.800000000000452</c:v>
                </c:pt>
                <c:pt idx="319">
                  <c:v>56.900000000000453</c:v>
                </c:pt>
                <c:pt idx="320">
                  <c:v>57.000000000000455</c:v>
                </c:pt>
                <c:pt idx="321">
                  <c:v>57.100000000000456</c:v>
                </c:pt>
                <c:pt idx="322">
                  <c:v>57.200000000000458</c:v>
                </c:pt>
                <c:pt idx="323">
                  <c:v>57.300000000000459</c:v>
                </c:pt>
                <c:pt idx="324">
                  <c:v>57.40000000000046</c:v>
                </c:pt>
                <c:pt idx="325">
                  <c:v>57.500000000000462</c:v>
                </c:pt>
                <c:pt idx="326">
                  <c:v>57.600000000000463</c:v>
                </c:pt>
                <c:pt idx="327">
                  <c:v>57.700000000000465</c:v>
                </c:pt>
                <c:pt idx="328">
                  <c:v>57.800000000000466</c:v>
                </c:pt>
                <c:pt idx="329">
                  <c:v>57.900000000000468</c:v>
                </c:pt>
                <c:pt idx="330">
                  <c:v>58.000000000000469</c:v>
                </c:pt>
                <c:pt idx="331">
                  <c:v>58.10000000000047</c:v>
                </c:pt>
                <c:pt idx="332">
                  <c:v>58.200000000000472</c:v>
                </c:pt>
                <c:pt idx="333">
                  <c:v>58.300000000000473</c:v>
                </c:pt>
                <c:pt idx="334">
                  <c:v>58.400000000000475</c:v>
                </c:pt>
                <c:pt idx="335">
                  <c:v>58.500000000000476</c:v>
                </c:pt>
                <c:pt idx="336">
                  <c:v>58.600000000000477</c:v>
                </c:pt>
                <c:pt idx="337">
                  <c:v>58.700000000000479</c:v>
                </c:pt>
                <c:pt idx="338">
                  <c:v>58.80000000000048</c:v>
                </c:pt>
                <c:pt idx="339">
                  <c:v>58.900000000000482</c:v>
                </c:pt>
                <c:pt idx="340">
                  <c:v>59.000000000000483</c:v>
                </c:pt>
                <c:pt idx="341">
                  <c:v>59.100000000000485</c:v>
                </c:pt>
                <c:pt idx="342">
                  <c:v>59.200000000000486</c:v>
                </c:pt>
                <c:pt idx="343">
                  <c:v>59.300000000000487</c:v>
                </c:pt>
                <c:pt idx="344">
                  <c:v>59.400000000000489</c:v>
                </c:pt>
                <c:pt idx="345">
                  <c:v>59.50000000000049</c:v>
                </c:pt>
                <c:pt idx="346">
                  <c:v>59.600000000000492</c:v>
                </c:pt>
                <c:pt idx="347">
                  <c:v>59.700000000000493</c:v>
                </c:pt>
                <c:pt idx="348">
                  <c:v>59.800000000000495</c:v>
                </c:pt>
                <c:pt idx="349">
                  <c:v>59.900000000000496</c:v>
                </c:pt>
                <c:pt idx="350">
                  <c:v>60.000000000000497</c:v>
                </c:pt>
                <c:pt idx="351">
                  <c:v>60.100000000000499</c:v>
                </c:pt>
                <c:pt idx="352">
                  <c:v>60.2000000000005</c:v>
                </c:pt>
                <c:pt idx="353">
                  <c:v>60.300000000000502</c:v>
                </c:pt>
                <c:pt idx="354">
                  <c:v>60.400000000000503</c:v>
                </c:pt>
                <c:pt idx="355">
                  <c:v>60.500000000000504</c:v>
                </c:pt>
                <c:pt idx="356">
                  <c:v>60.600000000000506</c:v>
                </c:pt>
                <c:pt idx="357">
                  <c:v>60.700000000000507</c:v>
                </c:pt>
                <c:pt idx="358">
                  <c:v>60.800000000000509</c:v>
                </c:pt>
                <c:pt idx="359">
                  <c:v>60.90000000000051</c:v>
                </c:pt>
                <c:pt idx="360">
                  <c:v>61.000000000000512</c:v>
                </c:pt>
                <c:pt idx="361">
                  <c:v>61.100000000000513</c:v>
                </c:pt>
                <c:pt idx="362">
                  <c:v>61.200000000000514</c:v>
                </c:pt>
                <c:pt idx="363">
                  <c:v>61.300000000000516</c:v>
                </c:pt>
                <c:pt idx="364">
                  <c:v>61.400000000000517</c:v>
                </c:pt>
                <c:pt idx="365">
                  <c:v>61.500000000000519</c:v>
                </c:pt>
                <c:pt idx="366">
                  <c:v>61.60000000000052</c:v>
                </c:pt>
                <c:pt idx="367">
                  <c:v>61.700000000000522</c:v>
                </c:pt>
                <c:pt idx="368">
                  <c:v>61.800000000000523</c:v>
                </c:pt>
                <c:pt idx="369">
                  <c:v>61.900000000000524</c:v>
                </c:pt>
                <c:pt idx="370">
                  <c:v>62.000000000000526</c:v>
                </c:pt>
                <c:pt idx="371">
                  <c:v>62.100000000000527</c:v>
                </c:pt>
                <c:pt idx="372">
                  <c:v>62.200000000000529</c:v>
                </c:pt>
                <c:pt idx="373">
                  <c:v>62.30000000000053</c:v>
                </c:pt>
                <c:pt idx="374">
                  <c:v>62.400000000000531</c:v>
                </c:pt>
                <c:pt idx="375">
                  <c:v>62.500000000000533</c:v>
                </c:pt>
                <c:pt idx="376">
                  <c:v>62.600000000000534</c:v>
                </c:pt>
                <c:pt idx="377">
                  <c:v>62.700000000000536</c:v>
                </c:pt>
                <c:pt idx="378">
                  <c:v>62.800000000000537</c:v>
                </c:pt>
                <c:pt idx="379">
                  <c:v>62.900000000000539</c:v>
                </c:pt>
                <c:pt idx="380">
                  <c:v>63.00000000000054</c:v>
                </c:pt>
                <c:pt idx="381">
                  <c:v>63.100000000000541</c:v>
                </c:pt>
                <c:pt idx="382">
                  <c:v>63.200000000000543</c:v>
                </c:pt>
                <c:pt idx="383">
                  <c:v>63.300000000000544</c:v>
                </c:pt>
                <c:pt idx="384">
                  <c:v>63.400000000000546</c:v>
                </c:pt>
                <c:pt idx="385">
                  <c:v>63.500000000000547</c:v>
                </c:pt>
                <c:pt idx="386">
                  <c:v>63.600000000000549</c:v>
                </c:pt>
                <c:pt idx="387">
                  <c:v>63.70000000000055</c:v>
                </c:pt>
                <c:pt idx="388">
                  <c:v>63.800000000000551</c:v>
                </c:pt>
                <c:pt idx="389">
                  <c:v>63.900000000000553</c:v>
                </c:pt>
                <c:pt idx="390">
                  <c:v>64.000000000000554</c:v>
                </c:pt>
                <c:pt idx="391">
                  <c:v>64.100000000000549</c:v>
                </c:pt>
                <c:pt idx="392">
                  <c:v>64.200000000000543</c:v>
                </c:pt>
                <c:pt idx="393">
                  <c:v>64.300000000000537</c:v>
                </c:pt>
                <c:pt idx="394">
                  <c:v>64.400000000000531</c:v>
                </c:pt>
                <c:pt idx="395">
                  <c:v>64.500000000000526</c:v>
                </c:pt>
                <c:pt idx="396">
                  <c:v>64.60000000000052</c:v>
                </c:pt>
                <c:pt idx="397">
                  <c:v>64.700000000000514</c:v>
                </c:pt>
                <c:pt idx="398">
                  <c:v>64.800000000000509</c:v>
                </c:pt>
                <c:pt idx="399">
                  <c:v>64.900000000000503</c:v>
                </c:pt>
                <c:pt idx="400">
                  <c:v>65.000000000000497</c:v>
                </c:pt>
                <c:pt idx="401">
                  <c:v>65.100000000000492</c:v>
                </c:pt>
                <c:pt idx="402">
                  <c:v>65.200000000000486</c:v>
                </c:pt>
                <c:pt idx="403">
                  <c:v>65.30000000000048</c:v>
                </c:pt>
                <c:pt idx="404">
                  <c:v>65.400000000000475</c:v>
                </c:pt>
                <c:pt idx="405">
                  <c:v>65.500000000000469</c:v>
                </c:pt>
                <c:pt idx="406">
                  <c:v>65.600000000000463</c:v>
                </c:pt>
                <c:pt idx="407">
                  <c:v>65.700000000000458</c:v>
                </c:pt>
                <c:pt idx="408">
                  <c:v>65.800000000000452</c:v>
                </c:pt>
                <c:pt idx="409">
                  <c:v>65.900000000000446</c:v>
                </c:pt>
                <c:pt idx="410">
                  <c:v>66.000000000000441</c:v>
                </c:pt>
                <c:pt idx="411">
                  <c:v>66.100000000000435</c:v>
                </c:pt>
                <c:pt idx="412">
                  <c:v>66.200000000000429</c:v>
                </c:pt>
                <c:pt idx="413">
                  <c:v>66.300000000000423</c:v>
                </c:pt>
                <c:pt idx="414">
                  <c:v>66.400000000000418</c:v>
                </c:pt>
                <c:pt idx="415">
                  <c:v>66.500000000000412</c:v>
                </c:pt>
                <c:pt idx="416">
                  <c:v>66.600000000000406</c:v>
                </c:pt>
                <c:pt idx="417">
                  <c:v>66.700000000000401</c:v>
                </c:pt>
                <c:pt idx="418">
                  <c:v>66.800000000000395</c:v>
                </c:pt>
                <c:pt idx="419">
                  <c:v>66.900000000000389</c:v>
                </c:pt>
                <c:pt idx="420">
                  <c:v>67.000000000000384</c:v>
                </c:pt>
                <c:pt idx="421">
                  <c:v>67.100000000000378</c:v>
                </c:pt>
                <c:pt idx="422">
                  <c:v>67.200000000000372</c:v>
                </c:pt>
                <c:pt idx="423">
                  <c:v>67.300000000000367</c:v>
                </c:pt>
                <c:pt idx="424">
                  <c:v>67.400000000000361</c:v>
                </c:pt>
                <c:pt idx="425">
                  <c:v>67.500000000000355</c:v>
                </c:pt>
                <c:pt idx="426">
                  <c:v>67.60000000000035</c:v>
                </c:pt>
                <c:pt idx="427">
                  <c:v>67.700000000000344</c:v>
                </c:pt>
                <c:pt idx="428">
                  <c:v>67.800000000000338</c:v>
                </c:pt>
                <c:pt idx="429">
                  <c:v>67.900000000000333</c:v>
                </c:pt>
                <c:pt idx="430">
                  <c:v>68.000000000000327</c:v>
                </c:pt>
                <c:pt idx="431">
                  <c:v>68.100000000000321</c:v>
                </c:pt>
                <c:pt idx="432">
                  <c:v>68.200000000000315</c:v>
                </c:pt>
                <c:pt idx="433">
                  <c:v>68.30000000000031</c:v>
                </c:pt>
                <c:pt idx="434">
                  <c:v>68.400000000000304</c:v>
                </c:pt>
                <c:pt idx="435">
                  <c:v>68.500000000000298</c:v>
                </c:pt>
                <c:pt idx="436">
                  <c:v>68.600000000000293</c:v>
                </c:pt>
                <c:pt idx="437">
                  <c:v>68.700000000000287</c:v>
                </c:pt>
                <c:pt idx="438">
                  <c:v>68.800000000000281</c:v>
                </c:pt>
                <c:pt idx="439">
                  <c:v>68.900000000000276</c:v>
                </c:pt>
                <c:pt idx="440">
                  <c:v>69.00000000000027</c:v>
                </c:pt>
                <c:pt idx="441">
                  <c:v>69.100000000000264</c:v>
                </c:pt>
                <c:pt idx="442">
                  <c:v>69.200000000000259</c:v>
                </c:pt>
                <c:pt idx="443">
                  <c:v>69.300000000000253</c:v>
                </c:pt>
                <c:pt idx="444">
                  <c:v>69.400000000000247</c:v>
                </c:pt>
                <c:pt idx="445">
                  <c:v>69.500000000000242</c:v>
                </c:pt>
                <c:pt idx="446">
                  <c:v>69.600000000000236</c:v>
                </c:pt>
                <c:pt idx="447">
                  <c:v>69.70000000000023</c:v>
                </c:pt>
                <c:pt idx="448">
                  <c:v>69.800000000000225</c:v>
                </c:pt>
                <c:pt idx="449">
                  <c:v>69.900000000000219</c:v>
                </c:pt>
                <c:pt idx="450">
                  <c:v>69.900000000000219</c:v>
                </c:pt>
                <c:pt idx="451">
                  <c:v>69.900000000000219</c:v>
                </c:pt>
                <c:pt idx="452">
                  <c:v>69.900000000000219</c:v>
                </c:pt>
                <c:pt idx="453">
                  <c:v>69.900000000000219</c:v>
                </c:pt>
                <c:pt idx="454">
                  <c:v>69.900000000000219</c:v>
                </c:pt>
                <c:pt idx="455">
                  <c:v>69.900000000000219</c:v>
                </c:pt>
                <c:pt idx="456">
                  <c:v>69.900000000000219</c:v>
                </c:pt>
                <c:pt idx="457">
                  <c:v>69.900000000000219</c:v>
                </c:pt>
                <c:pt idx="458">
                  <c:v>69.900000000000219</c:v>
                </c:pt>
                <c:pt idx="459">
                  <c:v>69.900000000000219</c:v>
                </c:pt>
                <c:pt idx="460">
                  <c:v>69.900000000000219</c:v>
                </c:pt>
                <c:pt idx="461">
                  <c:v>69.900000000000219</c:v>
                </c:pt>
                <c:pt idx="462">
                  <c:v>69.900000000000219</c:v>
                </c:pt>
                <c:pt idx="463">
                  <c:v>69.900000000000219</c:v>
                </c:pt>
                <c:pt idx="464">
                  <c:v>69.900000000000219</c:v>
                </c:pt>
                <c:pt idx="465">
                  <c:v>69.900000000000219</c:v>
                </c:pt>
                <c:pt idx="466">
                  <c:v>69.900000000000219</c:v>
                </c:pt>
                <c:pt idx="467">
                  <c:v>69.900000000000219</c:v>
                </c:pt>
                <c:pt idx="468">
                  <c:v>69.900000000000219</c:v>
                </c:pt>
                <c:pt idx="469">
                  <c:v>69.900000000000219</c:v>
                </c:pt>
                <c:pt idx="470">
                  <c:v>69.900000000000219</c:v>
                </c:pt>
                <c:pt idx="471">
                  <c:v>69.900000000000219</c:v>
                </c:pt>
                <c:pt idx="472">
                  <c:v>69.900000000000219</c:v>
                </c:pt>
                <c:pt idx="473">
                  <c:v>69.900000000000219</c:v>
                </c:pt>
                <c:pt idx="474">
                  <c:v>69.900000000000219</c:v>
                </c:pt>
                <c:pt idx="475">
                  <c:v>69.900000000000219</c:v>
                </c:pt>
                <c:pt idx="476">
                  <c:v>69.900000000000219</c:v>
                </c:pt>
                <c:pt idx="477">
                  <c:v>69.900000000000219</c:v>
                </c:pt>
                <c:pt idx="478">
                  <c:v>69.900000000000219</c:v>
                </c:pt>
                <c:pt idx="479">
                  <c:v>69.900000000000219</c:v>
                </c:pt>
                <c:pt idx="480">
                  <c:v>69.900000000000219</c:v>
                </c:pt>
                <c:pt idx="481">
                  <c:v>69.900000000000219</c:v>
                </c:pt>
                <c:pt idx="482">
                  <c:v>69.900000000000219</c:v>
                </c:pt>
                <c:pt idx="483">
                  <c:v>69.900000000000219</c:v>
                </c:pt>
                <c:pt idx="484">
                  <c:v>69.900000000000219</c:v>
                </c:pt>
                <c:pt idx="485">
                  <c:v>69.900000000000219</c:v>
                </c:pt>
                <c:pt idx="486">
                  <c:v>69.900000000000219</c:v>
                </c:pt>
                <c:pt idx="487">
                  <c:v>69.900000000000219</c:v>
                </c:pt>
                <c:pt idx="488">
                  <c:v>69.900000000000219</c:v>
                </c:pt>
                <c:pt idx="489">
                  <c:v>69.900000000000219</c:v>
                </c:pt>
                <c:pt idx="490">
                  <c:v>69.900000000000219</c:v>
                </c:pt>
                <c:pt idx="491">
                  <c:v>69.900000000000219</c:v>
                </c:pt>
                <c:pt idx="492">
                  <c:v>69.900000000000219</c:v>
                </c:pt>
                <c:pt idx="493">
                  <c:v>69.900000000000219</c:v>
                </c:pt>
                <c:pt idx="494">
                  <c:v>69.900000000000219</c:v>
                </c:pt>
                <c:pt idx="495">
                  <c:v>69.900000000000219</c:v>
                </c:pt>
                <c:pt idx="496">
                  <c:v>69.900000000000219</c:v>
                </c:pt>
                <c:pt idx="497">
                  <c:v>69.900000000000219</c:v>
                </c:pt>
                <c:pt idx="498">
                  <c:v>69.900000000000219</c:v>
                </c:pt>
                <c:pt idx="499">
                  <c:v>69.900000000000219</c:v>
                </c:pt>
                <c:pt idx="500">
                  <c:v>69.900000000000219</c:v>
                </c:pt>
                <c:pt idx="501">
                  <c:v>69.900000000000219</c:v>
                </c:pt>
                <c:pt idx="502">
                  <c:v>69.900000000000219</c:v>
                </c:pt>
                <c:pt idx="503">
                  <c:v>69.900000000000219</c:v>
                </c:pt>
                <c:pt idx="504">
                  <c:v>69.900000000000219</c:v>
                </c:pt>
                <c:pt idx="505">
                  <c:v>69.900000000000219</c:v>
                </c:pt>
                <c:pt idx="506">
                  <c:v>69.900000000000219</c:v>
                </c:pt>
                <c:pt idx="507">
                  <c:v>69.900000000000219</c:v>
                </c:pt>
                <c:pt idx="508">
                  <c:v>69.900000000000219</c:v>
                </c:pt>
                <c:pt idx="509">
                  <c:v>69.900000000000219</c:v>
                </c:pt>
                <c:pt idx="510">
                  <c:v>69.900000000000219</c:v>
                </c:pt>
              </c:numCache>
            </c:numRef>
          </c:xVal>
          <c:yVal>
            <c:numRef>
              <c:f>Curves!$AR$2:$AR$512</c:f>
              <c:numCache>
                <c:formatCode>General</c:formatCode>
                <c:ptCount val="511"/>
                <c:pt idx="0">
                  <c:v>-35.999999999984936</c:v>
                </c:pt>
                <c:pt idx="1">
                  <c:v>-23.999999999996025</c:v>
                </c:pt>
                <c:pt idx="2">
                  <c:v>-18.000000000001563</c:v>
                </c:pt>
                <c:pt idx="3">
                  <c:v>-23.285714285716598</c:v>
                </c:pt>
                <c:pt idx="4">
                  <c:v>-23.400000000002034</c:v>
                </c:pt>
                <c:pt idx="5">
                  <c:v>-23.408888888891216</c:v>
                </c:pt>
                <c:pt idx="6">
                  <c:v>-24.783333333334614</c:v>
                </c:pt>
                <c:pt idx="7">
                  <c:v>-25.827777777778401</c:v>
                </c:pt>
                <c:pt idx="8">
                  <c:v>-27.394444444444076</c:v>
                </c:pt>
                <c:pt idx="9">
                  <c:v>-29.483333333333153</c:v>
                </c:pt>
                <c:pt idx="10">
                  <c:v>-31.833333333334696</c:v>
                </c:pt>
                <c:pt idx="11">
                  <c:v>-34.183333333333515</c:v>
                </c:pt>
                <c:pt idx="12">
                  <c:v>-36.27222222222138</c:v>
                </c:pt>
                <c:pt idx="13">
                  <c:v>-37.838888888887361</c:v>
                </c:pt>
                <c:pt idx="14">
                  <c:v>-38.883333333331443</c:v>
                </c:pt>
                <c:pt idx="15">
                  <c:v>-39.724444444442305</c:v>
                </c:pt>
                <c:pt idx="16">
                  <c:v>-40.666666666665478</c:v>
                </c:pt>
                <c:pt idx="17">
                  <c:v>-41.999999999999403</c:v>
                </c:pt>
                <c:pt idx="18">
                  <c:v>-44.000000000000888</c:v>
                </c:pt>
                <c:pt idx="19">
                  <c:v>-46.666666666668426</c:v>
                </c:pt>
                <c:pt idx="20">
                  <c:v>-49.666666666668682</c:v>
                </c:pt>
                <c:pt idx="21">
                  <c:v>-52.66666666666805</c:v>
                </c:pt>
                <c:pt idx="22">
                  <c:v>-55.333333333334359</c:v>
                </c:pt>
                <c:pt idx="23">
                  <c:v>-57.33333333333433</c:v>
                </c:pt>
                <c:pt idx="24">
                  <c:v>-58.666666666667652</c:v>
                </c:pt>
                <c:pt idx="25">
                  <c:v>-59.57333333333559</c:v>
                </c:pt>
                <c:pt idx="26">
                  <c:v>-60.316666666668773</c:v>
                </c:pt>
                <c:pt idx="27">
                  <c:v>-61.183333333336471</c:v>
                </c:pt>
                <c:pt idx="28">
                  <c:v>-62.483333333335715</c:v>
                </c:pt>
                <c:pt idx="29">
                  <c:v>-64.216666666668061</c:v>
                </c:pt>
                <c:pt idx="30">
                  <c:v>-66.166666666666927</c:v>
                </c:pt>
                <c:pt idx="31">
                  <c:v>-68.116666666665807</c:v>
                </c:pt>
                <c:pt idx="32">
                  <c:v>-69.849999999999369</c:v>
                </c:pt>
                <c:pt idx="33">
                  <c:v>-71.149999999998329</c:v>
                </c:pt>
                <c:pt idx="34">
                  <c:v>-72.016666666665699</c:v>
                </c:pt>
                <c:pt idx="35">
                  <c:v>-72.58666666666511</c:v>
                </c:pt>
                <c:pt idx="36">
                  <c:v>-73.016666666665699</c:v>
                </c:pt>
                <c:pt idx="37">
                  <c:v>-73.483333333332524</c:v>
                </c:pt>
                <c:pt idx="38">
                  <c:v>-74.183333333333238</c:v>
                </c:pt>
                <c:pt idx="39">
                  <c:v>-75.116666666667228</c:v>
                </c:pt>
                <c:pt idx="40">
                  <c:v>-76.166666666666472</c:v>
                </c:pt>
                <c:pt idx="41">
                  <c:v>-77.216666666667265</c:v>
                </c:pt>
                <c:pt idx="42">
                  <c:v>-78.150000000000048</c:v>
                </c:pt>
                <c:pt idx="43">
                  <c:v>-78.850000000000762</c:v>
                </c:pt>
                <c:pt idx="44">
                  <c:v>-79.316666666667601</c:v>
                </c:pt>
                <c:pt idx="45">
                  <c:v>-79.626666666666793</c:v>
                </c:pt>
                <c:pt idx="46">
                  <c:v>-79.866666666665935</c:v>
                </c:pt>
                <c:pt idx="47">
                  <c:v>-80.133333333332686</c:v>
                </c:pt>
                <c:pt idx="48">
                  <c:v>-80.533333333333218</c:v>
                </c:pt>
                <c:pt idx="49">
                  <c:v>-81.066666666666052</c:v>
                </c:pt>
                <c:pt idx="50">
                  <c:v>-81.666666666667012</c:v>
                </c:pt>
                <c:pt idx="51">
                  <c:v>-82.266666666669195</c:v>
                </c:pt>
                <c:pt idx="52">
                  <c:v>-82.800000000003251</c:v>
                </c:pt>
                <c:pt idx="53">
                  <c:v>-83.200000000004096</c:v>
                </c:pt>
                <c:pt idx="54">
                  <c:v>-83.466666666670207</c:v>
                </c:pt>
                <c:pt idx="55">
                  <c:v>-83.755555555559425</c:v>
                </c:pt>
                <c:pt idx="56">
                  <c:v>-84.200000000003456</c:v>
                </c:pt>
                <c:pt idx="57">
                  <c:v>-84.911111111114536</c:v>
                </c:pt>
                <c:pt idx="58">
                  <c:v>-85.977777777778698</c:v>
                </c:pt>
                <c:pt idx="59">
                  <c:v>-87.399999999998997</c:v>
                </c:pt>
                <c:pt idx="60">
                  <c:v>-88.999999999999332</c:v>
                </c:pt>
                <c:pt idx="61">
                  <c:v>-90.599999999999071</c:v>
                </c:pt>
                <c:pt idx="62">
                  <c:v>-92.022222222221501</c:v>
                </c:pt>
                <c:pt idx="63">
                  <c:v>-93.088888888887496</c:v>
                </c:pt>
                <c:pt idx="64">
                  <c:v>-93.799999999999741</c:v>
                </c:pt>
                <c:pt idx="65">
                  <c:v>-94.391111111111826</c:v>
                </c:pt>
                <c:pt idx="66">
                  <c:v>-95.083333333335617</c:v>
                </c:pt>
                <c:pt idx="67">
                  <c:v>-96.08333333333438</c:v>
                </c:pt>
                <c:pt idx="68">
                  <c:v>-97.583333333333471</c:v>
                </c:pt>
                <c:pt idx="69">
                  <c:v>-99.583333333333442</c:v>
                </c:pt>
                <c:pt idx="70">
                  <c:v>-101.8333333333331</c:v>
                </c:pt>
                <c:pt idx="71">
                  <c:v>-104.08333333333398</c:v>
                </c:pt>
                <c:pt idx="72">
                  <c:v>-106.0833333333333</c:v>
                </c:pt>
                <c:pt idx="73">
                  <c:v>-107.58333333333394</c:v>
                </c:pt>
                <c:pt idx="74">
                  <c:v>-108.58333333333509</c:v>
                </c:pt>
                <c:pt idx="75">
                  <c:v>-109.62666666666937</c:v>
                </c:pt>
                <c:pt idx="76">
                  <c:v>-111.18333333333575</c:v>
                </c:pt>
                <c:pt idx="77">
                  <c:v>-113.65000000000288</c:v>
                </c:pt>
                <c:pt idx="78">
                  <c:v>-117.35000000000475</c:v>
                </c:pt>
                <c:pt idx="79">
                  <c:v>-122.2833333333396</c:v>
                </c:pt>
                <c:pt idx="80">
                  <c:v>-127.83333333334062</c:v>
                </c:pt>
                <c:pt idx="81">
                  <c:v>-133.38333333334103</c:v>
                </c:pt>
                <c:pt idx="82">
                  <c:v>-138.316666666674</c:v>
                </c:pt>
                <c:pt idx="83">
                  <c:v>-142.01666666667319</c:v>
                </c:pt>
                <c:pt idx="84">
                  <c:v>-144.48333333334091</c:v>
                </c:pt>
                <c:pt idx="85">
                  <c:v>-146.83555555556453</c:v>
                </c:pt>
                <c:pt idx="86">
                  <c:v>-150.06666666667599</c:v>
                </c:pt>
                <c:pt idx="87">
                  <c:v>-155.04444444445585</c:v>
                </c:pt>
                <c:pt idx="88">
                  <c:v>-162.51111111112499</c:v>
                </c:pt>
                <c:pt idx="89">
                  <c:v>-172.46666666668108</c:v>
                </c:pt>
                <c:pt idx="90">
                  <c:v>-183.66666666668101</c:v>
                </c:pt>
                <c:pt idx="91">
                  <c:v>-194.86666666667796</c:v>
                </c:pt>
                <c:pt idx="92">
                  <c:v>-204.82222222223007</c:v>
                </c:pt>
                <c:pt idx="93">
                  <c:v>-212.28888888889441</c:v>
                </c:pt>
                <c:pt idx="94">
                  <c:v>-217.26666666667154</c:v>
                </c:pt>
                <c:pt idx="95">
                  <c:v>-220.6177777777813</c:v>
                </c:pt>
                <c:pt idx="96">
                  <c:v>-223.30000000000484</c:v>
                </c:pt>
                <c:pt idx="97">
                  <c:v>-226.36666666667446</c:v>
                </c:pt>
                <c:pt idx="98">
                  <c:v>-230.96666666667775</c:v>
                </c:pt>
                <c:pt idx="99">
                  <c:v>-237.10000000001219</c:v>
                </c:pt>
                <c:pt idx="100">
                  <c:v>-244.00000000001077</c:v>
                </c:pt>
                <c:pt idx="101">
                  <c:v>-250.9000000000097</c:v>
                </c:pt>
                <c:pt idx="102">
                  <c:v>-257.03333333334098</c:v>
                </c:pt>
                <c:pt idx="103">
                  <c:v>-261.63333333333952</c:v>
                </c:pt>
                <c:pt idx="104">
                  <c:v>-264.70000000000516</c:v>
                </c:pt>
                <c:pt idx="105">
                  <c:v>-267.76888888889505</c:v>
                </c:pt>
                <c:pt idx="106">
                  <c:v>-272.18333333334249</c:v>
                </c:pt>
                <c:pt idx="107">
                  <c:v>-279.0944444444591</c:v>
                </c:pt>
                <c:pt idx="108">
                  <c:v>-289.46111111113055</c:v>
                </c:pt>
                <c:pt idx="109">
                  <c:v>-303.28333333335547</c:v>
                </c:pt>
                <c:pt idx="110">
                  <c:v>-318.83333333335611</c:v>
                </c:pt>
                <c:pt idx="111">
                  <c:v>-334.38333333335328</c:v>
                </c:pt>
                <c:pt idx="112">
                  <c:v>-348.20555555557092</c:v>
                </c:pt>
                <c:pt idx="113">
                  <c:v>-358.57222222223152</c:v>
                </c:pt>
                <c:pt idx="114">
                  <c:v>-365.48333333333829</c:v>
                </c:pt>
                <c:pt idx="115">
                  <c:v>-370.27555555555909</c:v>
                </c:pt>
                <c:pt idx="116">
                  <c:v>-374.38333333333787</c:v>
                </c:pt>
                <c:pt idx="117">
                  <c:v>-379.33888888889794</c:v>
                </c:pt>
                <c:pt idx="118">
                  <c:v>-386.77222222223611</c:v>
                </c:pt>
                <c:pt idx="119">
                  <c:v>-396.68333333335141</c:v>
                </c:pt>
                <c:pt idx="120">
                  <c:v>-407.83333333335213</c:v>
                </c:pt>
                <c:pt idx="121">
                  <c:v>-418.98333333335069</c:v>
                </c:pt>
                <c:pt idx="122">
                  <c:v>-428.89444444445809</c:v>
                </c:pt>
                <c:pt idx="123">
                  <c:v>-436.32777777778682</c:v>
                </c:pt>
                <c:pt idx="124">
                  <c:v>-441.28333333333569</c:v>
                </c:pt>
                <c:pt idx="125">
                  <c:v>-442.3377777777709</c:v>
                </c:pt>
                <c:pt idx="126">
                  <c:v>-438.73333333331709</c:v>
                </c:pt>
                <c:pt idx="127">
                  <c:v>-430.37777777775278</c:v>
                </c:pt>
                <c:pt idx="128">
                  <c:v>-417.84444444441232</c:v>
                </c:pt>
                <c:pt idx="129">
                  <c:v>-401.13333333329751</c:v>
                </c:pt>
                <c:pt idx="130">
                  <c:v>-382.33333333329716</c:v>
                </c:pt>
                <c:pt idx="131">
                  <c:v>-363.53333333330193</c:v>
                </c:pt>
                <c:pt idx="132">
                  <c:v>-346.82222222219895</c:v>
                </c:pt>
                <c:pt idx="133">
                  <c:v>-334.28888888887417</c:v>
                </c:pt>
                <c:pt idx="134">
                  <c:v>-325.93333333331964</c:v>
                </c:pt>
                <c:pt idx="135">
                  <c:v>-318.31523809521786</c:v>
                </c:pt>
                <c:pt idx="136">
                  <c:v>-308.33214285711119</c:v>
                </c:pt>
                <c:pt idx="137">
                  <c:v>-293.21944444439771</c:v>
                </c:pt>
                <c:pt idx="138">
                  <c:v>-270.5503968253343</c:v>
                </c:pt>
                <c:pt idx="139">
                  <c:v>-240.32499999993033</c:v>
                </c:pt>
                <c:pt idx="140">
                  <c:v>-206.32142857135881</c:v>
                </c:pt>
                <c:pt idx="141">
                  <c:v>-172.31785714279701</c:v>
                </c:pt>
                <c:pt idx="142">
                  <c:v>-142.0924603174166</c:v>
                </c:pt>
                <c:pt idx="143">
                  <c:v>-119.42341269838604</c:v>
                </c:pt>
                <c:pt idx="144">
                  <c:v>-104.31071428568524</c:v>
                </c:pt>
                <c:pt idx="145">
                  <c:v>-88.859365079320568</c:v>
                </c:pt>
                <c:pt idx="146">
                  <c:v>-66.203571428499288</c:v>
                </c:pt>
                <c:pt idx="147">
                  <c:v>-30.506746031636361</c:v>
                </c:pt>
                <c:pt idx="148">
                  <c:v>23.038492063639424</c:v>
                </c:pt>
                <c:pt idx="149">
                  <c:v>94.432142857312272</c:v>
                </c:pt>
                <c:pt idx="150">
                  <c:v>174.75000000016882</c:v>
                </c:pt>
                <c:pt idx="151">
                  <c:v>255.06785714300804</c:v>
                </c:pt>
                <c:pt idx="152">
                  <c:v>326.46150793662207</c:v>
                </c:pt>
                <c:pt idx="153">
                  <c:v>380.00674603182421</c:v>
                </c:pt>
                <c:pt idx="154">
                  <c:v>415.70357142861195</c:v>
                </c:pt>
                <c:pt idx="155">
                  <c:v>433.43269841270489</c:v>
                </c:pt>
                <c:pt idx="156">
                  <c:v>435.33571428569411</c:v>
                </c:pt>
                <c:pt idx="157">
                  <c:v>425.81507936504659</c:v>
                </c:pt>
                <c:pt idx="158">
                  <c:v>411.53412698408425</c:v>
                </c:pt>
                <c:pt idx="159">
                  <c:v>392.49285714280802</c:v>
                </c:pt>
                <c:pt idx="160">
                  <c:v>371.07142857137927</c:v>
                </c:pt>
                <c:pt idx="161">
                  <c:v>349.64999999995672</c:v>
                </c:pt>
                <c:pt idx="162">
                  <c:v>330.60873015869805</c:v>
                </c:pt>
                <c:pt idx="163">
                  <c:v>316.32777777775732</c:v>
                </c:pt>
                <c:pt idx="164">
                  <c:v>306.80714285712003</c:v>
                </c:pt>
                <c:pt idx="165">
                  <c:v>296.53523809520141</c:v>
                </c:pt>
                <c:pt idx="166">
                  <c:v>280.78333333327254</c:v>
                </c:pt>
                <c:pt idx="167">
                  <c:v>255.60555555546276</c:v>
                </c:pt>
                <c:pt idx="168">
                  <c:v>217.83888888876623</c:v>
                </c:pt>
                <c:pt idx="169">
                  <c:v>167.48333333319539</c:v>
                </c:pt>
                <c:pt idx="170">
                  <c:v>110.83333333319594</c:v>
                </c:pt>
                <c:pt idx="171">
                  <c:v>54.183333333212261</c:v>
                </c:pt>
                <c:pt idx="172">
                  <c:v>3.8277777776862489</c:v>
                </c:pt>
                <c:pt idx="173">
                  <c:v>-33.938888888948718</c:v>
                </c:pt>
                <c:pt idx="174">
                  <c:v>-59.116666666699601</c:v>
                </c:pt>
                <c:pt idx="175">
                  <c:v>-73.444444444458767</c:v>
                </c:pt>
                <c:pt idx="176">
                  <c:v>-79.800000000007543</c:v>
                </c:pt>
                <c:pt idx="177">
                  <c:v>-82.200000000010462</c:v>
                </c:pt>
                <c:pt idx="178">
                  <c:v>-85.800000000014109</c:v>
                </c:pt>
                <c:pt idx="179">
                  <c:v>-90.600000000015143</c:v>
                </c:pt>
                <c:pt idx="180">
                  <c:v>-96.0000000000135</c:v>
                </c:pt>
                <c:pt idx="181">
                  <c:v>-101.40000000001335</c:v>
                </c:pt>
                <c:pt idx="182">
                  <c:v>-106.20000000000802</c:v>
                </c:pt>
                <c:pt idx="183">
                  <c:v>-109.80000000000557</c:v>
                </c:pt>
                <c:pt idx="184">
                  <c:v>-112.20000000000186</c:v>
                </c:pt>
                <c:pt idx="185">
                  <c:v>-113.39777777777806</c:v>
                </c:pt>
                <c:pt idx="186">
                  <c:v>-113.54166666666535</c:v>
                </c:pt>
                <c:pt idx="187">
                  <c:v>-112.93055555555314</c:v>
                </c:pt>
                <c:pt idx="188">
                  <c:v>-112.01388888888619</c:v>
                </c:pt>
                <c:pt idx="189">
                  <c:v>-110.79166666666357</c:v>
                </c:pt>
                <c:pt idx="190">
                  <c:v>-109.4166666666633</c:v>
                </c:pt>
                <c:pt idx="191">
                  <c:v>-108.04166666666175</c:v>
                </c:pt>
                <c:pt idx="192">
                  <c:v>-106.819444444441</c:v>
                </c:pt>
                <c:pt idx="193">
                  <c:v>-105.90277777777466</c:v>
                </c:pt>
                <c:pt idx="194">
                  <c:v>-105.29166666666453</c:v>
                </c:pt>
                <c:pt idx="195">
                  <c:v>-105.07333333333312</c:v>
                </c:pt>
                <c:pt idx="196">
                  <c:v>-105.27500000000116</c:v>
                </c:pt>
                <c:pt idx="197">
                  <c:v>-105.86388888889118</c:v>
                </c:pt>
                <c:pt idx="198">
                  <c:v>-106.74722222222712</c:v>
                </c:pt>
                <c:pt idx="199">
                  <c:v>-107.9250000000056</c:v>
                </c:pt>
                <c:pt idx="200">
                  <c:v>-109.25000000000573</c:v>
                </c:pt>
                <c:pt idx="201">
                  <c:v>-110.57500000000522</c:v>
                </c:pt>
                <c:pt idx="202">
                  <c:v>-111.75277777778192</c:v>
                </c:pt>
                <c:pt idx="203">
                  <c:v>-112.63611111111361</c:v>
                </c:pt>
                <c:pt idx="204">
                  <c:v>-113.22500000000147</c:v>
                </c:pt>
                <c:pt idx="205">
                  <c:v>-113.73777777777973</c:v>
                </c:pt>
                <c:pt idx="206">
                  <c:v>-114.37500000000048</c:v>
                </c:pt>
                <c:pt idx="207">
                  <c:v>-115.3194444444463</c:v>
                </c:pt>
                <c:pt idx="208">
                  <c:v>-116.73611111111512</c:v>
                </c:pt>
                <c:pt idx="209">
                  <c:v>-118.62500000000497</c:v>
                </c:pt>
                <c:pt idx="210">
                  <c:v>-120.75000000000614</c:v>
                </c:pt>
                <c:pt idx="211">
                  <c:v>-122.87500000000614</c:v>
                </c:pt>
                <c:pt idx="212">
                  <c:v>-124.76388888889389</c:v>
                </c:pt>
                <c:pt idx="213">
                  <c:v>-126.18055555555961</c:v>
                </c:pt>
                <c:pt idx="214">
                  <c:v>-127.12500000000304</c:v>
                </c:pt>
                <c:pt idx="215">
                  <c:v>-127.75333333333401</c:v>
                </c:pt>
                <c:pt idx="216">
                  <c:v>-128.24166666666648</c:v>
                </c:pt>
                <c:pt idx="217">
                  <c:v>-128.786111111113</c:v>
                </c:pt>
                <c:pt idx="218">
                  <c:v>-129.60277777777929</c:v>
                </c:pt>
                <c:pt idx="219">
                  <c:v>-130.6916666666699</c:v>
                </c:pt>
                <c:pt idx="220">
                  <c:v>-131.91666666667086</c:v>
                </c:pt>
                <c:pt idx="221">
                  <c:v>-133.14166666667089</c:v>
                </c:pt>
                <c:pt idx="222">
                  <c:v>-134.2305555555603</c:v>
                </c:pt>
                <c:pt idx="223">
                  <c:v>-135.04722222222657</c:v>
                </c:pt>
                <c:pt idx="224">
                  <c:v>-135.59166666667008</c:v>
                </c:pt>
                <c:pt idx="225">
                  <c:v>-135.98222222222486</c:v>
                </c:pt>
                <c:pt idx="226">
                  <c:v>-136.34166666666974</c:v>
                </c:pt>
                <c:pt idx="227">
                  <c:v>-136.79722222222384</c:v>
                </c:pt>
                <c:pt idx="228">
                  <c:v>-137.48055555555842</c:v>
                </c:pt>
                <c:pt idx="229">
                  <c:v>-138.39166666666989</c:v>
                </c:pt>
                <c:pt idx="230">
                  <c:v>-139.41666666666953</c:v>
                </c:pt>
                <c:pt idx="231">
                  <c:v>-140.44166666666851</c:v>
                </c:pt>
                <c:pt idx="232">
                  <c:v>-141.35277777777941</c:v>
                </c:pt>
                <c:pt idx="233">
                  <c:v>-142.03611111111189</c:v>
                </c:pt>
                <c:pt idx="234">
                  <c:v>-142.49166666666778</c:v>
                </c:pt>
                <c:pt idx="235">
                  <c:v>-143.02444444444649</c:v>
                </c:pt>
                <c:pt idx="236">
                  <c:v>-143.89166666666952</c:v>
                </c:pt>
                <c:pt idx="237">
                  <c:v>-145.30277777778252</c:v>
                </c:pt>
                <c:pt idx="238">
                  <c:v>-147.4194444444517</c:v>
                </c:pt>
                <c:pt idx="239">
                  <c:v>-150.24166666667463</c:v>
                </c:pt>
                <c:pt idx="240">
                  <c:v>-153.41666666667479</c:v>
                </c:pt>
                <c:pt idx="241">
                  <c:v>-156.59166666667309</c:v>
                </c:pt>
                <c:pt idx="242">
                  <c:v>-159.41388888889452</c:v>
                </c:pt>
                <c:pt idx="243">
                  <c:v>-161.53055555555858</c:v>
                </c:pt>
                <c:pt idx="244">
                  <c:v>-162.94166666667005</c:v>
                </c:pt>
                <c:pt idx="245">
                  <c:v>-164.21111111111659</c:v>
                </c:pt>
                <c:pt idx="246">
                  <c:v>-165.85000000000801</c:v>
                </c:pt>
                <c:pt idx="247">
                  <c:v>-168.31666666667783</c:v>
                </c:pt>
                <c:pt idx="248">
                  <c:v>-172.01666666668186</c:v>
                </c:pt>
                <c:pt idx="249">
                  <c:v>-176.95000000001821</c:v>
                </c:pt>
                <c:pt idx="250">
                  <c:v>-182.50000000001739</c:v>
                </c:pt>
                <c:pt idx="251">
                  <c:v>-188.0500000000157</c:v>
                </c:pt>
                <c:pt idx="252">
                  <c:v>-192.98333333334506</c:v>
                </c:pt>
                <c:pt idx="253">
                  <c:v>-196.68333333334149</c:v>
                </c:pt>
                <c:pt idx="254">
                  <c:v>-199.1500000000089</c:v>
                </c:pt>
                <c:pt idx="255">
                  <c:v>-201.23555555556698</c:v>
                </c:pt>
                <c:pt idx="256">
                  <c:v>-203.73333333334915</c:v>
                </c:pt>
                <c:pt idx="257">
                  <c:v>-207.37777777779993</c:v>
                </c:pt>
                <c:pt idx="258">
                  <c:v>-212.84444444447365</c:v>
                </c:pt>
                <c:pt idx="259">
                  <c:v>-220.13333333336647</c:v>
                </c:pt>
                <c:pt idx="260">
                  <c:v>-228.33333333336435</c:v>
                </c:pt>
                <c:pt idx="261">
                  <c:v>-236.53333333336158</c:v>
                </c:pt>
                <c:pt idx="262">
                  <c:v>-243.82222222224439</c:v>
                </c:pt>
                <c:pt idx="263">
                  <c:v>-249.28888888890594</c:v>
                </c:pt>
                <c:pt idx="264">
                  <c:v>-252.93333333335104</c:v>
                </c:pt>
                <c:pt idx="265">
                  <c:v>-256.48000000002384</c:v>
                </c:pt>
                <c:pt idx="266">
                  <c:v>-261.45000000003273</c:v>
                </c:pt>
                <c:pt idx="267">
                  <c:v>-269.16111111115833</c:v>
                </c:pt>
                <c:pt idx="268">
                  <c:v>-280.72777777784017</c:v>
                </c:pt>
                <c:pt idx="269">
                  <c:v>-296.15000000006813</c:v>
                </c:pt>
                <c:pt idx="270">
                  <c:v>-313.50000000006736</c:v>
                </c:pt>
                <c:pt idx="271">
                  <c:v>-330.85000000005903</c:v>
                </c:pt>
                <c:pt idx="272">
                  <c:v>-346.27222222226544</c:v>
                </c:pt>
                <c:pt idx="273">
                  <c:v>-357.83888888891676</c:v>
                </c:pt>
                <c:pt idx="274">
                  <c:v>-365.55000000002036</c:v>
                </c:pt>
                <c:pt idx="275">
                  <c:v>-371.3733333333526</c:v>
                </c:pt>
                <c:pt idx="276">
                  <c:v>-377.26666666669354</c:v>
                </c:pt>
                <c:pt idx="277">
                  <c:v>-385.17777777782089</c:v>
                </c:pt>
                <c:pt idx="278">
                  <c:v>-397.0444444445036</c:v>
                </c:pt>
                <c:pt idx="279">
                  <c:v>-412.86666666673364</c:v>
                </c:pt>
                <c:pt idx="280">
                  <c:v>-430.66666666673331</c:v>
                </c:pt>
                <c:pt idx="281">
                  <c:v>-448.46666666672598</c:v>
                </c:pt>
                <c:pt idx="282">
                  <c:v>-464.288888888933</c:v>
                </c:pt>
                <c:pt idx="283">
                  <c:v>-476.15555555558484</c:v>
                </c:pt>
                <c:pt idx="284">
                  <c:v>-484.06666666668957</c:v>
                </c:pt>
                <c:pt idx="285">
                  <c:v>-490.04888888891247</c:v>
                </c:pt>
                <c:pt idx="286">
                  <c:v>-496.11666666670021</c:v>
                </c:pt>
                <c:pt idx="287">
                  <c:v>-504.27222222227323</c:v>
                </c:pt>
                <c:pt idx="288">
                  <c:v>-516.50555555562426</c:v>
                </c:pt>
                <c:pt idx="289">
                  <c:v>-532.81666666674266</c:v>
                </c:pt>
                <c:pt idx="290">
                  <c:v>-551.16666666674257</c:v>
                </c:pt>
                <c:pt idx="291">
                  <c:v>-569.51666666673452</c:v>
                </c:pt>
                <c:pt idx="292">
                  <c:v>-585.8277777778294</c:v>
                </c:pt>
                <c:pt idx="293">
                  <c:v>-598.06111111114694</c:v>
                </c:pt>
                <c:pt idx="294">
                  <c:v>-606.21666666668796</c:v>
                </c:pt>
                <c:pt idx="295">
                  <c:v>-611.02888888890232</c:v>
                </c:pt>
                <c:pt idx="296">
                  <c:v>-613.55833333334385</c:v>
                </c:pt>
                <c:pt idx="297">
                  <c:v>-615.19166666668173</c:v>
                </c:pt>
                <c:pt idx="298">
                  <c:v>-617.64166666668484</c:v>
                </c:pt>
                <c:pt idx="299">
                  <c:v>-620.90833333335263</c:v>
                </c:pt>
                <c:pt idx="300">
                  <c:v>-624.58333333335167</c:v>
                </c:pt>
                <c:pt idx="301">
                  <c:v>-628.25833333334947</c:v>
                </c:pt>
                <c:pt idx="302">
                  <c:v>-631.52500000001362</c:v>
                </c:pt>
                <c:pt idx="303">
                  <c:v>-633.97500000000946</c:v>
                </c:pt>
                <c:pt idx="304">
                  <c:v>-635.60833333334244</c:v>
                </c:pt>
                <c:pt idx="305">
                  <c:v>-637.07111111112147</c:v>
                </c:pt>
                <c:pt idx="306">
                  <c:v>-638.95000000001482</c:v>
                </c:pt>
                <c:pt idx="307">
                  <c:v>-641.77222222224248</c:v>
                </c:pt>
                <c:pt idx="308">
                  <c:v>-646.0055555555814</c:v>
                </c:pt>
                <c:pt idx="309">
                  <c:v>-651.65000000002772</c:v>
                </c:pt>
                <c:pt idx="310">
                  <c:v>-658.00000000002728</c:v>
                </c:pt>
                <c:pt idx="311">
                  <c:v>-664.3500000000239</c:v>
                </c:pt>
                <c:pt idx="312">
                  <c:v>-669.99444444446237</c:v>
                </c:pt>
                <c:pt idx="313">
                  <c:v>-674.22777777778879</c:v>
                </c:pt>
                <c:pt idx="314">
                  <c:v>-677.05000000000541</c:v>
                </c:pt>
                <c:pt idx="315">
                  <c:v>-678.68222222222414</c:v>
                </c:pt>
                <c:pt idx="316">
                  <c:v>-679.46666666666636</c:v>
                </c:pt>
                <c:pt idx="317">
                  <c:v>-679.86666666666679</c:v>
                </c:pt>
                <c:pt idx="318">
                  <c:v>-680.46666666666738</c:v>
                </c:pt>
                <c:pt idx="319">
                  <c:v>-681.26666666666858</c:v>
                </c:pt>
                <c:pt idx="320">
                  <c:v>-682.16666666666822</c:v>
                </c:pt>
                <c:pt idx="321">
                  <c:v>-683.06666666666752</c:v>
                </c:pt>
                <c:pt idx="322">
                  <c:v>-683.86666666666611</c:v>
                </c:pt>
                <c:pt idx="323">
                  <c:v>-684.46666666666545</c:v>
                </c:pt>
                <c:pt idx="324">
                  <c:v>-684.86666666666611</c:v>
                </c:pt>
                <c:pt idx="325">
                  <c:v>-685.22888888888838</c:v>
                </c:pt>
                <c:pt idx="326">
                  <c:v>-685.70000000000095</c:v>
                </c:pt>
                <c:pt idx="327">
                  <c:v>-686.41111111111434</c:v>
                </c:pt>
                <c:pt idx="328">
                  <c:v>-687.47777777778367</c:v>
                </c:pt>
                <c:pt idx="329">
                  <c:v>-688.90000000000725</c:v>
                </c:pt>
                <c:pt idx="330">
                  <c:v>-690.50000000000807</c:v>
                </c:pt>
                <c:pt idx="331">
                  <c:v>-692.10000000000741</c:v>
                </c:pt>
                <c:pt idx="332">
                  <c:v>-693.52222222222827</c:v>
                </c:pt>
                <c:pt idx="333">
                  <c:v>-694.5888888888943</c:v>
                </c:pt>
                <c:pt idx="334">
                  <c:v>-695.30000000000211</c:v>
                </c:pt>
                <c:pt idx="335">
                  <c:v>-695.38222222222009</c:v>
                </c:pt>
                <c:pt idx="336">
                  <c:v>-694.67499999999416</c:v>
                </c:pt>
                <c:pt idx="337">
                  <c:v>-693.13055555554581</c:v>
                </c:pt>
                <c:pt idx="338">
                  <c:v>-690.81388888887511</c:v>
                </c:pt>
                <c:pt idx="339">
                  <c:v>-687.72499999998445</c:v>
                </c:pt>
                <c:pt idx="340">
                  <c:v>-684.24999999998363</c:v>
                </c:pt>
                <c:pt idx="341">
                  <c:v>-680.77499999998406</c:v>
                </c:pt>
                <c:pt idx="342">
                  <c:v>-677.68611111109806</c:v>
                </c:pt>
                <c:pt idx="343">
                  <c:v>-675.36944444443509</c:v>
                </c:pt>
                <c:pt idx="344">
                  <c:v>-673.82499999999141</c:v>
                </c:pt>
                <c:pt idx="345">
                  <c:v>-672.65333333332535</c:v>
                </c:pt>
                <c:pt idx="346">
                  <c:v>-671.4583333333228</c:v>
                </c:pt>
                <c:pt idx="347">
                  <c:v>-669.84722222220853</c:v>
                </c:pt>
                <c:pt idx="348">
                  <c:v>-667.43055555553838</c:v>
                </c:pt>
                <c:pt idx="349">
                  <c:v>-664.20833333331461</c:v>
                </c:pt>
                <c:pt idx="350">
                  <c:v>-660.58333333331461</c:v>
                </c:pt>
                <c:pt idx="351">
                  <c:v>-656.95833333331643</c:v>
                </c:pt>
                <c:pt idx="352">
                  <c:v>-653.73611111109847</c:v>
                </c:pt>
                <c:pt idx="353">
                  <c:v>-651.31944444443559</c:v>
                </c:pt>
                <c:pt idx="354">
                  <c:v>-649.70833333332519</c:v>
                </c:pt>
                <c:pt idx="355">
                  <c:v>-648.19777777776699</c:v>
                </c:pt>
                <c:pt idx="356">
                  <c:v>-646.15833333331727</c:v>
                </c:pt>
                <c:pt idx="357">
                  <c:v>-643.03611111108705</c:v>
                </c:pt>
                <c:pt idx="358">
                  <c:v>-638.35277777774638</c:v>
                </c:pt>
                <c:pt idx="359">
                  <c:v>-632.10833333329879</c:v>
                </c:pt>
                <c:pt idx="360">
                  <c:v>-625.08333333329972</c:v>
                </c:pt>
                <c:pt idx="361">
                  <c:v>-618.0583333333044</c:v>
                </c:pt>
                <c:pt idx="362">
                  <c:v>-611.81388888886852</c:v>
                </c:pt>
                <c:pt idx="363">
                  <c:v>-607.13055555554388</c:v>
                </c:pt>
                <c:pt idx="364">
                  <c:v>-604.00833333332343</c:v>
                </c:pt>
                <c:pt idx="365">
                  <c:v>-601.18444444443014</c:v>
                </c:pt>
                <c:pt idx="366">
                  <c:v>-597.51666666664187</c:v>
                </c:pt>
                <c:pt idx="367">
                  <c:v>-591.98333333329333</c:v>
                </c:pt>
                <c:pt idx="368">
                  <c:v>-583.68333333327826</c:v>
                </c:pt>
                <c:pt idx="369">
                  <c:v>-572.61666666660346</c:v>
                </c:pt>
                <c:pt idx="370">
                  <c:v>-560.16666666660228</c:v>
                </c:pt>
                <c:pt idx="371">
                  <c:v>-547.71666666660849</c:v>
                </c:pt>
                <c:pt idx="372">
                  <c:v>-536.64999999995553</c:v>
                </c:pt>
                <c:pt idx="373">
                  <c:v>-528.34999999996955</c:v>
                </c:pt>
                <c:pt idx="374">
                  <c:v>-522.81666666664046</c:v>
                </c:pt>
                <c:pt idx="375">
                  <c:v>-518.20444444441364</c:v>
                </c:pt>
                <c:pt idx="376">
                  <c:v>-512.78333333328851</c:v>
                </c:pt>
                <c:pt idx="377">
                  <c:v>-504.93888888882265</c:v>
                </c:pt>
                <c:pt idx="378">
                  <c:v>-493.17222222213508</c:v>
                </c:pt>
                <c:pt idx="379">
                  <c:v>-477.48333333323632</c:v>
                </c:pt>
                <c:pt idx="380">
                  <c:v>-459.83333333323657</c:v>
                </c:pt>
                <c:pt idx="381">
                  <c:v>-442.18333333324773</c:v>
                </c:pt>
                <c:pt idx="382">
                  <c:v>-426.49444444438063</c:v>
                </c:pt>
                <c:pt idx="383">
                  <c:v>-414.72777777773518</c:v>
                </c:pt>
                <c:pt idx="384">
                  <c:v>-406.88333333330093</c:v>
                </c:pt>
                <c:pt idx="385">
                  <c:v>-400.87777777774352</c:v>
                </c:pt>
                <c:pt idx="386">
                  <c:v>-394.65833333328538</c:v>
                </c:pt>
                <c:pt idx="387">
                  <c:v>-386.20277777770707</c:v>
                </c:pt>
                <c:pt idx="388">
                  <c:v>-373.51944444435196</c:v>
                </c:pt>
                <c:pt idx="389">
                  <c:v>-356.60833333323041</c:v>
                </c:pt>
                <c:pt idx="390">
                  <c:v>-337.58333333323134</c:v>
                </c:pt>
                <c:pt idx="391">
                  <c:v>-318.5583333332433</c:v>
                </c:pt>
                <c:pt idx="392">
                  <c:v>-301.64722222215539</c:v>
                </c:pt>
                <c:pt idx="393">
                  <c:v>-288.96388888884519</c:v>
                </c:pt>
                <c:pt idx="394">
                  <c:v>-280.5083333333028</c:v>
                </c:pt>
                <c:pt idx="395">
                  <c:v>-274.35777777774962</c:v>
                </c:pt>
                <c:pt idx="396">
                  <c:v>-268.54166666663042</c:v>
                </c:pt>
                <c:pt idx="397">
                  <c:v>-261.04166666661143</c:v>
                </c:pt>
                <c:pt idx="398">
                  <c:v>-249.79166666659265</c:v>
                </c:pt>
                <c:pt idx="399">
                  <c:v>-234.79166666658318</c:v>
                </c:pt>
                <c:pt idx="400">
                  <c:v>-217.91666666658281</c:v>
                </c:pt>
                <c:pt idx="401">
                  <c:v>-201.04166666659208</c:v>
                </c:pt>
                <c:pt idx="402">
                  <c:v>-186.04166666661038</c:v>
                </c:pt>
                <c:pt idx="403">
                  <c:v>-174.79166666662888</c:v>
                </c:pt>
                <c:pt idx="404">
                  <c:v>-167.29166666664122</c:v>
                </c:pt>
                <c:pt idx="405">
                  <c:v>-162.16888888886871</c:v>
                </c:pt>
                <c:pt idx="406">
                  <c:v>-157.92499999997727</c:v>
                </c:pt>
                <c:pt idx="407">
                  <c:v>-152.93611111107739</c:v>
                </c:pt>
                <c:pt idx="408">
                  <c:v>-145.45277777773325</c:v>
                </c:pt>
                <c:pt idx="409">
                  <c:v>-135.47499999995011</c:v>
                </c:pt>
                <c:pt idx="410">
                  <c:v>-124.24999999995033</c:v>
                </c:pt>
                <c:pt idx="411">
                  <c:v>-113.02499999995588</c:v>
                </c:pt>
                <c:pt idx="412">
                  <c:v>-103.04722222218915</c:v>
                </c:pt>
                <c:pt idx="413">
                  <c:v>-95.5638888888667</c:v>
                </c:pt>
                <c:pt idx="414">
                  <c:v>-90.574999999985607</c:v>
                </c:pt>
                <c:pt idx="415">
                  <c:v>-87.275555555545026</c:v>
                </c:pt>
                <c:pt idx="416">
                  <c:v>-84.749999999989015</c:v>
                </c:pt>
                <c:pt idx="417">
                  <c:v>-81.972222222205829</c:v>
                </c:pt>
                <c:pt idx="418">
                  <c:v>-77.805555555533871</c:v>
                </c:pt>
                <c:pt idx="419">
                  <c:v>-72.249999999975685</c:v>
                </c:pt>
                <c:pt idx="420">
                  <c:v>-65.999999999975827</c:v>
                </c:pt>
                <c:pt idx="421">
                  <c:v>-59.749999999978264</c:v>
                </c:pt>
                <c:pt idx="422">
                  <c:v>-54.19444444442783</c:v>
                </c:pt>
                <c:pt idx="423">
                  <c:v>-50.02777777776646</c:v>
                </c:pt>
                <c:pt idx="424">
                  <c:v>-47.24999999999271</c:v>
                </c:pt>
                <c:pt idx="425">
                  <c:v>-45.486666666661719</c:v>
                </c:pt>
                <c:pt idx="426">
                  <c:v>-44.283333333328919</c:v>
                </c:pt>
                <c:pt idx="427">
                  <c:v>-43.105555555549266</c:v>
                </c:pt>
                <c:pt idx="428">
                  <c:v>-41.338888888880732</c:v>
                </c:pt>
                <c:pt idx="429">
                  <c:v>-38.983333333324346</c:v>
                </c:pt>
                <c:pt idx="430">
                  <c:v>-36.333333333324333</c:v>
                </c:pt>
                <c:pt idx="431">
                  <c:v>-33.683333333325265</c:v>
                </c:pt>
                <c:pt idx="432">
                  <c:v>-31.327777777771757</c:v>
                </c:pt>
                <c:pt idx="433">
                  <c:v>-29.561111111107124</c:v>
                </c:pt>
                <c:pt idx="434">
                  <c:v>-28.383333333330924</c:v>
                </c:pt>
                <c:pt idx="435">
                  <c:v>-27.664444444443134</c:v>
                </c:pt>
                <c:pt idx="436">
                  <c:v>-27.233333333332475</c:v>
                </c:pt>
                <c:pt idx="437">
                  <c:v>-26.877777777776458</c:v>
                </c:pt>
                <c:pt idx="438">
                  <c:v>-26.344444444442672</c:v>
                </c:pt>
                <c:pt idx="439">
                  <c:v>-25.633333333331219</c:v>
                </c:pt>
                <c:pt idx="440">
                  <c:v>-24.833333333331332</c:v>
                </c:pt>
                <c:pt idx="441">
                  <c:v>-22.555555555553987</c:v>
                </c:pt>
                <c:pt idx="442">
                  <c:v>-19.258333333332338</c:v>
                </c:pt>
                <c:pt idx="443">
                  <c:v>-15.399999999999524</c:v>
                </c:pt>
                <c:pt idx="444">
                  <c:v>-11.349999999999836</c:v>
                </c:pt>
                <c:pt idx="445">
                  <c:v>-11.349999999999836</c:v>
                </c:pt>
                <c:pt idx="446">
                  <c:v>-11.349999999999836</c:v>
                </c:pt>
                <c:pt idx="447">
                  <c:v>-11.349999999999836</c:v>
                </c:pt>
                <c:pt idx="448">
                  <c:v>-11.349999999999836</c:v>
                </c:pt>
                <c:pt idx="449">
                  <c:v>-11.349999999999836</c:v>
                </c:pt>
                <c:pt idx="450">
                  <c:v>-11.349999999999836</c:v>
                </c:pt>
                <c:pt idx="451">
                  <c:v>-11.349999999999836</c:v>
                </c:pt>
                <c:pt idx="452">
                  <c:v>-11.349999999999836</c:v>
                </c:pt>
                <c:pt idx="453">
                  <c:v>-11.349999999999836</c:v>
                </c:pt>
                <c:pt idx="454">
                  <c:v>-11.349999999999836</c:v>
                </c:pt>
                <c:pt idx="455">
                  <c:v>-11.349999999999836</c:v>
                </c:pt>
                <c:pt idx="456">
                  <c:v>-11.349999999999836</c:v>
                </c:pt>
                <c:pt idx="457">
                  <c:v>-11.349999999999836</c:v>
                </c:pt>
                <c:pt idx="458">
                  <c:v>-11.349999999999836</c:v>
                </c:pt>
                <c:pt idx="459">
                  <c:v>-11.349999999999836</c:v>
                </c:pt>
                <c:pt idx="460">
                  <c:v>-11.349999999999836</c:v>
                </c:pt>
                <c:pt idx="461">
                  <c:v>-11.349999999999836</c:v>
                </c:pt>
                <c:pt idx="462">
                  <c:v>-11.349999999999836</c:v>
                </c:pt>
                <c:pt idx="463">
                  <c:v>-11.349999999999836</c:v>
                </c:pt>
                <c:pt idx="464">
                  <c:v>-11.349999999999836</c:v>
                </c:pt>
                <c:pt idx="465">
                  <c:v>-11.349999999999836</c:v>
                </c:pt>
                <c:pt idx="466">
                  <c:v>-11.349999999999836</c:v>
                </c:pt>
                <c:pt idx="467">
                  <c:v>-11.349999999999836</c:v>
                </c:pt>
                <c:pt idx="468">
                  <c:v>-11.349999999999836</c:v>
                </c:pt>
                <c:pt idx="469">
                  <c:v>-11.349999999999836</c:v>
                </c:pt>
                <c:pt idx="470">
                  <c:v>-11.349999999999836</c:v>
                </c:pt>
                <c:pt idx="471">
                  <c:v>-11.349999999999836</c:v>
                </c:pt>
                <c:pt idx="472">
                  <c:v>-11.349999999999836</c:v>
                </c:pt>
                <c:pt idx="473">
                  <c:v>-11.349999999999836</c:v>
                </c:pt>
                <c:pt idx="474">
                  <c:v>-11.349999999999836</c:v>
                </c:pt>
                <c:pt idx="475">
                  <c:v>-11.349999999999836</c:v>
                </c:pt>
                <c:pt idx="476">
                  <c:v>-11.349999999999836</c:v>
                </c:pt>
                <c:pt idx="477">
                  <c:v>-11.349999999999836</c:v>
                </c:pt>
                <c:pt idx="478">
                  <c:v>-11.349999999999836</c:v>
                </c:pt>
                <c:pt idx="479">
                  <c:v>-11.349999999999836</c:v>
                </c:pt>
                <c:pt idx="480">
                  <c:v>-11.349999999999836</c:v>
                </c:pt>
                <c:pt idx="481">
                  <c:v>-11.349999999999836</c:v>
                </c:pt>
                <c:pt idx="482">
                  <c:v>-11.349999999999836</c:v>
                </c:pt>
                <c:pt idx="483">
                  <c:v>-11.349999999999836</c:v>
                </c:pt>
                <c:pt idx="484">
                  <c:v>-11.349999999999836</c:v>
                </c:pt>
                <c:pt idx="485">
                  <c:v>-11.349999999999836</c:v>
                </c:pt>
                <c:pt idx="486">
                  <c:v>-11.349999999999836</c:v>
                </c:pt>
                <c:pt idx="487">
                  <c:v>-11.349999999999836</c:v>
                </c:pt>
                <c:pt idx="488">
                  <c:v>-11.349999999999836</c:v>
                </c:pt>
                <c:pt idx="489">
                  <c:v>-11.349999999999836</c:v>
                </c:pt>
                <c:pt idx="490">
                  <c:v>-11.349999999999836</c:v>
                </c:pt>
                <c:pt idx="491">
                  <c:v>-11.349999999999836</c:v>
                </c:pt>
                <c:pt idx="492">
                  <c:v>-11.349999999999836</c:v>
                </c:pt>
                <c:pt idx="493">
                  <c:v>-11.349999999999836</c:v>
                </c:pt>
                <c:pt idx="494">
                  <c:v>-11.349999999999836</c:v>
                </c:pt>
                <c:pt idx="495">
                  <c:v>-11.349999999999836</c:v>
                </c:pt>
                <c:pt idx="496">
                  <c:v>-11.349999999999836</c:v>
                </c:pt>
                <c:pt idx="497">
                  <c:v>-11.349999999999836</c:v>
                </c:pt>
                <c:pt idx="498">
                  <c:v>-11.349999999999836</c:v>
                </c:pt>
                <c:pt idx="499">
                  <c:v>-11.349999999999836</c:v>
                </c:pt>
                <c:pt idx="500">
                  <c:v>-11.349999999999836</c:v>
                </c:pt>
                <c:pt idx="501">
                  <c:v>-11.349999999999836</c:v>
                </c:pt>
                <c:pt idx="502">
                  <c:v>-11.349999999999836</c:v>
                </c:pt>
                <c:pt idx="503">
                  <c:v>-11.349999999999836</c:v>
                </c:pt>
                <c:pt idx="504">
                  <c:v>-11.349999999999836</c:v>
                </c:pt>
                <c:pt idx="505">
                  <c:v>-11.349999999999836</c:v>
                </c:pt>
                <c:pt idx="506">
                  <c:v>-11.349999999999836</c:v>
                </c:pt>
                <c:pt idx="507">
                  <c:v>-11.349999999999836</c:v>
                </c:pt>
                <c:pt idx="508">
                  <c:v>-11.349999999999836</c:v>
                </c:pt>
                <c:pt idx="509">
                  <c:v>-11.349999999999836</c:v>
                </c:pt>
                <c:pt idx="510">
                  <c:v>-11.349999999999836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A0-4BA3-83CB-9592C89993EC}"/>
            </c:ext>
          </c:extLst>
        </c:ser>
        <c:ser>
          <c:idx val="1"/>
          <c:order val="1"/>
          <c:tx>
            <c:strRef>
              <c:f>Curves!$AS$1</c:f>
              <c:strCache>
                <c:ptCount val="1"/>
                <c:pt idx="0">
                  <c:v>CC dOD/dT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Curves!$AK$2:$AK$512</c:f>
              <c:numCache>
                <c:formatCode>0.0</c:formatCode>
                <c:ptCount val="511"/>
                <c:pt idx="0">
                  <c:v>25</c:v>
                </c:pt>
                <c:pt idx="1">
                  <c:v>25.1</c:v>
                </c:pt>
                <c:pt idx="2">
                  <c:v>25.200000000000003</c:v>
                </c:pt>
                <c:pt idx="3">
                  <c:v>25.300000000000004</c:v>
                </c:pt>
                <c:pt idx="4">
                  <c:v>25.400000000000006</c:v>
                </c:pt>
                <c:pt idx="5">
                  <c:v>25.500000000000007</c:v>
                </c:pt>
                <c:pt idx="6">
                  <c:v>25.600000000000009</c:v>
                </c:pt>
                <c:pt idx="7">
                  <c:v>25.70000000000001</c:v>
                </c:pt>
                <c:pt idx="8">
                  <c:v>25.800000000000011</c:v>
                </c:pt>
                <c:pt idx="9">
                  <c:v>25.900000000000013</c:v>
                </c:pt>
                <c:pt idx="10">
                  <c:v>26.000000000000014</c:v>
                </c:pt>
                <c:pt idx="11">
                  <c:v>26.100000000000016</c:v>
                </c:pt>
                <c:pt idx="12">
                  <c:v>26.200000000000017</c:v>
                </c:pt>
                <c:pt idx="13">
                  <c:v>26.300000000000018</c:v>
                </c:pt>
                <c:pt idx="14">
                  <c:v>26.40000000000002</c:v>
                </c:pt>
                <c:pt idx="15">
                  <c:v>26.500000000000021</c:v>
                </c:pt>
                <c:pt idx="16">
                  <c:v>26.600000000000023</c:v>
                </c:pt>
                <c:pt idx="17">
                  <c:v>26.700000000000024</c:v>
                </c:pt>
                <c:pt idx="18">
                  <c:v>26.800000000000026</c:v>
                </c:pt>
                <c:pt idx="19">
                  <c:v>26.900000000000027</c:v>
                </c:pt>
                <c:pt idx="20">
                  <c:v>27.000000000000028</c:v>
                </c:pt>
                <c:pt idx="21">
                  <c:v>27.10000000000003</c:v>
                </c:pt>
                <c:pt idx="22">
                  <c:v>27.200000000000031</c:v>
                </c:pt>
                <c:pt idx="23">
                  <c:v>27.300000000000033</c:v>
                </c:pt>
                <c:pt idx="24">
                  <c:v>27.400000000000034</c:v>
                </c:pt>
                <c:pt idx="25">
                  <c:v>27.500000000000036</c:v>
                </c:pt>
                <c:pt idx="26">
                  <c:v>27.600000000000037</c:v>
                </c:pt>
                <c:pt idx="27">
                  <c:v>27.700000000000038</c:v>
                </c:pt>
                <c:pt idx="28">
                  <c:v>27.80000000000004</c:v>
                </c:pt>
                <c:pt idx="29">
                  <c:v>27.900000000000041</c:v>
                </c:pt>
                <c:pt idx="30">
                  <c:v>28.000000000000043</c:v>
                </c:pt>
                <c:pt idx="31">
                  <c:v>28.100000000000044</c:v>
                </c:pt>
                <c:pt idx="32">
                  <c:v>28.200000000000045</c:v>
                </c:pt>
                <c:pt idx="33">
                  <c:v>28.300000000000047</c:v>
                </c:pt>
                <c:pt idx="34">
                  <c:v>28.400000000000048</c:v>
                </c:pt>
                <c:pt idx="35">
                  <c:v>28.50000000000005</c:v>
                </c:pt>
                <c:pt idx="36">
                  <c:v>28.600000000000051</c:v>
                </c:pt>
                <c:pt idx="37">
                  <c:v>28.700000000000053</c:v>
                </c:pt>
                <c:pt idx="38">
                  <c:v>28.800000000000054</c:v>
                </c:pt>
                <c:pt idx="39">
                  <c:v>28.900000000000055</c:v>
                </c:pt>
                <c:pt idx="40">
                  <c:v>29.000000000000057</c:v>
                </c:pt>
                <c:pt idx="41">
                  <c:v>29.100000000000058</c:v>
                </c:pt>
                <c:pt idx="42">
                  <c:v>29.20000000000006</c:v>
                </c:pt>
                <c:pt idx="43">
                  <c:v>29.300000000000061</c:v>
                </c:pt>
                <c:pt idx="44">
                  <c:v>29.400000000000063</c:v>
                </c:pt>
                <c:pt idx="45">
                  <c:v>29.500000000000064</c:v>
                </c:pt>
                <c:pt idx="46">
                  <c:v>29.600000000000065</c:v>
                </c:pt>
                <c:pt idx="47">
                  <c:v>29.700000000000067</c:v>
                </c:pt>
                <c:pt idx="48">
                  <c:v>29.800000000000068</c:v>
                </c:pt>
                <c:pt idx="49">
                  <c:v>29.90000000000007</c:v>
                </c:pt>
                <c:pt idx="50">
                  <c:v>30.000000000000071</c:v>
                </c:pt>
                <c:pt idx="51">
                  <c:v>30.100000000000072</c:v>
                </c:pt>
                <c:pt idx="52">
                  <c:v>30.200000000000074</c:v>
                </c:pt>
                <c:pt idx="53">
                  <c:v>30.300000000000075</c:v>
                </c:pt>
                <c:pt idx="54">
                  <c:v>30.400000000000077</c:v>
                </c:pt>
                <c:pt idx="55">
                  <c:v>30.500000000000078</c:v>
                </c:pt>
                <c:pt idx="56">
                  <c:v>30.60000000000008</c:v>
                </c:pt>
                <c:pt idx="57">
                  <c:v>30.700000000000081</c:v>
                </c:pt>
                <c:pt idx="58">
                  <c:v>30.800000000000082</c:v>
                </c:pt>
                <c:pt idx="59">
                  <c:v>30.900000000000084</c:v>
                </c:pt>
                <c:pt idx="60">
                  <c:v>31.000000000000085</c:v>
                </c:pt>
                <c:pt idx="61">
                  <c:v>31.100000000000087</c:v>
                </c:pt>
                <c:pt idx="62">
                  <c:v>31.200000000000088</c:v>
                </c:pt>
                <c:pt idx="63">
                  <c:v>31.30000000000009</c:v>
                </c:pt>
                <c:pt idx="64">
                  <c:v>31.400000000000091</c:v>
                </c:pt>
                <c:pt idx="65">
                  <c:v>31.500000000000092</c:v>
                </c:pt>
                <c:pt idx="66">
                  <c:v>31.600000000000094</c:v>
                </c:pt>
                <c:pt idx="67">
                  <c:v>31.700000000000095</c:v>
                </c:pt>
                <c:pt idx="68">
                  <c:v>31.800000000000097</c:v>
                </c:pt>
                <c:pt idx="69">
                  <c:v>31.900000000000098</c:v>
                </c:pt>
                <c:pt idx="70">
                  <c:v>32.000000000000099</c:v>
                </c:pt>
                <c:pt idx="71">
                  <c:v>32.100000000000101</c:v>
                </c:pt>
                <c:pt idx="72">
                  <c:v>32.200000000000102</c:v>
                </c:pt>
                <c:pt idx="73">
                  <c:v>32.300000000000104</c:v>
                </c:pt>
                <c:pt idx="74">
                  <c:v>32.400000000000105</c:v>
                </c:pt>
                <c:pt idx="75">
                  <c:v>32.500000000000107</c:v>
                </c:pt>
                <c:pt idx="76">
                  <c:v>32.600000000000108</c:v>
                </c:pt>
                <c:pt idx="77">
                  <c:v>32.700000000000109</c:v>
                </c:pt>
                <c:pt idx="78">
                  <c:v>32.800000000000111</c:v>
                </c:pt>
                <c:pt idx="79">
                  <c:v>32.900000000000112</c:v>
                </c:pt>
                <c:pt idx="80">
                  <c:v>33.000000000000114</c:v>
                </c:pt>
                <c:pt idx="81">
                  <c:v>33.100000000000115</c:v>
                </c:pt>
                <c:pt idx="82">
                  <c:v>33.200000000000117</c:v>
                </c:pt>
                <c:pt idx="83">
                  <c:v>33.300000000000118</c:v>
                </c:pt>
                <c:pt idx="84">
                  <c:v>33.400000000000119</c:v>
                </c:pt>
                <c:pt idx="85">
                  <c:v>33.500000000000121</c:v>
                </c:pt>
                <c:pt idx="86">
                  <c:v>33.600000000000122</c:v>
                </c:pt>
                <c:pt idx="87">
                  <c:v>33.700000000000124</c:v>
                </c:pt>
                <c:pt idx="88">
                  <c:v>33.800000000000125</c:v>
                </c:pt>
                <c:pt idx="89">
                  <c:v>33.900000000000126</c:v>
                </c:pt>
                <c:pt idx="90">
                  <c:v>34.000000000000128</c:v>
                </c:pt>
                <c:pt idx="91">
                  <c:v>34.100000000000129</c:v>
                </c:pt>
                <c:pt idx="92">
                  <c:v>34.200000000000131</c:v>
                </c:pt>
                <c:pt idx="93">
                  <c:v>34.300000000000132</c:v>
                </c:pt>
                <c:pt idx="94">
                  <c:v>34.400000000000134</c:v>
                </c:pt>
                <c:pt idx="95">
                  <c:v>34.500000000000135</c:v>
                </c:pt>
                <c:pt idx="96">
                  <c:v>34.600000000000136</c:v>
                </c:pt>
                <c:pt idx="97">
                  <c:v>34.700000000000138</c:v>
                </c:pt>
                <c:pt idx="98">
                  <c:v>34.800000000000139</c:v>
                </c:pt>
                <c:pt idx="99">
                  <c:v>34.900000000000141</c:v>
                </c:pt>
                <c:pt idx="100">
                  <c:v>35.000000000000142</c:v>
                </c:pt>
                <c:pt idx="101">
                  <c:v>35.100000000000144</c:v>
                </c:pt>
                <c:pt idx="102">
                  <c:v>35.200000000000145</c:v>
                </c:pt>
                <c:pt idx="103">
                  <c:v>35.300000000000146</c:v>
                </c:pt>
                <c:pt idx="104">
                  <c:v>35.400000000000148</c:v>
                </c:pt>
                <c:pt idx="105">
                  <c:v>35.500000000000149</c:v>
                </c:pt>
                <c:pt idx="106">
                  <c:v>35.600000000000151</c:v>
                </c:pt>
                <c:pt idx="107">
                  <c:v>35.700000000000152</c:v>
                </c:pt>
                <c:pt idx="108">
                  <c:v>35.800000000000153</c:v>
                </c:pt>
                <c:pt idx="109">
                  <c:v>35.900000000000155</c:v>
                </c:pt>
                <c:pt idx="110">
                  <c:v>36.000000000000156</c:v>
                </c:pt>
                <c:pt idx="111">
                  <c:v>36.100000000000158</c:v>
                </c:pt>
                <c:pt idx="112">
                  <c:v>36.200000000000159</c:v>
                </c:pt>
                <c:pt idx="113">
                  <c:v>36.300000000000161</c:v>
                </c:pt>
                <c:pt idx="114">
                  <c:v>36.400000000000162</c:v>
                </c:pt>
                <c:pt idx="115">
                  <c:v>36.500000000000163</c:v>
                </c:pt>
                <c:pt idx="116">
                  <c:v>36.600000000000165</c:v>
                </c:pt>
                <c:pt idx="117">
                  <c:v>36.700000000000166</c:v>
                </c:pt>
                <c:pt idx="118">
                  <c:v>36.800000000000168</c:v>
                </c:pt>
                <c:pt idx="119">
                  <c:v>36.900000000000169</c:v>
                </c:pt>
                <c:pt idx="120">
                  <c:v>37.000000000000171</c:v>
                </c:pt>
                <c:pt idx="121">
                  <c:v>37.100000000000172</c:v>
                </c:pt>
                <c:pt idx="122">
                  <c:v>37.200000000000173</c:v>
                </c:pt>
                <c:pt idx="123">
                  <c:v>37.300000000000175</c:v>
                </c:pt>
                <c:pt idx="124">
                  <c:v>37.400000000000176</c:v>
                </c:pt>
                <c:pt idx="125">
                  <c:v>37.500000000000178</c:v>
                </c:pt>
                <c:pt idx="126">
                  <c:v>37.600000000000179</c:v>
                </c:pt>
                <c:pt idx="127">
                  <c:v>37.70000000000018</c:v>
                </c:pt>
                <c:pt idx="128">
                  <c:v>37.800000000000182</c:v>
                </c:pt>
                <c:pt idx="129">
                  <c:v>37.900000000000183</c:v>
                </c:pt>
                <c:pt idx="130">
                  <c:v>38.000000000000185</c:v>
                </c:pt>
                <c:pt idx="131">
                  <c:v>38.100000000000186</c:v>
                </c:pt>
                <c:pt idx="132">
                  <c:v>38.200000000000188</c:v>
                </c:pt>
                <c:pt idx="133">
                  <c:v>38.300000000000189</c:v>
                </c:pt>
                <c:pt idx="134">
                  <c:v>38.40000000000019</c:v>
                </c:pt>
                <c:pt idx="135">
                  <c:v>38.500000000000192</c:v>
                </c:pt>
                <c:pt idx="136">
                  <c:v>38.600000000000193</c:v>
                </c:pt>
                <c:pt idx="137">
                  <c:v>38.700000000000195</c:v>
                </c:pt>
                <c:pt idx="138">
                  <c:v>38.800000000000196</c:v>
                </c:pt>
                <c:pt idx="139">
                  <c:v>38.900000000000198</c:v>
                </c:pt>
                <c:pt idx="140">
                  <c:v>39.000000000000199</c:v>
                </c:pt>
                <c:pt idx="141">
                  <c:v>39.1000000000002</c:v>
                </c:pt>
                <c:pt idx="142">
                  <c:v>39.200000000000202</c:v>
                </c:pt>
                <c:pt idx="143">
                  <c:v>39.300000000000203</c:v>
                </c:pt>
                <c:pt idx="144">
                  <c:v>39.400000000000205</c:v>
                </c:pt>
                <c:pt idx="145">
                  <c:v>39.500000000000206</c:v>
                </c:pt>
                <c:pt idx="146">
                  <c:v>39.600000000000207</c:v>
                </c:pt>
                <c:pt idx="147">
                  <c:v>39.700000000000209</c:v>
                </c:pt>
                <c:pt idx="148">
                  <c:v>39.80000000000021</c:v>
                </c:pt>
                <c:pt idx="149">
                  <c:v>39.900000000000212</c:v>
                </c:pt>
                <c:pt idx="150">
                  <c:v>40.000000000000213</c:v>
                </c:pt>
                <c:pt idx="151">
                  <c:v>40.100000000000215</c:v>
                </c:pt>
                <c:pt idx="152">
                  <c:v>40.200000000000216</c:v>
                </c:pt>
                <c:pt idx="153">
                  <c:v>40.300000000000217</c:v>
                </c:pt>
                <c:pt idx="154">
                  <c:v>40.400000000000219</c:v>
                </c:pt>
                <c:pt idx="155">
                  <c:v>40.50000000000022</c:v>
                </c:pt>
                <c:pt idx="156">
                  <c:v>40.600000000000222</c:v>
                </c:pt>
                <c:pt idx="157">
                  <c:v>40.700000000000223</c:v>
                </c:pt>
                <c:pt idx="158">
                  <c:v>40.800000000000225</c:v>
                </c:pt>
                <c:pt idx="159">
                  <c:v>40.900000000000226</c:v>
                </c:pt>
                <c:pt idx="160">
                  <c:v>41.000000000000227</c:v>
                </c:pt>
                <c:pt idx="161">
                  <c:v>41.100000000000229</c:v>
                </c:pt>
                <c:pt idx="162">
                  <c:v>41.20000000000023</c:v>
                </c:pt>
                <c:pt idx="163">
                  <c:v>41.300000000000232</c:v>
                </c:pt>
                <c:pt idx="164">
                  <c:v>41.400000000000233</c:v>
                </c:pt>
                <c:pt idx="165">
                  <c:v>41.500000000000234</c:v>
                </c:pt>
                <c:pt idx="166">
                  <c:v>41.600000000000236</c:v>
                </c:pt>
                <c:pt idx="167">
                  <c:v>41.700000000000237</c:v>
                </c:pt>
                <c:pt idx="168">
                  <c:v>41.800000000000239</c:v>
                </c:pt>
                <c:pt idx="169">
                  <c:v>41.90000000000024</c:v>
                </c:pt>
                <c:pt idx="170">
                  <c:v>42.000000000000242</c:v>
                </c:pt>
                <c:pt idx="171">
                  <c:v>42.100000000000243</c:v>
                </c:pt>
                <c:pt idx="172">
                  <c:v>42.200000000000244</c:v>
                </c:pt>
                <c:pt idx="173">
                  <c:v>42.300000000000246</c:v>
                </c:pt>
                <c:pt idx="174">
                  <c:v>42.400000000000247</c:v>
                </c:pt>
                <c:pt idx="175">
                  <c:v>42.500000000000249</c:v>
                </c:pt>
                <c:pt idx="176">
                  <c:v>42.60000000000025</c:v>
                </c:pt>
                <c:pt idx="177">
                  <c:v>42.700000000000252</c:v>
                </c:pt>
                <c:pt idx="178">
                  <c:v>42.800000000000253</c:v>
                </c:pt>
                <c:pt idx="179">
                  <c:v>42.900000000000254</c:v>
                </c:pt>
                <c:pt idx="180">
                  <c:v>43.000000000000256</c:v>
                </c:pt>
                <c:pt idx="181">
                  <c:v>43.100000000000257</c:v>
                </c:pt>
                <c:pt idx="182">
                  <c:v>43.200000000000259</c:v>
                </c:pt>
                <c:pt idx="183">
                  <c:v>43.30000000000026</c:v>
                </c:pt>
                <c:pt idx="184">
                  <c:v>43.400000000000261</c:v>
                </c:pt>
                <c:pt idx="185">
                  <c:v>43.500000000000263</c:v>
                </c:pt>
                <c:pt idx="186">
                  <c:v>43.600000000000264</c:v>
                </c:pt>
                <c:pt idx="187">
                  <c:v>43.700000000000266</c:v>
                </c:pt>
                <c:pt idx="188">
                  <c:v>43.800000000000267</c:v>
                </c:pt>
                <c:pt idx="189">
                  <c:v>43.900000000000269</c:v>
                </c:pt>
                <c:pt idx="190">
                  <c:v>44.00000000000027</c:v>
                </c:pt>
                <c:pt idx="191">
                  <c:v>44.100000000000271</c:v>
                </c:pt>
                <c:pt idx="192">
                  <c:v>44.200000000000273</c:v>
                </c:pt>
                <c:pt idx="193">
                  <c:v>44.300000000000274</c:v>
                </c:pt>
                <c:pt idx="194">
                  <c:v>44.400000000000276</c:v>
                </c:pt>
                <c:pt idx="195">
                  <c:v>44.500000000000277</c:v>
                </c:pt>
                <c:pt idx="196">
                  <c:v>44.600000000000279</c:v>
                </c:pt>
                <c:pt idx="197">
                  <c:v>44.70000000000028</c:v>
                </c:pt>
                <c:pt idx="198">
                  <c:v>44.800000000000281</c:v>
                </c:pt>
                <c:pt idx="199">
                  <c:v>44.900000000000283</c:v>
                </c:pt>
                <c:pt idx="200">
                  <c:v>45.000000000000284</c:v>
                </c:pt>
                <c:pt idx="201">
                  <c:v>45.100000000000286</c:v>
                </c:pt>
                <c:pt idx="202">
                  <c:v>45.200000000000287</c:v>
                </c:pt>
                <c:pt idx="203">
                  <c:v>45.300000000000288</c:v>
                </c:pt>
                <c:pt idx="204">
                  <c:v>45.40000000000029</c:v>
                </c:pt>
                <c:pt idx="205">
                  <c:v>45.500000000000291</c:v>
                </c:pt>
                <c:pt idx="206">
                  <c:v>45.600000000000293</c:v>
                </c:pt>
                <c:pt idx="207">
                  <c:v>45.700000000000294</c:v>
                </c:pt>
                <c:pt idx="208">
                  <c:v>45.800000000000296</c:v>
                </c:pt>
                <c:pt idx="209">
                  <c:v>45.900000000000297</c:v>
                </c:pt>
                <c:pt idx="210">
                  <c:v>46.000000000000298</c:v>
                </c:pt>
                <c:pt idx="211">
                  <c:v>46.1000000000003</c:v>
                </c:pt>
                <c:pt idx="212">
                  <c:v>46.200000000000301</c:v>
                </c:pt>
                <c:pt idx="213">
                  <c:v>46.300000000000303</c:v>
                </c:pt>
                <c:pt idx="214">
                  <c:v>46.400000000000304</c:v>
                </c:pt>
                <c:pt idx="215">
                  <c:v>46.500000000000306</c:v>
                </c:pt>
                <c:pt idx="216">
                  <c:v>46.600000000000307</c:v>
                </c:pt>
                <c:pt idx="217">
                  <c:v>46.700000000000308</c:v>
                </c:pt>
                <c:pt idx="218">
                  <c:v>46.80000000000031</c:v>
                </c:pt>
                <c:pt idx="219">
                  <c:v>46.900000000000311</c:v>
                </c:pt>
                <c:pt idx="220">
                  <c:v>47.000000000000313</c:v>
                </c:pt>
                <c:pt idx="221">
                  <c:v>47.100000000000314</c:v>
                </c:pt>
                <c:pt idx="222">
                  <c:v>47.200000000000315</c:v>
                </c:pt>
                <c:pt idx="223">
                  <c:v>47.300000000000317</c:v>
                </c:pt>
                <c:pt idx="224">
                  <c:v>47.400000000000318</c:v>
                </c:pt>
                <c:pt idx="225">
                  <c:v>47.50000000000032</c:v>
                </c:pt>
                <c:pt idx="226">
                  <c:v>47.600000000000321</c:v>
                </c:pt>
                <c:pt idx="227">
                  <c:v>47.700000000000323</c:v>
                </c:pt>
                <c:pt idx="228">
                  <c:v>47.800000000000324</c:v>
                </c:pt>
                <c:pt idx="229">
                  <c:v>47.900000000000325</c:v>
                </c:pt>
                <c:pt idx="230">
                  <c:v>48.000000000000327</c:v>
                </c:pt>
                <c:pt idx="231">
                  <c:v>48.100000000000328</c:v>
                </c:pt>
                <c:pt idx="232">
                  <c:v>48.20000000000033</c:v>
                </c:pt>
                <c:pt idx="233">
                  <c:v>48.300000000000331</c:v>
                </c:pt>
                <c:pt idx="234">
                  <c:v>48.400000000000333</c:v>
                </c:pt>
                <c:pt idx="235">
                  <c:v>48.500000000000334</c:v>
                </c:pt>
                <c:pt idx="236">
                  <c:v>48.600000000000335</c:v>
                </c:pt>
                <c:pt idx="237">
                  <c:v>48.700000000000337</c:v>
                </c:pt>
                <c:pt idx="238">
                  <c:v>48.800000000000338</c:v>
                </c:pt>
                <c:pt idx="239">
                  <c:v>48.90000000000034</c:v>
                </c:pt>
                <c:pt idx="240">
                  <c:v>49.000000000000341</c:v>
                </c:pt>
                <c:pt idx="241">
                  <c:v>49.100000000000342</c:v>
                </c:pt>
                <c:pt idx="242">
                  <c:v>49.200000000000344</c:v>
                </c:pt>
                <c:pt idx="243">
                  <c:v>49.300000000000345</c:v>
                </c:pt>
                <c:pt idx="244">
                  <c:v>49.400000000000347</c:v>
                </c:pt>
                <c:pt idx="245">
                  <c:v>49.500000000000348</c:v>
                </c:pt>
                <c:pt idx="246">
                  <c:v>49.60000000000035</c:v>
                </c:pt>
                <c:pt idx="247">
                  <c:v>49.700000000000351</c:v>
                </c:pt>
                <c:pt idx="248">
                  <c:v>49.800000000000352</c:v>
                </c:pt>
                <c:pt idx="249">
                  <c:v>49.900000000000354</c:v>
                </c:pt>
                <c:pt idx="250">
                  <c:v>50.000000000000355</c:v>
                </c:pt>
                <c:pt idx="251">
                  <c:v>50.100000000000357</c:v>
                </c:pt>
                <c:pt idx="252">
                  <c:v>50.200000000000358</c:v>
                </c:pt>
                <c:pt idx="253">
                  <c:v>50.30000000000036</c:v>
                </c:pt>
                <c:pt idx="254">
                  <c:v>50.400000000000361</c:v>
                </c:pt>
                <c:pt idx="255">
                  <c:v>50.500000000000362</c:v>
                </c:pt>
                <c:pt idx="256">
                  <c:v>50.600000000000364</c:v>
                </c:pt>
                <c:pt idx="257">
                  <c:v>50.700000000000365</c:v>
                </c:pt>
                <c:pt idx="258">
                  <c:v>50.800000000000367</c:v>
                </c:pt>
                <c:pt idx="259">
                  <c:v>50.900000000000368</c:v>
                </c:pt>
                <c:pt idx="260">
                  <c:v>51.000000000000369</c:v>
                </c:pt>
                <c:pt idx="261">
                  <c:v>51.100000000000371</c:v>
                </c:pt>
                <c:pt idx="262">
                  <c:v>51.200000000000372</c:v>
                </c:pt>
                <c:pt idx="263">
                  <c:v>51.300000000000374</c:v>
                </c:pt>
                <c:pt idx="264">
                  <c:v>51.400000000000375</c:v>
                </c:pt>
                <c:pt idx="265">
                  <c:v>51.500000000000377</c:v>
                </c:pt>
                <c:pt idx="266">
                  <c:v>51.600000000000378</c:v>
                </c:pt>
                <c:pt idx="267">
                  <c:v>51.700000000000379</c:v>
                </c:pt>
                <c:pt idx="268">
                  <c:v>51.800000000000381</c:v>
                </c:pt>
                <c:pt idx="269">
                  <c:v>51.900000000000382</c:v>
                </c:pt>
                <c:pt idx="270">
                  <c:v>52.000000000000384</c:v>
                </c:pt>
                <c:pt idx="271">
                  <c:v>52.100000000000385</c:v>
                </c:pt>
                <c:pt idx="272">
                  <c:v>52.200000000000387</c:v>
                </c:pt>
                <c:pt idx="273">
                  <c:v>52.300000000000388</c:v>
                </c:pt>
                <c:pt idx="274">
                  <c:v>52.400000000000389</c:v>
                </c:pt>
                <c:pt idx="275">
                  <c:v>52.500000000000391</c:v>
                </c:pt>
                <c:pt idx="276">
                  <c:v>52.600000000000392</c:v>
                </c:pt>
                <c:pt idx="277">
                  <c:v>52.700000000000394</c:v>
                </c:pt>
                <c:pt idx="278">
                  <c:v>52.800000000000395</c:v>
                </c:pt>
                <c:pt idx="279">
                  <c:v>52.900000000000396</c:v>
                </c:pt>
                <c:pt idx="280">
                  <c:v>53.000000000000398</c:v>
                </c:pt>
                <c:pt idx="281">
                  <c:v>53.100000000000399</c:v>
                </c:pt>
                <c:pt idx="282">
                  <c:v>53.200000000000401</c:v>
                </c:pt>
                <c:pt idx="283">
                  <c:v>53.300000000000402</c:v>
                </c:pt>
                <c:pt idx="284">
                  <c:v>53.400000000000404</c:v>
                </c:pt>
                <c:pt idx="285">
                  <c:v>53.500000000000405</c:v>
                </c:pt>
                <c:pt idx="286">
                  <c:v>53.600000000000406</c:v>
                </c:pt>
                <c:pt idx="287">
                  <c:v>53.700000000000408</c:v>
                </c:pt>
                <c:pt idx="288">
                  <c:v>53.800000000000409</c:v>
                </c:pt>
                <c:pt idx="289">
                  <c:v>53.900000000000411</c:v>
                </c:pt>
                <c:pt idx="290">
                  <c:v>54.000000000000412</c:v>
                </c:pt>
                <c:pt idx="291">
                  <c:v>54.100000000000414</c:v>
                </c:pt>
                <c:pt idx="292">
                  <c:v>54.200000000000415</c:v>
                </c:pt>
                <c:pt idx="293">
                  <c:v>54.300000000000416</c:v>
                </c:pt>
                <c:pt idx="294">
                  <c:v>54.400000000000418</c:v>
                </c:pt>
                <c:pt idx="295">
                  <c:v>54.500000000000419</c:v>
                </c:pt>
                <c:pt idx="296">
                  <c:v>54.600000000000421</c:v>
                </c:pt>
                <c:pt idx="297">
                  <c:v>54.700000000000422</c:v>
                </c:pt>
                <c:pt idx="298">
                  <c:v>54.800000000000423</c:v>
                </c:pt>
                <c:pt idx="299">
                  <c:v>54.900000000000425</c:v>
                </c:pt>
                <c:pt idx="300">
                  <c:v>55.000000000000426</c:v>
                </c:pt>
                <c:pt idx="301">
                  <c:v>55.100000000000428</c:v>
                </c:pt>
                <c:pt idx="302">
                  <c:v>55.200000000000429</c:v>
                </c:pt>
                <c:pt idx="303">
                  <c:v>55.300000000000431</c:v>
                </c:pt>
                <c:pt idx="304">
                  <c:v>55.400000000000432</c:v>
                </c:pt>
                <c:pt idx="305">
                  <c:v>55.500000000000433</c:v>
                </c:pt>
                <c:pt idx="306">
                  <c:v>55.600000000000435</c:v>
                </c:pt>
                <c:pt idx="307">
                  <c:v>55.700000000000436</c:v>
                </c:pt>
                <c:pt idx="308">
                  <c:v>55.800000000000438</c:v>
                </c:pt>
                <c:pt idx="309">
                  <c:v>55.900000000000439</c:v>
                </c:pt>
                <c:pt idx="310">
                  <c:v>56.000000000000441</c:v>
                </c:pt>
                <c:pt idx="311">
                  <c:v>56.100000000000442</c:v>
                </c:pt>
                <c:pt idx="312">
                  <c:v>56.200000000000443</c:v>
                </c:pt>
                <c:pt idx="313">
                  <c:v>56.300000000000445</c:v>
                </c:pt>
                <c:pt idx="314">
                  <c:v>56.400000000000446</c:v>
                </c:pt>
                <c:pt idx="315">
                  <c:v>56.500000000000448</c:v>
                </c:pt>
                <c:pt idx="316">
                  <c:v>56.600000000000449</c:v>
                </c:pt>
                <c:pt idx="317">
                  <c:v>56.70000000000045</c:v>
                </c:pt>
                <c:pt idx="318">
                  <c:v>56.800000000000452</c:v>
                </c:pt>
                <c:pt idx="319">
                  <c:v>56.900000000000453</c:v>
                </c:pt>
                <c:pt idx="320">
                  <c:v>57.000000000000455</c:v>
                </c:pt>
                <c:pt idx="321">
                  <c:v>57.100000000000456</c:v>
                </c:pt>
                <c:pt idx="322">
                  <c:v>57.200000000000458</c:v>
                </c:pt>
                <c:pt idx="323">
                  <c:v>57.300000000000459</c:v>
                </c:pt>
                <c:pt idx="324">
                  <c:v>57.40000000000046</c:v>
                </c:pt>
                <c:pt idx="325">
                  <c:v>57.500000000000462</c:v>
                </c:pt>
                <c:pt idx="326">
                  <c:v>57.600000000000463</c:v>
                </c:pt>
                <c:pt idx="327">
                  <c:v>57.700000000000465</c:v>
                </c:pt>
                <c:pt idx="328">
                  <c:v>57.800000000000466</c:v>
                </c:pt>
                <c:pt idx="329">
                  <c:v>57.900000000000468</c:v>
                </c:pt>
                <c:pt idx="330">
                  <c:v>58.000000000000469</c:v>
                </c:pt>
                <c:pt idx="331">
                  <c:v>58.10000000000047</c:v>
                </c:pt>
                <c:pt idx="332">
                  <c:v>58.200000000000472</c:v>
                </c:pt>
                <c:pt idx="333">
                  <c:v>58.300000000000473</c:v>
                </c:pt>
                <c:pt idx="334">
                  <c:v>58.400000000000475</c:v>
                </c:pt>
                <c:pt idx="335">
                  <c:v>58.500000000000476</c:v>
                </c:pt>
                <c:pt idx="336">
                  <c:v>58.600000000000477</c:v>
                </c:pt>
                <c:pt idx="337">
                  <c:v>58.700000000000479</c:v>
                </c:pt>
                <c:pt idx="338">
                  <c:v>58.80000000000048</c:v>
                </c:pt>
                <c:pt idx="339">
                  <c:v>58.900000000000482</c:v>
                </c:pt>
                <c:pt idx="340">
                  <c:v>59.000000000000483</c:v>
                </c:pt>
                <c:pt idx="341">
                  <c:v>59.100000000000485</c:v>
                </c:pt>
                <c:pt idx="342">
                  <c:v>59.200000000000486</c:v>
                </c:pt>
                <c:pt idx="343">
                  <c:v>59.300000000000487</c:v>
                </c:pt>
                <c:pt idx="344">
                  <c:v>59.400000000000489</c:v>
                </c:pt>
                <c:pt idx="345">
                  <c:v>59.50000000000049</c:v>
                </c:pt>
                <c:pt idx="346">
                  <c:v>59.600000000000492</c:v>
                </c:pt>
                <c:pt idx="347">
                  <c:v>59.700000000000493</c:v>
                </c:pt>
                <c:pt idx="348">
                  <c:v>59.800000000000495</c:v>
                </c:pt>
                <c:pt idx="349">
                  <c:v>59.900000000000496</c:v>
                </c:pt>
                <c:pt idx="350">
                  <c:v>60.000000000000497</c:v>
                </c:pt>
                <c:pt idx="351">
                  <c:v>60.100000000000499</c:v>
                </c:pt>
                <c:pt idx="352">
                  <c:v>60.2000000000005</c:v>
                </c:pt>
                <c:pt idx="353">
                  <c:v>60.300000000000502</c:v>
                </c:pt>
                <c:pt idx="354">
                  <c:v>60.400000000000503</c:v>
                </c:pt>
                <c:pt idx="355">
                  <c:v>60.500000000000504</c:v>
                </c:pt>
                <c:pt idx="356">
                  <c:v>60.600000000000506</c:v>
                </c:pt>
                <c:pt idx="357">
                  <c:v>60.700000000000507</c:v>
                </c:pt>
                <c:pt idx="358">
                  <c:v>60.800000000000509</c:v>
                </c:pt>
                <c:pt idx="359">
                  <c:v>60.90000000000051</c:v>
                </c:pt>
                <c:pt idx="360">
                  <c:v>61.000000000000512</c:v>
                </c:pt>
                <c:pt idx="361">
                  <c:v>61.100000000000513</c:v>
                </c:pt>
                <c:pt idx="362">
                  <c:v>61.200000000000514</c:v>
                </c:pt>
                <c:pt idx="363">
                  <c:v>61.300000000000516</c:v>
                </c:pt>
                <c:pt idx="364">
                  <c:v>61.400000000000517</c:v>
                </c:pt>
                <c:pt idx="365">
                  <c:v>61.500000000000519</c:v>
                </c:pt>
                <c:pt idx="366">
                  <c:v>61.60000000000052</c:v>
                </c:pt>
                <c:pt idx="367">
                  <c:v>61.700000000000522</c:v>
                </c:pt>
                <c:pt idx="368">
                  <c:v>61.800000000000523</c:v>
                </c:pt>
                <c:pt idx="369">
                  <c:v>61.900000000000524</c:v>
                </c:pt>
                <c:pt idx="370">
                  <c:v>62.000000000000526</c:v>
                </c:pt>
                <c:pt idx="371">
                  <c:v>62.100000000000527</c:v>
                </c:pt>
                <c:pt idx="372">
                  <c:v>62.200000000000529</c:v>
                </c:pt>
                <c:pt idx="373">
                  <c:v>62.30000000000053</c:v>
                </c:pt>
                <c:pt idx="374">
                  <c:v>62.400000000000531</c:v>
                </c:pt>
                <c:pt idx="375">
                  <c:v>62.500000000000533</c:v>
                </c:pt>
                <c:pt idx="376">
                  <c:v>62.600000000000534</c:v>
                </c:pt>
                <c:pt idx="377">
                  <c:v>62.700000000000536</c:v>
                </c:pt>
                <c:pt idx="378">
                  <c:v>62.800000000000537</c:v>
                </c:pt>
                <c:pt idx="379">
                  <c:v>62.900000000000539</c:v>
                </c:pt>
                <c:pt idx="380">
                  <c:v>63.00000000000054</c:v>
                </c:pt>
                <c:pt idx="381">
                  <c:v>63.100000000000541</c:v>
                </c:pt>
                <c:pt idx="382">
                  <c:v>63.200000000000543</c:v>
                </c:pt>
                <c:pt idx="383">
                  <c:v>63.300000000000544</c:v>
                </c:pt>
                <c:pt idx="384">
                  <c:v>63.400000000000546</c:v>
                </c:pt>
                <c:pt idx="385">
                  <c:v>63.500000000000547</c:v>
                </c:pt>
                <c:pt idx="386">
                  <c:v>63.600000000000549</c:v>
                </c:pt>
                <c:pt idx="387">
                  <c:v>63.70000000000055</c:v>
                </c:pt>
                <c:pt idx="388">
                  <c:v>63.800000000000551</c:v>
                </c:pt>
                <c:pt idx="389">
                  <c:v>63.900000000000553</c:v>
                </c:pt>
                <c:pt idx="390">
                  <c:v>64.000000000000554</c:v>
                </c:pt>
                <c:pt idx="391">
                  <c:v>64.100000000000549</c:v>
                </c:pt>
                <c:pt idx="392">
                  <c:v>64.200000000000543</c:v>
                </c:pt>
                <c:pt idx="393">
                  <c:v>64.300000000000537</c:v>
                </c:pt>
                <c:pt idx="394">
                  <c:v>64.400000000000531</c:v>
                </c:pt>
                <c:pt idx="395">
                  <c:v>64.500000000000526</c:v>
                </c:pt>
                <c:pt idx="396">
                  <c:v>64.60000000000052</c:v>
                </c:pt>
                <c:pt idx="397">
                  <c:v>64.700000000000514</c:v>
                </c:pt>
                <c:pt idx="398">
                  <c:v>64.800000000000509</c:v>
                </c:pt>
                <c:pt idx="399">
                  <c:v>64.900000000000503</c:v>
                </c:pt>
                <c:pt idx="400">
                  <c:v>65.000000000000497</c:v>
                </c:pt>
                <c:pt idx="401">
                  <c:v>65.100000000000492</c:v>
                </c:pt>
                <c:pt idx="402">
                  <c:v>65.200000000000486</c:v>
                </c:pt>
                <c:pt idx="403">
                  <c:v>65.30000000000048</c:v>
                </c:pt>
                <c:pt idx="404">
                  <c:v>65.400000000000475</c:v>
                </c:pt>
                <c:pt idx="405">
                  <c:v>65.500000000000469</c:v>
                </c:pt>
                <c:pt idx="406">
                  <c:v>65.600000000000463</c:v>
                </c:pt>
                <c:pt idx="407">
                  <c:v>65.700000000000458</c:v>
                </c:pt>
                <c:pt idx="408">
                  <c:v>65.800000000000452</c:v>
                </c:pt>
                <c:pt idx="409">
                  <c:v>65.900000000000446</c:v>
                </c:pt>
                <c:pt idx="410">
                  <c:v>66.000000000000441</c:v>
                </c:pt>
                <c:pt idx="411">
                  <c:v>66.100000000000435</c:v>
                </c:pt>
                <c:pt idx="412">
                  <c:v>66.200000000000429</c:v>
                </c:pt>
                <c:pt idx="413">
                  <c:v>66.300000000000423</c:v>
                </c:pt>
                <c:pt idx="414">
                  <c:v>66.400000000000418</c:v>
                </c:pt>
                <c:pt idx="415">
                  <c:v>66.500000000000412</c:v>
                </c:pt>
                <c:pt idx="416">
                  <c:v>66.600000000000406</c:v>
                </c:pt>
                <c:pt idx="417">
                  <c:v>66.700000000000401</c:v>
                </c:pt>
                <c:pt idx="418">
                  <c:v>66.800000000000395</c:v>
                </c:pt>
                <c:pt idx="419">
                  <c:v>66.900000000000389</c:v>
                </c:pt>
                <c:pt idx="420">
                  <c:v>67.000000000000384</c:v>
                </c:pt>
                <c:pt idx="421">
                  <c:v>67.100000000000378</c:v>
                </c:pt>
                <c:pt idx="422">
                  <c:v>67.200000000000372</c:v>
                </c:pt>
                <c:pt idx="423">
                  <c:v>67.300000000000367</c:v>
                </c:pt>
                <c:pt idx="424">
                  <c:v>67.400000000000361</c:v>
                </c:pt>
                <c:pt idx="425">
                  <c:v>67.500000000000355</c:v>
                </c:pt>
                <c:pt idx="426">
                  <c:v>67.60000000000035</c:v>
                </c:pt>
                <c:pt idx="427">
                  <c:v>67.700000000000344</c:v>
                </c:pt>
                <c:pt idx="428">
                  <c:v>67.800000000000338</c:v>
                </c:pt>
                <c:pt idx="429">
                  <c:v>67.900000000000333</c:v>
                </c:pt>
                <c:pt idx="430">
                  <c:v>68.000000000000327</c:v>
                </c:pt>
                <c:pt idx="431">
                  <c:v>68.100000000000321</c:v>
                </c:pt>
                <c:pt idx="432">
                  <c:v>68.200000000000315</c:v>
                </c:pt>
                <c:pt idx="433">
                  <c:v>68.30000000000031</c:v>
                </c:pt>
                <c:pt idx="434">
                  <c:v>68.400000000000304</c:v>
                </c:pt>
                <c:pt idx="435">
                  <c:v>68.500000000000298</c:v>
                </c:pt>
                <c:pt idx="436">
                  <c:v>68.600000000000293</c:v>
                </c:pt>
                <c:pt idx="437">
                  <c:v>68.700000000000287</c:v>
                </c:pt>
                <c:pt idx="438">
                  <c:v>68.800000000000281</c:v>
                </c:pt>
                <c:pt idx="439">
                  <c:v>68.900000000000276</c:v>
                </c:pt>
                <c:pt idx="440">
                  <c:v>69.00000000000027</c:v>
                </c:pt>
                <c:pt idx="441">
                  <c:v>69.100000000000264</c:v>
                </c:pt>
                <c:pt idx="442">
                  <c:v>69.200000000000259</c:v>
                </c:pt>
                <c:pt idx="443">
                  <c:v>69.300000000000253</c:v>
                </c:pt>
                <c:pt idx="444">
                  <c:v>69.400000000000247</c:v>
                </c:pt>
                <c:pt idx="445">
                  <c:v>69.500000000000242</c:v>
                </c:pt>
                <c:pt idx="446">
                  <c:v>69.600000000000236</c:v>
                </c:pt>
                <c:pt idx="447">
                  <c:v>69.70000000000023</c:v>
                </c:pt>
                <c:pt idx="448">
                  <c:v>69.800000000000225</c:v>
                </c:pt>
                <c:pt idx="449">
                  <c:v>69.900000000000219</c:v>
                </c:pt>
                <c:pt idx="450">
                  <c:v>69.900000000000219</c:v>
                </c:pt>
                <c:pt idx="451">
                  <c:v>69.900000000000219</c:v>
                </c:pt>
                <c:pt idx="452">
                  <c:v>69.900000000000219</c:v>
                </c:pt>
                <c:pt idx="453">
                  <c:v>69.900000000000219</c:v>
                </c:pt>
                <c:pt idx="454">
                  <c:v>69.900000000000219</c:v>
                </c:pt>
                <c:pt idx="455">
                  <c:v>69.900000000000219</c:v>
                </c:pt>
                <c:pt idx="456">
                  <c:v>69.900000000000219</c:v>
                </c:pt>
                <c:pt idx="457">
                  <c:v>69.900000000000219</c:v>
                </c:pt>
                <c:pt idx="458">
                  <c:v>69.900000000000219</c:v>
                </c:pt>
                <c:pt idx="459">
                  <c:v>69.900000000000219</c:v>
                </c:pt>
                <c:pt idx="460">
                  <c:v>69.900000000000219</c:v>
                </c:pt>
                <c:pt idx="461">
                  <c:v>69.900000000000219</c:v>
                </c:pt>
                <c:pt idx="462">
                  <c:v>69.900000000000219</c:v>
                </c:pt>
                <c:pt idx="463">
                  <c:v>69.900000000000219</c:v>
                </c:pt>
                <c:pt idx="464">
                  <c:v>69.900000000000219</c:v>
                </c:pt>
                <c:pt idx="465">
                  <c:v>69.900000000000219</c:v>
                </c:pt>
                <c:pt idx="466">
                  <c:v>69.900000000000219</c:v>
                </c:pt>
                <c:pt idx="467">
                  <c:v>69.900000000000219</c:v>
                </c:pt>
                <c:pt idx="468">
                  <c:v>69.900000000000219</c:v>
                </c:pt>
                <c:pt idx="469">
                  <c:v>69.900000000000219</c:v>
                </c:pt>
                <c:pt idx="470">
                  <c:v>69.900000000000219</c:v>
                </c:pt>
                <c:pt idx="471">
                  <c:v>69.900000000000219</c:v>
                </c:pt>
                <c:pt idx="472">
                  <c:v>69.900000000000219</c:v>
                </c:pt>
                <c:pt idx="473">
                  <c:v>69.900000000000219</c:v>
                </c:pt>
                <c:pt idx="474">
                  <c:v>69.900000000000219</c:v>
                </c:pt>
                <c:pt idx="475">
                  <c:v>69.900000000000219</c:v>
                </c:pt>
                <c:pt idx="476">
                  <c:v>69.900000000000219</c:v>
                </c:pt>
                <c:pt idx="477">
                  <c:v>69.900000000000219</c:v>
                </c:pt>
                <c:pt idx="478">
                  <c:v>69.900000000000219</c:v>
                </c:pt>
                <c:pt idx="479">
                  <c:v>69.900000000000219</c:v>
                </c:pt>
                <c:pt idx="480">
                  <c:v>69.900000000000219</c:v>
                </c:pt>
                <c:pt idx="481">
                  <c:v>69.900000000000219</c:v>
                </c:pt>
                <c:pt idx="482">
                  <c:v>69.900000000000219</c:v>
                </c:pt>
                <c:pt idx="483">
                  <c:v>69.900000000000219</c:v>
                </c:pt>
                <c:pt idx="484">
                  <c:v>69.900000000000219</c:v>
                </c:pt>
                <c:pt idx="485">
                  <c:v>69.900000000000219</c:v>
                </c:pt>
                <c:pt idx="486">
                  <c:v>69.900000000000219</c:v>
                </c:pt>
                <c:pt idx="487">
                  <c:v>69.900000000000219</c:v>
                </c:pt>
                <c:pt idx="488">
                  <c:v>69.900000000000219</c:v>
                </c:pt>
                <c:pt idx="489">
                  <c:v>69.900000000000219</c:v>
                </c:pt>
                <c:pt idx="490">
                  <c:v>69.900000000000219</c:v>
                </c:pt>
                <c:pt idx="491">
                  <c:v>69.900000000000219</c:v>
                </c:pt>
                <c:pt idx="492">
                  <c:v>69.900000000000219</c:v>
                </c:pt>
                <c:pt idx="493">
                  <c:v>69.900000000000219</c:v>
                </c:pt>
                <c:pt idx="494">
                  <c:v>69.900000000000219</c:v>
                </c:pt>
                <c:pt idx="495">
                  <c:v>69.900000000000219</c:v>
                </c:pt>
                <c:pt idx="496">
                  <c:v>69.900000000000219</c:v>
                </c:pt>
                <c:pt idx="497">
                  <c:v>69.900000000000219</c:v>
                </c:pt>
                <c:pt idx="498">
                  <c:v>69.900000000000219</c:v>
                </c:pt>
                <c:pt idx="499">
                  <c:v>69.900000000000219</c:v>
                </c:pt>
                <c:pt idx="500">
                  <c:v>69.900000000000219</c:v>
                </c:pt>
                <c:pt idx="501">
                  <c:v>69.900000000000219</c:v>
                </c:pt>
                <c:pt idx="502">
                  <c:v>69.900000000000219</c:v>
                </c:pt>
                <c:pt idx="503">
                  <c:v>69.900000000000219</c:v>
                </c:pt>
                <c:pt idx="504">
                  <c:v>69.900000000000219</c:v>
                </c:pt>
                <c:pt idx="505">
                  <c:v>69.900000000000219</c:v>
                </c:pt>
                <c:pt idx="506">
                  <c:v>69.900000000000219</c:v>
                </c:pt>
                <c:pt idx="507">
                  <c:v>69.900000000000219</c:v>
                </c:pt>
                <c:pt idx="508">
                  <c:v>69.900000000000219</c:v>
                </c:pt>
                <c:pt idx="509">
                  <c:v>69.900000000000219</c:v>
                </c:pt>
                <c:pt idx="510">
                  <c:v>69.900000000000219</c:v>
                </c:pt>
              </c:numCache>
            </c:numRef>
          </c:xVal>
          <c:yVal>
            <c:numRef>
              <c:f>Curves!$AS$2:$AS$512</c:f>
              <c:numCache>
                <c:formatCode>General</c:formatCode>
                <c:ptCount val="511"/>
                <c:pt idx="0">
                  <c:v>-112.00000000000568</c:v>
                </c:pt>
                <c:pt idx="1">
                  <c:v>-74.666666666670466</c:v>
                </c:pt>
                <c:pt idx="2">
                  <c:v>-56.000000000002842</c:v>
                </c:pt>
                <c:pt idx="3">
                  <c:v>-72.444444444442283</c:v>
                </c:pt>
                <c:pt idx="4">
                  <c:v>-62.844444444441869</c:v>
                </c:pt>
                <c:pt idx="5">
                  <c:v>-54.805396825393295</c:v>
                </c:pt>
                <c:pt idx="6">
                  <c:v>-52.453571428567422</c:v>
                </c:pt>
                <c:pt idx="7">
                  <c:v>-50.21388888888567</c:v>
                </c:pt>
                <c:pt idx="8">
                  <c:v>-50.587698412695815</c:v>
                </c:pt>
                <c:pt idx="9">
                  <c:v>-63.530555555553903</c:v>
                </c:pt>
                <c:pt idx="10">
                  <c:v>-76.535714285714505</c:v>
                </c:pt>
                <c:pt idx="11">
                  <c:v>-89.540873015874169</c:v>
                </c:pt>
                <c:pt idx="12">
                  <c:v>-102.48373015873257</c:v>
                </c:pt>
                <c:pt idx="13">
                  <c:v>-102.8575396825418</c:v>
                </c:pt>
                <c:pt idx="14">
                  <c:v>-90.163888888890384</c:v>
                </c:pt>
                <c:pt idx="15">
                  <c:v>-77.537301587303276</c:v>
                </c:pt>
                <c:pt idx="16">
                  <c:v>-65.043650793652859</c:v>
                </c:pt>
                <c:pt idx="17">
                  <c:v>-52.747619047619843</c:v>
                </c:pt>
                <c:pt idx="18">
                  <c:v>-53.157142857143143</c:v>
                </c:pt>
                <c:pt idx="19">
                  <c:v>-66.770634920635175</c:v>
                </c:pt>
                <c:pt idx="20">
                  <c:v>-80.452380952382626</c:v>
                </c:pt>
                <c:pt idx="21">
                  <c:v>-94.134126984130049</c:v>
                </c:pt>
                <c:pt idx="22">
                  <c:v>-107.74761904762209</c:v>
                </c:pt>
                <c:pt idx="23">
                  <c:v>-108.15714285714509</c:v>
                </c:pt>
                <c:pt idx="24">
                  <c:v>-94.816666666667999</c:v>
                </c:pt>
                <c:pt idx="25">
                  <c:v>-81.489841269841293</c:v>
                </c:pt>
                <c:pt idx="26">
                  <c:v>-68.203968253967346</c:v>
                </c:pt>
                <c:pt idx="27">
                  <c:v>-54.99999999999951</c:v>
                </c:pt>
                <c:pt idx="28">
                  <c:v>-54.999999999998906</c:v>
                </c:pt>
                <c:pt idx="29">
                  <c:v>-68.749999999999318</c:v>
                </c:pt>
                <c:pt idx="30">
                  <c:v>-82.49999999999973</c:v>
                </c:pt>
                <c:pt idx="31">
                  <c:v>-96.250000000000156</c:v>
                </c:pt>
                <c:pt idx="32">
                  <c:v>-110.00000000000054</c:v>
                </c:pt>
                <c:pt idx="33">
                  <c:v>-109.99999999999964</c:v>
                </c:pt>
                <c:pt idx="34">
                  <c:v>-107.24999999999848</c:v>
                </c:pt>
                <c:pt idx="35">
                  <c:v>-101.74238095238108</c:v>
                </c:pt>
                <c:pt idx="36">
                  <c:v>-93.47142857142947</c:v>
                </c:pt>
                <c:pt idx="37">
                  <c:v>-82.433333333335852</c:v>
                </c:pt>
                <c:pt idx="38">
                  <c:v>-82.376190476194139</c:v>
                </c:pt>
                <c:pt idx="39">
                  <c:v>-82.300000000002342</c:v>
                </c:pt>
                <c:pt idx="40">
                  <c:v>-82.21428571428595</c:v>
                </c:pt>
                <c:pt idx="41">
                  <c:v>-82.128571428570211</c:v>
                </c:pt>
                <c:pt idx="42">
                  <c:v>-82.052380952378726</c:v>
                </c:pt>
                <c:pt idx="43">
                  <c:v>-81.99523809523518</c:v>
                </c:pt>
                <c:pt idx="44">
                  <c:v>-81.957142857141392</c:v>
                </c:pt>
                <c:pt idx="45">
                  <c:v>-81.986031746030108</c:v>
                </c:pt>
                <c:pt idx="46">
                  <c:v>-82.115476190475761</c:v>
                </c:pt>
                <c:pt idx="47">
                  <c:v>-82.364682539683642</c:v>
                </c:pt>
                <c:pt idx="48">
                  <c:v>-82.738492063493482</c:v>
                </c:pt>
                <c:pt idx="49">
                  <c:v>-83.236904761904668</c:v>
                </c:pt>
                <c:pt idx="50">
                  <c:v>-83.797619047618369</c:v>
                </c:pt>
                <c:pt idx="51">
                  <c:v>-84.358333333331771</c:v>
                </c:pt>
                <c:pt idx="52">
                  <c:v>-84.856746031744777</c:v>
                </c:pt>
                <c:pt idx="53">
                  <c:v>-85.230555555554631</c:v>
                </c:pt>
                <c:pt idx="54">
                  <c:v>-85.479761904760991</c:v>
                </c:pt>
                <c:pt idx="55">
                  <c:v>-85.572380952380016</c:v>
                </c:pt>
                <c:pt idx="56">
                  <c:v>-85.499999999998167</c:v>
                </c:pt>
                <c:pt idx="57">
                  <c:v>-85.277777777776151</c:v>
                </c:pt>
                <c:pt idx="58">
                  <c:v>-84.94444444444315</c:v>
                </c:pt>
                <c:pt idx="59">
                  <c:v>-84.499999999999702</c:v>
                </c:pt>
                <c:pt idx="60">
                  <c:v>-84.000000000000014</c:v>
                </c:pt>
                <c:pt idx="61">
                  <c:v>-83.500000000000924</c:v>
                </c:pt>
                <c:pt idx="62">
                  <c:v>-83.055555555556595</c:v>
                </c:pt>
                <c:pt idx="63">
                  <c:v>-82.722222222223877</c:v>
                </c:pt>
                <c:pt idx="64">
                  <c:v>-82.500000000002146</c:v>
                </c:pt>
                <c:pt idx="65">
                  <c:v>-82.373333333335466</c:v>
                </c:pt>
                <c:pt idx="66">
                  <c:v>-82.316666666666649</c:v>
                </c:pt>
                <c:pt idx="67">
                  <c:v>-82.294444444442931</c:v>
                </c:pt>
                <c:pt idx="68">
                  <c:v>-82.261111111109784</c:v>
                </c:pt>
                <c:pt idx="69">
                  <c:v>-82.216666666665986</c:v>
                </c:pt>
                <c:pt idx="70">
                  <c:v>-82.16666666666579</c:v>
                </c:pt>
                <c:pt idx="71">
                  <c:v>-82.116666666666219</c:v>
                </c:pt>
                <c:pt idx="72">
                  <c:v>-82.072222222221498</c:v>
                </c:pt>
                <c:pt idx="73">
                  <c:v>-82.038888888889886</c:v>
                </c:pt>
                <c:pt idx="74">
                  <c:v>-82.016666666668883</c:v>
                </c:pt>
                <c:pt idx="75">
                  <c:v>-81.920000000000414</c:v>
                </c:pt>
                <c:pt idx="76">
                  <c:v>-81.683333333330424</c:v>
                </c:pt>
                <c:pt idx="77">
                  <c:v>-81.261111111107681</c:v>
                </c:pt>
                <c:pt idx="78">
                  <c:v>-80.627777777775378</c:v>
                </c:pt>
                <c:pt idx="79">
                  <c:v>-79.783333333330503</c:v>
                </c:pt>
                <c:pt idx="80">
                  <c:v>-78.833333333331296</c:v>
                </c:pt>
                <c:pt idx="81">
                  <c:v>-77.883333333330597</c:v>
                </c:pt>
                <c:pt idx="82">
                  <c:v>-77.03888888888811</c:v>
                </c:pt>
                <c:pt idx="83">
                  <c:v>-76.405555555555537</c:v>
                </c:pt>
                <c:pt idx="84">
                  <c:v>-75.98333333333251</c:v>
                </c:pt>
                <c:pt idx="85">
                  <c:v>-75.777777777777203</c:v>
                </c:pt>
                <c:pt idx="86">
                  <c:v>-75.766666666667476</c:v>
                </c:pt>
                <c:pt idx="87">
                  <c:v>-75.90000000000127</c:v>
                </c:pt>
                <c:pt idx="88">
                  <c:v>-76.100000000001401</c:v>
                </c:pt>
                <c:pt idx="89">
                  <c:v>-76.366666666669644</c:v>
                </c:pt>
                <c:pt idx="90">
                  <c:v>-76.66666666666859</c:v>
                </c:pt>
                <c:pt idx="91">
                  <c:v>-76.966666666667876</c:v>
                </c:pt>
                <c:pt idx="92">
                  <c:v>-77.233333333333988</c:v>
                </c:pt>
                <c:pt idx="93">
                  <c:v>-77.433333333332001</c:v>
                </c:pt>
                <c:pt idx="94">
                  <c:v>-77.56666666666672</c:v>
                </c:pt>
                <c:pt idx="95">
                  <c:v>-77.688888888889579</c:v>
                </c:pt>
                <c:pt idx="96">
                  <c:v>-77.850000000001373</c:v>
                </c:pt>
                <c:pt idx="97">
                  <c:v>-78.094444444445898</c:v>
                </c:pt>
                <c:pt idx="98">
                  <c:v>-78.461111111113269</c:v>
                </c:pt>
                <c:pt idx="99">
                  <c:v>-78.950000000002348</c:v>
                </c:pt>
                <c:pt idx="100">
                  <c:v>-79.500000000001592</c:v>
                </c:pt>
                <c:pt idx="101">
                  <c:v>-80.050000000001461</c:v>
                </c:pt>
                <c:pt idx="102">
                  <c:v>-80.538888888889616</c:v>
                </c:pt>
                <c:pt idx="103">
                  <c:v>-80.905555555556376</c:v>
                </c:pt>
                <c:pt idx="104">
                  <c:v>-81.149999999999395</c:v>
                </c:pt>
                <c:pt idx="105">
                  <c:v>-81.288888888888081</c:v>
                </c:pt>
                <c:pt idx="106">
                  <c:v>-81.3499999999989</c:v>
                </c:pt>
                <c:pt idx="107">
                  <c:v>-81.3722222222205</c:v>
                </c:pt>
                <c:pt idx="108">
                  <c:v>-81.40555555555305</c:v>
                </c:pt>
                <c:pt idx="109">
                  <c:v>-81.449999999998951</c:v>
                </c:pt>
                <c:pt idx="110">
                  <c:v>-81.499999999999744</c:v>
                </c:pt>
                <c:pt idx="111">
                  <c:v>-81.549999999998718</c:v>
                </c:pt>
                <c:pt idx="112">
                  <c:v>-81.594444444444335</c:v>
                </c:pt>
                <c:pt idx="113">
                  <c:v>-81.627777777778093</c:v>
                </c:pt>
                <c:pt idx="114">
                  <c:v>-81.650000000000873</c:v>
                </c:pt>
                <c:pt idx="115">
                  <c:v>-81.644444444446947</c:v>
                </c:pt>
                <c:pt idx="116">
                  <c:v>-81.600000000003448</c:v>
                </c:pt>
                <c:pt idx="117">
                  <c:v>-81.511111111113124</c:v>
                </c:pt>
                <c:pt idx="118">
                  <c:v>-81.377777777779912</c:v>
                </c:pt>
                <c:pt idx="119">
                  <c:v>-81.200000000001381</c:v>
                </c:pt>
                <c:pt idx="120">
                  <c:v>-80.999999999999446</c:v>
                </c:pt>
                <c:pt idx="121">
                  <c:v>-80.799999999999031</c:v>
                </c:pt>
                <c:pt idx="122">
                  <c:v>-80.622222222219904</c:v>
                </c:pt>
                <c:pt idx="123">
                  <c:v>-80.488888888885796</c:v>
                </c:pt>
                <c:pt idx="124">
                  <c:v>-80.399999999995757</c:v>
                </c:pt>
                <c:pt idx="125">
                  <c:v>-79.991111111106335</c:v>
                </c:pt>
                <c:pt idx="126">
                  <c:v>-78.983333333327892</c:v>
                </c:pt>
                <c:pt idx="127">
                  <c:v>-77.183333333326516</c:v>
                </c:pt>
                <c:pt idx="128">
                  <c:v>-74.483333333325248</c:v>
                </c:pt>
                <c:pt idx="129">
                  <c:v>-70.883333333324927</c:v>
                </c:pt>
                <c:pt idx="130">
                  <c:v>-66.833333333326905</c:v>
                </c:pt>
                <c:pt idx="131">
                  <c:v>-62.783333333328315</c:v>
                </c:pt>
                <c:pt idx="132">
                  <c:v>-59.183333333330424</c:v>
                </c:pt>
                <c:pt idx="133">
                  <c:v>-56.483333333331558</c:v>
                </c:pt>
                <c:pt idx="134">
                  <c:v>-54.683333333333508</c:v>
                </c:pt>
                <c:pt idx="135">
                  <c:v>-53.866666666667847</c:v>
                </c:pt>
                <c:pt idx="136">
                  <c:v>-53.983333333336439</c:v>
                </c:pt>
                <c:pt idx="137">
                  <c:v>-54.850000000003824</c:v>
                </c:pt>
                <c:pt idx="138">
                  <c:v>-56.150000000003985</c:v>
                </c:pt>
                <c:pt idx="139">
                  <c:v>-57.883333333337234</c:v>
                </c:pt>
                <c:pt idx="140">
                  <c:v>-59.833333333335808</c:v>
                </c:pt>
                <c:pt idx="141">
                  <c:v>-61.783333333335605</c:v>
                </c:pt>
                <c:pt idx="142">
                  <c:v>-63.516666666668556</c:v>
                </c:pt>
                <c:pt idx="143">
                  <c:v>-64.81666666666932</c:v>
                </c:pt>
                <c:pt idx="144">
                  <c:v>-65.68333333333517</c:v>
                </c:pt>
                <c:pt idx="145">
                  <c:v>-66.311111111115338</c:v>
                </c:pt>
                <c:pt idx="146">
                  <c:v>-66.900000000003814</c:v>
                </c:pt>
                <c:pt idx="147">
                  <c:v>-67.655555555561122</c:v>
                </c:pt>
                <c:pt idx="148">
                  <c:v>-68.78888888889341</c:v>
                </c:pt>
                <c:pt idx="149">
                  <c:v>-70.300000000002512</c:v>
                </c:pt>
                <c:pt idx="150">
                  <c:v>-72.000000000002316</c:v>
                </c:pt>
                <c:pt idx="151">
                  <c:v>-73.700000000001197</c:v>
                </c:pt>
                <c:pt idx="152">
                  <c:v>-75.211111111111805</c:v>
                </c:pt>
                <c:pt idx="153">
                  <c:v>-76.344444444444107</c:v>
                </c:pt>
                <c:pt idx="154">
                  <c:v>-77.100000000001387</c:v>
                </c:pt>
                <c:pt idx="155">
                  <c:v>-78.008888888890809</c:v>
                </c:pt>
                <c:pt idx="156">
                  <c:v>-79.516666666670758</c:v>
                </c:pt>
                <c:pt idx="157">
                  <c:v>-81.983333333339985</c:v>
                </c:pt>
                <c:pt idx="158">
                  <c:v>-85.683333333342773</c:v>
                </c:pt>
                <c:pt idx="159">
                  <c:v>-90.616666666678853</c:v>
                </c:pt>
                <c:pt idx="160">
                  <c:v>-96.166666666678935</c:v>
                </c:pt>
                <c:pt idx="161">
                  <c:v>-101.71666666667782</c:v>
                </c:pt>
                <c:pt idx="162">
                  <c:v>-106.6500000000087</c:v>
                </c:pt>
                <c:pt idx="163">
                  <c:v>-110.35000000000637</c:v>
                </c:pt>
                <c:pt idx="164">
                  <c:v>-112.81666666667074</c:v>
                </c:pt>
                <c:pt idx="165">
                  <c:v>-114.22222222222432</c:v>
                </c:pt>
                <c:pt idx="166">
                  <c:v>-114.84999999999967</c:v>
                </c:pt>
                <c:pt idx="167">
                  <c:v>-115.09444444444448</c:v>
                </c:pt>
                <c:pt idx="168">
                  <c:v>-115.46111111111186</c:v>
                </c:pt>
                <c:pt idx="169">
                  <c:v>-115.95000000000182</c:v>
                </c:pt>
                <c:pt idx="170">
                  <c:v>-116.50000000000169</c:v>
                </c:pt>
                <c:pt idx="171">
                  <c:v>-117.05000000000064</c:v>
                </c:pt>
                <c:pt idx="172">
                  <c:v>-117.5388888888903</c:v>
                </c:pt>
                <c:pt idx="173">
                  <c:v>-117.90555555555676</c:v>
                </c:pt>
                <c:pt idx="174">
                  <c:v>-118.1500000000019</c:v>
                </c:pt>
                <c:pt idx="175">
                  <c:v>-118.3822222222235</c:v>
                </c:pt>
                <c:pt idx="176">
                  <c:v>-118.70000000000142</c:v>
                </c:pt>
                <c:pt idx="177">
                  <c:v>-119.1888888888908</c:v>
                </c:pt>
                <c:pt idx="178">
                  <c:v>-119.92222222222587</c:v>
                </c:pt>
                <c:pt idx="179">
                  <c:v>-120.90000000000337</c:v>
                </c:pt>
                <c:pt idx="180">
                  <c:v>-122.00000000000222</c:v>
                </c:pt>
                <c:pt idx="181">
                  <c:v>-123.10000000000286</c:v>
                </c:pt>
                <c:pt idx="182">
                  <c:v>-124.07777777777912</c:v>
                </c:pt>
                <c:pt idx="183">
                  <c:v>-124.81111111111144</c:v>
                </c:pt>
                <c:pt idx="184">
                  <c:v>-125.29999999999932</c:v>
                </c:pt>
                <c:pt idx="185">
                  <c:v>-125.71999999999939</c:v>
                </c:pt>
                <c:pt idx="186">
                  <c:v>-126.23333333333359</c:v>
                </c:pt>
                <c:pt idx="187">
                  <c:v>-126.98888888889181</c:v>
                </c:pt>
                <c:pt idx="188">
                  <c:v>-128.12222222222621</c:v>
                </c:pt>
                <c:pt idx="189">
                  <c:v>-129.63333333333745</c:v>
                </c:pt>
                <c:pt idx="190">
                  <c:v>-131.33333333333931</c:v>
                </c:pt>
                <c:pt idx="191">
                  <c:v>-133.03333333333882</c:v>
                </c:pt>
                <c:pt idx="192">
                  <c:v>-134.54444444444977</c:v>
                </c:pt>
                <c:pt idx="193">
                  <c:v>-135.67777777778173</c:v>
                </c:pt>
                <c:pt idx="194">
                  <c:v>-136.43333333333538</c:v>
                </c:pt>
                <c:pt idx="195">
                  <c:v>-137.102222222222</c:v>
                </c:pt>
                <c:pt idx="196">
                  <c:v>-137.9500000000024</c:v>
                </c:pt>
                <c:pt idx="197">
                  <c:v>-139.21666666667093</c:v>
                </c:pt>
                <c:pt idx="198">
                  <c:v>-141.11666666667176</c:v>
                </c:pt>
                <c:pt idx="199">
                  <c:v>-143.65000000000575</c:v>
                </c:pt>
                <c:pt idx="200">
                  <c:v>-146.50000000000517</c:v>
                </c:pt>
                <c:pt idx="201">
                  <c:v>-149.35000000000463</c:v>
                </c:pt>
                <c:pt idx="202">
                  <c:v>-151.88333333333742</c:v>
                </c:pt>
                <c:pt idx="203">
                  <c:v>-153.78333333333552</c:v>
                </c:pt>
                <c:pt idx="204">
                  <c:v>-155.05000000000069</c:v>
                </c:pt>
                <c:pt idx="205">
                  <c:v>-156.09777777778092</c:v>
                </c:pt>
                <c:pt idx="206">
                  <c:v>-157.31666666667286</c:v>
                </c:pt>
                <c:pt idx="207">
                  <c:v>-159.07222222223129</c:v>
                </c:pt>
                <c:pt idx="208">
                  <c:v>-161.70555555556663</c:v>
                </c:pt>
                <c:pt idx="209">
                  <c:v>-165.21666666667844</c:v>
                </c:pt>
                <c:pt idx="210">
                  <c:v>-169.16666666667791</c:v>
                </c:pt>
                <c:pt idx="211">
                  <c:v>-173.11666666667736</c:v>
                </c:pt>
                <c:pt idx="212">
                  <c:v>-176.62777777778643</c:v>
                </c:pt>
                <c:pt idx="213">
                  <c:v>-179.2611111111178</c:v>
                </c:pt>
                <c:pt idx="214">
                  <c:v>-181.01666666667296</c:v>
                </c:pt>
                <c:pt idx="215">
                  <c:v>-182.38222222222987</c:v>
                </c:pt>
                <c:pt idx="216">
                  <c:v>-183.83333333334286</c:v>
                </c:pt>
                <c:pt idx="217">
                  <c:v>-185.83333333334525</c:v>
                </c:pt>
                <c:pt idx="218">
                  <c:v>-188.83333333334824</c:v>
                </c:pt>
                <c:pt idx="219">
                  <c:v>-192.83333333334906</c:v>
                </c:pt>
                <c:pt idx="220">
                  <c:v>-197.33333333334932</c:v>
                </c:pt>
                <c:pt idx="221">
                  <c:v>-201.83333333334772</c:v>
                </c:pt>
                <c:pt idx="222">
                  <c:v>-205.83333333334556</c:v>
                </c:pt>
                <c:pt idx="223">
                  <c:v>-208.83333333334153</c:v>
                </c:pt>
                <c:pt idx="224">
                  <c:v>-210.83333333333914</c:v>
                </c:pt>
                <c:pt idx="225">
                  <c:v>-212.45777777778554</c:v>
                </c:pt>
                <c:pt idx="226">
                  <c:v>-214.30000000001013</c:v>
                </c:pt>
                <c:pt idx="227">
                  <c:v>-216.92222222223694</c:v>
                </c:pt>
                <c:pt idx="228">
                  <c:v>-220.85555555557454</c:v>
                </c:pt>
                <c:pt idx="229">
                  <c:v>-226.10000000002142</c:v>
                </c:pt>
                <c:pt idx="230">
                  <c:v>-232.00000000001947</c:v>
                </c:pt>
                <c:pt idx="231">
                  <c:v>-237.90000000001868</c:v>
                </c:pt>
                <c:pt idx="232">
                  <c:v>-243.14444444445797</c:v>
                </c:pt>
                <c:pt idx="233">
                  <c:v>-247.07777777778344</c:v>
                </c:pt>
                <c:pt idx="234">
                  <c:v>-249.70000000000388</c:v>
                </c:pt>
                <c:pt idx="235">
                  <c:v>-251.76888888889459</c:v>
                </c:pt>
                <c:pt idx="236">
                  <c:v>-254.01666666667435</c:v>
                </c:pt>
                <c:pt idx="237">
                  <c:v>-257.15000000001299</c:v>
                </c:pt>
                <c:pt idx="238">
                  <c:v>-261.85000000001907</c:v>
                </c:pt>
                <c:pt idx="239">
                  <c:v>-268.11666666668714</c:v>
                </c:pt>
                <c:pt idx="240">
                  <c:v>-275.16666666668942</c:v>
                </c:pt>
                <c:pt idx="241">
                  <c:v>-282.2166666666871</c:v>
                </c:pt>
                <c:pt idx="242">
                  <c:v>-288.48333333334665</c:v>
                </c:pt>
                <c:pt idx="243">
                  <c:v>-293.18333333334073</c:v>
                </c:pt>
                <c:pt idx="244">
                  <c:v>-296.31666666667269</c:v>
                </c:pt>
                <c:pt idx="245">
                  <c:v>-298.80000000000621</c:v>
                </c:pt>
                <c:pt idx="246">
                  <c:v>-301.516666666677</c:v>
                </c:pt>
                <c:pt idx="247">
                  <c:v>-305.31666666668463</c:v>
                </c:pt>
                <c:pt idx="248">
                  <c:v>-311.01666666669144</c:v>
                </c:pt>
                <c:pt idx="249">
                  <c:v>-318.61666666669771</c:v>
                </c:pt>
                <c:pt idx="250">
                  <c:v>-327.16666666669937</c:v>
                </c:pt>
                <c:pt idx="251">
                  <c:v>-335.71666666669722</c:v>
                </c:pt>
                <c:pt idx="252">
                  <c:v>-343.31666666669145</c:v>
                </c:pt>
                <c:pt idx="253">
                  <c:v>-349.01666666668484</c:v>
                </c:pt>
                <c:pt idx="254">
                  <c:v>-352.81666666668133</c:v>
                </c:pt>
                <c:pt idx="255">
                  <c:v>-355.72000000001572</c:v>
                </c:pt>
                <c:pt idx="256">
                  <c:v>-358.71666666668602</c:v>
                </c:pt>
                <c:pt idx="257">
                  <c:v>-362.78333333335769</c:v>
                </c:pt>
                <c:pt idx="258">
                  <c:v>-368.88333333336544</c:v>
                </c:pt>
                <c:pt idx="259">
                  <c:v>-377.01666666670263</c:v>
                </c:pt>
                <c:pt idx="260">
                  <c:v>-386.16666666670159</c:v>
                </c:pt>
                <c:pt idx="261">
                  <c:v>-395.3166666666969</c:v>
                </c:pt>
                <c:pt idx="262">
                  <c:v>-403.45000000002187</c:v>
                </c:pt>
                <c:pt idx="263">
                  <c:v>-409.55000000001399</c:v>
                </c:pt>
                <c:pt idx="264">
                  <c:v>-413.61666666667838</c:v>
                </c:pt>
                <c:pt idx="265">
                  <c:v>-416.8266666666787</c:v>
                </c:pt>
                <c:pt idx="266">
                  <c:v>-420.31666666668315</c:v>
                </c:pt>
                <c:pt idx="267">
                  <c:v>-425.18333333335971</c:v>
                </c:pt>
                <c:pt idx="268">
                  <c:v>-432.48333333336899</c:v>
                </c:pt>
                <c:pt idx="269">
                  <c:v>-442.21666666670615</c:v>
                </c:pt>
                <c:pt idx="270">
                  <c:v>-453.16666666670534</c:v>
                </c:pt>
                <c:pt idx="271">
                  <c:v>-464.11666666669981</c:v>
                </c:pt>
                <c:pt idx="272">
                  <c:v>-473.85000000002452</c:v>
                </c:pt>
                <c:pt idx="273">
                  <c:v>-481.15000000001521</c:v>
                </c:pt>
                <c:pt idx="274">
                  <c:v>-486.01666666667757</c:v>
                </c:pt>
                <c:pt idx="275">
                  <c:v>-489.67555555556817</c:v>
                </c:pt>
                <c:pt idx="276">
                  <c:v>-493.35000000001787</c:v>
                </c:pt>
                <c:pt idx="277">
                  <c:v>-498.26111111113926</c:v>
                </c:pt>
                <c:pt idx="278">
                  <c:v>-505.62777777781588</c:v>
                </c:pt>
                <c:pt idx="279">
                  <c:v>-515.45000000004347</c:v>
                </c:pt>
                <c:pt idx="280">
                  <c:v>-526.50000000004377</c:v>
                </c:pt>
                <c:pt idx="281">
                  <c:v>-537.55000000003906</c:v>
                </c:pt>
                <c:pt idx="282">
                  <c:v>-547.37222222225193</c:v>
                </c:pt>
                <c:pt idx="283">
                  <c:v>-554.73888888890929</c:v>
                </c:pt>
                <c:pt idx="284">
                  <c:v>-559.65000000001623</c:v>
                </c:pt>
                <c:pt idx="285">
                  <c:v>-563.2755555555724</c:v>
                </c:pt>
                <c:pt idx="286">
                  <c:v>-566.80000000002201</c:v>
                </c:pt>
                <c:pt idx="287">
                  <c:v>-571.42222222225291</c:v>
                </c:pt>
                <c:pt idx="288">
                  <c:v>-578.3555555555954</c:v>
                </c:pt>
                <c:pt idx="289">
                  <c:v>-587.60000000004368</c:v>
                </c:pt>
                <c:pt idx="290">
                  <c:v>-598.00000000004286</c:v>
                </c:pt>
                <c:pt idx="291">
                  <c:v>-608.40000000003772</c:v>
                </c:pt>
                <c:pt idx="292">
                  <c:v>-617.6444444444719</c:v>
                </c:pt>
                <c:pt idx="293">
                  <c:v>-624.57777777779484</c:v>
                </c:pt>
                <c:pt idx="294">
                  <c:v>-629.20000000001187</c:v>
                </c:pt>
                <c:pt idx="295">
                  <c:v>-632.34222222223161</c:v>
                </c:pt>
                <c:pt idx="296">
                  <c:v>-634.91666666667777</c:v>
                </c:pt>
                <c:pt idx="297">
                  <c:v>-637.91666666668436</c:v>
                </c:pt>
                <c:pt idx="298">
                  <c:v>-642.41666666669107</c:v>
                </c:pt>
                <c:pt idx="299">
                  <c:v>-648.41666666669528</c:v>
                </c:pt>
                <c:pt idx="300">
                  <c:v>-655.1666666666963</c:v>
                </c:pt>
                <c:pt idx="301">
                  <c:v>-661.91666666669425</c:v>
                </c:pt>
                <c:pt idx="302">
                  <c:v>-667.91666666668948</c:v>
                </c:pt>
                <c:pt idx="303">
                  <c:v>-672.41666666668323</c:v>
                </c:pt>
                <c:pt idx="304">
                  <c:v>-675.41666666667913</c:v>
                </c:pt>
                <c:pt idx="305">
                  <c:v>-677.38666666667768</c:v>
                </c:pt>
                <c:pt idx="306">
                  <c:v>-678.86666666667793</c:v>
                </c:pt>
                <c:pt idx="307">
                  <c:v>-680.46666666668182</c:v>
                </c:pt>
                <c:pt idx="308">
                  <c:v>-682.86666666668452</c:v>
                </c:pt>
                <c:pt idx="309">
                  <c:v>-686.06666666668468</c:v>
                </c:pt>
                <c:pt idx="310">
                  <c:v>-689.66666666668391</c:v>
                </c:pt>
                <c:pt idx="311">
                  <c:v>-693.26666666668086</c:v>
                </c:pt>
                <c:pt idx="312">
                  <c:v>-696.46666666667579</c:v>
                </c:pt>
                <c:pt idx="313">
                  <c:v>-698.86666666667145</c:v>
                </c:pt>
                <c:pt idx="314">
                  <c:v>-700.46666666666772</c:v>
                </c:pt>
                <c:pt idx="315">
                  <c:v>-701.23999999999762</c:v>
                </c:pt>
                <c:pt idx="316">
                  <c:v>-701.26666666666199</c:v>
                </c:pt>
                <c:pt idx="317">
                  <c:v>-700.73333333332732</c:v>
                </c:pt>
                <c:pt idx="318">
                  <c:v>-699.93333333332612</c:v>
                </c:pt>
                <c:pt idx="319">
                  <c:v>-698.86666666665894</c:v>
                </c:pt>
                <c:pt idx="320">
                  <c:v>-697.66666666665901</c:v>
                </c:pt>
                <c:pt idx="321">
                  <c:v>-696.46666666666022</c:v>
                </c:pt>
                <c:pt idx="322">
                  <c:v>-695.39999999999407</c:v>
                </c:pt>
                <c:pt idx="323">
                  <c:v>-694.59999999999548</c:v>
                </c:pt>
                <c:pt idx="324">
                  <c:v>-694.06666666666126</c:v>
                </c:pt>
                <c:pt idx="325">
                  <c:v>-693.35999999999149</c:v>
                </c:pt>
                <c:pt idx="326">
                  <c:v>-692.11666666665428</c:v>
                </c:pt>
                <c:pt idx="327">
                  <c:v>-690.04999999998302</c:v>
                </c:pt>
                <c:pt idx="328">
                  <c:v>-686.94999999997867</c:v>
                </c:pt>
                <c:pt idx="329">
                  <c:v>-682.81666666664387</c:v>
                </c:pt>
                <c:pt idx="330">
                  <c:v>-678.16666666664571</c:v>
                </c:pt>
                <c:pt idx="331">
                  <c:v>-673.51666666664948</c:v>
                </c:pt>
                <c:pt idx="332">
                  <c:v>-669.38333333332275</c:v>
                </c:pt>
                <c:pt idx="333">
                  <c:v>-666.28333333332841</c:v>
                </c:pt>
                <c:pt idx="334">
                  <c:v>-664.21666666666215</c:v>
                </c:pt>
                <c:pt idx="335">
                  <c:v>-662.23555555554731</c:v>
                </c:pt>
                <c:pt idx="336">
                  <c:v>-659.4999999999842</c:v>
                </c:pt>
                <c:pt idx="337">
                  <c:v>-655.27777777775088</c:v>
                </c:pt>
                <c:pt idx="338">
                  <c:v>-648.94444444440614</c:v>
                </c:pt>
                <c:pt idx="339">
                  <c:v>-640.49999999995509</c:v>
                </c:pt>
                <c:pt idx="340">
                  <c:v>-630.99999999995362</c:v>
                </c:pt>
                <c:pt idx="341">
                  <c:v>-621.49999999995748</c:v>
                </c:pt>
                <c:pt idx="342">
                  <c:v>-613.05555555552212</c:v>
                </c:pt>
                <c:pt idx="343">
                  <c:v>-606.72222222219796</c:v>
                </c:pt>
                <c:pt idx="344">
                  <c:v>-602.49999999997817</c:v>
                </c:pt>
                <c:pt idx="345">
                  <c:v>-598.9999999999751</c:v>
                </c:pt>
                <c:pt idx="346">
                  <c:v>-594.91666666663309</c:v>
                </c:pt>
                <c:pt idx="347">
                  <c:v>-589.02777777773042</c:v>
                </c:pt>
                <c:pt idx="348">
                  <c:v>-580.19444444438307</c:v>
                </c:pt>
                <c:pt idx="349">
                  <c:v>-568.41666666659921</c:v>
                </c:pt>
                <c:pt idx="350">
                  <c:v>-555.16666666660069</c:v>
                </c:pt>
                <c:pt idx="351">
                  <c:v>-541.91666666660933</c:v>
                </c:pt>
                <c:pt idx="352">
                  <c:v>-530.13888888884719</c:v>
                </c:pt>
                <c:pt idx="353">
                  <c:v>-521.30555555552894</c:v>
                </c:pt>
                <c:pt idx="354">
                  <c:v>-515.41666666664639</c:v>
                </c:pt>
                <c:pt idx="355">
                  <c:v>-510.75555555553314</c:v>
                </c:pt>
                <c:pt idx="356">
                  <c:v>-505.6666666666336</c:v>
                </c:pt>
                <c:pt idx="357">
                  <c:v>-498.55555555550393</c:v>
                </c:pt>
                <c:pt idx="358">
                  <c:v>-487.88888888881866</c:v>
                </c:pt>
                <c:pt idx="359">
                  <c:v>-473.66666666658665</c:v>
                </c:pt>
                <c:pt idx="360">
                  <c:v>-457.66666666658574</c:v>
                </c:pt>
                <c:pt idx="361">
                  <c:v>-441.66666666659415</c:v>
                </c:pt>
                <c:pt idx="362">
                  <c:v>-427.44444444438932</c:v>
                </c:pt>
                <c:pt idx="363">
                  <c:v>-416.77777777774048</c:v>
                </c:pt>
                <c:pt idx="364">
                  <c:v>-409.66666666663741</c:v>
                </c:pt>
                <c:pt idx="365">
                  <c:v>-404.26222222219195</c:v>
                </c:pt>
                <c:pt idx="366">
                  <c:v>-398.73333333329288</c:v>
                </c:pt>
                <c:pt idx="367">
                  <c:v>-391.26666666660668</c:v>
                </c:pt>
                <c:pt idx="368">
                  <c:v>-380.06666666658708</c:v>
                </c:pt>
                <c:pt idx="369">
                  <c:v>-365.13333333324391</c:v>
                </c:pt>
                <c:pt idx="370">
                  <c:v>-348.33333333324384</c:v>
                </c:pt>
                <c:pt idx="371">
                  <c:v>-331.53333333325372</c:v>
                </c:pt>
                <c:pt idx="372">
                  <c:v>-316.59999999994017</c:v>
                </c:pt>
                <c:pt idx="373">
                  <c:v>-305.39999999995945</c:v>
                </c:pt>
                <c:pt idx="374">
                  <c:v>-297.93333333330384</c:v>
                </c:pt>
                <c:pt idx="375">
                  <c:v>-292.54222222219403</c:v>
                </c:pt>
                <c:pt idx="376">
                  <c:v>-287.51666666663061</c:v>
                </c:pt>
                <c:pt idx="377">
                  <c:v>-281.09444444439134</c:v>
                </c:pt>
                <c:pt idx="378">
                  <c:v>-271.46111111104113</c:v>
                </c:pt>
                <c:pt idx="379">
                  <c:v>-258.61666666658846</c:v>
                </c:pt>
                <c:pt idx="380">
                  <c:v>-244.1666666665889</c:v>
                </c:pt>
                <c:pt idx="381">
                  <c:v>-229.71666666659806</c:v>
                </c:pt>
                <c:pt idx="382">
                  <c:v>-216.87222222217144</c:v>
                </c:pt>
                <c:pt idx="383">
                  <c:v>-207.23888888885571</c:v>
                </c:pt>
                <c:pt idx="384">
                  <c:v>-200.8166666666433</c:v>
                </c:pt>
                <c:pt idx="385">
                  <c:v>-196.23555555553392</c:v>
                </c:pt>
                <c:pt idx="386">
                  <c:v>-192.06666666663855</c:v>
                </c:pt>
                <c:pt idx="387">
                  <c:v>-186.82222222218022</c:v>
                </c:pt>
                <c:pt idx="388">
                  <c:v>-178.9555555554997</c:v>
                </c:pt>
                <c:pt idx="389">
                  <c:v>-168.46666666660383</c:v>
                </c:pt>
                <c:pt idx="390">
                  <c:v>-156.66666666660379</c:v>
                </c:pt>
                <c:pt idx="391">
                  <c:v>-144.86666666661074</c:v>
                </c:pt>
                <c:pt idx="392">
                  <c:v>-134.37777777773582</c:v>
                </c:pt>
                <c:pt idx="393">
                  <c:v>-126.51111111108308</c:v>
                </c:pt>
                <c:pt idx="394">
                  <c:v>-121.26666666664765</c:v>
                </c:pt>
                <c:pt idx="395">
                  <c:v>-117.72444444442937</c:v>
                </c:pt>
                <c:pt idx="396">
                  <c:v>-114.86666666665009</c:v>
                </c:pt>
                <c:pt idx="397">
                  <c:v>-111.57777777775311</c:v>
                </c:pt>
                <c:pt idx="398">
                  <c:v>-106.64444444441165</c:v>
                </c:pt>
                <c:pt idx="399">
                  <c:v>-100.06666666662989</c:v>
                </c:pt>
                <c:pt idx="400">
                  <c:v>-92.666666666629752</c:v>
                </c:pt>
                <c:pt idx="401">
                  <c:v>-85.266666666633981</c:v>
                </c:pt>
                <c:pt idx="402">
                  <c:v>-78.688888888864426</c:v>
                </c:pt>
                <c:pt idx="403">
                  <c:v>-73.755555555539161</c:v>
                </c:pt>
                <c:pt idx="404">
                  <c:v>-70.46666666665584</c:v>
                </c:pt>
                <c:pt idx="405">
                  <c:v>-68.244444444436169</c:v>
                </c:pt>
                <c:pt idx="406">
                  <c:v>-66.449999999990865</c:v>
                </c:pt>
                <c:pt idx="407">
                  <c:v>-64.383333333319584</c:v>
                </c:pt>
                <c:pt idx="408">
                  <c:v>-61.28333333331522</c:v>
                </c:pt>
                <c:pt idx="409">
                  <c:v>-57.149999999979542</c:v>
                </c:pt>
                <c:pt idx="410">
                  <c:v>-52.499999999979565</c:v>
                </c:pt>
                <c:pt idx="411">
                  <c:v>-47.849999999981826</c:v>
                </c:pt>
                <c:pt idx="412">
                  <c:v>-43.716666666652962</c:v>
                </c:pt>
                <c:pt idx="413">
                  <c:v>-40.616666666657544</c:v>
                </c:pt>
                <c:pt idx="414">
                  <c:v>-38.549999999994228</c:v>
                </c:pt>
                <c:pt idx="415">
                  <c:v>-37.204444444440462</c:v>
                </c:pt>
                <c:pt idx="416">
                  <c:v>-36.216666666662576</c:v>
                </c:pt>
                <c:pt idx="417">
                  <c:v>-35.172222222216142</c:v>
                </c:pt>
                <c:pt idx="418">
                  <c:v>-33.605555555547561</c:v>
                </c:pt>
                <c:pt idx="419">
                  <c:v>-31.516666666657606</c:v>
                </c:pt>
                <c:pt idx="420">
                  <c:v>-29.166666666657566</c:v>
                </c:pt>
                <c:pt idx="421">
                  <c:v>-26.816666666658541</c:v>
                </c:pt>
                <c:pt idx="422">
                  <c:v>-24.727777777771511</c:v>
                </c:pt>
                <c:pt idx="423">
                  <c:v>-23.16111111110682</c:v>
                </c:pt>
                <c:pt idx="424">
                  <c:v>-22.116666666663686</c:v>
                </c:pt>
                <c:pt idx="425">
                  <c:v>-21.404444444441996</c:v>
                </c:pt>
                <c:pt idx="426">
                  <c:v>-20.816666666664034</c:v>
                </c:pt>
                <c:pt idx="427">
                  <c:v>-20.127777777773989</c:v>
                </c:pt>
                <c:pt idx="428">
                  <c:v>-19.094444444439567</c:v>
                </c:pt>
                <c:pt idx="429">
                  <c:v>-17.7166666666613</c:v>
                </c:pt>
                <c:pt idx="430">
                  <c:v>-16.16666666666141</c:v>
                </c:pt>
                <c:pt idx="431">
                  <c:v>-14.616666666661931</c:v>
                </c:pt>
                <c:pt idx="432">
                  <c:v>-13.238888888885405</c:v>
                </c:pt>
                <c:pt idx="433">
                  <c:v>-12.205555555553294</c:v>
                </c:pt>
                <c:pt idx="434">
                  <c:v>-11.516666666665298</c:v>
                </c:pt>
                <c:pt idx="435">
                  <c:v>-11.057777777776952</c:v>
                </c:pt>
                <c:pt idx="436">
                  <c:v>-10.699999999999026</c:v>
                </c:pt>
                <c:pt idx="437">
                  <c:v>-10.299999999998493</c:v>
                </c:pt>
                <c:pt idx="438">
                  <c:v>-9.699999999997944</c:v>
                </c:pt>
                <c:pt idx="439">
                  <c:v>-8.8999999999976414</c:v>
                </c:pt>
                <c:pt idx="440">
                  <c:v>-7.9999999999974225</c:v>
                </c:pt>
                <c:pt idx="441">
                  <c:v>-6.7666666666643076</c:v>
                </c:pt>
                <c:pt idx="442">
                  <c:v>-5.3833333333314712</c:v>
                </c:pt>
                <c:pt idx="443">
                  <c:v>-4.0333333333320533</c:v>
                </c:pt>
                <c:pt idx="444">
                  <c:v>-2.7999999999992418</c:v>
                </c:pt>
                <c:pt idx="445">
                  <c:v>-2.7999999999992418</c:v>
                </c:pt>
                <c:pt idx="446">
                  <c:v>-2.7999999999992418</c:v>
                </c:pt>
                <c:pt idx="447">
                  <c:v>-2.7999999999992418</c:v>
                </c:pt>
                <c:pt idx="448">
                  <c:v>-2.7999999999992418</c:v>
                </c:pt>
                <c:pt idx="449">
                  <c:v>-2.7999999999992418</c:v>
                </c:pt>
                <c:pt idx="450">
                  <c:v>-2.7999999999992418</c:v>
                </c:pt>
                <c:pt idx="451">
                  <c:v>-2.7999999999992418</c:v>
                </c:pt>
                <c:pt idx="452">
                  <c:v>-2.7999999999992418</c:v>
                </c:pt>
                <c:pt idx="453">
                  <c:v>-2.7999999999992418</c:v>
                </c:pt>
                <c:pt idx="454">
                  <c:v>-2.7999999999992418</c:v>
                </c:pt>
                <c:pt idx="455">
                  <c:v>-2.7999999999992418</c:v>
                </c:pt>
                <c:pt idx="456">
                  <c:v>-2.7999999999992418</c:v>
                </c:pt>
                <c:pt idx="457">
                  <c:v>-2.7999999999992418</c:v>
                </c:pt>
                <c:pt idx="458">
                  <c:v>-2.7999999999992418</c:v>
                </c:pt>
                <c:pt idx="459">
                  <c:v>-2.7999999999992418</c:v>
                </c:pt>
                <c:pt idx="460">
                  <c:v>-2.7999999999992418</c:v>
                </c:pt>
                <c:pt idx="461">
                  <c:v>-2.7999999999992418</c:v>
                </c:pt>
                <c:pt idx="462">
                  <c:v>-2.7999999999992418</c:v>
                </c:pt>
                <c:pt idx="463">
                  <c:v>-2.7999999999992418</c:v>
                </c:pt>
                <c:pt idx="464">
                  <c:v>-2.7999999999992418</c:v>
                </c:pt>
                <c:pt idx="465">
                  <c:v>-2.7999999999992418</c:v>
                </c:pt>
                <c:pt idx="466">
                  <c:v>-2.7999999999992418</c:v>
                </c:pt>
                <c:pt idx="467">
                  <c:v>-2.7999999999992418</c:v>
                </c:pt>
                <c:pt idx="468">
                  <c:v>-2.7999999999992418</c:v>
                </c:pt>
                <c:pt idx="469">
                  <c:v>-2.7999999999992418</c:v>
                </c:pt>
                <c:pt idx="470">
                  <c:v>-2.7999999999992418</c:v>
                </c:pt>
                <c:pt idx="471">
                  <c:v>-2.7999999999992418</c:v>
                </c:pt>
                <c:pt idx="472">
                  <c:v>-2.7999999999992418</c:v>
                </c:pt>
                <c:pt idx="473">
                  <c:v>-2.7999999999992418</c:v>
                </c:pt>
                <c:pt idx="474">
                  <c:v>-2.7999999999992418</c:v>
                </c:pt>
                <c:pt idx="475">
                  <c:v>-2.7999999999992418</c:v>
                </c:pt>
                <c:pt idx="476">
                  <c:v>-2.7999999999992418</c:v>
                </c:pt>
                <c:pt idx="477">
                  <c:v>-2.7999999999992418</c:v>
                </c:pt>
                <c:pt idx="478">
                  <c:v>-2.7999999999992418</c:v>
                </c:pt>
                <c:pt idx="479">
                  <c:v>-2.7999999999992418</c:v>
                </c:pt>
                <c:pt idx="480">
                  <c:v>-2.7999999999992418</c:v>
                </c:pt>
                <c:pt idx="481">
                  <c:v>-2.7999999999992418</c:v>
                </c:pt>
                <c:pt idx="482">
                  <c:v>-2.7999999999992418</c:v>
                </c:pt>
                <c:pt idx="483">
                  <c:v>-2.7999999999992418</c:v>
                </c:pt>
                <c:pt idx="484">
                  <c:v>-2.7999999999992418</c:v>
                </c:pt>
                <c:pt idx="485">
                  <c:v>-2.7999999999992418</c:v>
                </c:pt>
                <c:pt idx="486">
                  <c:v>-2.7999999999992418</c:v>
                </c:pt>
                <c:pt idx="487">
                  <c:v>-2.7999999999992418</c:v>
                </c:pt>
                <c:pt idx="488">
                  <c:v>-2.7999999999992418</c:v>
                </c:pt>
                <c:pt idx="489">
                  <c:v>-2.7999999999992418</c:v>
                </c:pt>
                <c:pt idx="490">
                  <c:v>-2.7999999999992418</c:v>
                </c:pt>
                <c:pt idx="491">
                  <c:v>-2.7999999999992418</c:v>
                </c:pt>
                <c:pt idx="492">
                  <c:v>-2.7999999999992418</c:v>
                </c:pt>
                <c:pt idx="493">
                  <c:v>-2.7999999999992418</c:v>
                </c:pt>
                <c:pt idx="494">
                  <c:v>-2.7999999999992418</c:v>
                </c:pt>
                <c:pt idx="495">
                  <c:v>-2.7999999999992418</c:v>
                </c:pt>
                <c:pt idx="496">
                  <c:v>-2.7999999999992418</c:v>
                </c:pt>
                <c:pt idx="497">
                  <c:v>-2.7999999999992418</c:v>
                </c:pt>
                <c:pt idx="498">
                  <c:v>-2.7999999999992418</c:v>
                </c:pt>
                <c:pt idx="499">
                  <c:v>-2.7999999999992418</c:v>
                </c:pt>
                <c:pt idx="500">
                  <c:v>-2.7999999999992418</c:v>
                </c:pt>
                <c:pt idx="501">
                  <c:v>-2.7999999999992418</c:v>
                </c:pt>
                <c:pt idx="502">
                  <c:v>-2.7999999999992418</c:v>
                </c:pt>
                <c:pt idx="503">
                  <c:v>-2.7999999999992418</c:v>
                </c:pt>
                <c:pt idx="504">
                  <c:v>-2.7999999999992418</c:v>
                </c:pt>
                <c:pt idx="505">
                  <c:v>-2.7999999999992418</c:v>
                </c:pt>
                <c:pt idx="506">
                  <c:v>-2.7999999999992418</c:v>
                </c:pt>
                <c:pt idx="507">
                  <c:v>-2.7999999999992418</c:v>
                </c:pt>
                <c:pt idx="508">
                  <c:v>-2.7999999999992418</c:v>
                </c:pt>
                <c:pt idx="509">
                  <c:v>-2.7999999999992418</c:v>
                </c:pt>
                <c:pt idx="510">
                  <c:v>-2.7999999999992418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A0-4BA3-83CB-9592C8999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1885263"/>
        <c:axId val="1"/>
      </c:scatterChart>
      <c:valAx>
        <c:axId val="11018852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Temperature (</a:t>
                </a:r>
                <a:r>
                  <a:rPr lang="en-US">
                    <a:sym typeface="Symbol" panose="05050102010706020507" pitchFamily="18" charset="2"/>
                  </a:rPr>
                  <a:t>C)</a:t>
                </a:r>
                <a:endParaRPr lang="en-US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dOD/dT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1885263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573806881243062"/>
          <c:y val="4.8939641109298535E-2"/>
          <c:w val="0.11653718091009989"/>
          <c:h val="7.014681892332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Baseline</a:t>
            </a:r>
            <a:r>
              <a:rPr lang="en-US" baseline="0"/>
              <a:t> Normalization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654827968923418"/>
          <c:y val="3.4257748776508973E-2"/>
          <c:w val="0.86681465038845729"/>
          <c:h val="0.89885807504078308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Curves!$AK$2:$AK$512</c:f>
              <c:numCache>
                <c:formatCode>0.0</c:formatCode>
                <c:ptCount val="511"/>
                <c:pt idx="0">
                  <c:v>25</c:v>
                </c:pt>
                <c:pt idx="1">
                  <c:v>25.1</c:v>
                </c:pt>
                <c:pt idx="2">
                  <c:v>25.200000000000003</c:v>
                </c:pt>
                <c:pt idx="3">
                  <c:v>25.300000000000004</c:v>
                </c:pt>
                <c:pt idx="4">
                  <c:v>25.400000000000006</c:v>
                </c:pt>
                <c:pt idx="5">
                  <c:v>25.500000000000007</c:v>
                </c:pt>
                <c:pt idx="6">
                  <c:v>25.600000000000009</c:v>
                </c:pt>
                <c:pt idx="7">
                  <c:v>25.70000000000001</c:v>
                </c:pt>
                <c:pt idx="8">
                  <c:v>25.800000000000011</c:v>
                </c:pt>
                <c:pt idx="9">
                  <c:v>25.900000000000013</c:v>
                </c:pt>
                <c:pt idx="10">
                  <c:v>26.000000000000014</c:v>
                </c:pt>
                <c:pt idx="11">
                  <c:v>26.100000000000016</c:v>
                </c:pt>
                <c:pt idx="12">
                  <c:v>26.200000000000017</c:v>
                </c:pt>
                <c:pt idx="13">
                  <c:v>26.300000000000018</c:v>
                </c:pt>
                <c:pt idx="14">
                  <c:v>26.40000000000002</c:v>
                </c:pt>
                <c:pt idx="15">
                  <c:v>26.500000000000021</c:v>
                </c:pt>
                <c:pt idx="16">
                  <c:v>26.600000000000023</c:v>
                </c:pt>
                <c:pt idx="17">
                  <c:v>26.700000000000024</c:v>
                </c:pt>
                <c:pt idx="18">
                  <c:v>26.800000000000026</c:v>
                </c:pt>
                <c:pt idx="19">
                  <c:v>26.900000000000027</c:v>
                </c:pt>
                <c:pt idx="20">
                  <c:v>27.000000000000028</c:v>
                </c:pt>
                <c:pt idx="21">
                  <c:v>27.10000000000003</c:v>
                </c:pt>
                <c:pt idx="22">
                  <c:v>27.200000000000031</c:v>
                </c:pt>
                <c:pt idx="23">
                  <c:v>27.300000000000033</c:v>
                </c:pt>
                <c:pt idx="24">
                  <c:v>27.400000000000034</c:v>
                </c:pt>
                <c:pt idx="25">
                  <c:v>27.500000000000036</c:v>
                </c:pt>
                <c:pt idx="26">
                  <c:v>27.600000000000037</c:v>
                </c:pt>
                <c:pt idx="27">
                  <c:v>27.700000000000038</c:v>
                </c:pt>
                <c:pt idx="28">
                  <c:v>27.80000000000004</c:v>
                </c:pt>
                <c:pt idx="29">
                  <c:v>27.900000000000041</c:v>
                </c:pt>
                <c:pt idx="30">
                  <c:v>28.000000000000043</c:v>
                </c:pt>
                <c:pt idx="31">
                  <c:v>28.100000000000044</c:v>
                </c:pt>
                <c:pt idx="32">
                  <c:v>28.200000000000045</c:v>
                </c:pt>
                <c:pt idx="33">
                  <c:v>28.300000000000047</c:v>
                </c:pt>
                <c:pt idx="34">
                  <c:v>28.400000000000048</c:v>
                </c:pt>
                <c:pt idx="35">
                  <c:v>28.50000000000005</c:v>
                </c:pt>
                <c:pt idx="36">
                  <c:v>28.600000000000051</c:v>
                </c:pt>
                <c:pt idx="37">
                  <c:v>28.700000000000053</c:v>
                </c:pt>
                <c:pt idx="38">
                  <c:v>28.800000000000054</c:v>
                </c:pt>
                <c:pt idx="39">
                  <c:v>28.900000000000055</c:v>
                </c:pt>
                <c:pt idx="40">
                  <c:v>29.000000000000057</c:v>
                </c:pt>
                <c:pt idx="41">
                  <c:v>29.100000000000058</c:v>
                </c:pt>
                <c:pt idx="42">
                  <c:v>29.20000000000006</c:v>
                </c:pt>
                <c:pt idx="43">
                  <c:v>29.300000000000061</c:v>
                </c:pt>
                <c:pt idx="44">
                  <c:v>29.400000000000063</c:v>
                </c:pt>
                <c:pt idx="45">
                  <c:v>29.500000000000064</c:v>
                </c:pt>
                <c:pt idx="46">
                  <c:v>29.600000000000065</c:v>
                </c:pt>
                <c:pt idx="47">
                  <c:v>29.700000000000067</c:v>
                </c:pt>
                <c:pt idx="48">
                  <c:v>29.800000000000068</c:v>
                </c:pt>
                <c:pt idx="49">
                  <c:v>29.90000000000007</c:v>
                </c:pt>
                <c:pt idx="50">
                  <c:v>30.000000000000071</c:v>
                </c:pt>
                <c:pt idx="51">
                  <c:v>30.100000000000072</c:v>
                </c:pt>
                <c:pt idx="52">
                  <c:v>30.200000000000074</c:v>
                </c:pt>
                <c:pt idx="53">
                  <c:v>30.300000000000075</c:v>
                </c:pt>
                <c:pt idx="54">
                  <c:v>30.400000000000077</c:v>
                </c:pt>
                <c:pt idx="55">
                  <c:v>30.500000000000078</c:v>
                </c:pt>
                <c:pt idx="56">
                  <c:v>30.60000000000008</c:v>
                </c:pt>
                <c:pt idx="57">
                  <c:v>30.700000000000081</c:v>
                </c:pt>
                <c:pt idx="58">
                  <c:v>30.800000000000082</c:v>
                </c:pt>
                <c:pt idx="59">
                  <c:v>30.900000000000084</c:v>
                </c:pt>
                <c:pt idx="60">
                  <c:v>31.000000000000085</c:v>
                </c:pt>
                <c:pt idx="61">
                  <c:v>31.100000000000087</c:v>
                </c:pt>
                <c:pt idx="62">
                  <c:v>31.200000000000088</c:v>
                </c:pt>
                <c:pt idx="63">
                  <c:v>31.30000000000009</c:v>
                </c:pt>
                <c:pt idx="64">
                  <c:v>31.400000000000091</c:v>
                </c:pt>
                <c:pt idx="65">
                  <c:v>31.500000000000092</c:v>
                </c:pt>
                <c:pt idx="66">
                  <c:v>31.600000000000094</c:v>
                </c:pt>
                <c:pt idx="67">
                  <c:v>31.700000000000095</c:v>
                </c:pt>
                <c:pt idx="68">
                  <c:v>31.800000000000097</c:v>
                </c:pt>
                <c:pt idx="69">
                  <c:v>31.900000000000098</c:v>
                </c:pt>
                <c:pt idx="70">
                  <c:v>32.000000000000099</c:v>
                </c:pt>
                <c:pt idx="71">
                  <c:v>32.100000000000101</c:v>
                </c:pt>
                <c:pt idx="72">
                  <c:v>32.200000000000102</c:v>
                </c:pt>
                <c:pt idx="73">
                  <c:v>32.300000000000104</c:v>
                </c:pt>
                <c:pt idx="74">
                  <c:v>32.400000000000105</c:v>
                </c:pt>
                <c:pt idx="75">
                  <c:v>32.500000000000107</c:v>
                </c:pt>
                <c:pt idx="76">
                  <c:v>32.600000000000108</c:v>
                </c:pt>
                <c:pt idx="77">
                  <c:v>32.700000000000109</c:v>
                </c:pt>
                <c:pt idx="78">
                  <c:v>32.800000000000111</c:v>
                </c:pt>
                <c:pt idx="79">
                  <c:v>32.900000000000112</c:v>
                </c:pt>
                <c:pt idx="80">
                  <c:v>33.000000000000114</c:v>
                </c:pt>
                <c:pt idx="81">
                  <c:v>33.100000000000115</c:v>
                </c:pt>
                <c:pt idx="82">
                  <c:v>33.200000000000117</c:v>
                </c:pt>
                <c:pt idx="83">
                  <c:v>33.300000000000118</c:v>
                </c:pt>
                <c:pt idx="84">
                  <c:v>33.400000000000119</c:v>
                </c:pt>
                <c:pt idx="85">
                  <c:v>33.500000000000121</c:v>
                </c:pt>
                <c:pt idx="86">
                  <c:v>33.600000000000122</c:v>
                </c:pt>
                <c:pt idx="87">
                  <c:v>33.700000000000124</c:v>
                </c:pt>
                <c:pt idx="88">
                  <c:v>33.800000000000125</c:v>
                </c:pt>
                <c:pt idx="89">
                  <c:v>33.900000000000126</c:v>
                </c:pt>
                <c:pt idx="90">
                  <c:v>34.000000000000128</c:v>
                </c:pt>
                <c:pt idx="91">
                  <c:v>34.100000000000129</c:v>
                </c:pt>
                <c:pt idx="92">
                  <c:v>34.200000000000131</c:v>
                </c:pt>
                <c:pt idx="93">
                  <c:v>34.300000000000132</c:v>
                </c:pt>
                <c:pt idx="94">
                  <c:v>34.400000000000134</c:v>
                </c:pt>
                <c:pt idx="95">
                  <c:v>34.500000000000135</c:v>
                </c:pt>
                <c:pt idx="96">
                  <c:v>34.600000000000136</c:v>
                </c:pt>
                <c:pt idx="97">
                  <c:v>34.700000000000138</c:v>
                </c:pt>
                <c:pt idx="98">
                  <c:v>34.800000000000139</c:v>
                </c:pt>
                <c:pt idx="99">
                  <c:v>34.900000000000141</c:v>
                </c:pt>
                <c:pt idx="100">
                  <c:v>35.000000000000142</c:v>
                </c:pt>
                <c:pt idx="101">
                  <c:v>35.100000000000144</c:v>
                </c:pt>
                <c:pt idx="102">
                  <c:v>35.200000000000145</c:v>
                </c:pt>
                <c:pt idx="103">
                  <c:v>35.300000000000146</c:v>
                </c:pt>
                <c:pt idx="104">
                  <c:v>35.400000000000148</c:v>
                </c:pt>
                <c:pt idx="105">
                  <c:v>35.500000000000149</c:v>
                </c:pt>
                <c:pt idx="106">
                  <c:v>35.600000000000151</c:v>
                </c:pt>
                <c:pt idx="107">
                  <c:v>35.700000000000152</c:v>
                </c:pt>
                <c:pt idx="108">
                  <c:v>35.800000000000153</c:v>
                </c:pt>
                <c:pt idx="109">
                  <c:v>35.900000000000155</c:v>
                </c:pt>
                <c:pt idx="110">
                  <c:v>36.000000000000156</c:v>
                </c:pt>
                <c:pt idx="111">
                  <c:v>36.100000000000158</c:v>
                </c:pt>
                <c:pt idx="112">
                  <c:v>36.200000000000159</c:v>
                </c:pt>
                <c:pt idx="113">
                  <c:v>36.300000000000161</c:v>
                </c:pt>
                <c:pt idx="114">
                  <c:v>36.400000000000162</c:v>
                </c:pt>
                <c:pt idx="115">
                  <c:v>36.500000000000163</c:v>
                </c:pt>
                <c:pt idx="116">
                  <c:v>36.600000000000165</c:v>
                </c:pt>
                <c:pt idx="117">
                  <c:v>36.700000000000166</c:v>
                </c:pt>
                <c:pt idx="118">
                  <c:v>36.800000000000168</c:v>
                </c:pt>
                <c:pt idx="119">
                  <c:v>36.900000000000169</c:v>
                </c:pt>
                <c:pt idx="120">
                  <c:v>37.000000000000171</c:v>
                </c:pt>
                <c:pt idx="121">
                  <c:v>37.100000000000172</c:v>
                </c:pt>
                <c:pt idx="122">
                  <c:v>37.200000000000173</c:v>
                </c:pt>
                <c:pt idx="123">
                  <c:v>37.300000000000175</c:v>
                </c:pt>
                <c:pt idx="124">
                  <c:v>37.400000000000176</c:v>
                </c:pt>
                <c:pt idx="125">
                  <c:v>37.500000000000178</c:v>
                </c:pt>
                <c:pt idx="126">
                  <c:v>37.600000000000179</c:v>
                </c:pt>
                <c:pt idx="127">
                  <c:v>37.70000000000018</c:v>
                </c:pt>
                <c:pt idx="128">
                  <c:v>37.800000000000182</c:v>
                </c:pt>
                <c:pt idx="129">
                  <c:v>37.900000000000183</c:v>
                </c:pt>
                <c:pt idx="130">
                  <c:v>38.000000000000185</c:v>
                </c:pt>
                <c:pt idx="131">
                  <c:v>38.100000000000186</c:v>
                </c:pt>
                <c:pt idx="132">
                  <c:v>38.200000000000188</c:v>
                </c:pt>
                <c:pt idx="133">
                  <c:v>38.300000000000189</c:v>
                </c:pt>
                <c:pt idx="134">
                  <c:v>38.40000000000019</c:v>
                </c:pt>
                <c:pt idx="135">
                  <c:v>38.500000000000192</c:v>
                </c:pt>
                <c:pt idx="136">
                  <c:v>38.600000000000193</c:v>
                </c:pt>
                <c:pt idx="137">
                  <c:v>38.700000000000195</c:v>
                </c:pt>
                <c:pt idx="138">
                  <c:v>38.800000000000196</c:v>
                </c:pt>
                <c:pt idx="139">
                  <c:v>38.900000000000198</c:v>
                </c:pt>
                <c:pt idx="140">
                  <c:v>39.000000000000199</c:v>
                </c:pt>
                <c:pt idx="141">
                  <c:v>39.1000000000002</c:v>
                </c:pt>
                <c:pt idx="142">
                  <c:v>39.200000000000202</c:v>
                </c:pt>
                <c:pt idx="143">
                  <c:v>39.300000000000203</c:v>
                </c:pt>
                <c:pt idx="144">
                  <c:v>39.400000000000205</c:v>
                </c:pt>
                <c:pt idx="145">
                  <c:v>39.500000000000206</c:v>
                </c:pt>
                <c:pt idx="146">
                  <c:v>39.600000000000207</c:v>
                </c:pt>
                <c:pt idx="147">
                  <c:v>39.700000000000209</c:v>
                </c:pt>
                <c:pt idx="148">
                  <c:v>39.80000000000021</c:v>
                </c:pt>
                <c:pt idx="149">
                  <c:v>39.900000000000212</c:v>
                </c:pt>
                <c:pt idx="150">
                  <c:v>40.000000000000213</c:v>
                </c:pt>
                <c:pt idx="151">
                  <c:v>40.100000000000215</c:v>
                </c:pt>
                <c:pt idx="152">
                  <c:v>40.200000000000216</c:v>
                </c:pt>
                <c:pt idx="153">
                  <c:v>40.300000000000217</c:v>
                </c:pt>
                <c:pt idx="154">
                  <c:v>40.400000000000219</c:v>
                </c:pt>
                <c:pt idx="155">
                  <c:v>40.50000000000022</c:v>
                </c:pt>
                <c:pt idx="156">
                  <c:v>40.600000000000222</c:v>
                </c:pt>
                <c:pt idx="157">
                  <c:v>40.700000000000223</c:v>
                </c:pt>
                <c:pt idx="158">
                  <c:v>40.800000000000225</c:v>
                </c:pt>
                <c:pt idx="159">
                  <c:v>40.900000000000226</c:v>
                </c:pt>
                <c:pt idx="160">
                  <c:v>41.000000000000227</c:v>
                </c:pt>
                <c:pt idx="161">
                  <c:v>41.100000000000229</c:v>
                </c:pt>
                <c:pt idx="162">
                  <c:v>41.20000000000023</c:v>
                </c:pt>
                <c:pt idx="163">
                  <c:v>41.300000000000232</c:v>
                </c:pt>
                <c:pt idx="164">
                  <c:v>41.400000000000233</c:v>
                </c:pt>
                <c:pt idx="165">
                  <c:v>41.500000000000234</c:v>
                </c:pt>
                <c:pt idx="166">
                  <c:v>41.600000000000236</c:v>
                </c:pt>
                <c:pt idx="167">
                  <c:v>41.700000000000237</c:v>
                </c:pt>
                <c:pt idx="168">
                  <c:v>41.800000000000239</c:v>
                </c:pt>
                <c:pt idx="169">
                  <c:v>41.90000000000024</c:v>
                </c:pt>
                <c:pt idx="170">
                  <c:v>42.000000000000242</c:v>
                </c:pt>
                <c:pt idx="171">
                  <c:v>42.100000000000243</c:v>
                </c:pt>
                <c:pt idx="172">
                  <c:v>42.200000000000244</c:v>
                </c:pt>
                <c:pt idx="173">
                  <c:v>42.300000000000246</c:v>
                </c:pt>
                <c:pt idx="174">
                  <c:v>42.400000000000247</c:v>
                </c:pt>
                <c:pt idx="175">
                  <c:v>42.500000000000249</c:v>
                </c:pt>
                <c:pt idx="176">
                  <c:v>42.60000000000025</c:v>
                </c:pt>
                <c:pt idx="177">
                  <c:v>42.700000000000252</c:v>
                </c:pt>
                <c:pt idx="178">
                  <c:v>42.800000000000253</c:v>
                </c:pt>
                <c:pt idx="179">
                  <c:v>42.900000000000254</c:v>
                </c:pt>
                <c:pt idx="180">
                  <c:v>43.000000000000256</c:v>
                </c:pt>
                <c:pt idx="181">
                  <c:v>43.100000000000257</c:v>
                </c:pt>
                <c:pt idx="182">
                  <c:v>43.200000000000259</c:v>
                </c:pt>
                <c:pt idx="183">
                  <c:v>43.30000000000026</c:v>
                </c:pt>
                <c:pt idx="184">
                  <c:v>43.400000000000261</c:v>
                </c:pt>
                <c:pt idx="185">
                  <c:v>43.500000000000263</c:v>
                </c:pt>
                <c:pt idx="186">
                  <c:v>43.600000000000264</c:v>
                </c:pt>
                <c:pt idx="187">
                  <c:v>43.700000000000266</c:v>
                </c:pt>
                <c:pt idx="188">
                  <c:v>43.800000000000267</c:v>
                </c:pt>
                <c:pt idx="189">
                  <c:v>43.900000000000269</c:v>
                </c:pt>
                <c:pt idx="190">
                  <c:v>44.00000000000027</c:v>
                </c:pt>
                <c:pt idx="191">
                  <c:v>44.100000000000271</c:v>
                </c:pt>
                <c:pt idx="192">
                  <c:v>44.200000000000273</c:v>
                </c:pt>
                <c:pt idx="193">
                  <c:v>44.300000000000274</c:v>
                </c:pt>
                <c:pt idx="194">
                  <c:v>44.400000000000276</c:v>
                </c:pt>
                <c:pt idx="195">
                  <c:v>44.500000000000277</c:v>
                </c:pt>
                <c:pt idx="196">
                  <c:v>44.600000000000279</c:v>
                </c:pt>
                <c:pt idx="197">
                  <c:v>44.70000000000028</c:v>
                </c:pt>
                <c:pt idx="198">
                  <c:v>44.800000000000281</c:v>
                </c:pt>
                <c:pt idx="199">
                  <c:v>44.900000000000283</c:v>
                </c:pt>
                <c:pt idx="200">
                  <c:v>45.000000000000284</c:v>
                </c:pt>
                <c:pt idx="201">
                  <c:v>45.100000000000286</c:v>
                </c:pt>
                <c:pt idx="202">
                  <c:v>45.200000000000287</c:v>
                </c:pt>
                <c:pt idx="203">
                  <c:v>45.300000000000288</c:v>
                </c:pt>
                <c:pt idx="204">
                  <c:v>45.40000000000029</c:v>
                </c:pt>
                <c:pt idx="205">
                  <c:v>45.500000000000291</c:v>
                </c:pt>
                <c:pt idx="206">
                  <c:v>45.600000000000293</c:v>
                </c:pt>
                <c:pt idx="207">
                  <c:v>45.700000000000294</c:v>
                </c:pt>
                <c:pt idx="208">
                  <c:v>45.800000000000296</c:v>
                </c:pt>
                <c:pt idx="209">
                  <c:v>45.900000000000297</c:v>
                </c:pt>
                <c:pt idx="210">
                  <c:v>46.000000000000298</c:v>
                </c:pt>
                <c:pt idx="211">
                  <c:v>46.1000000000003</c:v>
                </c:pt>
                <c:pt idx="212">
                  <c:v>46.200000000000301</c:v>
                </c:pt>
                <c:pt idx="213">
                  <c:v>46.300000000000303</c:v>
                </c:pt>
                <c:pt idx="214">
                  <c:v>46.400000000000304</c:v>
                </c:pt>
                <c:pt idx="215">
                  <c:v>46.500000000000306</c:v>
                </c:pt>
                <c:pt idx="216">
                  <c:v>46.600000000000307</c:v>
                </c:pt>
                <c:pt idx="217">
                  <c:v>46.700000000000308</c:v>
                </c:pt>
                <c:pt idx="218">
                  <c:v>46.80000000000031</c:v>
                </c:pt>
                <c:pt idx="219">
                  <c:v>46.900000000000311</c:v>
                </c:pt>
                <c:pt idx="220">
                  <c:v>47.000000000000313</c:v>
                </c:pt>
                <c:pt idx="221">
                  <c:v>47.100000000000314</c:v>
                </c:pt>
                <c:pt idx="222">
                  <c:v>47.200000000000315</c:v>
                </c:pt>
                <c:pt idx="223">
                  <c:v>47.300000000000317</c:v>
                </c:pt>
                <c:pt idx="224">
                  <c:v>47.400000000000318</c:v>
                </c:pt>
                <c:pt idx="225">
                  <c:v>47.50000000000032</c:v>
                </c:pt>
                <c:pt idx="226">
                  <c:v>47.600000000000321</c:v>
                </c:pt>
                <c:pt idx="227">
                  <c:v>47.700000000000323</c:v>
                </c:pt>
                <c:pt idx="228">
                  <c:v>47.800000000000324</c:v>
                </c:pt>
                <c:pt idx="229">
                  <c:v>47.900000000000325</c:v>
                </c:pt>
                <c:pt idx="230">
                  <c:v>48.000000000000327</c:v>
                </c:pt>
                <c:pt idx="231">
                  <c:v>48.100000000000328</c:v>
                </c:pt>
                <c:pt idx="232">
                  <c:v>48.20000000000033</c:v>
                </c:pt>
                <c:pt idx="233">
                  <c:v>48.300000000000331</c:v>
                </c:pt>
                <c:pt idx="234">
                  <c:v>48.400000000000333</c:v>
                </c:pt>
                <c:pt idx="235">
                  <c:v>48.500000000000334</c:v>
                </c:pt>
                <c:pt idx="236">
                  <c:v>48.600000000000335</c:v>
                </c:pt>
                <c:pt idx="237">
                  <c:v>48.700000000000337</c:v>
                </c:pt>
                <c:pt idx="238">
                  <c:v>48.800000000000338</c:v>
                </c:pt>
                <c:pt idx="239">
                  <c:v>48.90000000000034</c:v>
                </c:pt>
                <c:pt idx="240">
                  <c:v>49.000000000000341</c:v>
                </c:pt>
                <c:pt idx="241">
                  <c:v>49.100000000000342</c:v>
                </c:pt>
                <c:pt idx="242">
                  <c:v>49.200000000000344</c:v>
                </c:pt>
                <c:pt idx="243">
                  <c:v>49.300000000000345</c:v>
                </c:pt>
                <c:pt idx="244">
                  <c:v>49.400000000000347</c:v>
                </c:pt>
                <c:pt idx="245">
                  <c:v>49.500000000000348</c:v>
                </c:pt>
                <c:pt idx="246">
                  <c:v>49.60000000000035</c:v>
                </c:pt>
                <c:pt idx="247">
                  <c:v>49.700000000000351</c:v>
                </c:pt>
                <c:pt idx="248">
                  <c:v>49.800000000000352</c:v>
                </c:pt>
                <c:pt idx="249">
                  <c:v>49.900000000000354</c:v>
                </c:pt>
                <c:pt idx="250">
                  <c:v>50.000000000000355</c:v>
                </c:pt>
                <c:pt idx="251">
                  <c:v>50.100000000000357</c:v>
                </c:pt>
                <c:pt idx="252">
                  <c:v>50.200000000000358</c:v>
                </c:pt>
                <c:pt idx="253">
                  <c:v>50.30000000000036</c:v>
                </c:pt>
                <c:pt idx="254">
                  <c:v>50.400000000000361</c:v>
                </c:pt>
                <c:pt idx="255">
                  <c:v>50.500000000000362</c:v>
                </c:pt>
                <c:pt idx="256">
                  <c:v>50.600000000000364</c:v>
                </c:pt>
                <c:pt idx="257">
                  <c:v>50.700000000000365</c:v>
                </c:pt>
                <c:pt idx="258">
                  <c:v>50.800000000000367</c:v>
                </c:pt>
                <c:pt idx="259">
                  <c:v>50.900000000000368</c:v>
                </c:pt>
                <c:pt idx="260">
                  <c:v>51.000000000000369</c:v>
                </c:pt>
                <c:pt idx="261">
                  <c:v>51.100000000000371</c:v>
                </c:pt>
                <c:pt idx="262">
                  <c:v>51.200000000000372</c:v>
                </c:pt>
                <c:pt idx="263">
                  <c:v>51.300000000000374</c:v>
                </c:pt>
                <c:pt idx="264">
                  <c:v>51.400000000000375</c:v>
                </c:pt>
                <c:pt idx="265">
                  <c:v>51.500000000000377</c:v>
                </c:pt>
                <c:pt idx="266">
                  <c:v>51.600000000000378</c:v>
                </c:pt>
                <c:pt idx="267">
                  <c:v>51.700000000000379</c:v>
                </c:pt>
                <c:pt idx="268">
                  <c:v>51.800000000000381</c:v>
                </c:pt>
                <c:pt idx="269">
                  <c:v>51.900000000000382</c:v>
                </c:pt>
                <c:pt idx="270">
                  <c:v>52.000000000000384</c:v>
                </c:pt>
                <c:pt idx="271">
                  <c:v>52.100000000000385</c:v>
                </c:pt>
                <c:pt idx="272">
                  <c:v>52.200000000000387</c:v>
                </c:pt>
                <c:pt idx="273">
                  <c:v>52.300000000000388</c:v>
                </c:pt>
                <c:pt idx="274">
                  <c:v>52.400000000000389</c:v>
                </c:pt>
                <c:pt idx="275">
                  <c:v>52.500000000000391</c:v>
                </c:pt>
                <c:pt idx="276">
                  <c:v>52.600000000000392</c:v>
                </c:pt>
                <c:pt idx="277">
                  <c:v>52.700000000000394</c:v>
                </c:pt>
                <c:pt idx="278">
                  <c:v>52.800000000000395</c:v>
                </c:pt>
                <c:pt idx="279">
                  <c:v>52.900000000000396</c:v>
                </c:pt>
                <c:pt idx="280">
                  <c:v>53.000000000000398</c:v>
                </c:pt>
                <c:pt idx="281">
                  <c:v>53.100000000000399</c:v>
                </c:pt>
                <c:pt idx="282">
                  <c:v>53.200000000000401</c:v>
                </c:pt>
                <c:pt idx="283">
                  <c:v>53.300000000000402</c:v>
                </c:pt>
                <c:pt idx="284">
                  <c:v>53.400000000000404</c:v>
                </c:pt>
                <c:pt idx="285">
                  <c:v>53.500000000000405</c:v>
                </c:pt>
                <c:pt idx="286">
                  <c:v>53.600000000000406</c:v>
                </c:pt>
                <c:pt idx="287">
                  <c:v>53.700000000000408</c:v>
                </c:pt>
                <c:pt idx="288">
                  <c:v>53.800000000000409</c:v>
                </c:pt>
                <c:pt idx="289">
                  <c:v>53.900000000000411</c:v>
                </c:pt>
                <c:pt idx="290">
                  <c:v>54.000000000000412</c:v>
                </c:pt>
                <c:pt idx="291">
                  <c:v>54.100000000000414</c:v>
                </c:pt>
                <c:pt idx="292">
                  <c:v>54.200000000000415</c:v>
                </c:pt>
                <c:pt idx="293">
                  <c:v>54.300000000000416</c:v>
                </c:pt>
                <c:pt idx="294">
                  <c:v>54.400000000000418</c:v>
                </c:pt>
                <c:pt idx="295">
                  <c:v>54.500000000000419</c:v>
                </c:pt>
                <c:pt idx="296">
                  <c:v>54.600000000000421</c:v>
                </c:pt>
                <c:pt idx="297">
                  <c:v>54.700000000000422</c:v>
                </c:pt>
                <c:pt idx="298">
                  <c:v>54.800000000000423</c:v>
                </c:pt>
                <c:pt idx="299">
                  <c:v>54.900000000000425</c:v>
                </c:pt>
                <c:pt idx="300">
                  <c:v>55.000000000000426</c:v>
                </c:pt>
                <c:pt idx="301">
                  <c:v>55.100000000000428</c:v>
                </c:pt>
                <c:pt idx="302">
                  <c:v>55.200000000000429</c:v>
                </c:pt>
                <c:pt idx="303">
                  <c:v>55.300000000000431</c:v>
                </c:pt>
                <c:pt idx="304">
                  <c:v>55.400000000000432</c:v>
                </c:pt>
                <c:pt idx="305">
                  <c:v>55.500000000000433</c:v>
                </c:pt>
                <c:pt idx="306">
                  <c:v>55.600000000000435</c:v>
                </c:pt>
                <c:pt idx="307">
                  <c:v>55.700000000000436</c:v>
                </c:pt>
                <c:pt idx="308">
                  <c:v>55.800000000000438</c:v>
                </c:pt>
                <c:pt idx="309">
                  <c:v>55.900000000000439</c:v>
                </c:pt>
                <c:pt idx="310">
                  <c:v>56.000000000000441</c:v>
                </c:pt>
                <c:pt idx="311">
                  <c:v>56.100000000000442</c:v>
                </c:pt>
                <c:pt idx="312">
                  <c:v>56.200000000000443</c:v>
                </c:pt>
                <c:pt idx="313">
                  <c:v>56.300000000000445</c:v>
                </c:pt>
                <c:pt idx="314">
                  <c:v>56.400000000000446</c:v>
                </c:pt>
                <c:pt idx="315">
                  <c:v>56.500000000000448</c:v>
                </c:pt>
                <c:pt idx="316">
                  <c:v>56.600000000000449</c:v>
                </c:pt>
                <c:pt idx="317">
                  <c:v>56.70000000000045</c:v>
                </c:pt>
                <c:pt idx="318">
                  <c:v>56.800000000000452</c:v>
                </c:pt>
                <c:pt idx="319">
                  <c:v>56.900000000000453</c:v>
                </c:pt>
                <c:pt idx="320">
                  <c:v>57.000000000000455</c:v>
                </c:pt>
                <c:pt idx="321">
                  <c:v>57.100000000000456</c:v>
                </c:pt>
                <c:pt idx="322">
                  <c:v>57.200000000000458</c:v>
                </c:pt>
                <c:pt idx="323">
                  <c:v>57.300000000000459</c:v>
                </c:pt>
                <c:pt idx="324">
                  <c:v>57.40000000000046</c:v>
                </c:pt>
                <c:pt idx="325">
                  <c:v>57.500000000000462</c:v>
                </c:pt>
                <c:pt idx="326">
                  <c:v>57.600000000000463</c:v>
                </c:pt>
                <c:pt idx="327">
                  <c:v>57.700000000000465</c:v>
                </c:pt>
                <c:pt idx="328">
                  <c:v>57.800000000000466</c:v>
                </c:pt>
                <c:pt idx="329">
                  <c:v>57.900000000000468</c:v>
                </c:pt>
                <c:pt idx="330">
                  <c:v>58.000000000000469</c:v>
                </c:pt>
                <c:pt idx="331">
                  <c:v>58.10000000000047</c:v>
                </c:pt>
                <c:pt idx="332">
                  <c:v>58.200000000000472</c:v>
                </c:pt>
                <c:pt idx="333">
                  <c:v>58.300000000000473</c:v>
                </c:pt>
                <c:pt idx="334">
                  <c:v>58.400000000000475</c:v>
                </c:pt>
                <c:pt idx="335">
                  <c:v>58.500000000000476</c:v>
                </c:pt>
                <c:pt idx="336">
                  <c:v>58.600000000000477</c:v>
                </c:pt>
                <c:pt idx="337">
                  <c:v>58.700000000000479</c:v>
                </c:pt>
                <c:pt idx="338">
                  <c:v>58.80000000000048</c:v>
                </c:pt>
                <c:pt idx="339">
                  <c:v>58.900000000000482</c:v>
                </c:pt>
                <c:pt idx="340">
                  <c:v>59.000000000000483</c:v>
                </c:pt>
                <c:pt idx="341">
                  <c:v>59.100000000000485</c:v>
                </c:pt>
                <c:pt idx="342">
                  <c:v>59.200000000000486</c:v>
                </c:pt>
                <c:pt idx="343">
                  <c:v>59.300000000000487</c:v>
                </c:pt>
                <c:pt idx="344">
                  <c:v>59.400000000000489</c:v>
                </c:pt>
                <c:pt idx="345">
                  <c:v>59.50000000000049</c:v>
                </c:pt>
                <c:pt idx="346">
                  <c:v>59.600000000000492</c:v>
                </c:pt>
                <c:pt idx="347">
                  <c:v>59.700000000000493</c:v>
                </c:pt>
                <c:pt idx="348">
                  <c:v>59.800000000000495</c:v>
                </c:pt>
                <c:pt idx="349">
                  <c:v>59.900000000000496</c:v>
                </c:pt>
                <c:pt idx="350">
                  <c:v>60.000000000000497</c:v>
                </c:pt>
                <c:pt idx="351">
                  <c:v>60.100000000000499</c:v>
                </c:pt>
                <c:pt idx="352">
                  <c:v>60.2000000000005</c:v>
                </c:pt>
                <c:pt idx="353">
                  <c:v>60.300000000000502</c:v>
                </c:pt>
                <c:pt idx="354">
                  <c:v>60.400000000000503</c:v>
                </c:pt>
                <c:pt idx="355">
                  <c:v>60.500000000000504</c:v>
                </c:pt>
                <c:pt idx="356">
                  <c:v>60.600000000000506</c:v>
                </c:pt>
                <c:pt idx="357">
                  <c:v>60.700000000000507</c:v>
                </c:pt>
                <c:pt idx="358">
                  <c:v>60.800000000000509</c:v>
                </c:pt>
                <c:pt idx="359">
                  <c:v>60.90000000000051</c:v>
                </c:pt>
                <c:pt idx="360">
                  <c:v>61.000000000000512</c:v>
                </c:pt>
                <c:pt idx="361">
                  <c:v>61.100000000000513</c:v>
                </c:pt>
                <c:pt idx="362">
                  <c:v>61.200000000000514</c:v>
                </c:pt>
                <c:pt idx="363">
                  <c:v>61.300000000000516</c:v>
                </c:pt>
                <c:pt idx="364">
                  <c:v>61.400000000000517</c:v>
                </c:pt>
                <c:pt idx="365">
                  <c:v>61.500000000000519</c:v>
                </c:pt>
                <c:pt idx="366">
                  <c:v>61.60000000000052</c:v>
                </c:pt>
                <c:pt idx="367">
                  <c:v>61.700000000000522</c:v>
                </c:pt>
                <c:pt idx="368">
                  <c:v>61.800000000000523</c:v>
                </c:pt>
                <c:pt idx="369">
                  <c:v>61.900000000000524</c:v>
                </c:pt>
                <c:pt idx="370">
                  <c:v>62.000000000000526</c:v>
                </c:pt>
                <c:pt idx="371">
                  <c:v>62.100000000000527</c:v>
                </c:pt>
                <c:pt idx="372">
                  <c:v>62.200000000000529</c:v>
                </c:pt>
                <c:pt idx="373">
                  <c:v>62.30000000000053</c:v>
                </c:pt>
                <c:pt idx="374">
                  <c:v>62.400000000000531</c:v>
                </c:pt>
                <c:pt idx="375">
                  <c:v>62.500000000000533</c:v>
                </c:pt>
                <c:pt idx="376">
                  <c:v>62.600000000000534</c:v>
                </c:pt>
                <c:pt idx="377">
                  <c:v>62.700000000000536</c:v>
                </c:pt>
                <c:pt idx="378">
                  <c:v>62.800000000000537</c:v>
                </c:pt>
                <c:pt idx="379">
                  <c:v>62.900000000000539</c:v>
                </c:pt>
                <c:pt idx="380">
                  <c:v>63.00000000000054</c:v>
                </c:pt>
                <c:pt idx="381">
                  <c:v>63.100000000000541</c:v>
                </c:pt>
                <c:pt idx="382">
                  <c:v>63.200000000000543</c:v>
                </c:pt>
                <c:pt idx="383">
                  <c:v>63.300000000000544</c:v>
                </c:pt>
                <c:pt idx="384">
                  <c:v>63.400000000000546</c:v>
                </c:pt>
                <c:pt idx="385">
                  <c:v>63.500000000000547</c:v>
                </c:pt>
                <c:pt idx="386">
                  <c:v>63.600000000000549</c:v>
                </c:pt>
                <c:pt idx="387">
                  <c:v>63.70000000000055</c:v>
                </c:pt>
                <c:pt idx="388">
                  <c:v>63.800000000000551</c:v>
                </c:pt>
                <c:pt idx="389">
                  <c:v>63.900000000000553</c:v>
                </c:pt>
                <c:pt idx="390">
                  <c:v>64.000000000000554</c:v>
                </c:pt>
                <c:pt idx="391">
                  <c:v>64.100000000000549</c:v>
                </c:pt>
                <c:pt idx="392">
                  <c:v>64.200000000000543</c:v>
                </c:pt>
                <c:pt idx="393">
                  <c:v>64.300000000000537</c:v>
                </c:pt>
                <c:pt idx="394">
                  <c:v>64.400000000000531</c:v>
                </c:pt>
                <c:pt idx="395">
                  <c:v>64.500000000000526</c:v>
                </c:pt>
                <c:pt idx="396">
                  <c:v>64.60000000000052</c:v>
                </c:pt>
                <c:pt idx="397">
                  <c:v>64.700000000000514</c:v>
                </c:pt>
                <c:pt idx="398">
                  <c:v>64.800000000000509</c:v>
                </c:pt>
                <c:pt idx="399">
                  <c:v>64.900000000000503</c:v>
                </c:pt>
                <c:pt idx="400">
                  <c:v>65.000000000000497</c:v>
                </c:pt>
                <c:pt idx="401">
                  <c:v>65.100000000000492</c:v>
                </c:pt>
                <c:pt idx="402">
                  <c:v>65.200000000000486</c:v>
                </c:pt>
                <c:pt idx="403">
                  <c:v>65.30000000000048</c:v>
                </c:pt>
                <c:pt idx="404">
                  <c:v>65.400000000000475</c:v>
                </c:pt>
                <c:pt idx="405">
                  <c:v>65.500000000000469</c:v>
                </c:pt>
                <c:pt idx="406">
                  <c:v>65.600000000000463</c:v>
                </c:pt>
                <c:pt idx="407">
                  <c:v>65.700000000000458</c:v>
                </c:pt>
                <c:pt idx="408">
                  <c:v>65.800000000000452</c:v>
                </c:pt>
                <c:pt idx="409">
                  <c:v>65.900000000000446</c:v>
                </c:pt>
                <c:pt idx="410">
                  <c:v>66.000000000000441</c:v>
                </c:pt>
                <c:pt idx="411">
                  <c:v>66.100000000000435</c:v>
                </c:pt>
                <c:pt idx="412">
                  <c:v>66.200000000000429</c:v>
                </c:pt>
                <c:pt idx="413">
                  <c:v>66.300000000000423</c:v>
                </c:pt>
                <c:pt idx="414">
                  <c:v>66.400000000000418</c:v>
                </c:pt>
                <c:pt idx="415">
                  <c:v>66.500000000000412</c:v>
                </c:pt>
                <c:pt idx="416">
                  <c:v>66.600000000000406</c:v>
                </c:pt>
                <c:pt idx="417">
                  <c:v>66.700000000000401</c:v>
                </c:pt>
                <c:pt idx="418">
                  <c:v>66.800000000000395</c:v>
                </c:pt>
                <c:pt idx="419">
                  <c:v>66.900000000000389</c:v>
                </c:pt>
                <c:pt idx="420">
                  <c:v>67.000000000000384</c:v>
                </c:pt>
                <c:pt idx="421">
                  <c:v>67.100000000000378</c:v>
                </c:pt>
                <c:pt idx="422">
                  <c:v>67.200000000000372</c:v>
                </c:pt>
                <c:pt idx="423">
                  <c:v>67.300000000000367</c:v>
                </c:pt>
                <c:pt idx="424">
                  <c:v>67.400000000000361</c:v>
                </c:pt>
                <c:pt idx="425">
                  <c:v>67.500000000000355</c:v>
                </c:pt>
                <c:pt idx="426">
                  <c:v>67.60000000000035</c:v>
                </c:pt>
                <c:pt idx="427">
                  <c:v>67.700000000000344</c:v>
                </c:pt>
                <c:pt idx="428">
                  <c:v>67.800000000000338</c:v>
                </c:pt>
                <c:pt idx="429">
                  <c:v>67.900000000000333</c:v>
                </c:pt>
                <c:pt idx="430">
                  <c:v>68.000000000000327</c:v>
                </c:pt>
                <c:pt idx="431">
                  <c:v>68.100000000000321</c:v>
                </c:pt>
                <c:pt idx="432">
                  <c:v>68.200000000000315</c:v>
                </c:pt>
                <c:pt idx="433">
                  <c:v>68.30000000000031</c:v>
                </c:pt>
                <c:pt idx="434">
                  <c:v>68.400000000000304</c:v>
                </c:pt>
                <c:pt idx="435">
                  <c:v>68.500000000000298</c:v>
                </c:pt>
                <c:pt idx="436">
                  <c:v>68.600000000000293</c:v>
                </c:pt>
                <c:pt idx="437">
                  <c:v>68.700000000000287</c:v>
                </c:pt>
                <c:pt idx="438">
                  <c:v>68.800000000000281</c:v>
                </c:pt>
                <c:pt idx="439">
                  <c:v>68.900000000000276</c:v>
                </c:pt>
                <c:pt idx="440">
                  <c:v>69.00000000000027</c:v>
                </c:pt>
                <c:pt idx="441">
                  <c:v>69.100000000000264</c:v>
                </c:pt>
                <c:pt idx="442">
                  <c:v>69.200000000000259</c:v>
                </c:pt>
                <c:pt idx="443">
                  <c:v>69.300000000000253</c:v>
                </c:pt>
                <c:pt idx="444">
                  <c:v>69.400000000000247</c:v>
                </c:pt>
                <c:pt idx="445">
                  <c:v>69.500000000000242</c:v>
                </c:pt>
                <c:pt idx="446">
                  <c:v>69.600000000000236</c:v>
                </c:pt>
                <c:pt idx="447">
                  <c:v>69.70000000000023</c:v>
                </c:pt>
                <c:pt idx="448">
                  <c:v>69.800000000000225</c:v>
                </c:pt>
                <c:pt idx="449">
                  <c:v>69.900000000000219</c:v>
                </c:pt>
                <c:pt idx="450">
                  <c:v>69.900000000000219</c:v>
                </c:pt>
                <c:pt idx="451">
                  <c:v>69.900000000000219</c:v>
                </c:pt>
                <c:pt idx="452">
                  <c:v>69.900000000000219</c:v>
                </c:pt>
                <c:pt idx="453">
                  <c:v>69.900000000000219</c:v>
                </c:pt>
                <c:pt idx="454">
                  <c:v>69.900000000000219</c:v>
                </c:pt>
                <c:pt idx="455">
                  <c:v>69.900000000000219</c:v>
                </c:pt>
                <c:pt idx="456">
                  <c:v>69.900000000000219</c:v>
                </c:pt>
                <c:pt idx="457">
                  <c:v>69.900000000000219</c:v>
                </c:pt>
                <c:pt idx="458">
                  <c:v>69.900000000000219</c:v>
                </c:pt>
                <c:pt idx="459">
                  <c:v>69.900000000000219</c:v>
                </c:pt>
                <c:pt idx="460">
                  <c:v>69.900000000000219</c:v>
                </c:pt>
                <c:pt idx="461">
                  <c:v>69.900000000000219</c:v>
                </c:pt>
                <c:pt idx="462">
                  <c:v>69.900000000000219</c:v>
                </c:pt>
                <c:pt idx="463">
                  <c:v>69.900000000000219</c:v>
                </c:pt>
                <c:pt idx="464">
                  <c:v>69.900000000000219</c:v>
                </c:pt>
                <c:pt idx="465">
                  <c:v>69.900000000000219</c:v>
                </c:pt>
                <c:pt idx="466">
                  <c:v>69.900000000000219</c:v>
                </c:pt>
                <c:pt idx="467">
                  <c:v>69.900000000000219</c:v>
                </c:pt>
                <c:pt idx="468">
                  <c:v>69.900000000000219</c:v>
                </c:pt>
                <c:pt idx="469">
                  <c:v>69.900000000000219</c:v>
                </c:pt>
                <c:pt idx="470">
                  <c:v>69.900000000000219</c:v>
                </c:pt>
                <c:pt idx="471">
                  <c:v>69.900000000000219</c:v>
                </c:pt>
                <c:pt idx="472">
                  <c:v>69.900000000000219</c:v>
                </c:pt>
                <c:pt idx="473">
                  <c:v>69.900000000000219</c:v>
                </c:pt>
                <c:pt idx="474">
                  <c:v>69.900000000000219</c:v>
                </c:pt>
                <c:pt idx="475">
                  <c:v>69.900000000000219</c:v>
                </c:pt>
                <c:pt idx="476">
                  <c:v>69.900000000000219</c:v>
                </c:pt>
                <c:pt idx="477">
                  <c:v>69.900000000000219</c:v>
                </c:pt>
                <c:pt idx="478">
                  <c:v>69.900000000000219</c:v>
                </c:pt>
                <c:pt idx="479">
                  <c:v>69.900000000000219</c:v>
                </c:pt>
                <c:pt idx="480">
                  <c:v>69.900000000000219</c:v>
                </c:pt>
                <c:pt idx="481">
                  <c:v>69.900000000000219</c:v>
                </c:pt>
                <c:pt idx="482">
                  <c:v>69.900000000000219</c:v>
                </c:pt>
                <c:pt idx="483">
                  <c:v>69.900000000000219</c:v>
                </c:pt>
                <c:pt idx="484">
                  <c:v>69.900000000000219</c:v>
                </c:pt>
                <c:pt idx="485">
                  <c:v>69.900000000000219</c:v>
                </c:pt>
                <c:pt idx="486">
                  <c:v>69.900000000000219</c:v>
                </c:pt>
                <c:pt idx="487">
                  <c:v>69.900000000000219</c:v>
                </c:pt>
                <c:pt idx="488">
                  <c:v>69.900000000000219</c:v>
                </c:pt>
                <c:pt idx="489">
                  <c:v>69.900000000000219</c:v>
                </c:pt>
                <c:pt idx="490">
                  <c:v>69.900000000000219</c:v>
                </c:pt>
                <c:pt idx="491">
                  <c:v>69.900000000000219</c:v>
                </c:pt>
                <c:pt idx="492">
                  <c:v>69.900000000000219</c:v>
                </c:pt>
                <c:pt idx="493">
                  <c:v>69.900000000000219</c:v>
                </c:pt>
                <c:pt idx="494">
                  <c:v>69.900000000000219</c:v>
                </c:pt>
                <c:pt idx="495">
                  <c:v>69.900000000000219</c:v>
                </c:pt>
                <c:pt idx="496">
                  <c:v>69.900000000000219</c:v>
                </c:pt>
                <c:pt idx="497">
                  <c:v>69.900000000000219</c:v>
                </c:pt>
                <c:pt idx="498">
                  <c:v>69.900000000000219</c:v>
                </c:pt>
                <c:pt idx="499">
                  <c:v>69.900000000000219</c:v>
                </c:pt>
                <c:pt idx="500">
                  <c:v>69.900000000000219</c:v>
                </c:pt>
                <c:pt idx="501">
                  <c:v>69.900000000000219</c:v>
                </c:pt>
                <c:pt idx="502">
                  <c:v>69.900000000000219</c:v>
                </c:pt>
                <c:pt idx="503">
                  <c:v>69.900000000000219</c:v>
                </c:pt>
                <c:pt idx="504">
                  <c:v>69.900000000000219</c:v>
                </c:pt>
                <c:pt idx="505">
                  <c:v>69.900000000000219</c:v>
                </c:pt>
                <c:pt idx="506">
                  <c:v>69.900000000000219</c:v>
                </c:pt>
                <c:pt idx="507">
                  <c:v>69.900000000000219</c:v>
                </c:pt>
                <c:pt idx="508">
                  <c:v>69.900000000000219</c:v>
                </c:pt>
                <c:pt idx="509">
                  <c:v>69.900000000000219</c:v>
                </c:pt>
                <c:pt idx="510">
                  <c:v>69.900000000000219</c:v>
                </c:pt>
              </c:numCache>
            </c:numRef>
          </c:xVal>
          <c:yVal>
            <c:numRef>
              <c:f>Curves!$AN$2:$AN$512</c:f>
              <c:numCache>
                <c:formatCode>General</c:formatCode>
                <c:ptCount val="511"/>
                <c:pt idx="0">
                  <c:v>11900</c:v>
                </c:pt>
                <c:pt idx="1">
                  <c:v>11896.400000000001</c:v>
                </c:pt>
                <c:pt idx="2">
                  <c:v>11895.2</c:v>
                </c:pt>
                <c:pt idx="3">
                  <c:v>11892.800000000001</c:v>
                </c:pt>
                <c:pt idx="4">
                  <c:v>11890.4</c:v>
                </c:pt>
                <c:pt idx="5">
                  <c:v>11887.999999999998</c:v>
                </c:pt>
                <c:pt idx="6">
                  <c:v>11885.6</c:v>
                </c:pt>
                <c:pt idx="7">
                  <c:v>11883.199999999999</c:v>
                </c:pt>
                <c:pt idx="8">
                  <c:v>11880.8</c:v>
                </c:pt>
                <c:pt idx="9">
                  <c:v>11878.086666666666</c:v>
                </c:pt>
                <c:pt idx="10">
                  <c:v>11875.06</c:v>
                </c:pt>
                <c:pt idx="11">
                  <c:v>11871.72</c:v>
                </c:pt>
                <c:pt idx="12">
                  <c:v>11868.066666666666</c:v>
                </c:pt>
                <c:pt idx="13">
                  <c:v>11864.099999999999</c:v>
                </c:pt>
                <c:pt idx="14">
                  <c:v>11860.133333333331</c:v>
                </c:pt>
                <c:pt idx="15">
                  <c:v>11856.166666666666</c:v>
                </c:pt>
                <c:pt idx="16">
                  <c:v>11852.2</c:v>
                </c:pt>
                <c:pt idx="17">
                  <c:v>11848.233333333334</c:v>
                </c:pt>
                <c:pt idx="18">
                  <c:v>11844.266666666666</c:v>
                </c:pt>
                <c:pt idx="19">
                  <c:v>11839.9</c:v>
                </c:pt>
                <c:pt idx="20">
                  <c:v>11835.133333333331</c:v>
                </c:pt>
                <c:pt idx="21">
                  <c:v>11829.966666666665</c:v>
                </c:pt>
                <c:pt idx="22">
                  <c:v>11824.399999999998</c:v>
                </c:pt>
                <c:pt idx="23">
                  <c:v>11818.433333333332</c:v>
                </c:pt>
                <c:pt idx="24">
                  <c:v>11812.466666666665</c:v>
                </c:pt>
                <c:pt idx="25">
                  <c:v>11806.499999999998</c:v>
                </c:pt>
                <c:pt idx="26">
                  <c:v>11800.533333333331</c:v>
                </c:pt>
                <c:pt idx="27">
                  <c:v>11794.566666666664</c:v>
                </c:pt>
                <c:pt idx="28">
                  <c:v>11788.599999999997</c:v>
                </c:pt>
                <c:pt idx="29">
                  <c:v>11782.373333333329</c:v>
                </c:pt>
                <c:pt idx="30">
                  <c:v>11775.886666666664</c:v>
                </c:pt>
                <c:pt idx="31">
                  <c:v>11769.139999999996</c:v>
                </c:pt>
                <c:pt idx="32">
                  <c:v>11762.13333333333</c:v>
                </c:pt>
                <c:pt idx="33">
                  <c:v>11754.866666666663</c:v>
                </c:pt>
                <c:pt idx="34">
                  <c:v>11747.599999999997</c:v>
                </c:pt>
                <c:pt idx="35">
                  <c:v>11740.33333333333</c:v>
                </c:pt>
                <c:pt idx="36">
                  <c:v>11733.066666666662</c:v>
                </c:pt>
                <c:pt idx="37">
                  <c:v>11725.799999999997</c:v>
                </c:pt>
                <c:pt idx="38">
                  <c:v>11718.533333333329</c:v>
                </c:pt>
                <c:pt idx="39">
                  <c:v>11711.126666666663</c:v>
                </c:pt>
                <c:pt idx="40">
                  <c:v>11703.579999999996</c:v>
                </c:pt>
                <c:pt idx="41">
                  <c:v>11695.89333333333</c:v>
                </c:pt>
                <c:pt idx="42">
                  <c:v>11688.066666666662</c:v>
                </c:pt>
                <c:pt idx="43">
                  <c:v>11680.099999999995</c:v>
                </c:pt>
                <c:pt idx="44">
                  <c:v>11672.13333333333</c:v>
                </c:pt>
                <c:pt idx="45">
                  <c:v>11664.166666666662</c:v>
                </c:pt>
                <c:pt idx="46">
                  <c:v>11656.199999999995</c:v>
                </c:pt>
                <c:pt idx="47">
                  <c:v>11648.233333333328</c:v>
                </c:pt>
                <c:pt idx="48">
                  <c:v>11640.266666666661</c:v>
                </c:pt>
                <c:pt idx="49">
                  <c:v>11632.219999999996</c:v>
                </c:pt>
                <c:pt idx="50">
                  <c:v>11624.093333333329</c:v>
                </c:pt>
                <c:pt idx="51">
                  <c:v>11615.886666666662</c:v>
                </c:pt>
                <c:pt idx="52">
                  <c:v>11607.599999999995</c:v>
                </c:pt>
                <c:pt idx="53">
                  <c:v>11599.233333333328</c:v>
                </c:pt>
                <c:pt idx="54">
                  <c:v>11590.86666666666</c:v>
                </c:pt>
                <c:pt idx="55">
                  <c:v>11582.499999999991</c:v>
                </c:pt>
                <c:pt idx="56">
                  <c:v>11574.133333333326</c:v>
                </c:pt>
                <c:pt idx="57">
                  <c:v>11565.766666666659</c:v>
                </c:pt>
                <c:pt idx="58">
                  <c:v>11557.399999999992</c:v>
                </c:pt>
                <c:pt idx="59">
                  <c:v>11548.819999999991</c:v>
                </c:pt>
                <c:pt idx="60">
                  <c:v>11540.026666666658</c:v>
                </c:pt>
                <c:pt idx="61">
                  <c:v>11531.01999999999</c:v>
                </c:pt>
                <c:pt idx="62">
                  <c:v>11521.799999999992</c:v>
                </c:pt>
                <c:pt idx="63">
                  <c:v>11512.36666666666</c:v>
                </c:pt>
                <c:pt idx="64">
                  <c:v>11502.933333333325</c:v>
                </c:pt>
                <c:pt idx="65">
                  <c:v>11493.499999999991</c:v>
                </c:pt>
                <c:pt idx="66">
                  <c:v>11484.066666666657</c:v>
                </c:pt>
                <c:pt idx="67">
                  <c:v>11474.633333333324</c:v>
                </c:pt>
                <c:pt idx="68">
                  <c:v>11465.19999999999</c:v>
                </c:pt>
                <c:pt idx="69">
                  <c:v>11455.466666666656</c:v>
                </c:pt>
                <c:pt idx="70">
                  <c:v>11445.433333333323</c:v>
                </c:pt>
                <c:pt idx="71">
                  <c:v>11435.099999999991</c:v>
                </c:pt>
                <c:pt idx="72">
                  <c:v>11424.466666666656</c:v>
                </c:pt>
                <c:pt idx="73">
                  <c:v>11413.533333333322</c:v>
                </c:pt>
                <c:pt idx="74">
                  <c:v>11402.599999999989</c:v>
                </c:pt>
                <c:pt idx="75">
                  <c:v>11391.666666666655</c:v>
                </c:pt>
                <c:pt idx="76">
                  <c:v>11380.733333333323</c:v>
                </c:pt>
                <c:pt idx="77">
                  <c:v>11369.799999999988</c:v>
                </c:pt>
                <c:pt idx="78">
                  <c:v>11358.866666666654</c:v>
                </c:pt>
                <c:pt idx="79">
                  <c:v>11347.19333333332</c:v>
                </c:pt>
                <c:pt idx="80">
                  <c:v>11334.779999999986</c:v>
                </c:pt>
                <c:pt idx="81">
                  <c:v>11321.626666666652</c:v>
                </c:pt>
                <c:pt idx="82">
                  <c:v>11307.733333333317</c:v>
                </c:pt>
                <c:pt idx="83">
                  <c:v>11293.099999999982</c:v>
                </c:pt>
                <c:pt idx="84">
                  <c:v>11278.466666666649</c:v>
                </c:pt>
                <c:pt idx="85">
                  <c:v>11263.833333333314</c:v>
                </c:pt>
                <c:pt idx="86">
                  <c:v>11249.199999999981</c:v>
                </c:pt>
                <c:pt idx="87">
                  <c:v>11234.566666666648</c:v>
                </c:pt>
                <c:pt idx="88">
                  <c:v>11219.933333333311</c:v>
                </c:pt>
                <c:pt idx="89">
                  <c:v>11203.806666666642</c:v>
                </c:pt>
                <c:pt idx="90">
                  <c:v>11186.186666666641</c:v>
                </c:pt>
                <c:pt idx="91">
                  <c:v>11167.073333333305</c:v>
                </c:pt>
                <c:pt idx="92">
                  <c:v>11146.466666666636</c:v>
                </c:pt>
                <c:pt idx="93">
                  <c:v>11124.366666666636</c:v>
                </c:pt>
                <c:pt idx="94">
                  <c:v>11102.266666666636</c:v>
                </c:pt>
                <c:pt idx="95">
                  <c:v>11080.166666666637</c:v>
                </c:pt>
                <c:pt idx="96">
                  <c:v>11058.066666666635</c:v>
                </c:pt>
                <c:pt idx="97">
                  <c:v>11035.966666666634</c:v>
                </c:pt>
                <c:pt idx="98">
                  <c:v>11013.866666666632</c:v>
                </c:pt>
                <c:pt idx="99">
                  <c:v>10990.846666666632</c:v>
                </c:pt>
                <c:pt idx="100">
                  <c:v>10966.906666666629</c:v>
                </c:pt>
                <c:pt idx="101">
                  <c:v>10942.046666666627</c:v>
                </c:pt>
                <c:pt idx="102">
                  <c:v>10916.266666666625</c:v>
                </c:pt>
                <c:pt idx="103">
                  <c:v>10889.566666666626</c:v>
                </c:pt>
                <c:pt idx="104">
                  <c:v>10862.866666666625</c:v>
                </c:pt>
                <c:pt idx="105">
                  <c:v>10836.166666666624</c:v>
                </c:pt>
                <c:pt idx="106">
                  <c:v>10809.466666666623</c:v>
                </c:pt>
                <c:pt idx="107">
                  <c:v>10782.766666666623</c:v>
                </c:pt>
                <c:pt idx="108">
                  <c:v>10756.06666666662</c:v>
                </c:pt>
                <c:pt idx="109">
                  <c:v>10727.293333333284</c:v>
                </c:pt>
                <c:pt idx="110">
                  <c:v>10696.446666666614</c:v>
                </c:pt>
                <c:pt idx="111">
                  <c:v>10663.52666666661</c:v>
                </c:pt>
                <c:pt idx="112">
                  <c:v>10628.533333333273</c:v>
                </c:pt>
                <c:pt idx="113">
                  <c:v>10591.466666666605</c:v>
                </c:pt>
                <c:pt idx="114">
                  <c:v>10554.399999999938</c:v>
                </c:pt>
                <c:pt idx="115">
                  <c:v>10517.333333333272</c:v>
                </c:pt>
                <c:pt idx="116">
                  <c:v>10480.266666666605</c:v>
                </c:pt>
                <c:pt idx="117">
                  <c:v>10443.199999999939</c:v>
                </c:pt>
                <c:pt idx="118">
                  <c:v>10406.13333333327</c:v>
                </c:pt>
                <c:pt idx="119">
                  <c:v>10367.579999999933</c:v>
                </c:pt>
                <c:pt idx="120">
                  <c:v>10327.53999999993</c:v>
                </c:pt>
                <c:pt idx="121">
                  <c:v>10286.01333333326</c:v>
                </c:pt>
                <c:pt idx="122">
                  <c:v>10242.999999999924</c:v>
                </c:pt>
                <c:pt idx="123">
                  <c:v>10198.499999999922</c:v>
                </c:pt>
                <c:pt idx="124">
                  <c:v>10153.999999999922</c:v>
                </c:pt>
                <c:pt idx="125">
                  <c:v>10109.499999999922</c:v>
                </c:pt>
                <c:pt idx="126">
                  <c:v>10064.99999999992</c:v>
                </c:pt>
                <c:pt idx="127">
                  <c:v>10020.49999999992</c:v>
                </c:pt>
                <c:pt idx="128">
                  <c:v>9975.9999999999236</c:v>
                </c:pt>
                <c:pt idx="129">
                  <c:v>9934.0066666665953</c:v>
                </c:pt>
                <c:pt idx="130">
                  <c:v>9894.5199999999331</c:v>
                </c:pt>
                <c:pt idx="131">
                  <c:v>9857.5399999999372</c:v>
                </c:pt>
                <c:pt idx="132">
                  <c:v>9823.0666666666075</c:v>
                </c:pt>
                <c:pt idx="133">
                  <c:v>9791.0999999999403</c:v>
                </c:pt>
                <c:pt idx="134">
                  <c:v>9759.1333333332732</c:v>
                </c:pt>
                <c:pt idx="135">
                  <c:v>9727.166666666606</c:v>
                </c:pt>
                <c:pt idx="136">
                  <c:v>9695.1999999999389</c:v>
                </c:pt>
                <c:pt idx="137">
                  <c:v>9663.2333333332717</c:v>
                </c:pt>
                <c:pt idx="138">
                  <c:v>9631.2666666666137</c:v>
                </c:pt>
                <c:pt idx="139">
                  <c:v>9603.8338095237668</c:v>
                </c:pt>
                <c:pt idx="140">
                  <c:v>9580.9347619047276</c:v>
                </c:pt>
                <c:pt idx="141">
                  <c:v>9562.5695238094977</c:v>
                </c:pt>
                <c:pt idx="142">
                  <c:v>9548.738095238079</c:v>
                </c:pt>
                <c:pt idx="143">
                  <c:v>9539.4404761904589</c:v>
                </c:pt>
                <c:pt idx="144">
                  <c:v>9530.1428571428405</c:v>
                </c:pt>
                <c:pt idx="145">
                  <c:v>9520.8452380952185</c:v>
                </c:pt>
                <c:pt idx="146">
                  <c:v>9511.5476190476002</c:v>
                </c:pt>
                <c:pt idx="147">
                  <c:v>9502.24999999998</c:v>
                </c:pt>
                <c:pt idx="148">
                  <c:v>9492.9523809523853</c:v>
                </c:pt>
                <c:pt idx="149">
                  <c:v>9494.3638095238348</c:v>
                </c:pt>
                <c:pt idx="150">
                  <c:v>9506.484285714334</c:v>
                </c:pt>
                <c:pt idx="151">
                  <c:v>9529.3138095238792</c:v>
                </c:pt>
                <c:pt idx="152">
                  <c:v>9562.852380952474</c:v>
                </c:pt>
                <c:pt idx="153">
                  <c:v>9607.1000000000968</c:v>
                </c:pt>
                <c:pt idx="154">
                  <c:v>9651.347619047714</c:v>
                </c:pt>
                <c:pt idx="155">
                  <c:v>9695.5952380953349</c:v>
                </c:pt>
                <c:pt idx="156">
                  <c:v>9739.8428571429558</c:v>
                </c:pt>
                <c:pt idx="157">
                  <c:v>9784.0904761905749</c:v>
                </c:pt>
                <c:pt idx="158">
                  <c:v>9828.3380952381885</c:v>
                </c:pt>
                <c:pt idx="159">
                  <c:v>9869.7295238096103</c:v>
                </c:pt>
                <c:pt idx="160">
                  <c:v>9908.2647619048421</c:v>
                </c:pt>
                <c:pt idx="161">
                  <c:v>9943.9438095238838</c:v>
                </c:pt>
                <c:pt idx="162">
                  <c:v>9976.7666666667355</c:v>
                </c:pt>
                <c:pt idx="163">
                  <c:v>10006.733333333403</c:v>
                </c:pt>
                <c:pt idx="164">
                  <c:v>10036.70000000007</c:v>
                </c:pt>
                <c:pt idx="165">
                  <c:v>10066.666666666737</c:v>
                </c:pt>
                <c:pt idx="166">
                  <c:v>10096.633333333404</c:v>
                </c:pt>
                <c:pt idx="167">
                  <c:v>10126.600000000071</c:v>
                </c:pt>
                <c:pt idx="168">
                  <c:v>10156.56666666672</c:v>
                </c:pt>
                <c:pt idx="169">
                  <c:v>10178.980000000036</c:v>
                </c:pt>
                <c:pt idx="170">
                  <c:v>10193.840000000017</c:v>
                </c:pt>
                <c:pt idx="171">
                  <c:v>10201.146666666664</c:v>
                </c:pt>
                <c:pt idx="172">
                  <c:v>10200.899999999981</c:v>
                </c:pt>
                <c:pt idx="173">
                  <c:v>10193.09999999998</c:v>
                </c:pt>
                <c:pt idx="174">
                  <c:v>10185.299999999981</c:v>
                </c:pt>
                <c:pt idx="175">
                  <c:v>10177.499999999982</c:v>
                </c:pt>
                <c:pt idx="176">
                  <c:v>10169.699999999979</c:v>
                </c:pt>
                <c:pt idx="177">
                  <c:v>10161.899999999981</c:v>
                </c:pt>
                <c:pt idx="178">
                  <c:v>10154.099999999979</c:v>
                </c:pt>
                <c:pt idx="179">
                  <c:v>10145.579999999976</c:v>
                </c:pt>
                <c:pt idx="180">
                  <c:v>10136.339999999973</c:v>
                </c:pt>
                <c:pt idx="181">
                  <c:v>10126.379999999972</c:v>
                </c:pt>
                <c:pt idx="182">
                  <c:v>10115.69999999997</c:v>
                </c:pt>
                <c:pt idx="183">
                  <c:v>10104.29999999997</c:v>
                </c:pt>
                <c:pt idx="184">
                  <c:v>10092.899999999971</c:v>
                </c:pt>
                <c:pt idx="185">
                  <c:v>10081.499999999969</c:v>
                </c:pt>
                <c:pt idx="186">
                  <c:v>10070.099999999971</c:v>
                </c:pt>
                <c:pt idx="187">
                  <c:v>10058.699999999968</c:v>
                </c:pt>
                <c:pt idx="188">
                  <c:v>10047.29999999997</c:v>
                </c:pt>
                <c:pt idx="189">
                  <c:v>10036.083333333303</c:v>
                </c:pt>
                <c:pt idx="190">
                  <c:v>10025.04999999997</c:v>
                </c:pt>
                <c:pt idx="191">
                  <c:v>10014.199999999972</c:v>
                </c:pt>
                <c:pt idx="192">
                  <c:v>10003.533333333304</c:v>
                </c:pt>
                <c:pt idx="193">
                  <c:v>9993.0499999999702</c:v>
                </c:pt>
                <c:pt idx="194">
                  <c:v>9982.5666666666384</c:v>
                </c:pt>
                <c:pt idx="195">
                  <c:v>9972.0833333333048</c:v>
                </c:pt>
                <c:pt idx="196">
                  <c:v>9961.5999999999713</c:v>
                </c:pt>
                <c:pt idx="197">
                  <c:v>9951.1166666666377</c:v>
                </c:pt>
                <c:pt idx="198">
                  <c:v>9940.6333333333041</c:v>
                </c:pt>
                <c:pt idx="199">
                  <c:v>9929.9733333333024</c:v>
                </c:pt>
                <c:pt idx="200">
                  <c:v>9919.1366666666345</c:v>
                </c:pt>
                <c:pt idx="201">
                  <c:v>9908.1233333333021</c:v>
                </c:pt>
                <c:pt idx="202">
                  <c:v>9896.9333333332997</c:v>
                </c:pt>
                <c:pt idx="203">
                  <c:v>9885.566666666633</c:v>
                </c:pt>
                <c:pt idx="204">
                  <c:v>9874.1999999999662</c:v>
                </c:pt>
                <c:pt idx="205">
                  <c:v>9862.8333333332994</c:v>
                </c:pt>
                <c:pt idx="206">
                  <c:v>9851.4666666666326</c:v>
                </c:pt>
                <c:pt idx="207">
                  <c:v>9840.0999999999658</c:v>
                </c:pt>
                <c:pt idx="208">
                  <c:v>9828.733333333299</c:v>
                </c:pt>
                <c:pt idx="209">
                  <c:v>9817.0833333332976</c:v>
                </c:pt>
                <c:pt idx="210">
                  <c:v>9805.1499999999651</c:v>
                </c:pt>
                <c:pt idx="211">
                  <c:v>9792.9333333332961</c:v>
                </c:pt>
                <c:pt idx="212">
                  <c:v>9780.4333333332943</c:v>
                </c:pt>
                <c:pt idx="213">
                  <c:v>9767.6499999999614</c:v>
                </c:pt>
                <c:pt idx="214">
                  <c:v>9754.8666666666268</c:v>
                </c:pt>
                <c:pt idx="215">
                  <c:v>9742.0833333332939</c:v>
                </c:pt>
                <c:pt idx="216">
                  <c:v>9729.2999999999611</c:v>
                </c:pt>
                <c:pt idx="217">
                  <c:v>9716.5166666666264</c:v>
                </c:pt>
                <c:pt idx="218">
                  <c:v>9703.7333333332936</c:v>
                </c:pt>
                <c:pt idx="219">
                  <c:v>9690.7866666666268</c:v>
                </c:pt>
                <c:pt idx="220">
                  <c:v>9677.6766666666263</c:v>
                </c:pt>
                <c:pt idx="221">
                  <c:v>9664.40333333329</c:v>
                </c:pt>
                <c:pt idx="222">
                  <c:v>9650.9666666666253</c:v>
                </c:pt>
                <c:pt idx="223">
                  <c:v>9637.3666666666231</c:v>
                </c:pt>
                <c:pt idx="224">
                  <c:v>9623.7666666666228</c:v>
                </c:pt>
                <c:pt idx="225">
                  <c:v>9610.1666666666224</c:v>
                </c:pt>
                <c:pt idx="226">
                  <c:v>9596.566666666622</c:v>
                </c:pt>
                <c:pt idx="227">
                  <c:v>9582.9666666666217</c:v>
                </c:pt>
                <c:pt idx="228">
                  <c:v>9569.3666666666213</c:v>
                </c:pt>
                <c:pt idx="229">
                  <c:v>9555.6299999999537</c:v>
                </c:pt>
                <c:pt idx="230">
                  <c:v>9541.7566666666207</c:v>
                </c:pt>
                <c:pt idx="231">
                  <c:v>9527.7466666666205</c:v>
                </c:pt>
                <c:pt idx="232">
                  <c:v>9513.5999999999513</c:v>
                </c:pt>
                <c:pt idx="233">
                  <c:v>9499.3166666666184</c:v>
                </c:pt>
                <c:pt idx="234">
                  <c:v>9485.0333333332856</c:v>
                </c:pt>
                <c:pt idx="235">
                  <c:v>9470.7499999999527</c:v>
                </c:pt>
                <c:pt idx="236">
                  <c:v>9456.466666666618</c:v>
                </c:pt>
                <c:pt idx="237">
                  <c:v>9442.1833333332852</c:v>
                </c:pt>
                <c:pt idx="238">
                  <c:v>9427.8999999999505</c:v>
                </c:pt>
                <c:pt idx="239">
                  <c:v>9413.1933333332818</c:v>
                </c:pt>
                <c:pt idx="240">
                  <c:v>9398.0633333332808</c:v>
                </c:pt>
                <c:pt idx="241">
                  <c:v>9382.5099999999475</c:v>
                </c:pt>
                <c:pt idx="242">
                  <c:v>9366.5333333332783</c:v>
                </c:pt>
                <c:pt idx="243">
                  <c:v>9350.1333333332786</c:v>
                </c:pt>
                <c:pt idx="244">
                  <c:v>9333.7333333332772</c:v>
                </c:pt>
                <c:pt idx="245">
                  <c:v>9317.3333333332794</c:v>
                </c:pt>
                <c:pt idx="246">
                  <c:v>9300.9333333332761</c:v>
                </c:pt>
                <c:pt idx="247">
                  <c:v>9284.5333333332783</c:v>
                </c:pt>
                <c:pt idx="248">
                  <c:v>9268.133333333275</c:v>
                </c:pt>
                <c:pt idx="249">
                  <c:v>9250.9933333332719</c:v>
                </c:pt>
                <c:pt idx="250">
                  <c:v>9233.1133333332691</c:v>
                </c:pt>
                <c:pt idx="251">
                  <c:v>9214.4933333332683</c:v>
                </c:pt>
                <c:pt idx="252">
                  <c:v>9195.1333333332641</c:v>
                </c:pt>
                <c:pt idx="253">
                  <c:v>9175.0333333332637</c:v>
                </c:pt>
                <c:pt idx="254">
                  <c:v>9154.9333333332634</c:v>
                </c:pt>
                <c:pt idx="255">
                  <c:v>9134.8333333332648</c:v>
                </c:pt>
                <c:pt idx="256">
                  <c:v>9114.7333333332626</c:v>
                </c:pt>
                <c:pt idx="257">
                  <c:v>9094.6333333332623</c:v>
                </c:pt>
                <c:pt idx="258">
                  <c:v>9074.5333333332565</c:v>
                </c:pt>
                <c:pt idx="259">
                  <c:v>9053.3399999999201</c:v>
                </c:pt>
                <c:pt idx="260">
                  <c:v>9031.0533333332478</c:v>
                </c:pt>
                <c:pt idx="261">
                  <c:v>9007.673333333245</c:v>
                </c:pt>
                <c:pt idx="262">
                  <c:v>8983.1999999999061</c:v>
                </c:pt>
                <c:pt idx="263">
                  <c:v>8957.6333333332386</c:v>
                </c:pt>
                <c:pt idx="264">
                  <c:v>8932.0666666665729</c:v>
                </c:pt>
                <c:pt idx="265">
                  <c:v>8906.4999999999036</c:v>
                </c:pt>
                <c:pt idx="266">
                  <c:v>8880.9333333332361</c:v>
                </c:pt>
                <c:pt idx="267">
                  <c:v>8855.3666666665686</c:v>
                </c:pt>
                <c:pt idx="268">
                  <c:v>8829.799999999892</c:v>
                </c:pt>
                <c:pt idx="269">
                  <c:v>8801.9199999998837</c:v>
                </c:pt>
                <c:pt idx="270">
                  <c:v>8771.7266666665419</c:v>
                </c:pt>
                <c:pt idx="271">
                  <c:v>8739.2199999998647</c:v>
                </c:pt>
                <c:pt idx="272">
                  <c:v>8704.3999999998541</c:v>
                </c:pt>
                <c:pt idx="273">
                  <c:v>8667.2666666665209</c:v>
                </c:pt>
                <c:pt idx="274">
                  <c:v>8630.1333333331877</c:v>
                </c:pt>
                <c:pt idx="275">
                  <c:v>8592.9999999998545</c:v>
                </c:pt>
                <c:pt idx="276">
                  <c:v>8555.8666666665213</c:v>
                </c:pt>
                <c:pt idx="277">
                  <c:v>8518.7333333331881</c:v>
                </c:pt>
                <c:pt idx="278">
                  <c:v>8481.5999999998439</c:v>
                </c:pt>
                <c:pt idx="279">
                  <c:v>8442.0933333331686</c:v>
                </c:pt>
                <c:pt idx="280">
                  <c:v>8400.2133333331585</c:v>
                </c:pt>
                <c:pt idx="281">
                  <c:v>8355.9599999998154</c:v>
                </c:pt>
                <c:pt idx="282">
                  <c:v>8309.3333333331393</c:v>
                </c:pt>
                <c:pt idx="283">
                  <c:v>8260.3333333331393</c:v>
                </c:pt>
                <c:pt idx="284">
                  <c:v>8211.3333333331393</c:v>
                </c:pt>
                <c:pt idx="285">
                  <c:v>8162.3333333331375</c:v>
                </c:pt>
                <c:pt idx="286">
                  <c:v>8113.3333333331366</c:v>
                </c:pt>
                <c:pt idx="287">
                  <c:v>8064.3333333331366</c:v>
                </c:pt>
                <c:pt idx="288">
                  <c:v>8015.3333333331248</c:v>
                </c:pt>
                <c:pt idx="289">
                  <c:v>7963.8866666664489</c:v>
                </c:pt>
                <c:pt idx="290">
                  <c:v>7909.9933333331037</c:v>
                </c:pt>
                <c:pt idx="291">
                  <c:v>7853.6533333330926</c:v>
                </c:pt>
                <c:pt idx="292">
                  <c:v>7794.8666666664139</c:v>
                </c:pt>
                <c:pt idx="293">
                  <c:v>7733.6333333330813</c:v>
                </c:pt>
                <c:pt idx="294">
                  <c:v>7672.3999999997468</c:v>
                </c:pt>
                <c:pt idx="295">
                  <c:v>7611.1666666664123</c:v>
                </c:pt>
                <c:pt idx="296">
                  <c:v>7549.9333333330769</c:v>
                </c:pt>
                <c:pt idx="297">
                  <c:v>7488.6999999997424</c:v>
                </c:pt>
                <c:pt idx="298">
                  <c:v>7427.466666666407</c:v>
                </c:pt>
                <c:pt idx="299">
                  <c:v>7365.7433333330682</c:v>
                </c:pt>
                <c:pt idx="300">
                  <c:v>7303.5299999997324</c:v>
                </c:pt>
                <c:pt idx="301">
                  <c:v>7240.8266666663958</c:v>
                </c:pt>
                <c:pt idx="302">
                  <c:v>7177.6333333330595</c:v>
                </c:pt>
                <c:pt idx="303">
                  <c:v>7113.9499999997252</c:v>
                </c:pt>
                <c:pt idx="304">
                  <c:v>7050.2666666663908</c:v>
                </c:pt>
                <c:pt idx="305">
                  <c:v>6986.5833333330565</c:v>
                </c:pt>
                <c:pt idx="306">
                  <c:v>6922.8999999997204</c:v>
                </c:pt>
                <c:pt idx="307">
                  <c:v>6859.2166666663861</c:v>
                </c:pt>
                <c:pt idx="308">
                  <c:v>6795.5333333330491</c:v>
                </c:pt>
                <c:pt idx="309">
                  <c:v>6731.0033333330448</c:v>
                </c:pt>
                <c:pt idx="310">
                  <c:v>6665.6266666663723</c:v>
                </c:pt>
                <c:pt idx="311">
                  <c:v>6599.4033333330353</c:v>
                </c:pt>
                <c:pt idx="312">
                  <c:v>6532.3333333330302</c:v>
                </c:pt>
                <c:pt idx="313">
                  <c:v>6464.4166666663632</c:v>
                </c:pt>
                <c:pt idx="314">
                  <c:v>6396.4999999996944</c:v>
                </c:pt>
                <c:pt idx="315">
                  <c:v>6328.5833333330283</c:v>
                </c:pt>
                <c:pt idx="316">
                  <c:v>6260.6666666663605</c:v>
                </c:pt>
                <c:pt idx="317">
                  <c:v>6192.7499999996935</c:v>
                </c:pt>
                <c:pt idx="318">
                  <c:v>6124.8333333330247</c:v>
                </c:pt>
                <c:pt idx="319">
                  <c:v>6056.7966666663569</c:v>
                </c:pt>
                <c:pt idx="320">
                  <c:v>5988.6399999996893</c:v>
                </c:pt>
                <c:pt idx="321">
                  <c:v>5920.3633333330217</c:v>
                </c:pt>
                <c:pt idx="322">
                  <c:v>5851.9666666663534</c:v>
                </c:pt>
                <c:pt idx="323">
                  <c:v>5783.449999999686</c:v>
                </c:pt>
                <c:pt idx="324">
                  <c:v>5714.9333333330187</c:v>
                </c:pt>
                <c:pt idx="325">
                  <c:v>5646.4166666663514</c:v>
                </c:pt>
                <c:pt idx="326">
                  <c:v>5577.899999999684</c:v>
                </c:pt>
                <c:pt idx="327">
                  <c:v>5509.3833333330167</c:v>
                </c:pt>
                <c:pt idx="328">
                  <c:v>5440.8666666663476</c:v>
                </c:pt>
                <c:pt idx="329">
                  <c:v>5372.1366666663471</c:v>
                </c:pt>
                <c:pt idx="330">
                  <c:v>5303.1933333330107</c:v>
                </c:pt>
                <c:pt idx="331">
                  <c:v>5234.0366666663422</c:v>
                </c:pt>
                <c:pt idx="332">
                  <c:v>5164.6666666663396</c:v>
                </c:pt>
                <c:pt idx="333">
                  <c:v>5095.0833333330056</c:v>
                </c:pt>
                <c:pt idx="334">
                  <c:v>5025.4999999996708</c:v>
                </c:pt>
                <c:pt idx="335">
                  <c:v>4955.9166666663368</c:v>
                </c:pt>
                <c:pt idx="336">
                  <c:v>4886.333333333002</c:v>
                </c:pt>
                <c:pt idx="337">
                  <c:v>4816.7499999996671</c:v>
                </c:pt>
                <c:pt idx="338">
                  <c:v>4747.166666666335</c:v>
                </c:pt>
                <c:pt idx="339">
                  <c:v>4678.0466666663369</c:v>
                </c:pt>
                <c:pt idx="340">
                  <c:v>4609.3899999996702</c:v>
                </c:pt>
                <c:pt idx="341">
                  <c:v>4541.1966666663393</c:v>
                </c:pt>
                <c:pt idx="342">
                  <c:v>4473.4666666663397</c:v>
                </c:pt>
                <c:pt idx="343">
                  <c:v>4406.1999999996724</c:v>
                </c:pt>
                <c:pt idx="344">
                  <c:v>4338.9333333330051</c:v>
                </c:pt>
                <c:pt idx="345">
                  <c:v>4271.6666666663386</c:v>
                </c:pt>
                <c:pt idx="346">
                  <c:v>4204.3999999996713</c:v>
                </c:pt>
                <c:pt idx="347">
                  <c:v>4137.1333333330031</c:v>
                </c:pt>
                <c:pt idx="348">
                  <c:v>4069.8666666663385</c:v>
                </c:pt>
                <c:pt idx="349">
                  <c:v>4003.0833333330061</c:v>
                </c:pt>
                <c:pt idx="350">
                  <c:v>3936.7833333330082</c:v>
                </c:pt>
                <c:pt idx="351">
                  <c:v>3870.9666666663425</c:v>
                </c:pt>
                <c:pt idx="352">
                  <c:v>3805.6333333330113</c:v>
                </c:pt>
                <c:pt idx="353">
                  <c:v>3740.7833333330104</c:v>
                </c:pt>
                <c:pt idx="354">
                  <c:v>3675.9333333330092</c:v>
                </c:pt>
                <c:pt idx="355">
                  <c:v>3611.0833333330083</c:v>
                </c:pt>
                <c:pt idx="356">
                  <c:v>3546.2333333330075</c:v>
                </c:pt>
                <c:pt idx="357">
                  <c:v>3481.3833333330067</c:v>
                </c:pt>
                <c:pt idx="358">
                  <c:v>3416.5333333330104</c:v>
                </c:pt>
                <c:pt idx="359">
                  <c:v>3352.6199999996811</c:v>
                </c:pt>
                <c:pt idx="360">
                  <c:v>3289.6433333330183</c:v>
                </c:pt>
                <c:pt idx="361">
                  <c:v>3227.603333333022</c:v>
                </c:pt>
                <c:pt idx="362">
                  <c:v>3166.4999999996917</c:v>
                </c:pt>
                <c:pt idx="363">
                  <c:v>3106.3333333330238</c:v>
                </c:pt>
                <c:pt idx="364">
                  <c:v>3046.1666666663559</c:v>
                </c:pt>
                <c:pt idx="365">
                  <c:v>2985.999999999688</c:v>
                </c:pt>
                <c:pt idx="366">
                  <c:v>2925.8333333330202</c:v>
                </c:pt>
                <c:pt idx="367">
                  <c:v>2865.6666666663518</c:v>
                </c:pt>
                <c:pt idx="368">
                  <c:v>2805.4999999996926</c:v>
                </c:pt>
                <c:pt idx="369">
                  <c:v>2746.9933333330332</c:v>
                </c:pt>
                <c:pt idx="370">
                  <c:v>2690.1466666663746</c:v>
                </c:pt>
                <c:pt idx="371">
                  <c:v>2634.9599999997163</c:v>
                </c:pt>
                <c:pt idx="372">
                  <c:v>2581.4333333330574</c:v>
                </c:pt>
                <c:pt idx="373">
                  <c:v>2529.5666666663901</c:v>
                </c:pt>
                <c:pt idx="374">
                  <c:v>2477.6999999997229</c:v>
                </c:pt>
                <c:pt idx="375">
                  <c:v>2425.8333333330556</c:v>
                </c:pt>
                <c:pt idx="376">
                  <c:v>2373.9666666663884</c:v>
                </c:pt>
                <c:pt idx="377">
                  <c:v>2322.0999999997211</c:v>
                </c:pt>
                <c:pt idx="378">
                  <c:v>2270.2333333330671</c:v>
                </c:pt>
                <c:pt idx="379">
                  <c:v>2220.7199999997456</c:v>
                </c:pt>
                <c:pt idx="380">
                  <c:v>2173.5599999997585</c:v>
                </c:pt>
                <c:pt idx="381">
                  <c:v>2128.7533333331039</c:v>
                </c:pt>
                <c:pt idx="382">
                  <c:v>2086.2999999997824</c:v>
                </c:pt>
                <c:pt idx="383">
                  <c:v>2046.1999999997813</c:v>
                </c:pt>
                <c:pt idx="384">
                  <c:v>2006.0999999997814</c:v>
                </c:pt>
                <c:pt idx="385">
                  <c:v>1965.9999999997806</c:v>
                </c:pt>
                <c:pt idx="386">
                  <c:v>1925.89999999978</c:v>
                </c:pt>
                <c:pt idx="387">
                  <c:v>1885.7999999997796</c:v>
                </c:pt>
                <c:pt idx="388">
                  <c:v>1845.6999999997929</c:v>
                </c:pt>
                <c:pt idx="389">
                  <c:v>1808.1366666664733</c:v>
                </c:pt>
                <c:pt idx="390">
                  <c:v>1773.1099999998212</c:v>
                </c:pt>
                <c:pt idx="391">
                  <c:v>1740.619999999836</c:v>
                </c:pt>
                <c:pt idx="392">
                  <c:v>1710.6666666665176</c:v>
                </c:pt>
                <c:pt idx="393">
                  <c:v>1683.2499999998522</c:v>
                </c:pt>
                <c:pt idx="394">
                  <c:v>1655.8333333331871</c:v>
                </c:pt>
                <c:pt idx="395">
                  <c:v>1628.4166666665219</c:v>
                </c:pt>
                <c:pt idx="396">
                  <c:v>1600.9999999998565</c:v>
                </c:pt>
                <c:pt idx="397">
                  <c:v>1573.5833333331914</c:v>
                </c:pt>
                <c:pt idx="398">
                  <c:v>1546.1666666665374</c:v>
                </c:pt>
                <c:pt idx="399">
                  <c:v>1520.9999999998831</c:v>
                </c:pt>
                <c:pt idx="400">
                  <c:v>1498.0833333332291</c:v>
                </c:pt>
                <c:pt idx="401">
                  <c:v>1477.4166666665749</c:v>
                </c:pt>
                <c:pt idx="402">
                  <c:v>1458.9999999999204</c:v>
                </c:pt>
                <c:pt idx="403">
                  <c:v>1442.8333333332546</c:v>
                </c:pt>
                <c:pt idx="404">
                  <c:v>1426.666666666589</c:v>
                </c:pt>
                <c:pt idx="405">
                  <c:v>1410.4999999999231</c:v>
                </c:pt>
                <c:pt idx="406">
                  <c:v>1394.3333333332578</c:v>
                </c:pt>
                <c:pt idx="407">
                  <c:v>1378.1666666665919</c:v>
                </c:pt>
                <c:pt idx="408">
                  <c:v>1361.9999999999329</c:v>
                </c:pt>
                <c:pt idx="409">
                  <c:v>1347.3299999999404</c:v>
                </c:pt>
                <c:pt idx="410">
                  <c:v>1334.1566666666145</c:v>
                </c:pt>
                <c:pt idx="411">
                  <c:v>1322.479999999955</c:v>
                </c:pt>
                <c:pt idx="412">
                  <c:v>1312.2999999999622</c:v>
                </c:pt>
                <c:pt idx="413">
                  <c:v>1303.6166666666293</c:v>
                </c:pt>
                <c:pt idx="414">
                  <c:v>1294.9333333332966</c:v>
                </c:pt>
                <c:pt idx="415">
                  <c:v>1286.2499999999636</c:v>
                </c:pt>
                <c:pt idx="416">
                  <c:v>1277.5666666666309</c:v>
                </c:pt>
                <c:pt idx="417">
                  <c:v>1268.8833333332982</c:v>
                </c:pt>
                <c:pt idx="418">
                  <c:v>1260.1999999999684</c:v>
                </c:pt>
                <c:pt idx="419">
                  <c:v>1252.3499999999722</c:v>
                </c:pt>
                <c:pt idx="420">
                  <c:v>1245.3333333333092</c:v>
                </c:pt>
                <c:pt idx="421">
                  <c:v>1239.1499999999794</c:v>
                </c:pt>
                <c:pt idx="422">
                  <c:v>1233.7999999999829</c:v>
                </c:pt>
                <c:pt idx="423">
                  <c:v>1229.2833333333165</c:v>
                </c:pt>
                <c:pt idx="424">
                  <c:v>1224.7666666666501</c:v>
                </c:pt>
                <c:pt idx="425">
                  <c:v>1220.2499999999841</c:v>
                </c:pt>
                <c:pt idx="426">
                  <c:v>1215.7333333333177</c:v>
                </c:pt>
                <c:pt idx="427">
                  <c:v>1211.2166666666512</c:v>
                </c:pt>
                <c:pt idx="428">
                  <c:v>1206.6999999999859</c:v>
                </c:pt>
                <c:pt idx="429">
                  <c:v>1202.5366666666541</c:v>
                </c:pt>
                <c:pt idx="430">
                  <c:v>1198.7266666666553</c:v>
                </c:pt>
                <c:pt idx="431">
                  <c:v>1195.2699999999902</c:v>
                </c:pt>
                <c:pt idx="432">
                  <c:v>1192.1666666666583</c:v>
                </c:pt>
                <c:pt idx="433">
                  <c:v>1189.4166666666586</c:v>
                </c:pt>
                <c:pt idx="434">
                  <c:v>1186.6666666666586</c:v>
                </c:pt>
                <c:pt idx="435">
                  <c:v>1183.9166666666588</c:v>
                </c:pt>
                <c:pt idx="436">
                  <c:v>1181.1666666666588</c:v>
                </c:pt>
                <c:pt idx="437">
                  <c:v>1178.416666666659</c:v>
                </c:pt>
                <c:pt idx="438">
                  <c:v>1175.6666666666595</c:v>
                </c:pt>
                <c:pt idx="439">
                  <c:v>1173.0233333333267</c:v>
                </c:pt>
                <c:pt idx="440">
                  <c:v>1170.4866666666603</c:v>
                </c:pt>
                <c:pt idx="441">
                  <c:v>1168.0566666666607</c:v>
                </c:pt>
                <c:pt idx="442">
                  <c:v>1165.7333333333277</c:v>
                </c:pt>
                <c:pt idx="443">
                  <c:v>1163.5166666666614</c:v>
                </c:pt>
                <c:pt idx="444">
                  <c:v>1161.2999999999945</c:v>
                </c:pt>
                <c:pt idx="445">
                  <c:v>1161.2999999999945</c:v>
                </c:pt>
                <c:pt idx="446">
                  <c:v>1161.2999999999945</c:v>
                </c:pt>
                <c:pt idx="447">
                  <c:v>1161.2999999999945</c:v>
                </c:pt>
                <c:pt idx="448">
                  <c:v>1161.2999999999945</c:v>
                </c:pt>
                <c:pt idx="449">
                  <c:v>1161.2999999999945</c:v>
                </c:pt>
                <c:pt idx="450">
                  <c:v>1161.2999999999945</c:v>
                </c:pt>
                <c:pt idx="451">
                  <c:v>1161.2999999999945</c:v>
                </c:pt>
                <c:pt idx="452">
                  <c:v>1161.2999999999945</c:v>
                </c:pt>
                <c:pt idx="453">
                  <c:v>1161.2999999999945</c:v>
                </c:pt>
                <c:pt idx="454">
                  <c:v>1161.2999999999945</c:v>
                </c:pt>
                <c:pt idx="455">
                  <c:v>1161.2999999999945</c:v>
                </c:pt>
                <c:pt idx="456">
                  <c:v>1161.2999999999945</c:v>
                </c:pt>
                <c:pt idx="457">
                  <c:v>1161.2999999999945</c:v>
                </c:pt>
                <c:pt idx="458">
                  <c:v>1161.2999999999945</c:v>
                </c:pt>
                <c:pt idx="459">
                  <c:v>1161.2999999999945</c:v>
                </c:pt>
                <c:pt idx="460">
                  <c:v>1161.2999999999945</c:v>
                </c:pt>
                <c:pt idx="461">
                  <c:v>1161.2999999999945</c:v>
                </c:pt>
                <c:pt idx="462">
                  <c:v>1161.2999999999945</c:v>
                </c:pt>
                <c:pt idx="463">
                  <c:v>1161.2999999999945</c:v>
                </c:pt>
                <c:pt idx="464">
                  <c:v>1161.2999999999945</c:v>
                </c:pt>
                <c:pt idx="465">
                  <c:v>1161.2999999999945</c:v>
                </c:pt>
                <c:pt idx="466">
                  <c:v>1161.2999999999945</c:v>
                </c:pt>
                <c:pt idx="467">
                  <c:v>1161.2999999999945</c:v>
                </c:pt>
                <c:pt idx="468">
                  <c:v>1161.2999999999945</c:v>
                </c:pt>
                <c:pt idx="469">
                  <c:v>1161.2999999999945</c:v>
                </c:pt>
                <c:pt idx="470">
                  <c:v>1161.2999999999945</c:v>
                </c:pt>
                <c:pt idx="471">
                  <c:v>1161.2999999999945</c:v>
                </c:pt>
                <c:pt idx="472">
                  <c:v>1161.2999999999945</c:v>
                </c:pt>
                <c:pt idx="473">
                  <c:v>1161.2999999999945</c:v>
                </c:pt>
                <c:pt idx="474">
                  <c:v>1161.2999999999945</c:v>
                </c:pt>
                <c:pt idx="475">
                  <c:v>1161.2999999999945</c:v>
                </c:pt>
                <c:pt idx="476">
                  <c:v>1161.2999999999945</c:v>
                </c:pt>
                <c:pt idx="477">
                  <c:v>1161.2999999999945</c:v>
                </c:pt>
                <c:pt idx="478">
                  <c:v>1161.2999999999945</c:v>
                </c:pt>
                <c:pt idx="479">
                  <c:v>1161.2999999999945</c:v>
                </c:pt>
                <c:pt idx="480">
                  <c:v>1161.2999999999945</c:v>
                </c:pt>
                <c:pt idx="481">
                  <c:v>1161.2999999999945</c:v>
                </c:pt>
                <c:pt idx="482">
                  <c:v>1161.2999999999945</c:v>
                </c:pt>
                <c:pt idx="483">
                  <c:v>1161.2999999999945</c:v>
                </c:pt>
                <c:pt idx="484">
                  <c:v>1161.2999999999945</c:v>
                </c:pt>
                <c:pt idx="485">
                  <c:v>1161.2999999999945</c:v>
                </c:pt>
                <c:pt idx="486">
                  <c:v>1161.2999999999945</c:v>
                </c:pt>
                <c:pt idx="487">
                  <c:v>1161.2999999999945</c:v>
                </c:pt>
                <c:pt idx="488">
                  <c:v>1161.2999999999945</c:v>
                </c:pt>
                <c:pt idx="489">
                  <c:v>1161.2999999999945</c:v>
                </c:pt>
                <c:pt idx="490">
                  <c:v>1161.2999999999945</c:v>
                </c:pt>
                <c:pt idx="491">
                  <c:v>1161.2999999999945</c:v>
                </c:pt>
                <c:pt idx="492">
                  <c:v>1161.2999999999945</c:v>
                </c:pt>
                <c:pt idx="493">
                  <c:v>1161.2999999999945</c:v>
                </c:pt>
                <c:pt idx="494">
                  <c:v>1161.2999999999945</c:v>
                </c:pt>
                <c:pt idx="495">
                  <c:v>1161.2999999999945</c:v>
                </c:pt>
                <c:pt idx="496">
                  <c:v>1161.2999999999945</c:v>
                </c:pt>
                <c:pt idx="497">
                  <c:v>1161.2999999999945</c:v>
                </c:pt>
                <c:pt idx="498">
                  <c:v>1161.2999999999945</c:v>
                </c:pt>
                <c:pt idx="499">
                  <c:v>1161.2999999999945</c:v>
                </c:pt>
                <c:pt idx="500">
                  <c:v>1161.2999999999945</c:v>
                </c:pt>
                <c:pt idx="501">
                  <c:v>1161.2999999999945</c:v>
                </c:pt>
                <c:pt idx="502">
                  <c:v>1161.2999999999945</c:v>
                </c:pt>
                <c:pt idx="503">
                  <c:v>1161.2999999999945</c:v>
                </c:pt>
                <c:pt idx="504">
                  <c:v>1161.2999999999945</c:v>
                </c:pt>
                <c:pt idx="505">
                  <c:v>1161.2999999999945</c:v>
                </c:pt>
                <c:pt idx="506">
                  <c:v>1161.2999999999945</c:v>
                </c:pt>
                <c:pt idx="507">
                  <c:v>1161.2999999999945</c:v>
                </c:pt>
                <c:pt idx="508">
                  <c:v>1161.2999999999945</c:v>
                </c:pt>
                <c:pt idx="509">
                  <c:v>1161.2999999999945</c:v>
                </c:pt>
                <c:pt idx="510">
                  <c:v>1161.2999999999945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06-4ACB-84BA-8940E7FDB0D9}"/>
            </c:ext>
          </c:extLst>
        </c:ser>
        <c:ser>
          <c:idx val="3"/>
          <c:order val="1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Curves!$AK$2:$AK$512</c:f>
              <c:numCache>
                <c:formatCode>0.0</c:formatCode>
                <c:ptCount val="511"/>
                <c:pt idx="0">
                  <c:v>25</c:v>
                </c:pt>
                <c:pt idx="1">
                  <c:v>25.1</c:v>
                </c:pt>
                <c:pt idx="2">
                  <c:v>25.200000000000003</c:v>
                </c:pt>
                <c:pt idx="3">
                  <c:v>25.300000000000004</c:v>
                </c:pt>
                <c:pt idx="4">
                  <c:v>25.400000000000006</c:v>
                </c:pt>
                <c:pt idx="5">
                  <c:v>25.500000000000007</c:v>
                </c:pt>
                <c:pt idx="6">
                  <c:v>25.600000000000009</c:v>
                </c:pt>
                <c:pt idx="7">
                  <c:v>25.70000000000001</c:v>
                </c:pt>
                <c:pt idx="8">
                  <c:v>25.800000000000011</c:v>
                </c:pt>
                <c:pt idx="9">
                  <c:v>25.900000000000013</c:v>
                </c:pt>
                <c:pt idx="10">
                  <c:v>26.000000000000014</c:v>
                </c:pt>
                <c:pt idx="11">
                  <c:v>26.100000000000016</c:v>
                </c:pt>
                <c:pt idx="12">
                  <c:v>26.200000000000017</c:v>
                </c:pt>
                <c:pt idx="13">
                  <c:v>26.300000000000018</c:v>
                </c:pt>
                <c:pt idx="14">
                  <c:v>26.40000000000002</c:v>
                </c:pt>
                <c:pt idx="15">
                  <c:v>26.500000000000021</c:v>
                </c:pt>
                <c:pt idx="16">
                  <c:v>26.600000000000023</c:v>
                </c:pt>
                <c:pt idx="17">
                  <c:v>26.700000000000024</c:v>
                </c:pt>
                <c:pt idx="18">
                  <c:v>26.800000000000026</c:v>
                </c:pt>
                <c:pt idx="19">
                  <c:v>26.900000000000027</c:v>
                </c:pt>
                <c:pt idx="20">
                  <c:v>27.000000000000028</c:v>
                </c:pt>
                <c:pt idx="21">
                  <c:v>27.10000000000003</c:v>
                </c:pt>
                <c:pt idx="22">
                  <c:v>27.200000000000031</c:v>
                </c:pt>
                <c:pt idx="23">
                  <c:v>27.300000000000033</c:v>
                </c:pt>
                <c:pt idx="24">
                  <c:v>27.400000000000034</c:v>
                </c:pt>
                <c:pt idx="25">
                  <c:v>27.500000000000036</c:v>
                </c:pt>
                <c:pt idx="26">
                  <c:v>27.600000000000037</c:v>
                </c:pt>
                <c:pt idx="27">
                  <c:v>27.700000000000038</c:v>
                </c:pt>
                <c:pt idx="28">
                  <c:v>27.80000000000004</c:v>
                </c:pt>
                <c:pt idx="29">
                  <c:v>27.900000000000041</c:v>
                </c:pt>
                <c:pt idx="30">
                  <c:v>28.000000000000043</c:v>
                </c:pt>
                <c:pt idx="31">
                  <c:v>28.100000000000044</c:v>
                </c:pt>
                <c:pt idx="32">
                  <c:v>28.200000000000045</c:v>
                </c:pt>
                <c:pt idx="33">
                  <c:v>28.300000000000047</c:v>
                </c:pt>
                <c:pt idx="34">
                  <c:v>28.400000000000048</c:v>
                </c:pt>
                <c:pt idx="35">
                  <c:v>28.50000000000005</c:v>
                </c:pt>
                <c:pt idx="36">
                  <c:v>28.600000000000051</c:v>
                </c:pt>
                <c:pt idx="37">
                  <c:v>28.700000000000053</c:v>
                </c:pt>
                <c:pt idx="38">
                  <c:v>28.800000000000054</c:v>
                </c:pt>
                <c:pt idx="39">
                  <c:v>28.900000000000055</c:v>
                </c:pt>
                <c:pt idx="40">
                  <c:v>29.000000000000057</c:v>
                </c:pt>
                <c:pt idx="41">
                  <c:v>29.100000000000058</c:v>
                </c:pt>
                <c:pt idx="42">
                  <c:v>29.20000000000006</c:v>
                </c:pt>
                <c:pt idx="43">
                  <c:v>29.300000000000061</c:v>
                </c:pt>
                <c:pt idx="44">
                  <c:v>29.400000000000063</c:v>
                </c:pt>
                <c:pt idx="45">
                  <c:v>29.500000000000064</c:v>
                </c:pt>
                <c:pt idx="46">
                  <c:v>29.600000000000065</c:v>
                </c:pt>
                <c:pt idx="47">
                  <c:v>29.700000000000067</c:v>
                </c:pt>
                <c:pt idx="48">
                  <c:v>29.800000000000068</c:v>
                </c:pt>
                <c:pt idx="49">
                  <c:v>29.90000000000007</c:v>
                </c:pt>
                <c:pt idx="50">
                  <c:v>30.000000000000071</c:v>
                </c:pt>
                <c:pt idx="51">
                  <c:v>30.100000000000072</c:v>
                </c:pt>
                <c:pt idx="52">
                  <c:v>30.200000000000074</c:v>
                </c:pt>
                <c:pt idx="53">
                  <c:v>30.300000000000075</c:v>
                </c:pt>
                <c:pt idx="54">
                  <c:v>30.400000000000077</c:v>
                </c:pt>
                <c:pt idx="55">
                  <c:v>30.500000000000078</c:v>
                </c:pt>
                <c:pt idx="56">
                  <c:v>30.60000000000008</c:v>
                </c:pt>
                <c:pt idx="57">
                  <c:v>30.700000000000081</c:v>
                </c:pt>
                <c:pt idx="58">
                  <c:v>30.800000000000082</c:v>
                </c:pt>
                <c:pt idx="59">
                  <c:v>30.900000000000084</c:v>
                </c:pt>
                <c:pt idx="60">
                  <c:v>31.000000000000085</c:v>
                </c:pt>
                <c:pt idx="61">
                  <c:v>31.100000000000087</c:v>
                </c:pt>
                <c:pt idx="62">
                  <c:v>31.200000000000088</c:v>
                </c:pt>
                <c:pt idx="63">
                  <c:v>31.30000000000009</c:v>
                </c:pt>
                <c:pt idx="64">
                  <c:v>31.400000000000091</c:v>
                </c:pt>
                <c:pt idx="65">
                  <c:v>31.500000000000092</c:v>
                </c:pt>
                <c:pt idx="66">
                  <c:v>31.600000000000094</c:v>
                </c:pt>
                <c:pt idx="67">
                  <c:v>31.700000000000095</c:v>
                </c:pt>
                <c:pt idx="68">
                  <c:v>31.800000000000097</c:v>
                </c:pt>
                <c:pt idx="69">
                  <c:v>31.900000000000098</c:v>
                </c:pt>
                <c:pt idx="70">
                  <c:v>32.000000000000099</c:v>
                </c:pt>
                <c:pt idx="71">
                  <c:v>32.100000000000101</c:v>
                </c:pt>
                <c:pt idx="72">
                  <c:v>32.200000000000102</c:v>
                </c:pt>
                <c:pt idx="73">
                  <c:v>32.300000000000104</c:v>
                </c:pt>
                <c:pt idx="74">
                  <c:v>32.400000000000105</c:v>
                </c:pt>
                <c:pt idx="75">
                  <c:v>32.500000000000107</c:v>
                </c:pt>
                <c:pt idx="76">
                  <c:v>32.600000000000108</c:v>
                </c:pt>
                <c:pt idx="77">
                  <c:v>32.700000000000109</c:v>
                </c:pt>
                <c:pt idx="78">
                  <c:v>32.800000000000111</c:v>
                </c:pt>
                <c:pt idx="79">
                  <c:v>32.900000000000112</c:v>
                </c:pt>
                <c:pt idx="80">
                  <c:v>33.000000000000114</c:v>
                </c:pt>
                <c:pt idx="81">
                  <c:v>33.100000000000115</c:v>
                </c:pt>
                <c:pt idx="82">
                  <c:v>33.200000000000117</c:v>
                </c:pt>
                <c:pt idx="83">
                  <c:v>33.300000000000118</c:v>
                </c:pt>
                <c:pt idx="84">
                  <c:v>33.400000000000119</c:v>
                </c:pt>
                <c:pt idx="85">
                  <c:v>33.500000000000121</c:v>
                </c:pt>
                <c:pt idx="86">
                  <c:v>33.600000000000122</c:v>
                </c:pt>
                <c:pt idx="87">
                  <c:v>33.700000000000124</c:v>
                </c:pt>
                <c:pt idx="88">
                  <c:v>33.800000000000125</c:v>
                </c:pt>
                <c:pt idx="89">
                  <c:v>33.900000000000126</c:v>
                </c:pt>
                <c:pt idx="90">
                  <c:v>34.000000000000128</c:v>
                </c:pt>
                <c:pt idx="91">
                  <c:v>34.100000000000129</c:v>
                </c:pt>
                <c:pt idx="92">
                  <c:v>34.200000000000131</c:v>
                </c:pt>
                <c:pt idx="93">
                  <c:v>34.300000000000132</c:v>
                </c:pt>
                <c:pt idx="94">
                  <c:v>34.400000000000134</c:v>
                </c:pt>
                <c:pt idx="95">
                  <c:v>34.500000000000135</c:v>
                </c:pt>
                <c:pt idx="96">
                  <c:v>34.600000000000136</c:v>
                </c:pt>
                <c:pt idx="97">
                  <c:v>34.700000000000138</c:v>
                </c:pt>
                <c:pt idx="98">
                  <c:v>34.800000000000139</c:v>
                </c:pt>
                <c:pt idx="99">
                  <c:v>34.900000000000141</c:v>
                </c:pt>
                <c:pt idx="100">
                  <c:v>35.000000000000142</c:v>
                </c:pt>
                <c:pt idx="101">
                  <c:v>35.100000000000144</c:v>
                </c:pt>
                <c:pt idx="102">
                  <c:v>35.200000000000145</c:v>
                </c:pt>
                <c:pt idx="103">
                  <c:v>35.300000000000146</c:v>
                </c:pt>
                <c:pt idx="104">
                  <c:v>35.400000000000148</c:v>
                </c:pt>
                <c:pt idx="105">
                  <c:v>35.500000000000149</c:v>
                </c:pt>
                <c:pt idx="106">
                  <c:v>35.600000000000151</c:v>
                </c:pt>
                <c:pt idx="107">
                  <c:v>35.700000000000152</c:v>
                </c:pt>
                <c:pt idx="108">
                  <c:v>35.800000000000153</c:v>
                </c:pt>
                <c:pt idx="109">
                  <c:v>35.900000000000155</c:v>
                </c:pt>
                <c:pt idx="110">
                  <c:v>36.000000000000156</c:v>
                </c:pt>
                <c:pt idx="111">
                  <c:v>36.100000000000158</c:v>
                </c:pt>
                <c:pt idx="112">
                  <c:v>36.200000000000159</c:v>
                </c:pt>
                <c:pt idx="113">
                  <c:v>36.300000000000161</c:v>
                </c:pt>
                <c:pt idx="114">
                  <c:v>36.400000000000162</c:v>
                </c:pt>
                <c:pt idx="115">
                  <c:v>36.500000000000163</c:v>
                </c:pt>
                <c:pt idx="116">
                  <c:v>36.600000000000165</c:v>
                </c:pt>
                <c:pt idx="117">
                  <c:v>36.700000000000166</c:v>
                </c:pt>
                <c:pt idx="118">
                  <c:v>36.800000000000168</c:v>
                </c:pt>
                <c:pt idx="119">
                  <c:v>36.900000000000169</c:v>
                </c:pt>
                <c:pt idx="120">
                  <c:v>37.000000000000171</c:v>
                </c:pt>
                <c:pt idx="121">
                  <c:v>37.100000000000172</c:v>
                </c:pt>
                <c:pt idx="122">
                  <c:v>37.200000000000173</c:v>
                </c:pt>
                <c:pt idx="123">
                  <c:v>37.300000000000175</c:v>
                </c:pt>
                <c:pt idx="124">
                  <c:v>37.400000000000176</c:v>
                </c:pt>
                <c:pt idx="125">
                  <c:v>37.500000000000178</c:v>
                </c:pt>
                <c:pt idx="126">
                  <c:v>37.600000000000179</c:v>
                </c:pt>
                <c:pt idx="127">
                  <c:v>37.70000000000018</c:v>
                </c:pt>
                <c:pt idx="128">
                  <c:v>37.800000000000182</c:v>
                </c:pt>
                <c:pt idx="129">
                  <c:v>37.900000000000183</c:v>
                </c:pt>
                <c:pt idx="130">
                  <c:v>38.000000000000185</c:v>
                </c:pt>
                <c:pt idx="131">
                  <c:v>38.100000000000186</c:v>
                </c:pt>
                <c:pt idx="132">
                  <c:v>38.200000000000188</c:v>
                </c:pt>
                <c:pt idx="133">
                  <c:v>38.300000000000189</c:v>
                </c:pt>
                <c:pt idx="134">
                  <c:v>38.40000000000019</c:v>
                </c:pt>
                <c:pt idx="135">
                  <c:v>38.500000000000192</c:v>
                </c:pt>
                <c:pt idx="136">
                  <c:v>38.600000000000193</c:v>
                </c:pt>
                <c:pt idx="137">
                  <c:v>38.700000000000195</c:v>
                </c:pt>
                <c:pt idx="138">
                  <c:v>38.800000000000196</c:v>
                </c:pt>
                <c:pt idx="139">
                  <c:v>38.900000000000198</c:v>
                </c:pt>
                <c:pt idx="140">
                  <c:v>39.000000000000199</c:v>
                </c:pt>
                <c:pt idx="141">
                  <c:v>39.1000000000002</c:v>
                </c:pt>
                <c:pt idx="142">
                  <c:v>39.200000000000202</c:v>
                </c:pt>
                <c:pt idx="143">
                  <c:v>39.300000000000203</c:v>
                </c:pt>
                <c:pt idx="144">
                  <c:v>39.400000000000205</c:v>
                </c:pt>
                <c:pt idx="145">
                  <c:v>39.500000000000206</c:v>
                </c:pt>
                <c:pt idx="146">
                  <c:v>39.600000000000207</c:v>
                </c:pt>
                <c:pt idx="147">
                  <c:v>39.700000000000209</c:v>
                </c:pt>
                <c:pt idx="148">
                  <c:v>39.80000000000021</c:v>
                </c:pt>
                <c:pt idx="149">
                  <c:v>39.900000000000212</c:v>
                </c:pt>
                <c:pt idx="150">
                  <c:v>40.000000000000213</c:v>
                </c:pt>
                <c:pt idx="151">
                  <c:v>40.100000000000215</c:v>
                </c:pt>
                <c:pt idx="152">
                  <c:v>40.200000000000216</c:v>
                </c:pt>
                <c:pt idx="153">
                  <c:v>40.300000000000217</c:v>
                </c:pt>
                <c:pt idx="154">
                  <c:v>40.400000000000219</c:v>
                </c:pt>
                <c:pt idx="155">
                  <c:v>40.50000000000022</c:v>
                </c:pt>
                <c:pt idx="156">
                  <c:v>40.600000000000222</c:v>
                </c:pt>
                <c:pt idx="157">
                  <c:v>40.700000000000223</c:v>
                </c:pt>
                <c:pt idx="158">
                  <c:v>40.800000000000225</c:v>
                </c:pt>
                <c:pt idx="159">
                  <c:v>40.900000000000226</c:v>
                </c:pt>
                <c:pt idx="160">
                  <c:v>41.000000000000227</c:v>
                </c:pt>
                <c:pt idx="161">
                  <c:v>41.100000000000229</c:v>
                </c:pt>
                <c:pt idx="162">
                  <c:v>41.20000000000023</c:v>
                </c:pt>
                <c:pt idx="163">
                  <c:v>41.300000000000232</c:v>
                </c:pt>
                <c:pt idx="164">
                  <c:v>41.400000000000233</c:v>
                </c:pt>
                <c:pt idx="165">
                  <c:v>41.500000000000234</c:v>
                </c:pt>
                <c:pt idx="166">
                  <c:v>41.600000000000236</c:v>
                </c:pt>
                <c:pt idx="167">
                  <c:v>41.700000000000237</c:v>
                </c:pt>
                <c:pt idx="168">
                  <c:v>41.800000000000239</c:v>
                </c:pt>
                <c:pt idx="169">
                  <c:v>41.90000000000024</c:v>
                </c:pt>
                <c:pt idx="170">
                  <c:v>42.000000000000242</c:v>
                </c:pt>
                <c:pt idx="171">
                  <c:v>42.100000000000243</c:v>
                </c:pt>
                <c:pt idx="172">
                  <c:v>42.200000000000244</c:v>
                </c:pt>
                <c:pt idx="173">
                  <c:v>42.300000000000246</c:v>
                </c:pt>
                <c:pt idx="174">
                  <c:v>42.400000000000247</c:v>
                </c:pt>
                <c:pt idx="175">
                  <c:v>42.500000000000249</c:v>
                </c:pt>
                <c:pt idx="176">
                  <c:v>42.60000000000025</c:v>
                </c:pt>
                <c:pt idx="177">
                  <c:v>42.700000000000252</c:v>
                </c:pt>
                <c:pt idx="178">
                  <c:v>42.800000000000253</c:v>
                </c:pt>
                <c:pt idx="179">
                  <c:v>42.900000000000254</c:v>
                </c:pt>
                <c:pt idx="180">
                  <c:v>43.000000000000256</c:v>
                </c:pt>
                <c:pt idx="181">
                  <c:v>43.100000000000257</c:v>
                </c:pt>
                <c:pt idx="182">
                  <c:v>43.200000000000259</c:v>
                </c:pt>
                <c:pt idx="183">
                  <c:v>43.30000000000026</c:v>
                </c:pt>
                <c:pt idx="184">
                  <c:v>43.400000000000261</c:v>
                </c:pt>
                <c:pt idx="185">
                  <c:v>43.500000000000263</c:v>
                </c:pt>
                <c:pt idx="186">
                  <c:v>43.600000000000264</c:v>
                </c:pt>
                <c:pt idx="187">
                  <c:v>43.700000000000266</c:v>
                </c:pt>
                <c:pt idx="188">
                  <c:v>43.800000000000267</c:v>
                </c:pt>
                <c:pt idx="189">
                  <c:v>43.900000000000269</c:v>
                </c:pt>
                <c:pt idx="190">
                  <c:v>44.00000000000027</c:v>
                </c:pt>
                <c:pt idx="191">
                  <c:v>44.100000000000271</c:v>
                </c:pt>
                <c:pt idx="192">
                  <c:v>44.200000000000273</c:v>
                </c:pt>
                <c:pt idx="193">
                  <c:v>44.300000000000274</c:v>
                </c:pt>
                <c:pt idx="194">
                  <c:v>44.400000000000276</c:v>
                </c:pt>
                <c:pt idx="195">
                  <c:v>44.500000000000277</c:v>
                </c:pt>
                <c:pt idx="196">
                  <c:v>44.600000000000279</c:v>
                </c:pt>
                <c:pt idx="197">
                  <c:v>44.70000000000028</c:v>
                </c:pt>
                <c:pt idx="198">
                  <c:v>44.800000000000281</c:v>
                </c:pt>
                <c:pt idx="199">
                  <c:v>44.900000000000283</c:v>
                </c:pt>
                <c:pt idx="200">
                  <c:v>45.000000000000284</c:v>
                </c:pt>
                <c:pt idx="201">
                  <c:v>45.100000000000286</c:v>
                </c:pt>
                <c:pt idx="202">
                  <c:v>45.200000000000287</c:v>
                </c:pt>
                <c:pt idx="203">
                  <c:v>45.300000000000288</c:v>
                </c:pt>
                <c:pt idx="204">
                  <c:v>45.40000000000029</c:v>
                </c:pt>
                <c:pt idx="205">
                  <c:v>45.500000000000291</c:v>
                </c:pt>
                <c:pt idx="206">
                  <c:v>45.600000000000293</c:v>
                </c:pt>
                <c:pt idx="207">
                  <c:v>45.700000000000294</c:v>
                </c:pt>
                <c:pt idx="208">
                  <c:v>45.800000000000296</c:v>
                </c:pt>
                <c:pt idx="209">
                  <c:v>45.900000000000297</c:v>
                </c:pt>
                <c:pt idx="210">
                  <c:v>46.000000000000298</c:v>
                </c:pt>
                <c:pt idx="211">
                  <c:v>46.1000000000003</c:v>
                </c:pt>
                <c:pt idx="212">
                  <c:v>46.200000000000301</c:v>
                </c:pt>
                <c:pt idx="213">
                  <c:v>46.300000000000303</c:v>
                </c:pt>
                <c:pt idx="214">
                  <c:v>46.400000000000304</c:v>
                </c:pt>
                <c:pt idx="215">
                  <c:v>46.500000000000306</c:v>
                </c:pt>
                <c:pt idx="216">
                  <c:v>46.600000000000307</c:v>
                </c:pt>
                <c:pt idx="217">
                  <c:v>46.700000000000308</c:v>
                </c:pt>
                <c:pt idx="218">
                  <c:v>46.80000000000031</c:v>
                </c:pt>
                <c:pt idx="219">
                  <c:v>46.900000000000311</c:v>
                </c:pt>
                <c:pt idx="220">
                  <c:v>47.000000000000313</c:v>
                </c:pt>
                <c:pt idx="221">
                  <c:v>47.100000000000314</c:v>
                </c:pt>
                <c:pt idx="222">
                  <c:v>47.200000000000315</c:v>
                </c:pt>
                <c:pt idx="223">
                  <c:v>47.300000000000317</c:v>
                </c:pt>
                <c:pt idx="224">
                  <c:v>47.400000000000318</c:v>
                </c:pt>
                <c:pt idx="225">
                  <c:v>47.50000000000032</c:v>
                </c:pt>
                <c:pt idx="226">
                  <c:v>47.600000000000321</c:v>
                </c:pt>
                <c:pt idx="227">
                  <c:v>47.700000000000323</c:v>
                </c:pt>
                <c:pt idx="228">
                  <c:v>47.800000000000324</c:v>
                </c:pt>
                <c:pt idx="229">
                  <c:v>47.900000000000325</c:v>
                </c:pt>
                <c:pt idx="230">
                  <c:v>48.000000000000327</c:v>
                </c:pt>
                <c:pt idx="231">
                  <c:v>48.100000000000328</c:v>
                </c:pt>
                <c:pt idx="232">
                  <c:v>48.20000000000033</c:v>
                </c:pt>
                <c:pt idx="233">
                  <c:v>48.300000000000331</c:v>
                </c:pt>
                <c:pt idx="234">
                  <c:v>48.400000000000333</c:v>
                </c:pt>
                <c:pt idx="235">
                  <c:v>48.500000000000334</c:v>
                </c:pt>
                <c:pt idx="236">
                  <c:v>48.600000000000335</c:v>
                </c:pt>
                <c:pt idx="237">
                  <c:v>48.700000000000337</c:v>
                </c:pt>
                <c:pt idx="238">
                  <c:v>48.800000000000338</c:v>
                </c:pt>
                <c:pt idx="239">
                  <c:v>48.90000000000034</c:v>
                </c:pt>
                <c:pt idx="240">
                  <c:v>49.000000000000341</c:v>
                </c:pt>
                <c:pt idx="241">
                  <c:v>49.100000000000342</c:v>
                </c:pt>
                <c:pt idx="242">
                  <c:v>49.200000000000344</c:v>
                </c:pt>
                <c:pt idx="243">
                  <c:v>49.300000000000345</c:v>
                </c:pt>
                <c:pt idx="244">
                  <c:v>49.400000000000347</c:v>
                </c:pt>
                <c:pt idx="245">
                  <c:v>49.500000000000348</c:v>
                </c:pt>
                <c:pt idx="246">
                  <c:v>49.60000000000035</c:v>
                </c:pt>
                <c:pt idx="247">
                  <c:v>49.700000000000351</c:v>
                </c:pt>
                <c:pt idx="248">
                  <c:v>49.800000000000352</c:v>
                </c:pt>
                <c:pt idx="249">
                  <c:v>49.900000000000354</c:v>
                </c:pt>
                <c:pt idx="250">
                  <c:v>50.000000000000355</c:v>
                </c:pt>
                <c:pt idx="251">
                  <c:v>50.100000000000357</c:v>
                </c:pt>
                <c:pt idx="252">
                  <c:v>50.200000000000358</c:v>
                </c:pt>
                <c:pt idx="253">
                  <c:v>50.30000000000036</c:v>
                </c:pt>
                <c:pt idx="254">
                  <c:v>50.400000000000361</c:v>
                </c:pt>
                <c:pt idx="255">
                  <c:v>50.500000000000362</c:v>
                </c:pt>
                <c:pt idx="256">
                  <c:v>50.600000000000364</c:v>
                </c:pt>
                <c:pt idx="257">
                  <c:v>50.700000000000365</c:v>
                </c:pt>
                <c:pt idx="258">
                  <c:v>50.800000000000367</c:v>
                </c:pt>
                <c:pt idx="259">
                  <c:v>50.900000000000368</c:v>
                </c:pt>
                <c:pt idx="260">
                  <c:v>51.000000000000369</c:v>
                </c:pt>
                <c:pt idx="261">
                  <c:v>51.100000000000371</c:v>
                </c:pt>
                <c:pt idx="262">
                  <c:v>51.200000000000372</c:v>
                </c:pt>
                <c:pt idx="263">
                  <c:v>51.300000000000374</c:v>
                </c:pt>
                <c:pt idx="264">
                  <c:v>51.400000000000375</c:v>
                </c:pt>
                <c:pt idx="265">
                  <c:v>51.500000000000377</c:v>
                </c:pt>
                <c:pt idx="266">
                  <c:v>51.600000000000378</c:v>
                </c:pt>
                <c:pt idx="267">
                  <c:v>51.700000000000379</c:v>
                </c:pt>
                <c:pt idx="268">
                  <c:v>51.800000000000381</c:v>
                </c:pt>
                <c:pt idx="269">
                  <c:v>51.900000000000382</c:v>
                </c:pt>
                <c:pt idx="270">
                  <c:v>52.000000000000384</c:v>
                </c:pt>
                <c:pt idx="271">
                  <c:v>52.100000000000385</c:v>
                </c:pt>
                <c:pt idx="272">
                  <c:v>52.200000000000387</c:v>
                </c:pt>
                <c:pt idx="273">
                  <c:v>52.300000000000388</c:v>
                </c:pt>
                <c:pt idx="274">
                  <c:v>52.400000000000389</c:v>
                </c:pt>
                <c:pt idx="275">
                  <c:v>52.500000000000391</c:v>
                </c:pt>
                <c:pt idx="276">
                  <c:v>52.600000000000392</c:v>
                </c:pt>
                <c:pt idx="277">
                  <c:v>52.700000000000394</c:v>
                </c:pt>
                <c:pt idx="278">
                  <c:v>52.800000000000395</c:v>
                </c:pt>
                <c:pt idx="279">
                  <c:v>52.900000000000396</c:v>
                </c:pt>
                <c:pt idx="280">
                  <c:v>53.000000000000398</c:v>
                </c:pt>
                <c:pt idx="281">
                  <c:v>53.100000000000399</c:v>
                </c:pt>
                <c:pt idx="282">
                  <c:v>53.200000000000401</c:v>
                </c:pt>
                <c:pt idx="283">
                  <c:v>53.300000000000402</c:v>
                </c:pt>
                <c:pt idx="284">
                  <c:v>53.400000000000404</c:v>
                </c:pt>
                <c:pt idx="285">
                  <c:v>53.500000000000405</c:v>
                </c:pt>
                <c:pt idx="286">
                  <c:v>53.600000000000406</c:v>
                </c:pt>
                <c:pt idx="287">
                  <c:v>53.700000000000408</c:v>
                </c:pt>
                <c:pt idx="288">
                  <c:v>53.800000000000409</c:v>
                </c:pt>
                <c:pt idx="289">
                  <c:v>53.900000000000411</c:v>
                </c:pt>
                <c:pt idx="290">
                  <c:v>54.000000000000412</c:v>
                </c:pt>
                <c:pt idx="291">
                  <c:v>54.100000000000414</c:v>
                </c:pt>
                <c:pt idx="292">
                  <c:v>54.200000000000415</c:v>
                </c:pt>
                <c:pt idx="293">
                  <c:v>54.300000000000416</c:v>
                </c:pt>
                <c:pt idx="294">
                  <c:v>54.400000000000418</c:v>
                </c:pt>
                <c:pt idx="295">
                  <c:v>54.500000000000419</c:v>
                </c:pt>
                <c:pt idx="296">
                  <c:v>54.600000000000421</c:v>
                </c:pt>
                <c:pt idx="297">
                  <c:v>54.700000000000422</c:v>
                </c:pt>
                <c:pt idx="298">
                  <c:v>54.800000000000423</c:v>
                </c:pt>
                <c:pt idx="299">
                  <c:v>54.900000000000425</c:v>
                </c:pt>
                <c:pt idx="300">
                  <c:v>55.000000000000426</c:v>
                </c:pt>
                <c:pt idx="301">
                  <c:v>55.100000000000428</c:v>
                </c:pt>
                <c:pt idx="302">
                  <c:v>55.200000000000429</c:v>
                </c:pt>
                <c:pt idx="303">
                  <c:v>55.300000000000431</c:v>
                </c:pt>
                <c:pt idx="304">
                  <c:v>55.400000000000432</c:v>
                </c:pt>
                <c:pt idx="305">
                  <c:v>55.500000000000433</c:v>
                </c:pt>
                <c:pt idx="306">
                  <c:v>55.600000000000435</c:v>
                </c:pt>
                <c:pt idx="307">
                  <c:v>55.700000000000436</c:v>
                </c:pt>
                <c:pt idx="308">
                  <c:v>55.800000000000438</c:v>
                </c:pt>
                <c:pt idx="309">
                  <c:v>55.900000000000439</c:v>
                </c:pt>
                <c:pt idx="310">
                  <c:v>56.000000000000441</c:v>
                </c:pt>
                <c:pt idx="311">
                  <c:v>56.100000000000442</c:v>
                </c:pt>
                <c:pt idx="312">
                  <c:v>56.200000000000443</c:v>
                </c:pt>
                <c:pt idx="313">
                  <c:v>56.300000000000445</c:v>
                </c:pt>
                <c:pt idx="314">
                  <c:v>56.400000000000446</c:v>
                </c:pt>
                <c:pt idx="315">
                  <c:v>56.500000000000448</c:v>
                </c:pt>
                <c:pt idx="316">
                  <c:v>56.600000000000449</c:v>
                </c:pt>
                <c:pt idx="317">
                  <c:v>56.70000000000045</c:v>
                </c:pt>
                <c:pt idx="318">
                  <c:v>56.800000000000452</c:v>
                </c:pt>
                <c:pt idx="319">
                  <c:v>56.900000000000453</c:v>
                </c:pt>
                <c:pt idx="320">
                  <c:v>57.000000000000455</c:v>
                </c:pt>
                <c:pt idx="321">
                  <c:v>57.100000000000456</c:v>
                </c:pt>
                <c:pt idx="322">
                  <c:v>57.200000000000458</c:v>
                </c:pt>
                <c:pt idx="323">
                  <c:v>57.300000000000459</c:v>
                </c:pt>
                <c:pt idx="324">
                  <c:v>57.40000000000046</c:v>
                </c:pt>
                <c:pt idx="325">
                  <c:v>57.500000000000462</c:v>
                </c:pt>
                <c:pt idx="326">
                  <c:v>57.600000000000463</c:v>
                </c:pt>
                <c:pt idx="327">
                  <c:v>57.700000000000465</c:v>
                </c:pt>
                <c:pt idx="328">
                  <c:v>57.800000000000466</c:v>
                </c:pt>
                <c:pt idx="329">
                  <c:v>57.900000000000468</c:v>
                </c:pt>
                <c:pt idx="330">
                  <c:v>58.000000000000469</c:v>
                </c:pt>
                <c:pt idx="331">
                  <c:v>58.10000000000047</c:v>
                </c:pt>
                <c:pt idx="332">
                  <c:v>58.200000000000472</c:v>
                </c:pt>
                <c:pt idx="333">
                  <c:v>58.300000000000473</c:v>
                </c:pt>
                <c:pt idx="334">
                  <c:v>58.400000000000475</c:v>
                </c:pt>
                <c:pt idx="335">
                  <c:v>58.500000000000476</c:v>
                </c:pt>
                <c:pt idx="336">
                  <c:v>58.600000000000477</c:v>
                </c:pt>
                <c:pt idx="337">
                  <c:v>58.700000000000479</c:v>
                </c:pt>
                <c:pt idx="338">
                  <c:v>58.80000000000048</c:v>
                </c:pt>
                <c:pt idx="339">
                  <c:v>58.900000000000482</c:v>
                </c:pt>
                <c:pt idx="340">
                  <c:v>59.000000000000483</c:v>
                </c:pt>
                <c:pt idx="341">
                  <c:v>59.100000000000485</c:v>
                </c:pt>
                <c:pt idx="342">
                  <c:v>59.200000000000486</c:v>
                </c:pt>
                <c:pt idx="343">
                  <c:v>59.300000000000487</c:v>
                </c:pt>
                <c:pt idx="344">
                  <c:v>59.400000000000489</c:v>
                </c:pt>
                <c:pt idx="345">
                  <c:v>59.50000000000049</c:v>
                </c:pt>
                <c:pt idx="346">
                  <c:v>59.600000000000492</c:v>
                </c:pt>
                <c:pt idx="347">
                  <c:v>59.700000000000493</c:v>
                </c:pt>
                <c:pt idx="348">
                  <c:v>59.800000000000495</c:v>
                </c:pt>
                <c:pt idx="349">
                  <c:v>59.900000000000496</c:v>
                </c:pt>
                <c:pt idx="350">
                  <c:v>60.000000000000497</c:v>
                </c:pt>
                <c:pt idx="351">
                  <c:v>60.100000000000499</c:v>
                </c:pt>
                <c:pt idx="352">
                  <c:v>60.2000000000005</c:v>
                </c:pt>
                <c:pt idx="353">
                  <c:v>60.300000000000502</c:v>
                </c:pt>
                <c:pt idx="354">
                  <c:v>60.400000000000503</c:v>
                </c:pt>
                <c:pt idx="355">
                  <c:v>60.500000000000504</c:v>
                </c:pt>
                <c:pt idx="356">
                  <c:v>60.600000000000506</c:v>
                </c:pt>
                <c:pt idx="357">
                  <c:v>60.700000000000507</c:v>
                </c:pt>
                <c:pt idx="358">
                  <c:v>60.800000000000509</c:v>
                </c:pt>
                <c:pt idx="359">
                  <c:v>60.90000000000051</c:v>
                </c:pt>
                <c:pt idx="360">
                  <c:v>61.000000000000512</c:v>
                </c:pt>
                <c:pt idx="361">
                  <c:v>61.100000000000513</c:v>
                </c:pt>
                <c:pt idx="362">
                  <c:v>61.200000000000514</c:v>
                </c:pt>
                <c:pt idx="363">
                  <c:v>61.300000000000516</c:v>
                </c:pt>
                <c:pt idx="364">
                  <c:v>61.400000000000517</c:v>
                </c:pt>
                <c:pt idx="365">
                  <c:v>61.500000000000519</c:v>
                </c:pt>
                <c:pt idx="366">
                  <c:v>61.60000000000052</c:v>
                </c:pt>
                <c:pt idx="367">
                  <c:v>61.700000000000522</c:v>
                </c:pt>
                <c:pt idx="368">
                  <c:v>61.800000000000523</c:v>
                </c:pt>
                <c:pt idx="369">
                  <c:v>61.900000000000524</c:v>
                </c:pt>
                <c:pt idx="370">
                  <c:v>62.000000000000526</c:v>
                </c:pt>
                <c:pt idx="371">
                  <c:v>62.100000000000527</c:v>
                </c:pt>
                <c:pt idx="372">
                  <c:v>62.200000000000529</c:v>
                </c:pt>
                <c:pt idx="373">
                  <c:v>62.30000000000053</c:v>
                </c:pt>
                <c:pt idx="374">
                  <c:v>62.400000000000531</c:v>
                </c:pt>
                <c:pt idx="375">
                  <c:v>62.500000000000533</c:v>
                </c:pt>
                <c:pt idx="376">
                  <c:v>62.600000000000534</c:v>
                </c:pt>
                <c:pt idx="377">
                  <c:v>62.700000000000536</c:v>
                </c:pt>
                <c:pt idx="378">
                  <c:v>62.800000000000537</c:v>
                </c:pt>
                <c:pt idx="379">
                  <c:v>62.900000000000539</c:v>
                </c:pt>
                <c:pt idx="380">
                  <c:v>63.00000000000054</c:v>
                </c:pt>
                <c:pt idx="381">
                  <c:v>63.100000000000541</c:v>
                </c:pt>
                <c:pt idx="382">
                  <c:v>63.200000000000543</c:v>
                </c:pt>
                <c:pt idx="383">
                  <c:v>63.300000000000544</c:v>
                </c:pt>
                <c:pt idx="384">
                  <c:v>63.400000000000546</c:v>
                </c:pt>
                <c:pt idx="385">
                  <c:v>63.500000000000547</c:v>
                </c:pt>
                <c:pt idx="386">
                  <c:v>63.600000000000549</c:v>
                </c:pt>
                <c:pt idx="387">
                  <c:v>63.70000000000055</c:v>
                </c:pt>
                <c:pt idx="388">
                  <c:v>63.800000000000551</c:v>
                </c:pt>
                <c:pt idx="389">
                  <c:v>63.900000000000553</c:v>
                </c:pt>
                <c:pt idx="390">
                  <c:v>64.000000000000554</c:v>
                </c:pt>
                <c:pt idx="391">
                  <c:v>64.100000000000549</c:v>
                </c:pt>
                <c:pt idx="392">
                  <c:v>64.200000000000543</c:v>
                </c:pt>
                <c:pt idx="393">
                  <c:v>64.300000000000537</c:v>
                </c:pt>
                <c:pt idx="394">
                  <c:v>64.400000000000531</c:v>
                </c:pt>
                <c:pt idx="395">
                  <c:v>64.500000000000526</c:v>
                </c:pt>
                <c:pt idx="396">
                  <c:v>64.60000000000052</c:v>
                </c:pt>
                <c:pt idx="397">
                  <c:v>64.700000000000514</c:v>
                </c:pt>
                <c:pt idx="398">
                  <c:v>64.800000000000509</c:v>
                </c:pt>
                <c:pt idx="399">
                  <c:v>64.900000000000503</c:v>
                </c:pt>
                <c:pt idx="400">
                  <c:v>65.000000000000497</c:v>
                </c:pt>
                <c:pt idx="401">
                  <c:v>65.100000000000492</c:v>
                </c:pt>
                <c:pt idx="402">
                  <c:v>65.200000000000486</c:v>
                </c:pt>
                <c:pt idx="403">
                  <c:v>65.30000000000048</c:v>
                </c:pt>
                <c:pt idx="404">
                  <c:v>65.400000000000475</c:v>
                </c:pt>
                <c:pt idx="405">
                  <c:v>65.500000000000469</c:v>
                </c:pt>
                <c:pt idx="406">
                  <c:v>65.600000000000463</c:v>
                </c:pt>
                <c:pt idx="407">
                  <c:v>65.700000000000458</c:v>
                </c:pt>
                <c:pt idx="408">
                  <c:v>65.800000000000452</c:v>
                </c:pt>
                <c:pt idx="409">
                  <c:v>65.900000000000446</c:v>
                </c:pt>
                <c:pt idx="410">
                  <c:v>66.000000000000441</c:v>
                </c:pt>
                <c:pt idx="411">
                  <c:v>66.100000000000435</c:v>
                </c:pt>
                <c:pt idx="412">
                  <c:v>66.200000000000429</c:v>
                </c:pt>
                <c:pt idx="413">
                  <c:v>66.300000000000423</c:v>
                </c:pt>
                <c:pt idx="414">
                  <c:v>66.400000000000418</c:v>
                </c:pt>
                <c:pt idx="415">
                  <c:v>66.500000000000412</c:v>
                </c:pt>
                <c:pt idx="416">
                  <c:v>66.600000000000406</c:v>
                </c:pt>
                <c:pt idx="417">
                  <c:v>66.700000000000401</c:v>
                </c:pt>
                <c:pt idx="418">
                  <c:v>66.800000000000395</c:v>
                </c:pt>
                <c:pt idx="419">
                  <c:v>66.900000000000389</c:v>
                </c:pt>
                <c:pt idx="420">
                  <c:v>67.000000000000384</c:v>
                </c:pt>
                <c:pt idx="421">
                  <c:v>67.100000000000378</c:v>
                </c:pt>
                <c:pt idx="422">
                  <c:v>67.200000000000372</c:v>
                </c:pt>
                <c:pt idx="423">
                  <c:v>67.300000000000367</c:v>
                </c:pt>
                <c:pt idx="424">
                  <c:v>67.400000000000361</c:v>
                </c:pt>
                <c:pt idx="425">
                  <c:v>67.500000000000355</c:v>
                </c:pt>
                <c:pt idx="426">
                  <c:v>67.60000000000035</c:v>
                </c:pt>
                <c:pt idx="427">
                  <c:v>67.700000000000344</c:v>
                </c:pt>
                <c:pt idx="428">
                  <c:v>67.800000000000338</c:v>
                </c:pt>
                <c:pt idx="429">
                  <c:v>67.900000000000333</c:v>
                </c:pt>
                <c:pt idx="430">
                  <c:v>68.000000000000327</c:v>
                </c:pt>
                <c:pt idx="431">
                  <c:v>68.100000000000321</c:v>
                </c:pt>
                <c:pt idx="432">
                  <c:v>68.200000000000315</c:v>
                </c:pt>
                <c:pt idx="433">
                  <c:v>68.30000000000031</c:v>
                </c:pt>
                <c:pt idx="434">
                  <c:v>68.400000000000304</c:v>
                </c:pt>
                <c:pt idx="435">
                  <c:v>68.500000000000298</c:v>
                </c:pt>
                <c:pt idx="436">
                  <c:v>68.600000000000293</c:v>
                </c:pt>
                <c:pt idx="437">
                  <c:v>68.700000000000287</c:v>
                </c:pt>
                <c:pt idx="438">
                  <c:v>68.800000000000281</c:v>
                </c:pt>
                <c:pt idx="439">
                  <c:v>68.900000000000276</c:v>
                </c:pt>
                <c:pt idx="440">
                  <c:v>69.00000000000027</c:v>
                </c:pt>
                <c:pt idx="441">
                  <c:v>69.100000000000264</c:v>
                </c:pt>
                <c:pt idx="442">
                  <c:v>69.200000000000259</c:v>
                </c:pt>
                <c:pt idx="443">
                  <c:v>69.300000000000253</c:v>
                </c:pt>
                <c:pt idx="444">
                  <c:v>69.400000000000247</c:v>
                </c:pt>
                <c:pt idx="445">
                  <c:v>69.500000000000242</c:v>
                </c:pt>
                <c:pt idx="446">
                  <c:v>69.600000000000236</c:v>
                </c:pt>
                <c:pt idx="447">
                  <c:v>69.70000000000023</c:v>
                </c:pt>
                <c:pt idx="448">
                  <c:v>69.800000000000225</c:v>
                </c:pt>
                <c:pt idx="449">
                  <c:v>69.900000000000219</c:v>
                </c:pt>
                <c:pt idx="450">
                  <c:v>69.900000000000219</c:v>
                </c:pt>
                <c:pt idx="451">
                  <c:v>69.900000000000219</c:v>
                </c:pt>
                <c:pt idx="452">
                  <c:v>69.900000000000219</c:v>
                </c:pt>
                <c:pt idx="453">
                  <c:v>69.900000000000219</c:v>
                </c:pt>
                <c:pt idx="454">
                  <c:v>69.900000000000219</c:v>
                </c:pt>
                <c:pt idx="455">
                  <c:v>69.900000000000219</c:v>
                </c:pt>
                <c:pt idx="456">
                  <c:v>69.900000000000219</c:v>
                </c:pt>
                <c:pt idx="457">
                  <c:v>69.900000000000219</c:v>
                </c:pt>
                <c:pt idx="458">
                  <c:v>69.900000000000219</c:v>
                </c:pt>
                <c:pt idx="459">
                  <c:v>69.900000000000219</c:v>
                </c:pt>
                <c:pt idx="460">
                  <c:v>69.900000000000219</c:v>
                </c:pt>
                <c:pt idx="461">
                  <c:v>69.900000000000219</c:v>
                </c:pt>
                <c:pt idx="462">
                  <c:v>69.900000000000219</c:v>
                </c:pt>
                <c:pt idx="463">
                  <c:v>69.900000000000219</c:v>
                </c:pt>
                <c:pt idx="464">
                  <c:v>69.900000000000219</c:v>
                </c:pt>
                <c:pt idx="465">
                  <c:v>69.900000000000219</c:v>
                </c:pt>
                <c:pt idx="466">
                  <c:v>69.900000000000219</c:v>
                </c:pt>
                <c:pt idx="467">
                  <c:v>69.900000000000219</c:v>
                </c:pt>
                <c:pt idx="468">
                  <c:v>69.900000000000219</c:v>
                </c:pt>
                <c:pt idx="469">
                  <c:v>69.900000000000219</c:v>
                </c:pt>
                <c:pt idx="470">
                  <c:v>69.900000000000219</c:v>
                </c:pt>
                <c:pt idx="471">
                  <c:v>69.900000000000219</c:v>
                </c:pt>
                <c:pt idx="472">
                  <c:v>69.900000000000219</c:v>
                </c:pt>
                <c:pt idx="473">
                  <c:v>69.900000000000219</c:v>
                </c:pt>
                <c:pt idx="474">
                  <c:v>69.900000000000219</c:v>
                </c:pt>
                <c:pt idx="475">
                  <c:v>69.900000000000219</c:v>
                </c:pt>
                <c:pt idx="476">
                  <c:v>69.900000000000219</c:v>
                </c:pt>
                <c:pt idx="477">
                  <c:v>69.900000000000219</c:v>
                </c:pt>
                <c:pt idx="478">
                  <c:v>69.900000000000219</c:v>
                </c:pt>
                <c:pt idx="479">
                  <c:v>69.900000000000219</c:v>
                </c:pt>
                <c:pt idx="480">
                  <c:v>69.900000000000219</c:v>
                </c:pt>
                <c:pt idx="481">
                  <c:v>69.900000000000219</c:v>
                </c:pt>
                <c:pt idx="482">
                  <c:v>69.900000000000219</c:v>
                </c:pt>
                <c:pt idx="483">
                  <c:v>69.900000000000219</c:v>
                </c:pt>
                <c:pt idx="484">
                  <c:v>69.900000000000219</c:v>
                </c:pt>
                <c:pt idx="485">
                  <c:v>69.900000000000219</c:v>
                </c:pt>
                <c:pt idx="486">
                  <c:v>69.900000000000219</c:v>
                </c:pt>
                <c:pt idx="487">
                  <c:v>69.900000000000219</c:v>
                </c:pt>
                <c:pt idx="488">
                  <c:v>69.900000000000219</c:v>
                </c:pt>
                <c:pt idx="489">
                  <c:v>69.900000000000219</c:v>
                </c:pt>
                <c:pt idx="490">
                  <c:v>69.900000000000219</c:v>
                </c:pt>
                <c:pt idx="491">
                  <c:v>69.900000000000219</c:v>
                </c:pt>
                <c:pt idx="492">
                  <c:v>69.900000000000219</c:v>
                </c:pt>
                <c:pt idx="493">
                  <c:v>69.900000000000219</c:v>
                </c:pt>
                <c:pt idx="494">
                  <c:v>69.900000000000219</c:v>
                </c:pt>
                <c:pt idx="495">
                  <c:v>69.900000000000219</c:v>
                </c:pt>
                <c:pt idx="496">
                  <c:v>69.900000000000219</c:v>
                </c:pt>
                <c:pt idx="497">
                  <c:v>69.900000000000219</c:v>
                </c:pt>
                <c:pt idx="498">
                  <c:v>69.900000000000219</c:v>
                </c:pt>
                <c:pt idx="499">
                  <c:v>69.900000000000219</c:v>
                </c:pt>
                <c:pt idx="500">
                  <c:v>69.900000000000219</c:v>
                </c:pt>
                <c:pt idx="501">
                  <c:v>69.900000000000219</c:v>
                </c:pt>
                <c:pt idx="502">
                  <c:v>69.900000000000219</c:v>
                </c:pt>
                <c:pt idx="503">
                  <c:v>69.900000000000219</c:v>
                </c:pt>
                <c:pt idx="504">
                  <c:v>69.900000000000219</c:v>
                </c:pt>
                <c:pt idx="505">
                  <c:v>69.900000000000219</c:v>
                </c:pt>
                <c:pt idx="506">
                  <c:v>69.900000000000219</c:v>
                </c:pt>
                <c:pt idx="507">
                  <c:v>69.900000000000219</c:v>
                </c:pt>
                <c:pt idx="508">
                  <c:v>69.900000000000219</c:v>
                </c:pt>
                <c:pt idx="509">
                  <c:v>69.900000000000219</c:v>
                </c:pt>
                <c:pt idx="510">
                  <c:v>69.900000000000219</c:v>
                </c:pt>
              </c:numCache>
            </c:numRef>
          </c:xVal>
          <c:yVal>
            <c:numRef>
              <c:f>Curves!$AQ$2:$AQ$512</c:f>
              <c:numCache>
                <c:formatCode>General</c:formatCode>
                <c:ptCount val="511"/>
                <c:pt idx="0">
                  <c:v>11448</c:v>
                </c:pt>
                <c:pt idx="1">
                  <c:v>11436.8</c:v>
                </c:pt>
                <c:pt idx="2">
                  <c:v>11433.066666666666</c:v>
                </c:pt>
                <c:pt idx="3">
                  <c:v>11425.599999999999</c:v>
                </c:pt>
                <c:pt idx="4">
                  <c:v>11418.133333333331</c:v>
                </c:pt>
                <c:pt idx="5">
                  <c:v>11410.666666666666</c:v>
                </c:pt>
                <c:pt idx="6">
                  <c:v>11403.2</c:v>
                </c:pt>
                <c:pt idx="7">
                  <c:v>11395.733333333334</c:v>
                </c:pt>
                <c:pt idx="8">
                  <c:v>11403.2</c:v>
                </c:pt>
                <c:pt idx="9">
                  <c:v>11395.658571428572</c:v>
                </c:pt>
                <c:pt idx="10">
                  <c:v>11388.042380952382</c:v>
                </c:pt>
                <c:pt idx="11">
                  <c:v>11380.351428571428</c:v>
                </c:pt>
                <c:pt idx="12">
                  <c:v>11372.585714285715</c:v>
                </c:pt>
                <c:pt idx="13">
                  <c:v>11349.811904761906</c:v>
                </c:pt>
                <c:pt idx="14">
                  <c:v>11341.971428571427</c:v>
                </c:pt>
                <c:pt idx="15">
                  <c:v>11334.13095238095</c:v>
                </c:pt>
                <c:pt idx="16">
                  <c:v>11326.290476190474</c:v>
                </c:pt>
                <c:pt idx="17">
                  <c:v>11318.449999999999</c:v>
                </c:pt>
                <c:pt idx="18">
                  <c:v>11326.290476190476</c:v>
                </c:pt>
                <c:pt idx="19">
                  <c:v>11318.368095238093</c:v>
                </c:pt>
                <c:pt idx="20">
                  <c:v>11310.363809523808</c:v>
                </c:pt>
                <c:pt idx="21">
                  <c:v>11302.277619047618</c:v>
                </c:pt>
                <c:pt idx="22">
                  <c:v>11294.10952380952</c:v>
                </c:pt>
                <c:pt idx="23">
                  <c:v>11270.178571428569</c:v>
                </c:pt>
                <c:pt idx="24">
                  <c:v>11261.928571428567</c:v>
                </c:pt>
                <c:pt idx="25">
                  <c:v>11253.678571428567</c:v>
                </c:pt>
                <c:pt idx="26">
                  <c:v>11245.428571428567</c:v>
                </c:pt>
                <c:pt idx="27">
                  <c:v>11237.178571428567</c:v>
                </c:pt>
                <c:pt idx="28">
                  <c:v>11245.428571428569</c:v>
                </c:pt>
                <c:pt idx="29">
                  <c:v>11237.178571428569</c:v>
                </c:pt>
                <c:pt idx="30">
                  <c:v>11228.928571428567</c:v>
                </c:pt>
                <c:pt idx="31">
                  <c:v>11220.678571428567</c:v>
                </c:pt>
                <c:pt idx="32">
                  <c:v>11212.428571428567</c:v>
                </c:pt>
                <c:pt idx="33">
                  <c:v>11187.678571428567</c:v>
                </c:pt>
                <c:pt idx="34">
                  <c:v>11179.428571428567</c:v>
                </c:pt>
                <c:pt idx="35">
                  <c:v>11171.178571428567</c:v>
                </c:pt>
                <c:pt idx="36">
                  <c:v>11162.928571428567</c:v>
                </c:pt>
                <c:pt idx="37">
                  <c:v>11154.678571428567</c:v>
                </c:pt>
                <c:pt idx="38">
                  <c:v>11146.428571428567</c:v>
                </c:pt>
                <c:pt idx="39">
                  <c:v>11138.189999999993</c:v>
                </c:pt>
                <c:pt idx="40">
                  <c:v>11129.962857142851</c:v>
                </c:pt>
                <c:pt idx="41">
                  <c:v>11121.747142857135</c:v>
                </c:pt>
                <c:pt idx="42">
                  <c:v>11113.542857142849</c:v>
                </c:pt>
                <c:pt idx="43">
                  <c:v>11105.349999999995</c:v>
                </c:pt>
                <c:pt idx="44">
                  <c:v>11097.157142857139</c:v>
                </c:pt>
                <c:pt idx="45">
                  <c:v>11088.964285714281</c:v>
                </c:pt>
                <c:pt idx="46">
                  <c:v>11080.771428571423</c:v>
                </c:pt>
                <c:pt idx="47">
                  <c:v>11072.578571428565</c:v>
                </c:pt>
                <c:pt idx="48">
                  <c:v>11064.385714285707</c:v>
                </c:pt>
                <c:pt idx="49">
                  <c:v>11056.118095238089</c:v>
                </c:pt>
                <c:pt idx="50">
                  <c:v>11047.775714285708</c:v>
                </c:pt>
                <c:pt idx="51">
                  <c:v>11039.358571428565</c:v>
                </c:pt>
                <c:pt idx="52">
                  <c:v>11030.86666666666</c:v>
                </c:pt>
                <c:pt idx="53">
                  <c:v>11022.299999999994</c:v>
                </c:pt>
                <c:pt idx="54">
                  <c:v>11013.733333333326</c:v>
                </c:pt>
                <c:pt idx="55">
                  <c:v>11005.166666666661</c:v>
                </c:pt>
                <c:pt idx="56">
                  <c:v>10996.599999999993</c:v>
                </c:pt>
                <c:pt idx="57">
                  <c:v>10988.033333333327</c:v>
                </c:pt>
                <c:pt idx="58">
                  <c:v>10979.46666666666</c:v>
                </c:pt>
                <c:pt idx="59">
                  <c:v>10970.96666666666</c:v>
                </c:pt>
                <c:pt idx="60">
                  <c:v>10962.533333333327</c:v>
                </c:pt>
                <c:pt idx="61">
                  <c:v>10954.166666666661</c:v>
                </c:pt>
                <c:pt idx="62">
                  <c:v>10945.86666666666</c:v>
                </c:pt>
                <c:pt idx="63">
                  <c:v>10937.633333333326</c:v>
                </c:pt>
                <c:pt idx="64">
                  <c:v>10929.399999999992</c:v>
                </c:pt>
                <c:pt idx="65">
                  <c:v>10921.166666666659</c:v>
                </c:pt>
                <c:pt idx="66">
                  <c:v>10912.933333333325</c:v>
                </c:pt>
                <c:pt idx="67">
                  <c:v>10904.699999999992</c:v>
                </c:pt>
                <c:pt idx="68">
                  <c:v>10896.466666666658</c:v>
                </c:pt>
                <c:pt idx="69">
                  <c:v>10888.239999999991</c:v>
                </c:pt>
                <c:pt idx="70">
                  <c:v>10880.019999999993</c:v>
                </c:pt>
                <c:pt idx="71">
                  <c:v>10871.80666666666</c:v>
                </c:pt>
                <c:pt idx="72">
                  <c:v>10863.599999999991</c:v>
                </c:pt>
                <c:pt idx="73">
                  <c:v>10855.399999999991</c:v>
                </c:pt>
                <c:pt idx="74">
                  <c:v>10847.199999999992</c:v>
                </c:pt>
                <c:pt idx="75">
                  <c:v>10838.999999999991</c:v>
                </c:pt>
                <c:pt idx="76">
                  <c:v>10830.799999999992</c:v>
                </c:pt>
                <c:pt idx="77">
                  <c:v>10822.599999999989</c:v>
                </c:pt>
                <c:pt idx="78">
                  <c:v>10814.399999999991</c:v>
                </c:pt>
                <c:pt idx="79">
                  <c:v>10806.326666666659</c:v>
                </c:pt>
                <c:pt idx="80">
                  <c:v>10798.379999999994</c:v>
                </c:pt>
                <c:pt idx="81">
                  <c:v>10790.559999999992</c:v>
                </c:pt>
                <c:pt idx="82">
                  <c:v>10782.866666666658</c:v>
                </c:pt>
                <c:pt idx="83">
                  <c:v>10775.299999999992</c:v>
                </c:pt>
                <c:pt idx="84">
                  <c:v>10767.733333333324</c:v>
                </c:pt>
                <c:pt idx="85">
                  <c:v>10760.166666666659</c:v>
                </c:pt>
                <c:pt idx="86">
                  <c:v>10752.599999999991</c:v>
                </c:pt>
                <c:pt idx="87">
                  <c:v>10745.033333333326</c:v>
                </c:pt>
                <c:pt idx="88">
                  <c:v>10737.46666666666</c:v>
                </c:pt>
                <c:pt idx="89">
                  <c:v>10729.85999999999</c:v>
                </c:pt>
                <c:pt idx="90">
                  <c:v>10722.213333333322</c:v>
                </c:pt>
                <c:pt idx="91">
                  <c:v>10714.526666666658</c:v>
                </c:pt>
                <c:pt idx="92">
                  <c:v>10706.79999999999</c:v>
                </c:pt>
                <c:pt idx="93">
                  <c:v>10699.033333333322</c:v>
                </c:pt>
                <c:pt idx="94">
                  <c:v>10691.266666666657</c:v>
                </c:pt>
                <c:pt idx="95">
                  <c:v>10683.499999999991</c:v>
                </c:pt>
                <c:pt idx="96">
                  <c:v>10675.733333333323</c:v>
                </c:pt>
                <c:pt idx="97">
                  <c:v>10667.966666666656</c:v>
                </c:pt>
                <c:pt idx="98">
                  <c:v>10660.199999999988</c:v>
                </c:pt>
                <c:pt idx="99">
                  <c:v>10652.35999999999</c:v>
                </c:pt>
                <c:pt idx="100">
                  <c:v>10644.446666666654</c:v>
                </c:pt>
                <c:pt idx="101">
                  <c:v>10636.459999999988</c:v>
                </c:pt>
                <c:pt idx="102">
                  <c:v>10628.399999999989</c:v>
                </c:pt>
                <c:pt idx="103">
                  <c:v>10620.266666666654</c:v>
                </c:pt>
                <c:pt idx="104">
                  <c:v>10612.13333333332</c:v>
                </c:pt>
                <c:pt idx="105">
                  <c:v>10603.999999999987</c:v>
                </c:pt>
                <c:pt idx="106">
                  <c:v>10595.866666666654</c:v>
                </c:pt>
                <c:pt idx="107">
                  <c:v>10587.733333333321</c:v>
                </c:pt>
                <c:pt idx="108">
                  <c:v>10579.599999999988</c:v>
                </c:pt>
                <c:pt idx="109">
                  <c:v>10571.459999999988</c:v>
                </c:pt>
                <c:pt idx="110">
                  <c:v>10563.313333333321</c:v>
                </c:pt>
                <c:pt idx="111">
                  <c:v>10555.159999999987</c:v>
                </c:pt>
                <c:pt idx="112">
                  <c:v>10546.999999999989</c:v>
                </c:pt>
                <c:pt idx="113">
                  <c:v>10538.833333333319</c:v>
                </c:pt>
                <c:pt idx="114">
                  <c:v>10530.666666666653</c:v>
                </c:pt>
                <c:pt idx="115">
                  <c:v>10522.499999999989</c:v>
                </c:pt>
                <c:pt idx="116">
                  <c:v>10514.333333333319</c:v>
                </c:pt>
                <c:pt idx="117">
                  <c:v>10506.166666666653</c:v>
                </c:pt>
                <c:pt idx="118">
                  <c:v>10497.999999999985</c:v>
                </c:pt>
                <c:pt idx="119">
                  <c:v>10489.859999999984</c:v>
                </c:pt>
                <c:pt idx="120">
                  <c:v>10481.746666666651</c:v>
                </c:pt>
                <c:pt idx="121">
                  <c:v>10473.659999999985</c:v>
                </c:pt>
                <c:pt idx="122">
                  <c:v>10465.599999999986</c:v>
                </c:pt>
                <c:pt idx="123">
                  <c:v>10457.566666666653</c:v>
                </c:pt>
                <c:pt idx="124">
                  <c:v>10449.533333333318</c:v>
                </c:pt>
                <c:pt idx="125">
                  <c:v>10441.499999999985</c:v>
                </c:pt>
                <c:pt idx="126">
                  <c:v>10433.466666666653</c:v>
                </c:pt>
                <c:pt idx="127">
                  <c:v>10425.43333333332</c:v>
                </c:pt>
                <c:pt idx="128">
                  <c:v>10417.399999999989</c:v>
                </c:pt>
                <c:pt idx="129">
                  <c:v>10409.906666666655</c:v>
                </c:pt>
                <c:pt idx="130">
                  <c:v>10402.953333333322</c:v>
                </c:pt>
                <c:pt idx="131">
                  <c:v>10396.53999999999</c:v>
                </c:pt>
                <c:pt idx="132">
                  <c:v>10390.666666666657</c:v>
                </c:pt>
                <c:pt idx="133">
                  <c:v>10385.333333333325</c:v>
                </c:pt>
                <c:pt idx="134">
                  <c:v>10379.999999999989</c:v>
                </c:pt>
                <c:pt idx="135">
                  <c:v>10374.666666666657</c:v>
                </c:pt>
                <c:pt idx="136">
                  <c:v>10369.333333333323</c:v>
                </c:pt>
                <c:pt idx="137">
                  <c:v>10363.999999999989</c:v>
                </c:pt>
                <c:pt idx="138">
                  <c:v>10358.666666666655</c:v>
                </c:pt>
                <c:pt idx="139">
                  <c:v>10353.073333333323</c:v>
                </c:pt>
                <c:pt idx="140">
                  <c:v>10347.219999999987</c:v>
                </c:pt>
                <c:pt idx="141">
                  <c:v>10341.106666666654</c:v>
                </c:pt>
                <c:pt idx="142">
                  <c:v>10334.733333333319</c:v>
                </c:pt>
                <c:pt idx="143">
                  <c:v>10328.099999999988</c:v>
                </c:pt>
                <c:pt idx="144">
                  <c:v>10321.466666666654</c:v>
                </c:pt>
                <c:pt idx="145">
                  <c:v>10314.833333333319</c:v>
                </c:pt>
                <c:pt idx="146">
                  <c:v>10308.199999999986</c:v>
                </c:pt>
                <c:pt idx="147">
                  <c:v>10301.566666666651</c:v>
                </c:pt>
                <c:pt idx="148">
                  <c:v>10294.933333333318</c:v>
                </c:pt>
                <c:pt idx="149">
                  <c:v>10288.073333333316</c:v>
                </c:pt>
                <c:pt idx="150">
                  <c:v>10280.986666666651</c:v>
                </c:pt>
                <c:pt idx="151">
                  <c:v>10273.673333333316</c:v>
                </c:pt>
                <c:pt idx="152">
                  <c:v>10266.133333333317</c:v>
                </c:pt>
                <c:pt idx="153">
                  <c:v>10258.36666666665</c:v>
                </c:pt>
                <c:pt idx="154">
                  <c:v>10250.599999999982</c:v>
                </c:pt>
                <c:pt idx="155">
                  <c:v>10242.833333333316</c:v>
                </c:pt>
                <c:pt idx="156">
                  <c:v>10235.066666666649</c:v>
                </c:pt>
                <c:pt idx="157">
                  <c:v>10227.299999999983</c:v>
                </c:pt>
                <c:pt idx="158">
                  <c:v>10219.533333333315</c:v>
                </c:pt>
                <c:pt idx="159">
                  <c:v>10211.026666666647</c:v>
                </c:pt>
                <c:pt idx="160">
                  <c:v>10201.779999999979</c:v>
                </c:pt>
                <c:pt idx="161">
                  <c:v>10191.793333333309</c:v>
                </c:pt>
                <c:pt idx="162">
                  <c:v>10181.06666666664</c:v>
                </c:pt>
                <c:pt idx="163">
                  <c:v>10169.599999999973</c:v>
                </c:pt>
                <c:pt idx="164">
                  <c:v>10158.133333333308</c:v>
                </c:pt>
                <c:pt idx="165">
                  <c:v>10146.666666666641</c:v>
                </c:pt>
                <c:pt idx="166">
                  <c:v>10135.199999999973</c:v>
                </c:pt>
                <c:pt idx="167">
                  <c:v>10123.733333333306</c:v>
                </c:pt>
                <c:pt idx="168">
                  <c:v>10112.266666666639</c:v>
                </c:pt>
                <c:pt idx="169">
                  <c:v>10100.726666666638</c:v>
                </c:pt>
                <c:pt idx="170">
                  <c:v>10089.113333333307</c:v>
                </c:pt>
                <c:pt idx="171">
                  <c:v>10077.426666666639</c:v>
                </c:pt>
                <c:pt idx="172">
                  <c:v>10065.666666666639</c:v>
                </c:pt>
                <c:pt idx="173">
                  <c:v>10053.833333333303</c:v>
                </c:pt>
                <c:pt idx="174">
                  <c:v>10041.999999999971</c:v>
                </c:pt>
                <c:pt idx="175">
                  <c:v>10030.166666666639</c:v>
                </c:pt>
                <c:pt idx="176">
                  <c:v>10018.333333333303</c:v>
                </c:pt>
                <c:pt idx="177">
                  <c:v>10006.499999999971</c:v>
                </c:pt>
                <c:pt idx="178">
                  <c:v>9994.666666666637</c:v>
                </c:pt>
                <c:pt idx="179">
                  <c:v>9982.6866666666356</c:v>
                </c:pt>
                <c:pt idx="180">
                  <c:v>9970.5599999999686</c:v>
                </c:pt>
                <c:pt idx="181">
                  <c:v>9958.2866666666341</c:v>
                </c:pt>
                <c:pt idx="182">
                  <c:v>9945.866666666634</c:v>
                </c:pt>
                <c:pt idx="183">
                  <c:v>9933.2999999999683</c:v>
                </c:pt>
                <c:pt idx="184">
                  <c:v>9920.7333333333008</c:v>
                </c:pt>
                <c:pt idx="185">
                  <c:v>9908.1666666666333</c:v>
                </c:pt>
                <c:pt idx="186">
                  <c:v>9895.5999999999676</c:v>
                </c:pt>
                <c:pt idx="187">
                  <c:v>9883.0333333333001</c:v>
                </c:pt>
                <c:pt idx="188">
                  <c:v>9870.4666666666344</c:v>
                </c:pt>
                <c:pt idx="189">
                  <c:v>9857.6733333332995</c:v>
                </c:pt>
                <c:pt idx="190">
                  <c:v>9844.6533333332991</c:v>
                </c:pt>
                <c:pt idx="191">
                  <c:v>9831.4066666666295</c:v>
                </c:pt>
                <c:pt idx="192">
                  <c:v>9817.9333333332961</c:v>
                </c:pt>
                <c:pt idx="193">
                  <c:v>9804.2333333332972</c:v>
                </c:pt>
                <c:pt idx="194">
                  <c:v>9790.5333333332946</c:v>
                </c:pt>
                <c:pt idx="195">
                  <c:v>9776.8333333332957</c:v>
                </c:pt>
                <c:pt idx="196">
                  <c:v>9763.133333333295</c:v>
                </c:pt>
                <c:pt idx="197">
                  <c:v>9749.4333333332943</c:v>
                </c:pt>
                <c:pt idx="198">
                  <c:v>9735.7333333332954</c:v>
                </c:pt>
                <c:pt idx="199">
                  <c:v>9721.6533333332954</c:v>
                </c:pt>
                <c:pt idx="200">
                  <c:v>9707.1933333332909</c:v>
                </c:pt>
                <c:pt idx="201">
                  <c:v>9692.3533333332907</c:v>
                </c:pt>
                <c:pt idx="202">
                  <c:v>9677.1333333332896</c:v>
                </c:pt>
                <c:pt idx="203">
                  <c:v>9661.533333333291</c:v>
                </c:pt>
                <c:pt idx="204">
                  <c:v>9645.9333333332906</c:v>
                </c:pt>
                <c:pt idx="205">
                  <c:v>9630.3333333332903</c:v>
                </c:pt>
                <c:pt idx="206">
                  <c:v>9614.7333333332899</c:v>
                </c:pt>
                <c:pt idx="207">
                  <c:v>9599.1333333332896</c:v>
                </c:pt>
                <c:pt idx="208">
                  <c:v>9583.5333333332874</c:v>
                </c:pt>
                <c:pt idx="209">
                  <c:v>9567.4066666666185</c:v>
                </c:pt>
                <c:pt idx="210">
                  <c:v>9550.7533333332831</c:v>
                </c:pt>
                <c:pt idx="211">
                  <c:v>9533.5733333332828</c:v>
                </c:pt>
                <c:pt idx="212">
                  <c:v>9515.866666666614</c:v>
                </c:pt>
                <c:pt idx="213">
                  <c:v>9497.6333333332805</c:v>
                </c:pt>
                <c:pt idx="214">
                  <c:v>9479.3999999999469</c:v>
                </c:pt>
                <c:pt idx="215">
                  <c:v>9461.1666666666115</c:v>
                </c:pt>
                <c:pt idx="216">
                  <c:v>9442.9333333332779</c:v>
                </c:pt>
                <c:pt idx="217">
                  <c:v>9424.6999999999443</c:v>
                </c:pt>
                <c:pt idx="218">
                  <c:v>9406.4666666666089</c:v>
                </c:pt>
                <c:pt idx="219">
                  <c:v>9387.6333333332732</c:v>
                </c:pt>
                <c:pt idx="220">
                  <c:v>9368.1999999999371</c:v>
                </c:pt>
                <c:pt idx="221">
                  <c:v>9348.1666666666024</c:v>
                </c:pt>
                <c:pt idx="222">
                  <c:v>9327.5333333332655</c:v>
                </c:pt>
                <c:pt idx="223">
                  <c:v>9306.299999999932</c:v>
                </c:pt>
                <c:pt idx="224">
                  <c:v>9285.0666666665984</c:v>
                </c:pt>
                <c:pt idx="225">
                  <c:v>9263.8333333332648</c:v>
                </c:pt>
                <c:pt idx="226">
                  <c:v>9242.5999999999294</c:v>
                </c:pt>
                <c:pt idx="227">
                  <c:v>9221.3666666665977</c:v>
                </c:pt>
                <c:pt idx="228">
                  <c:v>9200.1333333332623</c:v>
                </c:pt>
                <c:pt idx="229">
                  <c:v>9178.1133333332564</c:v>
                </c:pt>
                <c:pt idx="230">
                  <c:v>9155.3066666665873</c:v>
                </c:pt>
                <c:pt idx="231">
                  <c:v>9131.7133333332513</c:v>
                </c:pt>
                <c:pt idx="232">
                  <c:v>9107.3333333332484</c:v>
                </c:pt>
                <c:pt idx="233">
                  <c:v>9082.1666666665806</c:v>
                </c:pt>
                <c:pt idx="234">
                  <c:v>9056.9999999999163</c:v>
                </c:pt>
                <c:pt idx="235">
                  <c:v>9031.8333333332466</c:v>
                </c:pt>
                <c:pt idx="236">
                  <c:v>9006.6666666665806</c:v>
                </c:pt>
                <c:pt idx="237">
                  <c:v>8981.4999999999163</c:v>
                </c:pt>
                <c:pt idx="238">
                  <c:v>8956.3333333332448</c:v>
                </c:pt>
                <c:pt idx="239">
                  <c:v>8930.2266666665728</c:v>
                </c:pt>
                <c:pt idx="240">
                  <c:v>8903.1799999999057</c:v>
                </c:pt>
                <c:pt idx="241">
                  <c:v>8875.1933333332345</c:v>
                </c:pt>
                <c:pt idx="242">
                  <c:v>8846.2666666665646</c:v>
                </c:pt>
                <c:pt idx="243">
                  <c:v>8816.3999999998978</c:v>
                </c:pt>
                <c:pt idx="244">
                  <c:v>8786.5333333332292</c:v>
                </c:pt>
                <c:pt idx="245">
                  <c:v>8756.6666666665642</c:v>
                </c:pt>
                <c:pt idx="246">
                  <c:v>8726.7999999998974</c:v>
                </c:pt>
                <c:pt idx="247">
                  <c:v>8696.9333333332306</c:v>
                </c:pt>
                <c:pt idx="248">
                  <c:v>8667.0666666665602</c:v>
                </c:pt>
                <c:pt idx="249">
                  <c:v>8636.0599999998885</c:v>
                </c:pt>
                <c:pt idx="250">
                  <c:v>8603.9133333332175</c:v>
                </c:pt>
                <c:pt idx="251">
                  <c:v>8570.6266666665451</c:v>
                </c:pt>
                <c:pt idx="252">
                  <c:v>8536.1999999998752</c:v>
                </c:pt>
                <c:pt idx="253">
                  <c:v>8500.6333333332059</c:v>
                </c:pt>
                <c:pt idx="254">
                  <c:v>8465.0666666665384</c:v>
                </c:pt>
                <c:pt idx="255">
                  <c:v>8429.4999999998709</c:v>
                </c:pt>
                <c:pt idx="256">
                  <c:v>8393.9333333332033</c:v>
                </c:pt>
                <c:pt idx="257">
                  <c:v>8358.3666666665358</c:v>
                </c:pt>
                <c:pt idx="258">
                  <c:v>8322.7999999998647</c:v>
                </c:pt>
                <c:pt idx="259">
                  <c:v>8286.0133333331905</c:v>
                </c:pt>
                <c:pt idx="260">
                  <c:v>8248.0066666665207</c:v>
                </c:pt>
                <c:pt idx="261">
                  <c:v>8208.7799999998497</c:v>
                </c:pt>
                <c:pt idx="262">
                  <c:v>8168.3333333331757</c:v>
                </c:pt>
                <c:pt idx="263">
                  <c:v>8126.6666666665087</c:v>
                </c:pt>
                <c:pt idx="264">
                  <c:v>8084.9999999998427</c:v>
                </c:pt>
                <c:pt idx="265">
                  <c:v>8043.3333333331757</c:v>
                </c:pt>
                <c:pt idx="266">
                  <c:v>8001.6666666665087</c:v>
                </c:pt>
                <c:pt idx="267">
                  <c:v>7959.9999999998399</c:v>
                </c:pt>
                <c:pt idx="268">
                  <c:v>7918.3333333331684</c:v>
                </c:pt>
                <c:pt idx="269">
                  <c:v>7875.2066666664959</c:v>
                </c:pt>
                <c:pt idx="270">
                  <c:v>7830.6199999998225</c:v>
                </c:pt>
                <c:pt idx="271">
                  <c:v>7784.57333333315</c:v>
                </c:pt>
                <c:pt idx="272">
                  <c:v>7737.0666666664783</c:v>
                </c:pt>
                <c:pt idx="273">
                  <c:v>7688.0999999998112</c:v>
                </c:pt>
                <c:pt idx="274">
                  <c:v>7639.133333333144</c:v>
                </c:pt>
                <c:pt idx="275">
                  <c:v>7590.1666666664769</c:v>
                </c:pt>
                <c:pt idx="276">
                  <c:v>7541.1999999998097</c:v>
                </c:pt>
                <c:pt idx="277">
                  <c:v>7492.2333333331426</c:v>
                </c:pt>
                <c:pt idx="278">
                  <c:v>7443.2666666664691</c:v>
                </c:pt>
                <c:pt idx="279">
                  <c:v>7392.8266666664622</c:v>
                </c:pt>
                <c:pt idx="280">
                  <c:v>7340.9133333331238</c:v>
                </c:pt>
                <c:pt idx="281">
                  <c:v>7287.5266666664493</c:v>
                </c:pt>
                <c:pt idx="282">
                  <c:v>7232.6666666664432</c:v>
                </c:pt>
                <c:pt idx="283">
                  <c:v>7176.3333333331084</c:v>
                </c:pt>
                <c:pt idx="284">
                  <c:v>7119.9999999997744</c:v>
                </c:pt>
                <c:pt idx="285">
                  <c:v>7063.6666666664405</c:v>
                </c:pt>
                <c:pt idx="286">
                  <c:v>7007.3333333331057</c:v>
                </c:pt>
                <c:pt idx="287">
                  <c:v>6950.9999999997717</c:v>
                </c:pt>
                <c:pt idx="288">
                  <c:v>6894.6666666664314</c:v>
                </c:pt>
                <c:pt idx="289">
                  <c:v>6836.946666666423</c:v>
                </c:pt>
                <c:pt idx="290">
                  <c:v>6777.8399999997509</c:v>
                </c:pt>
                <c:pt idx="291">
                  <c:v>6717.3466666664117</c:v>
                </c:pt>
                <c:pt idx="292">
                  <c:v>6655.4666666664052</c:v>
                </c:pt>
                <c:pt idx="293">
                  <c:v>6592.1999999997379</c:v>
                </c:pt>
                <c:pt idx="294">
                  <c:v>6528.9333333330696</c:v>
                </c:pt>
                <c:pt idx="295">
                  <c:v>6465.6666666664023</c:v>
                </c:pt>
                <c:pt idx="296">
                  <c:v>6402.399999999735</c:v>
                </c:pt>
                <c:pt idx="297">
                  <c:v>6339.1333333330676</c:v>
                </c:pt>
                <c:pt idx="298">
                  <c:v>6275.8666666663967</c:v>
                </c:pt>
                <c:pt idx="299">
                  <c:v>6211.6999999997261</c:v>
                </c:pt>
                <c:pt idx="300">
                  <c:v>6146.633333333054</c:v>
                </c:pt>
                <c:pt idx="301">
                  <c:v>6080.6666666663823</c:v>
                </c:pt>
                <c:pt idx="302">
                  <c:v>6013.7999999997101</c:v>
                </c:pt>
                <c:pt idx="303">
                  <c:v>5946.0333333330427</c:v>
                </c:pt>
                <c:pt idx="304">
                  <c:v>5878.2666666663745</c:v>
                </c:pt>
                <c:pt idx="305">
                  <c:v>5810.4999999997062</c:v>
                </c:pt>
                <c:pt idx="306">
                  <c:v>5742.733333333038</c:v>
                </c:pt>
                <c:pt idx="307">
                  <c:v>5674.9666666663707</c:v>
                </c:pt>
                <c:pt idx="308">
                  <c:v>5607.1999999996997</c:v>
                </c:pt>
                <c:pt idx="309">
                  <c:v>5538.9533333330291</c:v>
                </c:pt>
                <c:pt idx="310">
                  <c:v>5470.22666666636</c:v>
                </c:pt>
                <c:pt idx="311">
                  <c:v>5401.0199999996894</c:v>
                </c:pt>
                <c:pt idx="312">
                  <c:v>5331.3333333330202</c:v>
                </c:pt>
                <c:pt idx="313">
                  <c:v>5261.1666666663532</c:v>
                </c:pt>
                <c:pt idx="314">
                  <c:v>5190.9999999996853</c:v>
                </c:pt>
                <c:pt idx="315">
                  <c:v>5120.8333333330183</c:v>
                </c:pt>
                <c:pt idx="316">
                  <c:v>5050.6666666663505</c:v>
                </c:pt>
                <c:pt idx="317">
                  <c:v>4980.4999999996835</c:v>
                </c:pt>
                <c:pt idx="318">
                  <c:v>4910.3333333330165</c:v>
                </c:pt>
                <c:pt idx="319">
                  <c:v>4840.3266666663494</c:v>
                </c:pt>
                <c:pt idx="320">
                  <c:v>4770.4799999996831</c:v>
                </c:pt>
                <c:pt idx="321">
                  <c:v>4700.7933333330166</c:v>
                </c:pt>
                <c:pt idx="322">
                  <c:v>4631.2666666663499</c:v>
                </c:pt>
                <c:pt idx="323">
                  <c:v>4561.8999999996822</c:v>
                </c:pt>
                <c:pt idx="324">
                  <c:v>4492.5333333330145</c:v>
                </c:pt>
                <c:pt idx="325">
                  <c:v>4423.1666666663468</c:v>
                </c:pt>
                <c:pt idx="326">
                  <c:v>4353.79999999968</c:v>
                </c:pt>
                <c:pt idx="327">
                  <c:v>4284.4333333330123</c:v>
                </c:pt>
                <c:pt idx="328">
                  <c:v>4215.0666666663483</c:v>
                </c:pt>
                <c:pt idx="329">
                  <c:v>4146.3199999996841</c:v>
                </c:pt>
                <c:pt idx="330">
                  <c:v>4078.1933333330189</c:v>
                </c:pt>
                <c:pt idx="331">
                  <c:v>4010.6866666663541</c:v>
                </c:pt>
                <c:pt idx="332">
                  <c:v>3943.7999999996891</c:v>
                </c:pt>
                <c:pt idx="333">
                  <c:v>3877.5333333330209</c:v>
                </c:pt>
                <c:pt idx="334">
                  <c:v>3811.2666666663526</c:v>
                </c:pt>
                <c:pt idx="335">
                  <c:v>3744.9999999996844</c:v>
                </c:pt>
                <c:pt idx="336">
                  <c:v>3678.7333333330162</c:v>
                </c:pt>
                <c:pt idx="337">
                  <c:v>3612.4666666663484</c:v>
                </c:pt>
                <c:pt idx="338">
                  <c:v>3546.1999999996865</c:v>
                </c:pt>
                <c:pt idx="339">
                  <c:v>3481.1999999996915</c:v>
                </c:pt>
                <c:pt idx="340">
                  <c:v>3417.4666666663629</c:v>
                </c:pt>
                <c:pt idx="341">
                  <c:v>3354.9999999997017</c:v>
                </c:pt>
                <c:pt idx="342">
                  <c:v>3293.7999999997073</c:v>
                </c:pt>
                <c:pt idx="343">
                  <c:v>3233.8666666663739</c:v>
                </c:pt>
                <c:pt idx="344">
                  <c:v>3173.9333333330401</c:v>
                </c:pt>
                <c:pt idx="345">
                  <c:v>3113.9999999997062</c:v>
                </c:pt>
                <c:pt idx="346">
                  <c:v>3054.0666666663724</c:v>
                </c:pt>
                <c:pt idx="347">
                  <c:v>2994.133333333039</c:v>
                </c:pt>
                <c:pt idx="348">
                  <c:v>2934.1999999997142</c:v>
                </c:pt>
                <c:pt idx="349">
                  <c:v>2876.0333333330555</c:v>
                </c:pt>
                <c:pt idx="350">
                  <c:v>2819.6333333330635</c:v>
                </c:pt>
                <c:pt idx="351">
                  <c:v>2764.9999999997381</c:v>
                </c:pt>
                <c:pt idx="352">
                  <c:v>2712.1333333330795</c:v>
                </c:pt>
                <c:pt idx="353">
                  <c:v>2661.0333333330782</c:v>
                </c:pt>
                <c:pt idx="354">
                  <c:v>2609.9333333330769</c:v>
                </c:pt>
                <c:pt idx="355">
                  <c:v>2558.8333333330761</c:v>
                </c:pt>
                <c:pt idx="356">
                  <c:v>2507.7333333330748</c:v>
                </c:pt>
                <c:pt idx="357">
                  <c:v>2456.633333333074</c:v>
                </c:pt>
                <c:pt idx="358">
                  <c:v>2405.5333333330836</c:v>
                </c:pt>
                <c:pt idx="359">
                  <c:v>2356.566666666427</c:v>
                </c:pt>
                <c:pt idx="360">
                  <c:v>2309.7333333331039</c:v>
                </c:pt>
                <c:pt idx="361">
                  <c:v>2265.0333333331137</c:v>
                </c:pt>
                <c:pt idx="362">
                  <c:v>2222.4666666664575</c:v>
                </c:pt>
                <c:pt idx="363">
                  <c:v>2182.0333333331241</c:v>
                </c:pt>
                <c:pt idx="364">
                  <c:v>2141.5999999997903</c:v>
                </c:pt>
                <c:pt idx="365">
                  <c:v>2101.1666666664564</c:v>
                </c:pt>
                <c:pt idx="366">
                  <c:v>2060.7333333331226</c:v>
                </c:pt>
                <c:pt idx="367">
                  <c:v>2020.2999999997887</c:v>
                </c:pt>
                <c:pt idx="368">
                  <c:v>1979.8666666664672</c:v>
                </c:pt>
                <c:pt idx="369">
                  <c:v>1941.6733333331445</c:v>
                </c:pt>
                <c:pt idx="370">
                  <c:v>1905.7199999998229</c:v>
                </c:pt>
                <c:pt idx="371">
                  <c:v>1872.0066666665011</c:v>
                </c:pt>
                <c:pt idx="372">
                  <c:v>1840.5333333331789</c:v>
                </c:pt>
                <c:pt idx="373">
                  <c:v>1811.2999999998453</c:v>
                </c:pt>
                <c:pt idx="374">
                  <c:v>1782.0666666665118</c:v>
                </c:pt>
                <c:pt idx="375">
                  <c:v>1752.8333333331782</c:v>
                </c:pt>
                <c:pt idx="376">
                  <c:v>1723.5999999998444</c:v>
                </c:pt>
                <c:pt idx="377">
                  <c:v>1694.3666666665108</c:v>
                </c:pt>
                <c:pt idx="378">
                  <c:v>1665.1333333331877</c:v>
                </c:pt>
                <c:pt idx="379">
                  <c:v>1637.8266666665313</c:v>
                </c:pt>
                <c:pt idx="380">
                  <c:v>1612.4466666665412</c:v>
                </c:pt>
                <c:pt idx="381">
                  <c:v>1588.9933333332178</c:v>
                </c:pt>
                <c:pt idx="382">
                  <c:v>1567.466666666561</c:v>
                </c:pt>
                <c:pt idx="383">
                  <c:v>1547.8666666665606</c:v>
                </c:pt>
                <c:pt idx="384">
                  <c:v>1528.2666666665602</c:v>
                </c:pt>
                <c:pt idx="385">
                  <c:v>1508.6666666665599</c:v>
                </c:pt>
                <c:pt idx="386">
                  <c:v>1489.0666666665593</c:v>
                </c:pt>
                <c:pt idx="387">
                  <c:v>1469.4666666665589</c:v>
                </c:pt>
                <c:pt idx="388">
                  <c:v>1449.8666666665672</c:v>
                </c:pt>
                <c:pt idx="389">
                  <c:v>1431.8399999999092</c:v>
                </c:pt>
                <c:pt idx="390">
                  <c:v>1415.3866666665842</c:v>
                </c:pt>
                <c:pt idx="391">
                  <c:v>1400.506666666593</c:v>
                </c:pt>
                <c:pt idx="392">
                  <c:v>1387.1999999999357</c:v>
                </c:pt>
                <c:pt idx="393">
                  <c:v>1375.4666666666033</c:v>
                </c:pt>
                <c:pt idx="394">
                  <c:v>1363.7333333332706</c:v>
                </c:pt>
                <c:pt idx="395">
                  <c:v>1351.9999999999379</c:v>
                </c:pt>
                <c:pt idx="396">
                  <c:v>1340.2666666666053</c:v>
                </c:pt>
                <c:pt idx="397">
                  <c:v>1328.5333333332726</c:v>
                </c:pt>
                <c:pt idx="398">
                  <c:v>1316.7999999999449</c:v>
                </c:pt>
                <c:pt idx="399">
                  <c:v>1306.0533333332837</c:v>
                </c:pt>
                <c:pt idx="400">
                  <c:v>1296.2933333332892</c:v>
                </c:pt>
                <c:pt idx="401">
                  <c:v>1287.5199999999613</c:v>
                </c:pt>
                <c:pt idx="402">
                  <c:v>1279.7333333332999</c:v>
                </c:pt>
                <c:pt idx="403">
                  <c:v>1272.9333333333002</c:v>
                </c:pt>
                <c:pt idx="404">
                  <c:v>1266.1333333333009</c:v>
                </c:pt>
                <c:pt idx="405">
                  <c:v>1259.333333333301</c:v>
                </c:pt>
                <c:pt idx="406">
                  <c:v>1252.5333333333015</c:v>
                </c:pt>
                <c:pt idx="407">
                  <c:v>1245.733333333302</c:v>
                </c:pt>
                <c:pt idx="408">
                  <c:v>1238.933333333305</c:v>
                </c:pt>
                <c:pt idx="409">
                  <c:v>1232.7533333333081</c:v>
                </c:pt>
                <c:pt idx="410">
                  <c:v>1227.1933333333111</c:v>
                </c:pt>
                <c:pt idx="411">
                  <c:v>1222.2533333333142</c:v>
                </c:pt>
                <c:pt idx="412">
                  <c:v>1217.933333333317</c:v>
                </c:pt>
                <c:pt idx="413">
                  <c:v>1214.2333333333172</c:v>
                </c:pt>
                <c:pt idx="414">
                  <c:v>1210.5333333333176</c:v>
                </c:pt>
                <c:pt idx="415">
                  <c:v>1206.8333333333178</c:v>
                </c:pt>
                <c:pt idx="416">
                  <c:v>1203.133333333318</c:v>
                </c:pt>
                <c:pt idx="417">
                  <c:v>1199.4333333333182</c:v>
                </c:pt>
                <c:pt idx="418">
                  <c:v>1195.7333333333195</c:v>
                </c:pt>
                <c:pt idx="419">
                  <c:v>1192.3466666666543</c:v>
                </c:pt>
                <c:pt idx="420">
                  <c:v>1189.2733333333224</c:v>
                </c:pt>
                <c:pt idx="421">
                  <c:v>1186.5133333333238</c:v>
                </c:pt>
                <c:pt idx="422">
                  <c:v>1184.0666666666584</c:v>
                </c:pt>
                <c:pt idx="423">
                  <c:v>1181.9333333333252</c:v>
                </c:pt>
                <c:pt idx="424">
                  <c:v>1179.799999999992</c:v>
                </c:pt>
                <c:pt idx="425">
                  <c:v>1177.6666666666588</c:v>
                </c:pt>
                <c:pt idx="426">
                  <c:v>1175.5333333333258</c:v>
                </c:pt>
                <c:pt idx="427">
                  <c:v>1173.3999999999926</c:v>
                </c:pt>
                <c:pt idx="428">
                  <c:v>1171.2666666666601</c:v>
                </c:pt>
                <c:pt idx="429">
                  <c:v>1169.3399999999942</c:v>
                </c:pt>
                <c:pt idx="430">
                  <c:v>1167.6199999999949</c:v>
                </c:pt>
                <c:pt idx="431">
                  <c:v>1166.1066666666625</c:v>
                </c:pt>
                <c:pt idx="432">
                  <c:v>1164.7999999999965</c:v>
                </c:pt>
                <c:pt idx="433">
                  <c:v>1163.6999999999966</c:v>
                </c:pt>
                <c:pt idx="434">
                  <c:v>1162.5999999999967</c:v>
                </c:pt>
                <c:pt idx="435">
                  <c:v>1161.4999999999968</c:v>
                </c:pt>
                <c:pt idx="436">
                  <c:v>1160.3999999999967</c:v>
                </c:pt>
                <c:pt idx="437">
                  <c:v>1159.2999999999968</c:v>
                </c:pt>
                <c:pt idx="438">
                  <c:v>1158.1999999999971</c:v>
                </c:pt>
                <c:pt idx="439">
                  <c:v>1157.2199999999975</c:v>
                </c:pt>
                <c:pt idx="440">
                  <c:v>1156.3599999999981</c:v>
                </c:pt>
                <c:pt idx="441">
                  <c:v>1155.6199999999983</c:v>
                </c:pt>
                <c:pt idx="442">
                  <c:v>1154.9999999999986</c:v>
                </c:pt>
                <c:pt idx="443">
                  <c:v>1154.4999999999986</c:v>
                </c:pt>
                <c:pt idx="444">
                  <c:v>1153.9999999999989</c:v>
                </c:pt>
                <c:pt idx="445">
                  <c:v>1153.9999999999989</c:v>
                </c:pt>
                <c:pt idx="446">
                  <c:v>1153.9999999999989</c:v>
                </c:pt>
                <c:pt idx="447">
                  <c:v>1153.9999999999989</c:v>
                </c:pt>
                <c:pt idx="448">
                  <c:v>1153.9999999999989</c:v>
                </c:pt>
                <c:pt idx="449">
                  <c:v>1153.9999999999989</c:v>
                </c:pt>
                <c:pt idx="450">
                  <c:v>1153.9999999999989</c:v>
                </c:pt>
                <c:pt idx="451">
                  <c:v>1153.9999999999989</c:v>
                </c:pt>
                <c:pt idx="452">
                  <c:v>1153.9999999999989</c:v>
                </c:pt>
                <c:pt idx="453">
                  <c:v>1153.9999999999989</c:v>
                </c:pt>
                <c:pt idx="454">
                  <c:v>1153.9999999999989</c:v>
                </c:pt>
                <c:pt idx="455">
                  <c:v>1153.9999999999989</c:v>
                </c:pt>
                <c:pt idx="456">
                  <c:v>1153.9999999999989</c:v>
                </c:pt>
                <c:pt idx="457">
                  <c:v>1153.9999999999989</c:v>
                </c:pt>
                <c:pt idx="458">
                  <c:v>1153.9999999999989</c:v>
                </c:pt>
                <c:pt idx="459">
                  <c:v>1153.9999999999989</c:v>
                </c:pt>
                <c:pt idx="460">
                  <c:v>1153.9999999999989</c:v>
                </c:pt>
                <c:pt idx="461">
                  <c:v>1153.9999999999989</c:v>
                </c:pt>
                <c:pt idx="462">
                  <c:v>1153.9999999999989</c:v>
                </c:pt>
                <c:pt idx="463">
                  <c:v>1153.9999999999989</c:v>
                </c:pt>
                <c:pt idx="464">
                  <c:v>1153.9999999999989</c:v>
                </c:pt>
                <c:pt idx="465">
                  <c:v>1153.9999999999989</c:v>
                </c:pt>
                <c:pt idx="466">
                  <c:v>1153.9999999999989</c:v>
                </c:pt>
                <c:pt idx="467">
                  <c:v>1153.9999999999989</c:v>
                </c:pt>
                <c:pt idx="468">
                  <c:v>1153.9999999999989</c:v>
                </c:pt>
                <c:pt idx="469">
                  <c:v>1153.9999999999989</c:v>
                </c:pt>
                <c:pt idx="470">
                  <c:v>1153.9999999999989</c:v>
                </c:pt>
                <c:pt idx="471">
                  <c:v>1153.9999999999989</c:v>
                </c:pt>
                <c:pt idx="472">
                  <c:v>1153.9999999999989</c:v>
                </c:pt>
                <c:pt idx="473">
                  <c:v>1153.9999999999989</c:v>
                </c:pt>
                <c:pt idx="474">
                  <c:v>1153.9999999999989</c:v>
                </c:pt>
                <c:pt idx="475">
                  <c:v>1153.9999999999989</c:v>
                </c:pt>
                <c:pt idx="476">
                  <c:v>1153.9999999999989</c:v>
                </c:pt>
                <c:pt idx="477">
                  <c:v>1153.9999999999989</c:v>
                </c:pt>
                <c:pt idx="478">
                  <c:v>1153.9999999999989</c:v>
                </c:pt>
                <c:pt idx="479">
                  <c:v>1153.9999999999989</c:v>
                </c:pt>
                <c:pt idx="480">
                  <c:v>1153.9999999999989</c:v>
                </c:pt>
                <c:pt idx="481">
                  <c:v>1153.9999999999989</c:v>
                </c:pt>
                <c:pt idx="482">
                  <c:v>1153.9999999999989</c:v>
                </c:pt>
                <c:pt idx="483">
                  <c:v>1153.9999999999989</c:v>
                </c:pt>
                <c:pt idx="484">
                  <c:v>1153.9999999999989</c:v>
                </c:pt>
                <c:pt idx="485">
                  <c:v>1153.9999999999989</c:v>
                </c:pt>
                <c:pt idx="486">
                  <c:v>1153.9999999999989</c:v>
                </c:pt>
                <c:pt idx="487">
                  <c:v>1153.9999999999989</c:v>
                </c:pt>
                <c:pt idx="488">
                  <c:v>1153.9999999999989</c:v>
                </c:pt>
                <c:pt idx="489">
                  <c:v>1153.9999999999989</c:v>
                </c:pt>
                <c:pt idx="490">
                  <c:v>1153.9999999999989</c:v>
                </c:pt>
                <c:pt idx="491">
                  <c:v>1153.9999999999989</c:v>
                </c:pt>
                <c:pt idx="492">
                  <c:v>1153.9999999999989</c:v>
                </c:pt>
                <c:pt idx="493">
                  <c:v>1153.9999999999989</c:v>
                </c:pt>
                <c:pt idx="494">
                  <c:v>1153.9999999999989</c:v>
                </c:pt>
                <c:pt idx="495">
                  <c:v>1153.9999999999989</c:v>
                </c:pt>
                <c:pt idx="496">
                  <c:v>1153.9999999999989</c:v>
                </c:pt>
                <c:pt idx="497">
                  <c:v>1153.9999999999989</c:v>
                </c:pt>
                <c:pt idx="498">
                  <c:v>1153.9999999999989</c:v>
                </c:pt>
                <c:pt idx="499">
                  <c:v>1153.9999999999989</c:v>
                </c:pt>
                <c:pt idx="500">
                  <c:v>1153.9999999999989</c:v>
                </c:pt>
                <c:pt idx="501">
                  <c:v>1153.9999999999989</c:v>
                </c:pt>
                <c:pt idx="502">
                  <c:v>1153.9999999999989</c:v>
                </c:pt>
                <c:pt idx="503">
                  <c:v>1153.9999999999989</c:v>
                </c:pt>
                <c:pt idx="504">
                  <c:v>1153.9999999999989</c:v>
                </c:pt>
                <c:pt idx="505">
                  <c:v>1153.9999999999989</c:v>
                </c:pt>
                <c:pt idx="506">
                  <c:v>1153.9999999999989</c:v>
                </c:pt>
                <c:pt idx="507">
                  <c:v>1153.9999999999989</c:v>
                </c:pt>
                <c:pt idx="508">
                  <c:v>1153.9999999999989</c:v>
                </c:pt>
                <c:pt idx="509">
                  <c:v>1153.9999999999989</c:v>
                </c:pt>
                <c:pt idx="510">
                  <c:v>1153.9999999999989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06-4ACB-84BA-8940E7FDB0D9}"/>
            </c:ext>
          </c:extLst>
        </c:ser>
        <c:ser>
          <c:idx val="4"/>
          <c:order val="2"/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Curves!$AK$2:$AK$512</c:f>
              <c:numCache>
                <c:formatCode>0.0</c:formatCode>
                <c:ptCount val="511"/>
                <c:pt idx="0">
                  <c:v>25</c:v>
                </c:pt>
                <c:pt idx="1">
                  <c:v>25.1</c:v>
                </c:pt>
                <c:pt idx="2">
                  <c:v>25.200000000000003</c:v>
                </c:pt>
                <c:pt idx="3">
                  <c:v>25.300000000000004</c:v>
                </c:pt>
                <c:pt idx="4">
                  <c:v>25.400000000000006</c:v>
                </c:pt>
                <c:pt idx="5">
                  <c:v>25.500000000000007</c:v>
                </c:pt>
                <c:pt idx="6">
                  <c:v>25.600000000000009</c:v>
                </c:pt>
                <c:pt idx="7">
                  <c:v>25.70000000000001</c:v>
                </c:pt>
                <c:pt idx="8">
                  <c:v>25.800000000000011</c:v>
                </c:pt>
                <c:pt idx="9">
                  <c:v>25.900000000000013</c:v>
                </c:pt>
                <c:pt idx="10">
                  <c:v>26.000000000000014</c:v>
                </c:pt>
                <c:pt idx="11">
                  <c:v>26.100000000000016</c:v>
                </c:pt>
                <c:pt idx="12">
                  <c:v>26.200000000000017</c:v>
                </c:pt>
                <c:pt idx="13">
                  <c:v>26.300000000000018</c:v>
                </c:pt>
                <c:pt idx="14">
                  <c:v>26.40000000000002</c:v>
                </c:pt>
                <c:pt idx="15">
                  <c:v>26.500000000000021</c:v>
                </c:pt>
                <c:pt idx="16">
                  <c:v>26.600000000000023</c:v>
                </c:pt>
                <c:pt idx="17">
                  <c:v>26.700000000000024</c:v>
                </c:pt>
                <c:pt idx="18">
                  <c:v>26.800000000000026</c:v>
                </c:pt>
                <c:pt idx="19">
                  <c:v>26.900000000000027</c:v>
                </c:pt>
                <c:pt idx="20">
                  <c:v>27.000000000000028</c:v>
                </c:pt>
                <c:pt idx="21">
                  <c:v>27.10000000000003</c:v>
                </c:pt>
                <c:pt idx="22">
                  <c:v>27.200000000000031</c:v>
                </c:pt>
                <c:pt idx="23">
                  <c:v>27.300000000000033</c:v>
                </c:pt>
                <c:pt idx="24">
                  <c:v>27.400000000000034</c:v>
                </c:pt>
                <c:pt idx="25">
                  <c:v>27.500000000000036</c:v>
                </c:pt>
                <c:pt idx="26">
                  <c:v>27.600000000000037</c:v>
                </c:pt>
                <c:pt idx="27">
                  <c:v>27.700000000000038</c:v>
                </c:pt>
                <c:pt idx="28">
                  <c:v>27.80000000000004</c:v>
                </c:pt>
                <c:pt idx="29">
                  <c:v>27.900000000000041</c:v>
                </c:pt>
                <c:pt idx="30">
                  <c:v>28.000000000000043</c:v>
                </c:pt>
                <c:pt idx="31">
                  <c:v>28.100000000000044</c:v>
                </c:pt>
                <c:pt idx="32">
                  <c:v>28.200000000000045</c:v>
                </c:pt>
                <c:pt idx="33">
                  <c:v>28.300000000000047</c:v>
                </c:pt>
                <c:pt idx="34">
                  <c:v>28.400000000000048</c:v>
                </c:pt>
                <c:pt idx="35">
                  <c:v>28.50000000000005</c:v>
                </c:pt>
                <c:pt idx="36">
                  <c:v>28.600000000000051</c:v>
                </c:pt>
                <c:pt idx="37">
                  <c:v>28.700000000000053</c:v>
                </c:pt>
                <c:pt idx="38">
                  <c:v>28.800000000000054</c:v>
                </c:pt>
                <c:pt idx="39">
                  <c:v>28.900000000000055</c:v>
                </c:pt>
                <c:pt idx="40">
                  <c:v>29.000000000000057</c:v>
                </c:pt>
                <c:pt idx="41">
                  <c:v>29.100000000000058</c:v>
                </c:pt>
                <c:pt idx="42">
                  <c:v>29.20000000000006</c:v>
                </c:pt>
                <c:pt idx="43">
                  <c:v>29.300000000000061</c:v>
                </c:pt>
                <c:pt idx="44">
                  <c:v>29.400000000000063</c:v>
                </c:pt>
                <c:pt idx="45">
                  <c:v>29.500000000000064</c:v>
                </c:pt>
                <c:pt idx="46">
                  <c:v>29.600000000000065</c:v>
                </c:pt>
                <c:pt idx="47">
                  <c:v>29.700000000000067</c:v>
                </c:pt>
                <c:pt idx="48">
                  <c:v>29.800000000000068</c:v>
                </c:pt>
                <c:pt idx="49">
                  <c:v>29.90000000000007</c:v>
                </c:pt>
                <c:pt idx="50">
                  <c:v>30.000000000000071</c:v>
                </c:pt>
                <c:pt idx="51">
                  <c:v>30.100000000000072</c:v>
                </c:pt>
                <c:pt idx="52">
                  <c:v>30.200000000000074</c:v>
                </c:pt>
                <c:pt idx="53">
                  <c:v>30.300000000000075</c:v>
                </c:pt>
                <c:pt idx="54">
                  <c:v>30.400000000000077</c:v>
                </c:pt>
                <c:pt idx="55">
                  <c:v>30.500000000000078</c:v>
                </c:pt>
                <c:pt idx="56">
                  <c:v>30.60000000000008</c:v>
                </c:pt>
                <c:pt idx="57">
                  <c:v>30.700000000000081</c:v>
                </c:pt>
                <c:pt idx="58">
                  <c:v>30.800000000000082</c:v>
                </c:pt>
                <c:pt idx="59">
                  <c:v>30.900000000000084</c:v>
                </c:pt>
                <c:pt idx="60">
                  <c:v>31.000000000000085</c:v>
                </c:pt>
                <c:pt idx="61">
                  <c:v>31.100000000000087</c:v>
                </c:pt>
                <c:pt idx="62">
                  <c:v>31.200000000000088</c:v>
                </c:pt>
                <c:pt idx="63">
                  <c:v>31.30000000000009</c:v>
                </c:pt>
                <c:pt idx="64">
                  <c:v>31.400000000000091</c:v>
                </c:pt>
                <c:pt idx="65">
                  <c:v>31.500000000000092</c:v>
                </c:pt>
                <c:pt idx="66">
                  <c:v>31.600000000000094</c:v>
                </c:pt>
                <c:pt idx="67">
                  <c:v>31.700000000000095</c:v>
                </c:pt>
                <c:pt idx="68">
                  <c:v>31.800000000000097</c:v>
                </c:pt>
                <c:pt idx="69">
                  <c:v>31.900000000000098</c:v>
                </c:pt>
                <c:pt idx="70">
                  <c:v>32.000000000000099</c:v>
                </c:pt>
                <c:pt idx="71">
                  <c:v>32.100000000000101</c:v>
                </c:pt>
                <c:pt idx="72">
                  <c:v>32.200000000000102</c:v>
                </c:pt>
                <c:pt idx="73">
                  <c:v>32.300000000000104</c:v>
                </c:pt>
                <c:pt idx="74">
                  <c:v>32.400000000000105</c:v>
                </c:pt>
                <c:pt idx="75">
                  <c:v>32.500000000000107</c:v>
                </c:pt>
                <c:pt idx="76">
                  <c:v>32.600000000000108</c:v>
                </c:pt>
                <c:pt idx="77">
                  <c:v>32.700000000000109</c:v>
                </c:pt>
                <c:pt idx="78">
                  <c:v>32.800000000000111</c:v>
                </c:pt>
                <c:pt idx="79">
                  <c:v>32.900000000000112</c:v>
                </c:pt>
                <c:pt idx="80">
                  <c:v>33.000000000000114</c:v>
                </c:pt>
                <c:pt idx="81">
                  <c:v>33.100000000000115</c:v>
                </c:pt>
                <c:pt idx="82">
                  <c:v>33.200000000000117</c:v>
                </c:pt>
                <c:pt idx="83">
                  <c:v>33.300000000000118</c:v>
                </c:pt>
                <c:pt idx="84">
                  <c:v>33.400000000000119</c:v>
                </c:pt>
                <c:pt idx="85">
                  <c:v>33.500000000000121</c:v>
                </c:pt>
                <c:pt idx="86">
                  <c:v>33.600000000000122</c:v>
                </c:pt>
                <c:pt idx="87">
                  <c:v>33.700000000000124</c:v>
                </c:pt>
                <c:pt idx="88">
                  <c:v>33.800000000000125</c:v>
                </c:pt>
                <c:pt idx="89">
                  <c:v>33.900000000000126</c:v>
                </c:pt>
                <c:pt idx="90">
                  <c:v>34.000000000000128</c:v>
                </c:pt>
                <c:pt idx="91">
                  <c:v>34.100000000000129</c:v>
                </c:pt>
                <c:pt idx="92">
                  <c:v>34.200000000000131</c:v>
                </c:pt>
                <c:pt idx="93">
                  <c:v>34.300000000000132</c:v>
                </c:pt>
                <c:pt idx="94">
                  <c:v>34.400000000000134</c:v>
                </c:pt>
                <c:pt idx="95">
                  <c:v>34.500000000000135</c:v>
                </c:pt>
                <c:pt idx="96">
                  <c:v>34.600000000000136</c:v>
                </c:pt>
                <c:pt idx="97">
                  <c:v>34.700000000000138</c:v>
                </c:pt>
                <c:pt idx="98">
                  <c:v>34.800000000000139</c:v>
                </c:pt>
                <c:pt idx="99">
                  <c:v>34.900000000000141</c:v>
                </c:pt>
                <c:pt idx="100">
                  <c:v>35.000000000000142</c:v>
                </c:pt>
                <c:pt idx="101">
                  <c:v>35.100000000000144</c:v>
                </c:pt>
                <c:pt idx="102">
                  <c:v>35.200000000000145</c:v>
                </c:pt>
                <c:pt idx="103">
                  <c:v>35.300000000000146</c:v>
                </c:pt>
                <c:pt idx="104">
                  <c:v>35.400000000000148</c:v>
                </c:pt>
                <c:pt idx="105">
                  <c:v>35.500000000000149</c:v>
                </c:pt>
                <c:pt idx="106">
                  <c:v>35.600000000000151</c:v>
                </c:pt>
                <c:pt idx="107">
                  <c:v>35.700000000000152</c:v>
                </c:pt>
                <c:pt idx="108">
                  <c:v>35.800000000000153</c:v>
                </c:pt>
                <c:pt idx="109">
                  <c:v>35.900000000000155</c:v>
                </c:pt>
                <c:pt idx="110">
                  <c:v>36.000000000000156</c:v>
                </c:pt>
                <c:pt idx="111">
                  <c:v>36.100000000000158</c:v>
                </c:pt>
                <c:pt idx="112">
                  <c:v>36.200000000000159</c:v>
                </c:pt>
                <c:pt idx="113">
                  <c:v>36.300000000000161</c:v>
                </c:pt>
                <c:pt idx="114">
                  <c:v>36.400000000000162</c:v>
                </c:pt>
                <c:pt idx="115">
                  <c:v>36.500000000000163</c:v>
                </c:pt>
                <c:pt idx="116">
                  <c:v>36.600000000000165</c:v>
                </c:pt>
                <c:pt idx="117">
                  <c:v>36.700000000000166</c:v>
                </c:pt>
                <c:pt idx="118">
                  <c:v>36.800000000000168</c:v>
                </c:pt>
                <c:pt idx="119">
                  <c:v>36.900000000000169</c:v>
                </c:pt>
                <c:pt idx="120">
                  <c:v>37.000000000000171</c:v>
                </c:pt>
                <c:pt idx="121">
                  <c:v>37.100000000000172</c:v>
                </c:pt>
                <c:pt idx="122">
                  <c:v>37.200000000000173</c:v>
                </c:pt>
                <c:pt idx="123">
                  <c:v>37.300000000000175</c:v>
                </c:pt>
                <c:pt idx="124">
                  <c:v>37.400000000000176</c:v>
                </c:pt>
                <c:pt idx="125">
                  <c:v>37.500000000000178</c:v>
                </c:pt>
                <c:pt idx="126">
                  <c:v>37.600000000000179</c:v>
                </c:pt>
                <c:pt idx="127">
                  <c:v>37.70000000000018</c:v>
                </c:pt>
                <c:pt idx="128">
                  <c:v>37.800000000000182</c:v>
                </c:pt>
                <c:pt idx="129">
                  <c:v>37.900000000000183</c:v>
                </c:pt>
                <c:pt idx="130">
                  <c:v>38.000000000000185</c:v>
                </c:pt>
                <c:pt idx="131">
                  <c:v>38.100000000000186</c:v>
                </c:pt>
                <c:pt idx="132">
                  <c:v>38.200000000000188</c:v>
                </c:pt>
                <c:pt idx="133">
                  <c:v>38.300000000000189</c:v>
                </c:pt>
                <c:pt idx="134">
                  <c:v>38.40000000000019</c:v>
                </c:pt>
                <c:pt idx="135">
                  <c:v>38.500000000000192</c:v>
                </c:pt>
                <c:pt idx="136">
                  <c:v>38.600000000000193</c:v>
                </c:pt>
                <c:pt idx="137">
                  <c:v>38.700000000000195</c:v>
                </c:pt>
                <c:pt idx="138">
                  <c:v>38.800000000000196</c:v>
                </c:pt>
                <c:pt idx="139">
                  <c:v>38.900000000000198</c:v>
                </c:pt>
                <c:pt idx="140">
                  <c:v>39.000000000000199</c:v>
                </c:pt>
                <c:pt idx="141">
                  <c:v>39.1000000000002</c:v>
                </c:pt>
                <c:pt idx="142">
                  <c:v>39.200000000000202</c:v>
                </c:pt>
                <c:pt idx="143">
                  <c:v>39.300000000000203</c:v>
                </c:pt>
                <c:pt idx="144">
                  <c:v>39.400000000000205</c:v>
                </c:pt>
                <c:pt idx="145">
                  <c:v>39.500000000000206</c:v>
                </c:pt>
                <c:pt idx="146">
                  <c:v>39.600000000000207</c:v>
                </c:pt>
                <c:pt idx="147">
                  <c:v>39.700000000000209</c:v>
                </c:pt>
                <c:pt idx="148">
                  <c:v>39.80000000000021</c:v>
                </c:pt>
                <c:pt idx="149">
                  <c:v>39.900000000000212</c:v>
                </c:pt>
                <c:pt idx="150">
                  <c:v>40.000000000000213</c:v>
                </c:pt>
                <c:pt idx="151">
                  <c:v>40.100000000000215</c:v>
                </c:pt>
                <c:pt idx="152">
                  <c:v>40.200000000000216</c:v>
                </c:pt>
                <c:pt idx="153">
                  <c:v>40.300000000000217</c:v>
                </c:pt>
                <c:pt idx="154">
                  <c:v>40.400000000000219</c:v>
                </c:pt>
                <c:pt idx="155">
                  <c:v>40.50000000000022</c:v>
                </c:pt>
                <c:pt idx="156">
                  <c:v>40.600000000000222</c:v>
                </c:pt>
                <c:pt idx="157">
                  <c:v>40.700000000000223</c:v>
                </c:pt>
                <c:pt idx="158">
                  <c:v>40.800000000000225</c:v>
                </c:pt>
                <c:pt idx="159">
                  <c:v>40.900000000000226</c:v>
                </c:pt>
                <c:pt idx="160">
                  <c:v>41.000000000000227</c:v>
                </c:pt>
                <c:pt idx="161">
                  <c:v>41.100000000000229</c:v>
                </c:pt>
                <c:pt idx="162">
                  <c:v>41.20000000000023</c:v>
                </c:pt>
                <c:pt idx="163">
                  <c:v>41.300000000000232</c:v>
                </c:pt>
                <c:pt idx="164">
                  <c:v>41.400000000000233</c:v>
                </c:pt>
                <c:pt idx="165">
                  <c:v>41.500000000000234</c:v>
                </c:pt>
                <c:pt idx="166">
                  <c:v>41.600000000000236</c:v>
                </c:pt>
                <c:pt idx="167">
                  <c:v>41.700000000000237</c:v>
                </c:pt>
                <c:pt idx="168">
                  <c:v>41.800000000000239</c:v>
                </c:pt>
                <c:pt idx="169">
                  <c:v>41.90000000000024</c:v>
                </c:pt>
                <c:pt idx="170">
                  <c:v>42.000000000000242</c:v>
                </c:pt>
                <c:pt idx="171">
                  <c:v>42.100000000000243</c:v>
                </c:pt>
                <c:pt idx="172">
                  <c:v>42.200000000000244</c:v>
                </c:pt>
                <c:pt idx="173">
                  <c:v>42.300000000000246</c:v>
                </c:pt>
                <c:pt idx="174">
                  <c:v>42.400000000000247</c:v>
                </c:pt>
                <c:pt idx="175">
                  <c:v>42.500000000000249</c:v>
                </c:pt>
                <c:pt idx="176">
                  <c:v>42.60000000000025</c:v>
                </c:pt>
                <c:pt idx="177">
                  <c:v>42.700000000000252</c:v>
                </c:pt>
                <c:pt idx="178">
                  <c:v>42.800000000000253</c:v>
                </c:pt>
                <c:pt idx="179">
                  <c:v>42.900000000000254</c:v>
                </c:pt>
                <c:pt idx="180">
                  <c:v>43.000000000000256</c:v>
                </c:pt>
                <c:pt idx="181">
                  <c:v>43.100000000000257</c:v>
                </c:pt>
                <c:pt idx="182">
                  <c:v>43.200000000000259</c:v>
                </c:pt>
                <c:pt idx="183">
                  <c:v>43.30000000000026</c:v>
                </c:pt>
                <c:pt idx="184">
                  <c:v>43.400000000000261</c:v>
                </c:pt>
                <c:pt idx="185">
                  <c:v>43.500000000000263</c:v>
                </c:pt>
                <c:pt idx="186">
                  <c:v>43.600000000000264</c:v>
                </c:pt>
                <c:pt idx="187">
                  <c:v>43.700000000000266</c:v>
                </c:pt>
                <c:pt idx="188">
                  <c:v>43.800000000000267</c:v>
                </c:pt>
                <c:pt idx="189">
                  <c:v>43.900000000000269</c:v>
                </c:pt>
                <c:pt idx="190">
                  <c:v>44.00000000000027</c:v>
                </c:pt>
                <c:pt idx="191">
                  <c:v>44.100000000000271</c:v>
                </c:pt>
                <c:pt idx="192">
                  <c:v>44.200000000000273</c:v>
                </c:pt>
                <c:pt idx="193">
                  <c:v>44.300000000000274</c:v>
                </c:pt>
                <c:pt idx="194">
                  <c:v>44.400000000000276</c:v>
                </c:pt>
                <c:pt idx="195">
                  <c:v>44.500000000000277</c:v>
                </c:pt>
                <c:pt idx="196">
                  <c:v>44.600000000000279</c:v>
                </c:pt>
                <c:pt idx="197">
                  <c:v>44.70000000000028</c:v>
                </c:pt>
                <c:pt idx="198">
                  <c:v>44.800000000000281</c:v>
                </c:pt>
                <c:pt idx="199">
                  <c:v>44.900000000000283</c:v>
                </c:pt>
                <c:pt idx="200">
                  <c:v>45.000000000000284</c:v>
                </c:pt>
                <c:pt idx="201">
                  <c:v>45.100000000000286</c:v>
                </c:pt>
                <c:pt idx="202">
                  <c:v>45.200000000000287</c:v>
                </c:pt>
                <c:pt idx="203">
                  <c:v>45.300000000000288</c:v>
                </c:pt>
                <c:pt idx="204">
                  <c:v>45.40000000000029</c:v>
                </c:pt>
                <c:pt idx="205">
                  <c:v>45.500000000000291</c:v>
                </c:pt>
                <c:pt idx="206">
                  <c:v>45.600000000000293</c:v>
                </c:pt>
                <c:pt idx="207">
                  <c:v>45.700000000000294</c:v>
                </c:pt>
                <c:pt idx="208">
                  <c:v>45.800000000000296</c:v>
                </c:pt>
                <c:pt idx="209">
                  <c:v>45.900000000000297</c:v>
                </c:pt>
                <c:pt idx="210">
                  <c:v>46.000000000000298</c:v>
                </c:pt>
                <c:pt idx="211">
                  <c:v>46.1000000000003</c:v>
                </c:pt>
                <c:pt idx="212">
                  <c:v>46.200000000000301</c:v>
                </c:pt>
                <c:pt idx="213">
                  <c:v>46.300000000000303</c:v>
                </c:pt>
                <c:pt idx="214">
                  <c:v>46.400000000000304</c:v>
                </c:pt>
                <c:pt idx="215">
                  <c:v>46.500000000000306</c:v>
                </c:pt>
                <c:pt idx="216">
                  <c:v>46.600000000000307</c:v>
                </c:pt>
                <c:pt idx="217">
                  <c:v>46.700000000000308</c:v>
                </c:pt>
                <c:pt idx="218">
                  <c:v>46.80000000000031</c:v>
                </c:pt>
                <c:pt idx="219">
                  <c:v>46.900000000000311</c:v>
                </c:pt>
                <c:pt idx="220">
                  <c:v>47.000000000000313</c:v>
                </c:pt>
                <c:pt idx="221">
                  <c:v>47.100000000000314</c:v>
                </c:pt>
                <c:pt idx="222">
                  <c:v>47.200000000000315</c:v>
                </c:pt>
                <c:pt idx="223">
                  <c:v>47.300000000000317</c:v>
                </c:pt>
                <c:pt idx="224">
                  <c:v>47.400000000000318</c:v>
                </c:pt>
                <c:pt idx="225">
                  <c:v>47.50000000000032</c:v>
                </c:pt>
                <c:pt idx="226">
                  <c:v>47.600000000000321</c:v>
                </c:pt>
                <c:pt idx="227">
                  <c:v>47.700000000000323</c:v>
                </c:pt>
                <c:pt idx="228">
                  <c:v>47.800000000000324</c:v>
                </c:pt>
                <c:pt idx="229">
                  <c:v>47.900000000000325</c:v>
                </c:pt>
                <c:pt idx="230">
                  <c:v>48.000000000000327</c:v>
                </c:pt>
                <c:pt idx="231">
                  <c:v>48.100000000000328</c:v>
                </c:pt>
                <c:pt idx="232">
                  <c:v>48.20000000000033</c:v>
                </c:pt>
                <c:pt idx="233">
                  <c:v>48.300000000000331</c:v>
                </c:pt>
                <c:pt idx="234">
                  <c:v>48.400000000000333</c:v>
                </c:pt>
                <c:pt idx="235">
                  <c:v>48.500000000000334</c:v>
                </c:pt>
                <c:pt idx="236">
                  <c:v>48.600000000000335</c:v>
                </c:pt>
                <c:pt idx="237">
                  <c:v>48.700000000000337</c:v>
                </c:pt>
                <c:pt idx="238">
                  <c:v>48.800000000000338</c:v>
                </c:pt>
                <c:pt idx="239">
                  <c:v>48.90000000000034</c:v>
                </c:pt>
                <c:pt idx="240">
                  <c:v>49.000000000000341</c:v>
                </c:pt>
                <c:pt idx="241">
                  <c:v>49.100000000000342</c:v>
                </c:pt>
                <c:pt idx="242">
                  <c:v>49.200000000000344</c:v>
                </c:pt>
                <c:pt idx="243">
                  <c:v>49.300000000000345</c:v>
                </c:pt>
                <c:pt idx="244">
                  <c:v>49.400000000000347</c:v>
                </c:pt>
                <c:pt idx="245">
                  <c:v>49.500000000000348</c:v>
                </c:pt>
                <c:pt idx="246">
                  <c:v>49.60000000000035</c:v>
                </c:pt>
                <c:pt idx="247">
                  <c:v>49.700000000000351</c:v>
                </c:pt>
                <c:pt idx="248">
                  <c:v>49.800000000000352</c:v>
                </c:pt>
                <c:pt idx="249">
                  <c:v>49.900000000000354</c:v>
                </c:pt>
                <c:pt idx="250">
                  <c:v>50.000000000000355</c:v>
                </c:pt>
                <c:pt idx="251">
                  <c:v>50.100000000000357</c:v>
                </c:pt>
                <c:pt idx="252">
                  <c:v>50.200000000000358</c:v>
                </c:pt>
                <c:pt idx="253">
                  <c:v>50.30000000000036</c:v>
                </c:pt>
                <c:pt idx="254">
                  <c:v>50.400000000000361</c:v>
                </c:pt>
                <c:pt idx="255">
                  <c:v>50.500000000000362</c:v>
                </c:pt>
                <c:pt idx="256">
                  <c:v>50.600000000000364</c:v>
                </c:pt>
                <c:pt idx="257">
                  <c:v>50.700000000000365</c:v>
                </c:pt>
                <c:pt idx="258">
                  <c:v>50.800000000000367</c:v>
                </c:pt>
                <c:pt idx="259">
                  <c:v>50.900000000000368</c:v>
                </c:pt>
                <c:pt idx="260">
                  <c:v>51.000000000000369</c:v>
                </c:pt>
                <c:pt idx="261">
                  <c:v>51.100000000000371</c:v>
                </c:pt>
                <c:pt idx="262">
                  <c:v>51.200000000000372</c:v>
                </c:pt>
                <c:pt idx="263">
                  <c:v>51.300000000000374</c:v>
                </c:pt>
                <c:pt idx="264">
                  <c:v>51.400000000000375</c:v>
                </c:pt>
                <c:pt idx="265">
                  <c:v>51.500000000000377</c:v>
                </c:pt>
                <c:pt idx="266">
                  <c:v>51.600000000000378</c:v>
                </c:pt>
                <c:pt idx="267">
                  <c:v>51.700000000000379</c:v>
                </c:pt>
                <c:pt idx="268">
                  <c:v>51.800000000000381</c:v>
                </c:pt>
                <c:pt idx="269">
                  <c:v>51.900000000000382</c:v>
                </c:pt>
                <c:pt idx="270">
                  <c:v>52.000000000000384</c:v>
                </c:pt>
                <c:pt idx="271">
                  <c:v>52.100000000000385</c:v>
                </c:pt>
                <c:pt idx="272">
                  <c:v>52.200000000000387</c:v>
                </c:pt>
                <c:pt idx="273">
                  <c:v>52.300000000000388</c:v>
                </c:pt>
                <c:pt idx="274">
                  <c:v>52.400000000000389</c:v>
                </c:pt>
                <c:pt idx="275">
                  <c:v>52.500000000000391</c:v>
                </c:pt>
                <c:pt idx="276">
                  <c:v>52.600000000000392</c:v>
                </c:pt>
                <c:pt idx="277">
                  <c:v>52.700000000000394</c:v>
                </c:pt>
                <c:pt idx="278">
                  <c:v>52.800000000000395</c:v>
                </c:pt>
                <c:pt idx="279">
                  <c:v>52.900000000000396</c:v>
                </c:pt>
                <c:pt idx="280">
                  <c:v>53.000000000000398</c:v>
                </c:pt>
                <c:pt idx="281">
                  <c:v>53.100000000000399</c:v>
                </c:pt>
                <c:pt idx="282">
                  <c:v>53.200000000000401</c:v>
                </c:pt>
                <c:pt idx="283">
                  <c:v>53.300000000000402</c:v>
                </c:pt>
                <c:pt idx="284">
                  <c:v>53.400000000000404</c:v>
                </c:pt>
                <c:pt idx="285">
                  <c:v>53.500000000000405</c:v>
                </c:pt>
                <c:pt idx="286">
                  <c:v>53.600000000000406</c:v>
                </c:pt>
                <c:pt idx="287">
                  <c:v>53.700000000000408</c:v>
                </c:pt>
                <c:pt idx="288">
                  <c:v>53.800000000000409</c:v>
                </c:pt>
                <c:pt idx="289">
                  <c:v>53.900000000000411</c:v>
                </c:pt>
                <c:pt idx="290">
                  <c:v>54.000000000000412</c:v>
                </c:pt>
                <c:pt idx="291">
                  <c:v>54.100000000000414</c:v>
                </c:pt>
                <c:pt idx="292">
                  <c:v>54.200000000000415</c:v>
                </c:pt>
                <c:pt idx="293">
                  <c:v>54.300000000000416</c:v>
                </c:pt>
                <c:pt idx="294">
                  <c:v>54.400000000000418</c:v>
                </c:pt>
                <c:pt idx="295">
                  <c:v>54.500000000000419</c:v>
                </c:pt>
                <c:pt idx="296">
                  <c:v>54.600000000000421</c:v>
                </c:pt>
                <c:pt idx="297">
                  <c:v>54.700000000000422</c:v>
                </c:pt>
                <c:pt idx="298">
                  <c:v>54.800000000000423</c:v>
                </c:pt>
                <c:pt idx="299">
                  <c:v>54.900000000000425</c:v>
                </c:pt>
                <c:pt idx="300">
                  <c:v>55.000000000000426</c:v>
                </c:pt>
                <c:pt idx="301">
                  <c:v>55.100000000000428</c:v>
                </c:pt>
                <c:pt idx="302">
                  <c:v>55.200000000000429</c:v>
                </c:pt>
                <c:pt idx="303">
                  <c:v>55.300000000000431</c:v>
                </c:pt>
                <c:pt idx="304">
                  <c:v>55.400000000000432</c:v>
                </c:pt>
                <c:pt idx="305">
                  <c:v>55.500000000000433</c:v>
                </c:pt>
                <c:pt idx="306">
                  <c:v>55.600000000000435</c:v>
                </c:pt>
                <c:pt idx="307">
                  <c:v>55.700000000000436</c:v>
                </c:pt>
                <c:pt idx="308">
                  <c:v>55.800000000000438</c:v>
                </c:pt>
                <c:pt idx="309">
                  <c:v>55.900000000000439</c:v>
                </c:pt>
                <c:pt idx="310">
                  <c:v>56.000000000000441</c:v>
                </c:pt>
                <c:pt idx="311">
                  <c:v>56.100000000000442</c:v>
                </c:pt>
                <c:pt idx="312">
                  <c:v>56.200000000000443</c:v>
                </c:pt>
                <c:pt idx="313">
                  <c:v>56.300000000000445</c:v>
                </c:pt>
                <c:pt idx="314">
                  <c:v>56.400000000000446</c:v>
                </c:pt>
                <c:pt idx="315">
                  <c:v>56.500000000000448</c:v>
                </c:pt>
                <c:pt idx="316">
                  <c:v>56.600000000000449</c:v>
                </c:pt>
                <c:pt idx="317">
                  <c:v>56.70000000000045</c:v>
                </c:pt>
                <c:pt idx="318">
                  <c:v>56.800000000000452</c:v>
                </c:pt>
                <c:pt idx="319">
                  <c:v>56.900000000000453</c:v>
                </c:pt>
                <c:pt idx="320">
                  <c:v>57.000000000000455</c:v>
                </c:pt>
                <c:pt idx="321">
                  <c:v>57.100000000000456</c:v>
                </c:pt>
                <c:pt idx="322">
                  <c:v>57.200000000000458</c:v>
                </c:pt>
                <c:pt idx="323">
                  <c:v>57.300000000000459</c:v>
                </c:pt>
                <c:pt idx="324">
                  <c:v>57.40000000000046</c:v>
                </c:pt>
                <c:pt idx="325">
                  <c:v>57.500000000000462</c:v>
                </c:pt>
                <c:pt idx="326">
                  <c:v>57.600000000000463</c:v>
                </c:pt>
                <c:pt idx="327">
                  <c:v>57.700000000000465</c:v>
                </c:pt>
                <c:pt idx="328">
                  <c:v>57.800000000000466</c:v>
                </c:pt>
                <c:pt idx="329">
                  <c:v>57.900000000000468</c:v>
                </c:pt>
                <c:pt idx="330">
                  <c:v>58.000000000000469</c:v>
                </c:pt>
                <c:pt idx="331">
                  <c:v>58.10000000000047</c:v>
                </c:pt>
                <c:pt idx="332">
                  <c:v>58.200000000000472</c:v>
                </c:pt>
                <c:pt idx="333">
                  <c:v>58.300000000000473</c:v>
                </c:pt>
                <c:pt idx="334">
                  <c:v>58.400000000000475</c:v>
                </c:pt>
                <c:pt idx="335">
                  <c:v>58.500000000000476</c:v>
                </c:pt>
                <c:pt idx="336">
                  <c:v>58.600000000000477</c:v>
                </c:pt>
                <c:pt idx="337">
                  <c:v>58.700000000000479</c:v>
                </c:pt>
                <c:pt idx="338">
                  <c:v>58.80000000000048</c:v>
                </c:pt>
                <c:pt idx="339">
                  <c:v>58.900000000000482</c:v>
                </c:pt>
                <c:pt idx="340">
                  <c:v>59.000000000000483</c:v>
                </c:pt>
                <c:pt idx="341">
                  <c:v>59.100000000000485</c:v>
                </c:pt>
                <c:pt idx="342">
                  <c:v>59.200000000000486</c:v>
                </c:pt>
                <c:pt idx="343">
                  <c:v>59.300000000000487</c:v>
                </c:pt>
                <c:pt idx="344">
                  <c:v>59.400000000000489</c:v>
                </c:pt>
                <c:pt idx="345">
                  <c:v>59.50000000000049</c:v>
                </c:pt>
                <c:pt idx="346">
                  <c:v>59.600000000000492</c:v>
                </c:pt>
                <c:pt idx="347">
                  <c:v>59.700000000000493</c:v>
                </c:pt>
                <c:pt idx="348">
                  <c:v>59.800000000000495</c:v>
                </c:pt>
                <c:pt idx="349">
                  <c:v>59.900000000000496</c:v>
                </c:pt>
                <c:pt idx="350">
                  <c:v>60.000000000000497</c:v>
                </c:pt>
                <c:pt idx="351">
                  <c:v>60.100000000000499</c:v>
                </c:pt>
                <c:pt idx="352">
                  <c:v>60.2000000000005</c:v>
                </c:pt>
                <c:pt idx="353">
                  <c:v>60.300000000000502</c:v>
                </c:pt>
                <c:pt idx="354">
                  <c:v>60.400000000000503</c:v>
                </c:pt>
                <c:pt idx="355">
                  <c:v>60.500000000000504</c:v>
                </c:pt>
                <c:pt idx="356">
                  <c:v>60.600000000000506</c:v>
                </c:pt>
                <c:pt idx="357">
                  <c:v>60.700000000000507</c:v>
                </c:pt>
                <c:pt idx="358">
                  <c:v>60.800000000000509</c:v>
                </c:pt>
                <c:pt idx="359">
                  <c:v>60.90000000000051</c:v>
                </c:pt>
                <c:pt idx="360">
                  <c:v>61.000000000000512</c:v>
                </c:pt>
                <c:pt idx="361">
                  <c:v>61.100000000000513</c:v>
                </c:pt>
                <c:pt idx="362">
                  <c:v>61.200000000000514</c:v>
                </c:pt>
                <c:pt idx="363">
                  <c:v>61.300000000000516</c:v>
                </c:pt>
                <c:pt idx="364">
                  <c:v>61.400000000000517</c:v>
                </c:pt>
                <c:pt idx="365">
                  <c:v>61.500000000000519</c:v>
                </c:pt>
                <c:pt idx="366">
                  <c:v>61.60000000000052</c:v>
                </c:pt>
                <c:pt idx="367">
                  <c:v>61.700000000000522</c:v>
                </c:pt>
                <c:pt idx="368">
                  <c:v>61.800000000000523</c:v>
                </c:pt>
                <c:pt idx="369">
                  <c:v>61.900000000000524</c:v>
                </c:pt>
                <c:pt idx="370">
                  <c:v>62.000000000000526</c:v>
                </c:pt>
                <c:pt idx="371">
                  <c:v>62.100000000000527</c:v>
                </c:pt>
                <c:pt idx="372">
                  <c:v>62.200000000000529</c:v>
                </c:pt>
                <c:pt idx="373">
                  <c:v>62.30000000000053</c:v>
                </c:pt>
                <c:pt idx="374">
                  <c:v>62.400000000000531</c:v>
                </c:pt>
                <c:pt idx="375">
                  <c:v>62.500000000000533</c:v>
                </c:pt>
                <c:pt idx="376">
                  <c:v>62.600000000000534</c:v>
                </c:pt>
                <c:pt idx="377">
                  <c:v>62.700000000000536</c:v>
                </c:pt>
                <c:pt idx="378">
                  <c:v>62.800000000000537</c:v>
                </c:pt>
                <c:pt idx="379">
                  <c:v>62.900000000000539</c:v>
                </c:pt>
                <c:pt idx="380">
                  <c:v>63.00000000000054</c:v>
                </c:pt>
                <c:pt idx="381">
                  <c:v>63.100000000000541</c:v>
                </c:pt>
                <c:pt idx="382">
                  <c:v>63.200000000000543</c:v>
                </c:pt>
                <c:pt idx="383">
                  <c:v>63.300000000000544</c:v>
                </c:pt>
                <c:pt idx="384">
                  <c:v>63.400000000000546</c:v>
                </c:pt>
                <c:pt idx="385">
                  <c:v>63.500000000000547</c:v>
                </c:pt>
                <c:pt idx="386">
                  <c:v>63.600000000000549</c:v>
                </c:pt>
                <c:pt idx="387">
                  <c:v>63.70000000000055</c:v>
                </c:pt>
                <c:pt idx="388">
                  <c:v>63.800000000000551</c:v>
                </c:pt>
                <c:pt idx="389">
                  <c:v>63.900000000000553</c:v>
                </c:pt>
                <c:pt idx="390">
                  <c:v>64.000000000000554</c:v>
                </c:pt>
                <c:pt idx="391">
                  <c:v>64.100000000000549</c:v>
                </c:pt>
                <c:pt idx="392">
                  <c:v>64.200000000000543</c:v>
                </c:pt>
                <c:pt idx="393">
                  <c:v>64.300000000000537</c:v>
                </c:pt>
                <c:pt idx="394">
                  <c:v>64.400000000000531</c:v>
                </c:pt>
                <c:pt idx="395">
                  <c:v>64.500000000000526</c:v>
                </c:pt>
                <c:pt idx="396">
                  <c:v>64.60000000000052</c:v>
                </c:pt>
                <c:pt idx="397">
                  <c:v>64.700000000000514</c:v>
                </c:pt>
                <c:pt idx="398">
                  <c:v>64.800000000000509</c:v>
                </c:pt>
                <c:pt idx="399">
                  <c:v>64.900000000000503</c:v>
                </c:pt>
                <c:pt idx="400">
                  <c:v>65.000000000000497</c:v>
                </c:pt>
                <c:pt idx="401">
                  <c:v>65.100000000000492</c:v>
                </c:pt>
                <c:pt idx="402">
                  <c:v>65.200000000000486</c:v>
                </c:pt>
                <c:pt idx="403">
                  <c:v>65.30000000000048</c:v>
                </c:pt>
                <c:pt idx="404">
                  <c:v>65.400000000000475</c:v>
                </c:pt>
                <c:pt idx="405">
                  <c:v>65.500000000000469</c:v>
                </c:pt>
                <c:pt idx="406">
                  <c:v>65.600000000000463</c:v>
                </c:pt>
                <c:pt idx="407">
                  <c:v>65.700000000000458</c:v>
                </c:pt>
                <c:pt idx="408">
                  <c:v>65.800000000000452</c:v>
                </c:pt>
                <c:pt idx="409">
                  <c:v>65.900000000000446</c:v>
                </c:pt>
                <c:pt idx="410">
                  <c:v>66.000000000000441</c:v>
                </c:pt>
                <c:pt idx="411">
                  <c:v>66.100000000000435</c:v>
                </c:pt>
                <c:pt idx="412">
                  <c:v>66.200000000000429</c:v>
                </c:pt>
                <c:pt idx="413">
                  <c:v>66.300000000000423</c:v>
                </c:pt>
                <c:pt idx="414">
                  <c:v>66.400000000000418</c:v>
                </c:pt>
                <c:pt idx="415">
                  <c:v>66.500000000000412</c:v>
                </c:pt>
                <c:pt idx="416">
                  <c:v>66.600000000000406</c:v>
                </c:pt>
                <c:pt idx="417">
                  <c:v>66.700000000000401</c:v>
                </c:pt>
                <c:pt idx="418">
                  <c:v>66.800000000000395</c:v>
                </c:pt>
                <c:pt idx="419">
                  <c:v>66.900000000000389</c:v>
                </c:pt>
                <c:pt idx="420">
                  <c:v>67.000000000000384</c:v>
                </c:pt>
                <c:pt idx="421">
                  <c:v>67.100000000000378</c:v>
                </c:pt>
                <c:pt idx="422">
                  <c:v>67.200000000000372</c:v>
                </c:pt>
                <c:pt idx="423">
                  <c:v>67.300000000000367</c:v>
                </c:pt>
                <c:pt idx="424">
                  <c:v>67.400000000000361</c:v>
                </c:pt>
                <c:pt idx="425">
                  <c:v>67.500000000000355</c:v>
                </c:pt>
                <c:pt idx="426">
                  <c:v>67.60000000000035</c:v>
                </c:pt>
                <c:pt idx="427">
                  <c:v>67.700000000000344</c:v>
                </c:pt>
                <c:pt idx="428">
                  <c:v>67.800000000000338</c:v>
                </c:pt>
                <c:pt idx="429">
                  <c:v>67.900000000000333</c:v>
                </c:pt>
                <c:pt idx="430">
                  <c:v>68.000000000000327</c:v>
                </c:pt>
                <c:pt idx="431">
                  <c:v>68.100000000000321</c:v>
                </c:pt>
                <c:pt idx="432">
                  <c:v>68.200000000000315</c:v>
                </c:pt>
                <c:pt idx="433">
                  <c:v>68.30000000000031</c:v>
                </c:pt>
                <c:pt idx="434">
                  <c:v>68.400000000000304</c:v>
                </c:pt>
                <c:pt idx="435">
                  <c:v>68.500000000000298</c:v>
                </c:pt>
                <c:pt idx="436">
                  <c:v>68.600000000000293</c:v>
                </c:pt>
                <c:pt idx="437">
                  <c:v>68.700000000000287</c:v>
                </c:pt>
                <c:pt idx="438">
                  <c:v>68.800000000000281</c:v>
                </c:pt>
                <c:pt idx="439">
                  <c:v>68.900000000000276</c:v>
                </c:pt>
                <c:pt idx="440">
                  <c:v>69.00000000000027</c:v>
                </c:pt>
                <c:pt idx="441">
                  <c:v>69.100000000000264</c:v>
                </c:pt>
                <c:pt idx="442">
                  <c:v>69.200000000000259</c:v>
                </c:pt>
                <c:pt idx="443">
                  <c:v>69.300000000000253</c:v>
                </c:pt>
                <c:pt idx="444">
                  <c:v>69.400000000000247</c:v>
                </c:pt>
                <c:pt idx="445">
                  <c:v>69.500000000000242</c:v>
                </c:pt>
                <c:pt idx="446">
                  <c:v>69.600000000000236</c:v>
                </c:pt>
                <c:pt idx="447">
                  <c:v>69.70000000000023</c:v>
                </c:pt>
                <c:pt idx="448">
                  <c:v>69.800000000000225</c:v>
                </c:pt>
                <c:pt idx="449">
                  <c:v>69.900000000000219</c:v>
                </c:pt>
                <c:pt idx="450">
                  <c:v>69.900000000000219</c:v>
                </c:pt>
                <c:pt idx="451">
                  <c:v>69.900000000000219</c:v>
                </c:pt>
                <c:pt idx="452">
                  <c:v>69.900000000000219</c:v>
                </c:pt>
                <c:pt idx="453">
                  <c:v>69.900000000000219</c:v>
                </c:pt>
                <c:pt idx="454">
                  <c:v>69.900000000000219</c:v>
                </c:pt>
                <c:pt idx="455">
                  <c:v>69.900000000000219</c:v>
                </c:pt>
                <c:pt idx="456">
                  <c:v>69.900000000000219</c:v>
                </c:pt>
                <c:pt idx="457">
                  <c:v>69.900000000000219</c:v>
                </c:pt>
                <c:pt idx="458">
                  <c:v>69.900000000000219</c:v>
                </c:pt>
                <c:pt idx="459">
                  <c:v>69.900000000000219</c:v>
                </c:pt>
                <c:pt idx="460">
                  <c:v>69.900000000000219</c:v>
                </c:pt>
                <c:pt idx="461">
                  <c:v>69.900000000000219</c:v>
                </c:pt>
                <c:pt idx="462">
                  <c:v>69.900000000000219</c:v>
                </c:pt>
                <c:pt idx="463">
                  <c:v>69.900000000000219</c:v>
                </c:pt>
                <c:pt idx="464">
                  <c:v>69.900000000000219</c:v>
                </c:pt>
                <c:pt idx="465">
                  <c:v>69.900000000000219</c:v>
                </c:pt>
                <c:pt idx="466">
                  <c:v>69.900000000000219</c:v>
                </c:pt>
                <c:pt idx="467">
                  <c:v>69.900000000000219</c:v>
                </c:pt>
                <c:pt idx="468">
                  <c:v>69.900000000000219</c:v>
                </c:pt>
                <c:pt idx="469">
                  <c:v>69.900000000000219</c:v>
                </c:pt>
                <c:pt idx="470">
                  <c:v>69.900000000000219</c:v>
                </c:pt>
                <c:pt idx="471">
                  <c:v>69.900000000000219</c:v>
                </c:pt>
                <c:pt idx="472">
                  <c:v>69.900000000000219</c:v>
                </c:pt>
                <c:pt idx="473">
                  <c:v>69.900000000000219</c:v>
                </c:pt>
                <c:pt idx="474">
                  <c:v>69.900000000000219</c:v>
                </c:pt>
                <c:pt idx="475">
                  <c:v>69.900000000000219</c:v>
                </c:pt>
                <c:pt idx="476">
                  <c:v>69.900000000000219</c:v>
                </c:pt>
                <c:pt idx="477">
                  <c:v>69.900000000000219</c:v>
                </c:pt>
                <c:pt idx="478">
                  <c:v>69.900000000000219</c:v>
                </c:pt>
                <c:pt idx="479">
                  <c:v>69.900000000000219</c:v>
                </c:pt>
                <c:pt idx="480">
                  <c:v>69.900000000000219</c:v>
                </c:pt>
                <c:pt idx="481">
                  <c:v>69.900000000000219</c:v>
                </c:pt>
                <c:pt idx="482">
                  <c:v>69.900000000000219</c:v>
                </c:pt>
                <c:pt idx="483">
                  <c:v>69.900000000000219</c:v>
                </c:pt>
                <c:pt idx="484">
                  <c:v>69.900000000000219</c:v>
                </c:pt>
                <c:pt idx="485">
                  <c:v>69.900000000000219</c:v>
                </c:pt>
                <c:pt idx="486">
                  <c:v>69.900000000000219</c:v>
                </c:pt>
                <c:pt idx="487">
                  <c:v>69.900000000000219</c:v>
                </c:pt>
                <c:pt idx="488">
                  <c:v>69.900000000000219</c:v>
                </c:pt>
                <c:pt idx="489">
                  <c:v>69.900000000000219</c:v>
                </c:pt>
                <c:pt idx="490">
                  <c:v>69.900000000000219</c:v>
                </c:pt>
                <c:pt idx="491">
                  <c:v>69.900000000000219</c:v>
                </c:pt>
                <c:pt idx="492">
                  <c:v>69.900000000000219</c:v>
                </c:pt>
                <c:pt idx="493">
                  <c:v>69.900000000000219</c:v>
                </c:pt>
                <c:pt idx="494">
                  <c:v>69.900000000000219</c:v>
                </c:pt>
                <c:pt idx="495">
                  <c:v>69.900000000000219</c:v>
                </c:pt>
                <c:pt idx="496">
                  <c:v>69.900000000000219</c:v>
                </c:pt>
                <c:pt idx="497">
                  <c:v>69.900000000000219</c:v>
                </c:pt>
                <c:pt idx="498">
                  <c:v>69.900000000000219</c:v>
                </c:pt>
                <c:pt idx="499">
                  <c:v>69.900000000000219</c:v>
                </c:pt>
                <c:pt idx="500">
                  <c:v>69.900000000000219</c:v>
                </c:pt>
                <c:pt idx="501">
                  <c:v>69.900000000000219</c:v>
                </c:pt>
                <c:pt idx="502">
                  <c:v>69.900000000000219</c:v>
                </c:pt>
                <c:pt idx="503">
                  <c:v>69.900000000000219</c:v>
                </c:pt>
                <c:pt idx="504">
                  <c:v>69.900000000000219</c:v>
                </c:pt>
                <c:pt idx="505">
                  <c:v>69.900000000000219</c:v>
                </c:pt>
                <c:pt idx="506">
                  <c:v>69.900000000000219</c:v>
                </c:pt>
                <c:pt idx="507">
                  <c:v>69.900000000000219</c:v>
                </c:pt>
                <c:pt idx="508">
                  <c:v>69.900000000000219</c:v>
                </c:pt>
                <c:pt idx="509">
                  <c:v>69.900000000000219</c:v>
                </c:pt>
                <c:pt idx="510">
                  <c:v>69.900000000000219</c:v>
                </c:pt>
              </c:numCache>
            </c:numRef>
          </c:xVal>
          <c:yVal>
            <c:numRef>
              <c:f>Curves!$BD$2:$BD$512</c:f>
              <c:numCache>
                <c:formatCode>General</c:formatCode>
                <c:ptCount val="511"/>
                <c:pt idx="0">
                  <c:v>12066.679021528686</c:v>
                </c:pt>
                <c:pt idx="1">
                  <c:v>12055.908826730765</c:v>
                </c:pt>
                <c:pt idx="2">
                  <c:v>12045.138631932845</c:v>
                </c:pt>
                <c:pt idx="3">
                  <c:v>12034.368437134926</c:v>
                </c:pt>
                <c:pt idx="4">
                  <c:v>12023.598242337006</c:v>
                </c:pt>
                <c:pt idx="5">
                  <c:v>12012.828047539086</c:v>
                </c:pt>
                <c:pt idx="6">
                  <c:v>12002.057852741167</c:v>
                </c:pt>
                <c:pt idx="7">
                  <c:v>11991.287657943247</c:v>
                </c:pt>
                <c:pt idx="8">
                  <c:v>11980.517463145326</c:v>
                </c:pt>
                <c:pt idx="9">
                  <c:v>11969.747268347408</c:v>
                </c:pt>
                <c:pt idx="10">
                  <c:v>11958.977073549488</c:v>
                </c:pt>
                <c:pt idx="11">
                  <c:v>11948.206878751569</c:v>
                </c:pt>
                <c:pt idx="12">
                  <c:v>11937.436683953649</c:v>
                </c:pt>
                <c:pt idx="13">
                  <c:v>11926.666489155728</c:v>
                </c:pt>
                <c:pt idx="14">
                  <c:v>11915.89629435781</c:v>
                </c:pt>
                <c:pt idx="15">
                  <c:v>11905.12609955989</c:v>
                </c:pt>
                <c:pt idx="16">
                  <c:v>11894.355904761971</c:v>
                </c:pt>
                <c:pt idx="17">
                  <c:v>11883.585709964051</c:v>
                </c:pt>
                <c:pt idx="18">
                  <c:v>11872.81551516613</c:v>
                </c:pt>
                <c:pt idx="19">
                  <c:v>11862.045320368212</c:v>
                </c:pt>
                <c:pt idx="20">
                  <c:v>11851.275125570291</c:v>
                </c:pt>
                <c:pt idx="21">
                  <c:v>11840.504930772371</c:v>
                </c:pt>
                <c:pt idx="22">
                  <c:v>11829.734735974453</c:v>
                </c:pt>
                <c:pt idx="23">
                  <c:v>11818.964541176532</c:v>
                </c:pt>
                <c:pt idx="24">
                  <c:v>11808.194346378612</c:v>
                </c:pt>
                <c:pt idx="25">
                  <c:v>11797.424151580693</c:v>
                </c:pt>
                <c:pt idx="26">
                  <c:v>11786.653956782773</c:v>
                </c:pt>
                <c:pt idx="27">
                  <c:v>11775.883761984853</c:v>
                </c:pt>
                <c:pt idx="28">
                  <c:v>11765.113567186934</c:v>
                </c:pt>
                <c:pt idx="29">
                  <c:v>11754.343372389014</c:v>
                </c:pt>
                <c:pt idx="30">
                  <c:v>11743.573177591094</c:v>
                </c:pt>
                <c:pt idx="31">
                  <c:v>11732.802982793175</c:v>
                </c:pt>
                <c:pt idx="32">
                  <c:v>11722.032787995255</c:v>
                </c:pt>
                <c:pt idx="33">
                  <c:v>11711.262593197334</c:v>
                </c:pt>
                <c:pt idx="34">
                  <c:v>11700.492398399416</c:v>
                </c:pt>
                <c:pt idx="35">
                  <c:v>11689.722203601495</c:v>
                </c:pt>
                <c:pt idx="36">
                  <c:v>11678.952008803575</c:v>
                </c:pt>
                <c:pt idx="37">
                  <c:v>11668.181814005657</c:v>
                </c:pt>
                <c:pt idx="38">
                  <c:v>11657.411619207736</c:v>
                </c:pt>
                <c:pt idx="39">
                  <c:v>11646.641424409816</c:v>
                </c:pt>
                <c:pt idx="40">
                  <c:v>11635.871229611897</c:v>
                </c:pt>
                <c:pt idx="41">
                  <c:v>11625.101034813977</c:v>
                </c:pt>
                <c:pt idx="42">
                  <c:v>11614.330840016057</c:v>
                </c:pt>
                <c:pt idx="43">
                  <c:v>11603.560645218138</c:v>
                </c:pt>
                <c:pt idx="44">
                  <c:v>11592.790450420218</c:v>
                </c:pt>
                <c:pt idx="45">
                  <c:v>11582.020255622298</c:v>
                </c:pt>
                <c:pt idx="46">
                  <c:v>11571.250060824379</c:v>
                </c:pt>
                <c:pt idx="47">
                  <c:v>11560.479866026459</c:v>
                </c:pt>
                <c:pt idx="48">
                  <c:v>11549.70967122854</c:v>
                </c:pt>
                <c:pt idx="49">
                  <c:v>11538.93947643062</c:v>
                </c:pt>
                <c:pt idx="50">
                  <c:v>11528.169281632699</c:v>
                </c:pt>
                <c:pt idx="51">
                  <c:v>11517.399086834781</c:v>
                </c:pt>
                <c:pt idx="52">
                  <c:v>11506.628892036861</c:v>
                </c:pt>
                <c:pt idx="53">
                  <c:v>11495.858697238942</c:v>
                </c:pt>
                <c:pt idx="54">
                  <c:v>11485.088502441022</c:v>
                </c:pt>
                <c:pt idx="55">
                  <c:v>11474.318307643101</c:v>
                </c:pt>
                <c:pt idx="56">
                  <c:v>11463.548112845183</c:v>
                </c:pt>
                <c:pt idx="57">
                  <c:v>11452.777918047263</c:v>
                </c:pt>
                <c:pt idx="58">
                  <c:v>11442.007723249342</c:v>
                </c:pt>
                <c:pt idx="59">
                  <c:v>11431.237528451424</c:v>
                </c:pt>
                <c:pt idx="60">
                  <c:v>11420.467333653503</c:v>
                </c:pt>
                <c:pt idx="61">
                  <c:v>11409.697138855583</c:v>
                </c:pt>
                <c:pt idx="62">
                  <c:v>11398.926944057665</c:v>
                </c:pt>
                <c:pt idx="63">
                  <c:v>11388.156749259744</c:v>
                </c:pt>
                <c:pt idx="64">
                  <c:v>11377.386554461824</c:v>
                </c:pt>
                <c:pt idx="65">
                  <c:v>11366.616359663905</c:v>
                </c:pt>
                <c:pt idx="66">
                  <c:v>11355.846164865985</c:v>
                </c:pt>
                <c:pt idx="67">
                  <c:v>11345.075970068065</c:v>
                </c:pt>
                <c:pt idx="68">
                  <c:v>11334.305775270146</c:v>
                </c:pt>
                <c:pt idx="69">
                  <c:v>11323.535580472226</c:v>
                </c:pt>
                <c:pt idx="70">
                  <c:v>11312.765385674305</c:v>
                </c:pt>
                <c:pt idx="71">
                  <c:v>11301.995190876387</c:v>
                </c:pt>
                <c:pt idx="72">
                  <c:v>11291.224996078467</c:v>
                </c:pt>
                <c:pt idx="73">
                  <c:v>11280.454801280546</c:v>
                </c:pt>
                <c:pt idx="74">
                  <c:v>11269.684606482628</c:v>
                </c:pt>
                <c:pt idx="75">
                  <c:v>11258.914411684707</c:v>
                </c:pt>
                <c:pt idx="76">
                  <c:v>11248.144216886787</c:v>
                </c:pt>
                <c:pt idx="77">
                  <c:v>11237.374022088869</c:v>
                </c:pt>
                <c:pt idx="78">
                  <c:v>11226.603827290948</c:v>
                </c:pt>
                <c:pt idx="79">
                  <c:v>11215.833632493028</c:v>
                </c:pt>
                <c:pt idx="80">
                  <c:v>11205.063437695109</c:v>
                </c:pt>
                <c:pt idx="81">
                  <c:v>11194.293242897189</c:v>
                </c:pt>
                <c:pt idx="82">
                  <c:v>11183.523048099269</c:v>
                </c:pt>
                <c:pt idx="83">
                  <c:v>11172.75285330135</c:v>
                </c:pt>
                <c:pt idx="84">
                  <c:v>11161.98265850343</c:v>
                </c:pt>
                <c:pt idx="85">
                  <c:v>11151.212463705511</c:v>
                </c:pt>
                <c:pt idx="86">
                  <c:v>11140.442268907591</c:v>
                </c:pt>
                <c:pt idx="87">
                  <c:v>11129.672074109671</c:v>
                </c:pt>
                <c:pt idx="88">
                  <c:v>11118.901879311752</c:v>
                </c:pt>
                <c:pt idx="89">
                  <c:v>11108.131684513832</c:v>
                </c:pt>
                <c:pt idx="90">
                  <c:v>11097.361489715913</c:v>
                </c:pt>
                <c:pt idx="91">
                  <c:v>11086.591294917993</c:v>
                </c:pt>
                <c:pt idx="92">
                  <c:v>11075.821100120073</c:v>
                </c:pt>
                <c:pt idx="93">
                  <c:v>11065.050905322154</c:v>
                </c:pt>
                <c:pt idx="94">
                  <c:v>11054.280710524234</c:v>
                </c:pt>
                <c:pt idx="95">
                  <c:v>11043.510515726313</c:v>
                </c:pt>
                <c:pt idx="96">
                  <c:v>11032.740320928395</c:v>
                </c:pt>
                <c:pt idx="97">
                  <c:v>11021.970126130474</c:v>
                </c:pt>
                <c:pt idx="98">
                  <c:v>11011.199931332554</c:v>
                </c:pt>
                <c:pt idx="99">
                  <c:v>11000.429736534636</c:v>
                </c:pt>
                <c:pt idx="100">
                  <c:v>10989.659541736715</c:v>
                </c:pt>
                <c:pt idx="101">
                  <c:v>10978.889346938795</c:v>
                </c:pt>
                <c:pt idx="102">
                  <c:v>10968.119152140876</c:v>
                </c:pt>
                <c:pt idx="103">
                  <c:v>10957.348957342956</c:v>
                </c:pt>
                <c:pt idx="104">
                  <c:v>10946.578762545036</c:v>
                </c:pt>
                <c:pt idx="105">
                  <c:v>10935.808567747117</c:v>
                </c:pt>
                <c:pt idx="106">
                  <c:v>10925.038372949197</c:v>
                </c:pt>
                <c:pt idx="107">
                  <c:v>10914.268178151277</c:v>
                </c:pt>
                <c:pt idx="108">
                  <c:v>10903.497983353358</c:v>
                </c:pt>
                <c:pt idx="109">
                  <c:v>10892.727788555438</c:v>
                </c:pt>
                <c:pt idx="110">
                  <c:v>10881.957593757517</c:v>
                </c:pt>
                <c:pt idx="111">
                  <c:v>10871.187398959599</c:v>
                </c:pt>
                <c:pt idx="112">
                  <c:v>10860.417204161678</c:v>
                </c:pt>
                <c:pt idx="113">
                  <c:v>10849.647009363758</c:v>
                </c:pt>
                <c:pt idx="114">
                  <c:v>10838.87681456584</c:v>
                </c:pt>
                <c:pt idx="115">
                  <c:v>10828.106619767919</c:v>
                </c:pt>
                <c:pt idx="116">
                  <c:v>10817.336424969999</c:v>
                </c:pt>
                <c:pt idx="117">
                  <c:v>10806.56623017208</c:v>
                </c:pt>
                <c:pt idx="118">
                  <c:v>10795.79603537416</c:v>
                </c:pt>
                <c:pt idx="119">
                  <c:v>10785.02584057624</c:v>
                </c:pt>
                <c:pt idx="120">
                  <c:v>10774.255645778321</c:v>
                </c:pt>
                <c:pt idx="121">
                  <c:v>10763.485450980401</c:v>
                </c:pt>
                <c:pt idx="122">
                  <c:v>10752.715256182481</c:v>
                </c:pt>
                <c:pt idx="123">
                  <c:v>10741.945061384562</c:v>
                </c:pt>
                <c:pt idx="124">
                  <c:v>10731.174866586642</c:v>
                </c:pt>
                <c:pt idx="125">
                  <c:v>10720.404671788723</c:v>
                </c:pt>
                <c:pt idx="126">
                  <c:v>10709.634476990803</c:v>
                </c:pt>
                <c:pt idx="127">
                  <c:v>10698.864282192882</c:v>
                </c:pt>
                <c:pt idx="128">
                  <c:v>10688.094087394964</c:v>
                </c:pt>
                <c:pt idx="129">
                  <c:v>10677.323892597044</c:v>
                </c:pt>
                <c:pt idx="130">
                  <c:v>10666.553697799125</c:v>
                </c:pt>
                <c:pt idx="131">
                  <c:v>10655.783503001205</c:v>
                </c:pt>
                <c:pt idx="132">
                  <c:v>10645.013308203284</c:v>
                </c:pt>
                <c:pt idx="133">
                  <c:v>10634.243113405366</c:v>
                </c:pt>
                <c:pt idx="134">
                  <c:v>10623.472918607446</c:v>
                </c:pt>
                <c:pt idx="135">
                  <c:v>10612.702723809525</c:v>
                </c:pt>
                <c:pt idx="136">
                  <c:v>10601.932529011607</c:v>
                </c:pt>
                <c:pt idx="137">
                  <c:v>10591.162334213686</c:v>
                </c:pt>
                <c:pt idx="138">
                  <c:v>10580.392139415766</c:v>
                </c:pt>
                <c:pt idx="139">
                  <c:v>10569.621944617847</c:v>
                </c:pt>
                <c:pt idx="140">
                  <c:v>10558.851749819927</c:v>
                </c:pt>
                <c:pt idx="141">
                  <c:v>10548.081555022007</c:v>
                </c:pt>
                <c:pt idx="142">
                  <c:v>10537.311360224088</c:v>
                </c:pt>
                <c:pt idx="143">
                  <c:v>10526.541165426168</c:v>
                </c:pt>
                <c:pt idx="144">
                  <c:v>10515.770970628248</c:v>
                </c:pt>
                <c:pt idx="145">
                  <c:v>10505.000775830329</c:v>
                </c:pt>
                <c:pt idx="146">
                  <c:v>10494.230581032409</c:v>
                </c:pt>
                <c:pt idx="147">
                  <c:v>10483.460386234488</c:v>
                </c:pt>
                <c:pt idx="148">
                  <c:v>10472.69019143657</c:v>
                </c:pt>
                <c:pt idx="149">
                  <c:v>10461.91999663865</c:v>
                </c:pt>
                <c:pt idx="150">
                  <c:v>10451.149801840729</c:v>
                </c:pt>
                <c:pt idx="151">
                  <c:v>10440.379607042811</c:v>
                </c:pt>
                <c:pt idx="152">
                  <c:v>10429.60941224489</c:v>
                </c:pt>
                <c:pt idx="153">
                  <c:v>10418.83921744697</c:v>
                </c:pt>
                <c:pt idx="154">
                  <c:v>10408.069022649051</c:v>
                </c:pt>
                <c:pt idx="155">
                  <c:v>10397.298827851131</c:v>
                </c:pt>
                <c:pt idx="156">
                  <c:v>10386.528633053211</c:v>
                </c:pt>
                <c:pt idx="157">
                  <c:v>10375.758438255292</c:v>
                </c:pt>
                <c:pt idx="158">
                  <c:v>10364.988243457372</c:v>
                </c:pt>
                <c:pt idx="159">
                  <c:v>10354.218048659452</c:v>
                </c:pt>
                <c:pt idx="160">
                  <c:v>10343.447853861533</c:v>
                </c:pt>
                <c:pt idx="161">
                  <c:v>10332.677659063615</c:v>
                </c:pt>
                <c:pt idx="162">
                  <c:v>10321.907464265692</c:v>
                </c:pt>
                <c:pt idx="163">
                  <c:v>10311.137269467774</c:v>
                </c:pt>
                <c:pt idx="164">
                  <c:v>10300.367074669855</c:v>
                </c:pt>
                <c:pt idx="165">
                  <c:v>10289.596879871933</c:v>
                </c:pt>
                <c:pt idx="166">
                  <c:v>10278.826685074015</c:v>
                </c:pt>
                <c:pt idx="167">
                  <c:v>10268.056490276096</c:v>
                </c:pt>
                <c:pt idx="168">
                  <c:v>10257.286295478176</c:v>
                </c:pt>
                <c:pt idx="169">
                  <c:v>10246.516100680255</c:v>
                </c:pt>
                <c:pt idx="170">
                  <c:v>10235.745905882337</c:v>
                </c:pt>
                <c:pt idx="171">
                  <c:v>10224.975711084417</c:v>
                </c:pt>
                <c:pt idx="172">
                  <c:v>10214.205516286496</c:v>
                </c:pt>
                <c:pt idx="173">
                  <c:v>10203.435321488578</c:v>
                </c:pt>
                <c:pt idx="174">
                  <c:v>10192.665126690657</c:v>
                </c:pt>
                <c:pt idx="175">
                  <c:v>10181.894931892737</c:v>
                </c:pt>
                <c:pt idx="176">
                  <c:v>10171.124737094819</c:v>
                </c:pt>
                <c:pt idx="177">
                  <c:v>10160.354542296898</c:v>
                </c:pt>
                <c:pt idx="178">
                  <c:v>10149.584347498978</c:v>
                </c:pt>
                <c:pt idx="179">
                  <c:v>10138.814152701059</c:v>
                </c:pt>
                <c:pt idx="180">
                  <c:v>10128.043957903139</c:v>
                </c:pt>
                <c:pt idx="181">
                  <c:v>10117.273763105219</c:v>
                </c:pt>
                <c:pt idx="182">
                  <c:v>10106.5035683073</c:v>
                </c:pt>
                <c:pt idx="183">
                  <c:v>10095.73337350938</c:v>
                </c:pt>
                <c:pt idx="184">
                  <c:v>10084.963178711459</c:v>
                </c:pt>
                <c:pt idx="185">
                  <c:v>10074.192983913541</c:v>
                </c:pt>
                <c:pt idx="186">
                  <c:v>10063.422789115621</c:v>
                </c:pt>
                <c:pt idx="187">
                  <c:v>10052.6525943177</c:v>
                </c:pt>
                <c:pt idx="188">
                  <c:v>10041.882399519782</c:v>
                </c:pt>
                <c:pt idx="189">
                  <c:v>10031.112204721861</c:v>
                </c:pt>
                <c:pt idx="190">
                  <c:v>10020.342009923941</c:v>
                </c:pt>
                <c:pt idx="191">
                  <c:v>10009.571815126023</c:v>
                </c:pt>
                <c:pt idx="192">
                  <c:v>9998.8016203281022</c:v>
                </c:pt>
                <c:pt idx="193">
                  <c:v>9988.0314255301819</c:v>
                </c:pt>
                <c:pt idx="194">
                  <c:v>9977.2612307322634</c:v>
                </c:pt>
                <c:pt idx="195">
                  <c:v>9966.491035934343</c:v>
                </c:pt>
                <c:pt idx="196">
                  <c:v>9955.7208411364227</c:v>
                </c:pt>
                <c:pt idx="197">
                  <c:v>9944.9506463385042</c:v>
                </c:pt>
                <c:pt idx="198">
                  <c:v>9934.1804515405856</c:v>
                </c:pt>
                <c:pt idx="199">
                  <c:v>9923.4102567426635</c:v>
                </c:pt>
                <c:pt idx="200">
                  <c:v>9912.640061944745</c:v>
                </c:pt>
                <c:pt idx="201">
                  <c:v>9901.8698671468264</c:v>
                </c:pt>
                <c:pt idx="202">
                  <c:v>9891.0996723489043</c:v>
                </c:pt>
                <c:pt idx="203">
                  <c:v>9880.3294775509858</c:v>
                </c:pt>
                <c:pt idx="204">
                  <c:v>9869.5592827530672</c:v>
                </c:pt>
                <c:pt idx="205">
                  <c:v>9858.7890879551451</c:v>
                </c:pt>
                <c:pt idx="206">
                  <c:v>9848.0188931572266</c:v>
                </c:pt>
                <c:pt idx="207">
                  <c:v>9837.248698359308</c:v>
                </c:pt>
                <c:pt idx="208">
                  <c:v>9826.4785035613877</c:v>
                </c:pt>
                <c:pt idx="209">
                  <c:v>9815.7083087634674</c:v>
                </c:pt>
                <c:pt idx="210">
                  <c:v>9804.9381139655488</c:v>
                </c:pt>
                <c:pt idx="211">
                  <c:v>9794.1679191676285</c:v>
                </c:pt>
                <c:pt idx="212">
                  <c:v>9783.3977243697082</c:v>
                </c:pt>
                <c:pt idx="213">
                  <c:v>9772.6275295717896</c:v>
                </c:pt>
                <c:pt idx="214">
                  <c:v>9761.8573347738693</c:v>
                </c:pt>
                <c:pt idx="215">
                  <c:v>9751.087139975949</c:v>
                </c:pt>
                <c:pt idx="216">
                  <c:v>9740.3169451780304</c:v>
                </c:pt>
                <c:pt idx="217">
                  <c:v>9729.5467503801101</c:v>
                </c:pt>
                <c:pt idx="218">
                  <c:v>9718.7765555821898</c:v>
                </c:pt>
                <c:pt idx="219">
                  <c:v>9708.0063607842712</c:v>
                </c:pt>
                <c:pt idx="220">
                  <c:v>9697.2361659863509</c:v>
                </c:pt>
                <c:pt idx="221">
                  <c:v>9686.4659711884306</c:v>
                </c:pt>
                <c:pt idx="222">
                  <c:v>9675.695776390512</c:v>
                </c:pt>
                <c:pt idx="223">
                  <c:v>9664.9255815925917</c:v>
                </c:pt>
                <c:pt idx="224">
                  <c:v>9654.1553867946714</c:v>
                </c:pt>
                <c:pt idx="225">
                  <c:v>9643.3851919967528</c:v>
                </c:pt>
                <c:pt idx="226">
                  <c:v>9632.6149971988325</c:v>
                </c:pt>
                <c:pt idx="227">
                  <c:v>9621.8448024009122</c:v>
                </c:pt>
                <c:pt idx="228">
                  <c:v>9611.0746076029936</c:v>
                </c:pt>
                <c:pt idx="229">
                  <c:v>9600.3044128050733</c:v>
                </c:pt>
                <c:pt idx="230">
                  <c:v>9589.534218007153</c:v>
                </c:pt>
                <c:pt idx="231">
                  <c:v>9578.7640232092344</c:v>
                </c:pt>
                <c:pt idx="232">
                  <c:v>9567.9938284113141</c:v>
                </c:pt>
                <c:pt idx="233">
                  <c:v>9557.2236336133938</c:v>
                </c:pt>
                <c:pt idx="234">
                  <c:v>9546.4534388154752</c:v>
                </c:pt>
                <c:pt idx="235">
                  <c:v>9535.6832440175567</c:v>
                </c:pt>
                <c:pt idx="236">
                  <c:v>9524.9130492196346</c:v>
                </c:pt>
                <c:pt idx="237">
                  <c:v>9514.142854421716</c:v>
                </c:pt>
                <c:pt idx="238">
                  <c:v>9503.3726596237975</c:v>
                </c:pt>
                <c:pt idx="239">
                  <c:v>9492.6024648258754</c:v>
                </c:pt>
                <c:pt idx="240">
                  <c:v>9481.8322700279568</c:v>
                </c:pt>
                <c:pt idx="241">
                  <c:v>9471.0620752300383</c:v>
                </c:pt>
                <c:pt idx="242">
                  <c:v>9460.2918804321162</c:v>
                </c:pt>
                <c:pt idx="243">
                  <c:v>9449.5216856341976</c:v>
                </c:pt>
                <c:pt idx="244">
                  <c:v>9438.7514908362791</c:v>
                </c:pt>
                <c:pt idx="245">
                  <c:v>9427.9812960383588</c:v>
                </c:pt>
                <c:pt idx="246">
                  <c:v>9417.2111012404384</c:v>
                </c:pt>
                <c:pt idx="247">
                  <c:v>9406.4409064425199</c:v>
                </c:pt>
                <c:pt idx="248">
                  <c:v>9395.6707116445996</c:v>
                </c:pt>
                <c:pt idx="249">
                  <c:v>9384.9005168466792</c:v>
                </c:pt>
                <c:pt idx="250">
                  <c:v>9374.1303220487607</c:v>
                </c:pt>
                <c:pt idx="251">
                  <c:v>9363.3601272508404</c:v>
                </c:pt>
                <c:pt idx="252">
                  <c:v>9352.58993245292</c:v>
                </c:pt>
                <c:pt idx="253">
                  <c:v>9341.8197376550015</c:v>
                </c:pt>
                <c:pt idx="254">
                  <c:v>9331.0495428570812</c:v>
                </c:pt>
                <c:pt idx="255">
                  <c:v>9320.2793480591608</c:v>
                </c:pt>
                <c:pt idx="256">
                  <c:v>9309.5091532612423</c:v>
                </c:pt>
                <c:pt idx="257">
                  <c:v>9298.738958463322</c:v>
                </c:pt>
                <c:pt idx="258">
                  <c:v>9287.9687636654016</c:v>
                </c:pt>
                <c:pt idx="259">
                  <c:v>9277.1985688674831</c:v>
                </c:pt>
                <c:pt idx="260">
                  <c:v>9266.4283740695628</c:v>
                </c:pt>
                <c:pt idx="261">
                  <c:v>9255.6581792716424</c:v>
                </c:pt>
                <c:pt idx="262">
                  <c:v>9244.8879844737239</c:v>
                </c:pt>
                <c:pt idx="263">
                  <c:v>9234.1177896758036</c:v>
                </c:pt>
                <c:pt idx="264">
                  <c:v>9223.3475948778832</c:v>
                </c:pt>
                <c:pt idx="265">
                  <c:v>9212.5774000799647</c:v>
                </c:pt>
                <c:pt idx="266">
                  <c:v>9201.8072052820444</c:v>
                </c:pt>
                <c:pt idx="267">
                  <c:v>9191.037010484124</c:v>
                </c:pt>
                <c:pt idx="268">
                  <c:v>9180.2668156862055</c:v>
                </c:pt>
                <c:pt idx="269">
                  <c:v>9169.4966208882852</c:v>
                </c:pt>
                <c:pt idx="270">
                  <c:v>9158.7264260903648</c:v>
                </c:pt>
                <c:pt idx="271">
                  <c:v>9147.9562312924463</c:v>
                </c:pt>
                <c:pt idx="272">
                  <c:v>9137.1860364945278</c:v>
                </c:pt>
                <c:pt idx="273">
                  <c:v>9126.4158416966056</c:v>
                </c:pt>
                <c:pt idx="274">
                  <c:v>9115.6456468986871</c:v>
                </c:pt>
                <c:pt idx="275">
                  <c:v>9104.8754521007686</c:v>
                </c:pt>
                <c:pt idx="276">
                  <c:v>9094.1052573028464</c:v>
                </c:pt>
                <c:pt idx="277">
                  <c:v>9083.3350625049279</c:v>
                </c:pt>
                <c:pt idx="278">
                  <c:v>9072.5648677070094</c:v>
                </c:pt>
                <c:pt idx="279">
                  <c:v>9061.7946729090872</c:v>
                </c:pt>
                <c:pt idx="280">
                  <c:v>9051.0244781111687</c:v>
                </c:pt>
                <c:pt idx="281">
                  <c:v>9040.2542833132502</c:v>
                </c:pt>
                <c:pt idx="282">
                  <c:v>9029.4840885153299</c:v>
                </c:pt>
                <c:pt idx="283">
                  <c:v>9018.7138937174095</c:v>
                </c:pt>
                <c:pt idx="284">
                  <c:v>9007.943698919491</c:v>
                </c:pt>
                <c:pt idx="285">
                  <c:v>8997.1735041215707</c:v>
                </c:pt>
                <c:pt idx="286">
                  <c:v>8986.4033093236503</c:v>
                </c:pt>
                <c:pt idx="287">
                  <c:v>8975.6331145257318</c:v>
                </c:pt>
                <c:pt idx="288">
                  <c:v>8964.8629197278115</c:v>
                </c:pt>
                <c:pt idx="289">
                  <c:v>8954.0927249298911</c:v>
                </c:pt>
                <c:pt idx="290">
                  <c:v>8943.3225301319726</c:v>
                </c:pt>
                <c:pt idx="291">
                  <c:v>8932.5523353340523</c:v>
                </c:pt>
                <c:pt idx="292">
                  <c:v>8921.7821405361319</c:v>
                </c:pt>
                <c:pt idx="293">
                  <c:v>8911.0119457382134</c:v>
                </c:pt>
                <c:pt idx="294">
                  <c:v>8900.2417509402931</c:v>
                </c:pt>
                <c:pt idx="295">
                  <c:v>8889.4715561423727</c:v>
                </c:pt>
                <c:pt idx="296">
                  <c:v>8878.7013613444542</c:v>
                </c:pt>
                <c:pt idx="297">
                  <c:v>8867.9311665465339</c:v>
                </c:pt>
                <c:pt idx="298">
                  <c:v>8857.1609717486135</c:v>
                </c:pt>
                <c:pt idx="299">
                  <c:v>8846.390776950695</c:v>
                </c:pt>
                <c:pt idx="300">
                  <c:v>8835.6205821527747</c:v>
                </c:pt>
                <c:pt idx="301">
                  <c:v>8824.8503873548543</c:v>
                </c:pt>
                <c:pt idx="302">
                  <c:v>8814.0801925569358</c:v>
                </c:pt>
                <c:pt idx="303">
                  <c:v>8803.3099977590155</c:v>
                </c:pt>
                <c:pt idx="304">
                  <c:v>8792.5398029610951</c:v>
                </c:pt>
                <c:pt idx="305">
                  <c:v>8781.7696081631766</c:v>
                </c:pt>
                <c:pt idx="306">
                  <c:v>8770.9994133652563</c:v>
                </c:pt>
                <c:pt idx="307">
                  <c:v>8760.2292185673359</c:v>
                </c:pt>
                <c:pt idx="308">
                  <c:v>8749.4590237694174</c:v>
                </c:pt>
                <c:pt idx="309">
                  <c:v>8738.6888289714989</c:v>
                </c:pt>
                <c:pt idx="310">
                  <c:v>8727.9186341735767</c:v>
                </c:pt>
                <c:pt idx="311">
                  <c:v>8717.1484393756582</c:v>
                </c:pt>
                <c:pt idx="312">
                  <c:v>8706.3782445777397</c:v>
                </c:pt>
                <c:pt idx="313">
                  <c:v>8695.6080497798175</c:v>
                </c:pt>
                <c:pt idx="314">
                  <c:v>8684.837854981899</c:v>
                </c:pt>
                <c:pt idx="315">
                  <c:v>8674.0676601839805</c:v>
                </c:pt>
                <c:pt idx="316">
                  <c:v>8663.2974653860583</c:v>
                </c:pt>
                <c:pt idx="317">
                  <c:v>8652.5272705881398</c:v>
                </c:pt>
                <c:pt idx="318">
                  <c:v>8641.7570757902213</c:v>
                </c:pt>
                <c:pt idx="319">
                  <c:v>8630.9868809923009</c:v>
                </c:pt>
                <c:pt idx="320">
                  <c:v>8620.2166861943806</c:v>
                </c:pt>
                <c:pt idx="321">
                  <c:v>8609.4464913964621</c:v>
                </c:pt>
                <c:pt idx="322">
                  <c:v>8598.6762965985417</c:v>
                </c:pt>
                <c:pt idx="323">
                  <c:v>8587.9061018006214</c:v>
                </c:pt>
                <c:pt idx="324">
                  <c:v>8577.1359070027029</c:v>
                </c:pt>
                <c:pt idx="325">
                  <c:v>8566.3657122047825</c:v>
                </c:pt>
                <c:pt idx="326">
                  <c:v>8555.5955174068622</c:v>
                </c:pt>
                <c:pt idx="327">
                  <c:v>8544.8253226089437</c:v>
                </c:pt>
                <c:pt idx="328">
                  <c:v>8534.0551278110233</c:v>
                </c:pt>
                <c:pt idx="329">
                  <c:v>8523.284933013103</c:v>
                </c:pt>
                <c:pt idx="330">
                  <c:v>8512.5147382151845</c:v>
                </c:pt>
                <c:pt idx="331">
                  <c:v>8501.7445434172641</c:v>
                </c:pt>
                <c:pt idx="332">
                  <c:v>8490.9743486193438</c:v>
                </c:pt>
                <c:pt idx="333">
                  <c:v>8480.2041538214253</c:v>
                </c:pt>
                <c:pt idx="334">
                  <c:v>8469.4339590235049</c:v>
                </c:pt>
                <c:pt idx="335">
                  <c:v>8458.6637642255846</c:v>
                </c:pt>
                <c:pt idx="336">
                  <c:v>8447.8935694276661</c:v>
                </c:pt>
                <c:pt idx="337">
                  <c:v>8437.1233746297457</c:v>
                </c:pt>
                <c:pt idx="338">
                  <c:v>8426.3531798318254</c:v>
                </c:pt>
                <c:pt idx="339">
                  <c:v>8415.5829850339069</c:v>
                </c:pt>
                <c:pt idx="340">
                  <c:v>8404.8127902359865</c:v>
                </c:pt>
                <c:pt idx="341">
                  <c:v>8394.0425954380662</c:v>
                </c:pt>
                <c:pt idx="342">
                  <c:v>8383.2724006401477</c:v>
                </c:pt>
                <c:pt idx="343">
                  <c:v>8372.5022058422273</c:v>
                </c:pt>
                <c:pt idx="344">
                  <c:v>8361.732011044307</c:v>
                </c:pt>
                <c:pt idx="345">
                  <c:v>8350.9618162463885</c:v>
                </c:pt>
                <c:pt idx="346">
                  <c:v>8340.1916214484681</c:v>
                </c:pt>
                <c:pt idx="347">
                  <c:v>8329.4214266505478</c:v>
                </c:pt>
                <c:pt idx="348">
                  <c:v>8318.6512318526293</c:v>
                </c:pt>
                <c:pt idx="349">
                  <c:v>8307.8810370547108</c:v>
                </c:pt>
                <c:pt idx="350">
                  <c:v>8297.1108422567886</c:v>
                </c:pt>
                <c:pt idx="351">
                  <c:v>8286.3406474588701</c:v>
                </c:pt>
                <c:pt idx="352">
                  <c:v>8275.5704526609516</c:v>
                </c:pt>
                <c:pt idx="353">
                  <c:v>8264.8002578630294</c:v>
                </c:pt>
                <c:pt idx="354">
                  <c:v>8254.0300630651109</c:v>
                </c:pt>
                <c:pt idx="355">
                  <c:v>8243.2598682671924</c:v>
                </c:pt>
                <c:pt idx="356">
                  <c:v>8232.489673469272</c:v>
                </c:pt>
                <c:pt idx="357">
                  <c:v>8221.7194786713517</c:v>
                </c:pt>
                <c:pt idx="358">
                  <c:v>8210.9492838734332</c:v>
                </c:pt>
                <c:pt idx="359">
                  <c:v>8200.1790890755128</c:v>
                </c:pt>
                <c:pt idx="360">
                  <c:v>8189.4088942775925</c:v>
                </c:pt>
                <c:pt idx="361">
                  <c:v>8178.6386994796731</c:v>
                </c:pt>
                <c:pt idx="362">
                  <c:v>8167.8685046817536</c:v>
                </c:pt>
                <c:pt idx="363">
                  <c:v>8157.0983098838333</c:v>
                </c:pt>
                <c:pt idx="364">
                  <c:v>8146.3281150859139</c:v>
                </c:pt>
                <c:pt idx="365">
                  <c:v>8135.5579202879944</c:v>
                </c:pt>
                <c:pt idx="366">
                  <c:v>8124.787725490075</c:v>
                </c:pt>
                <c:pt idx="367">
                  <c:v>8114.0175306921547</c:v>
                </c:pt>
                <c:pt idx="368">
                  <c:v>8103.2473358942352</c:v>
                </c:pt>
                <c:pt idx="369">
                  <c:v>8092.4771410963158</c:v>
                </c:pt>
                <c:pt idx="370">
                  <c:v>8081.7069462983955</c:v>
                </c:pt>
                <c:pt idx="371">
                  <c:v>8070.936751500476</c:v>
                </c:pt>
                <c:pt idx="372">
                  <c:v>8060.1665567025566</c:v>
                </c:pt>
                <c:pt idx="373">
                  <c:v>8049.3963619046363</c:v>
                </c:pt>
                <c:pt idx="374">
                  <c:v>8038.6261671067168</c:v>
                </c:pt>
                <c:pt idx="375">
                  <c:v>8027.8559723087974</c:v>
                </c:pt>
                <c:pt idx="376">
                  <c:v>8017.085777510878</c:v>
                </c:pt>
                <c:pt idx="377">
                  <c:v>8006.3155827129576</c:v>
                </c:pt>
                <c:pt idx="378">
                  <c:v>7995.5453879150382</c:v>
                </c:pt>
                <c:pt idx="379">
                  <c:v>7984.7751931171188</c:v>
                </c:pt>
                <c:pt idx="380">
                  <c:v>7974.0049983191984</c:v>
                </c:pt>
                <c:pt idx="381">
                  <c:v>7963.234803521279</c:v>
                </c:pt>
                <c:pt idx="382">
                  <c:v>7952.4646087233596</c:v>
                </c:pt>
                <c:pt idx="383">
                  <c:v>7941.6944139254392</c:v>
                </c:pt>
                <c:pt idx="384">
                  <c:v>7930.9242191275198</c:v>
                </c:pt>
                <c:pt idx="385">
                  <c:v>7920.1540243296004</c:v>
                </c:pt>
                <c:pt idx="386">
                  <c:v>7909.3838295316809</c:v>
                </c:pt>
                <c:pt idx="387">
                  <c:v>7898.6136347337606</c:v>
                </c:pt>
                <c:pt idx="388">
                  <c:v>7887.8434399358412</c:v>
                </c:pt>
                <c:pt idx="389">
                  <c:v>7877.0732451379217</c:v>
                </c:pt>
                <c:pt idx="390">
                  <c:v>7866.3030503400014</c:v>
                </c:pt>
                <c:pt idx="391">
                  <c:v>7855.5328555420829</c:v>
                </c:pt>
                <c:pt idx="392">
                  <c:v>7844.7626607441634</c:v>
                </c:pt>
                <c:pt idx="393">
                  <c:v>7833.9924659462449</c:v>
                </c:pt>
                <c:pt idx="394">
                  <c:v>7823.2222711483264</c:v>
                </c:pt>
                <c:pt idx="395">
                  <c:v>7812.452076350407</c:v>
                </c:pt>
                <c:pt idx="396">
                  <c:v>7801.6818815524884</c:v>
                </c:pt>
                <c:pt idx="397">
                  <c:v>7790.911686754569</c:v>
                </c:pt>
                <c:pt idx="398">
                  <c:v>7780.1414919566505</c:v>
                </c:pt>
                <c:pt idx="399">
                  <c:v>7769.3712971587311</c:v>
                </c:pt>
                <c:pt idx="400">
                  <c:v>7758.6011023608125</c:v>
                </c:pt>
                <c:pt idx="401">
                  <c:v>7747.8309075628931</c:v>
                </c:pt>
                <c:pt idx="402">
                  <c:v>7737.0607127649746</c:v>
                </c:pt>
                <c:pt idx="403">
                  <c:v>7726.2905179670552</c:v>
                </c:pt>
                <c:pt idx="404">
                  <c:v>7715.5203231691366</c:v>
                </c:pt>
                <c:pt idx="405">
                  <c:v>7704.7501283712181</c:v>
                </c:pt>
                <c:pt idx="406">
                  <c:v>7693.9799335732987</c:v>
                </c:pt>
                <c:pt idx="407">
                  <c:v>7683.2097387753802</c:v>
                </c:pt>
                <c:pt idx="408">
                  <c:v>7672.4395439774607</c:v>
                </c:pt>
                <c:pt idx="409">
                  <c:v>7661.6693491795422</c:v>
                </c:pt>
                <c:pt idx="410">
                  <c:v>7650.8991543816228</c:v>
                </c:pt>
                <c:pt idx="411">
                  <c:v>7640.1289595837043</c:v>
                </c:pt>
                <c:pt idx="412">
                  <c:v>7629.3587647857848</c:v>
                </c:pt>
                <c:pt idx="413">
                  <c:v>7618.5885699878663</c:v>
                </c:pt>
                <c:pt idx="414">
                  <c:v>7607.8183751899469</c:v>
                </c:pt>
                <c:pt idx="415">
                  <c:v>7597.0481803920284</c:v>
                </c:pt>
                <c:pt idx="416">
                  <c:v>7586.2779855941089</c:v>
                </c:pt>
                <c:pt idx="417">
                  <c:v>7575.5077907961904</c:v>
                </c:pt>
                <c:pt idx="418">
                  <c:v>7564.7375959982719</c:v>
                </c:pt>
                <c:pt idx="419">
                  <c:v>7553.9674012003525</c:v>
                </c:pt>
                <c:pt idx="420">
                  <c:v>7543.1972064024339</c:v>
                </c:pt>
                <c:pt idx="421">
                  <c:v>7532.4270116045145</c:v>
                </c:pt>
                <c:pt idx="422">
                  <c:v>7521.656816806596</c:v>
                </c:pt>
                <c:pt idx="423">
                  <c:v>7510.8866220086766</c:v>
                </c:pt>
                <c:pt idx="424">
                  <c:v>7500.116427210758</c:v>
                </c:pt>
                <c:pt idx="425">
                  <c:v>7489.3462324128386</c:v>
                </c:pt>
                <c:pt idx="426">
                  <c:v>7478.5760376149201</c:v>
                </c:pt>
                <c:pt idx="427">
                  <c:v>7467.8058428170007</c:v>
                </c:pt>
                <c:pt idx="428">
                  <c:v>7457.0356480190821</c:v>
                </c:pt>
                <c:pt idx="429">
                  <c:v>7446.2654532211636</c:v>
                </c:pt>
                <c:pt idx="430">
                  <c:v>7435.4952584232442</c:v>
                </c:pt>
                <c:pt idx="431">
                  <c:v>7424.7250636253257</c:v>
                </c:pt>
                <c:pt idx="432">
                  <c:v>7413.9548688274062</c:v>
                </c:pt>
                <c:pt idx="433">
                  <c:v>7403.1846740294877</c:v>
                </c:pt>
                <c:pt idx="434">
                  <c:v>7392.4144792315683</c:v>
                </c:pt>
                <c:pt idx="435">
                  <c:v>7381.6442844336498</c:v>
                </c:pt>
                <c:pt idx="436">
                  <c:v>7370.8740896357303</c:v>
                </c:pt>
                <c:pt idx="437">
                  <c:v>7360.1038948378118</c:v>
                </c:pt>
                <c:pt idx="438">
                  <c:v>7349.3337000398924</c:v>
                </c:pt>
                <c:pt idx="439">
                  <c:v>7338.5635052419739</c:v>
                </c:pt>
                <c:pt idx="440">
                  <c:v>7327.7933104440554</c:v>
                </c:pt>
                <c:pt idx="441">
                  <c:v>7317.0231156461359</c:v>
                </c:pt>
                <c:pt idx="442">
                  <c:v>7306.2529208482174</c:v>
                </c:pt>
                <c:pt idx="443">
                  <c:v>7295.482726050298</c:v>
                </c:pt>
                <c:pt idx="444">
                  <c:v>7284.7125312523794</c:v>
                </c:pt>
                <c:pt idx="445">
                  <c:v>7273.94233645446</c:v>
                </c:pt>
                <c:pt idx="446">
                  <c:v>7263.1721416565415</c:v>
                </c:pt>
                <c:pt idx="447">
                  <c:v>7252.4019468586221</c:v>
                </c:pt>
                <c:pt idx="448">
                  <c:v>7241.6317520607035</c:v>
                </c:pt>
                <c:pt idx="449">
                  <c:v>7230.8615572627841</c:v>
                </c:pt>
                <c:pt idx="450">
                  <c:v>7230.8615572627841</c:v>
                </c:pt>
                <c:pt idx="451">
                  <c:v>7230.8615572627841</c:v>
                </c:pt>
                <c:pt idx="452">
                  <c:v>7230.8615572627841</c:v>
                </c:pt>
                <c:pt idx="453">
                  <c:v>7230.8615572627841</c:v>
                </c:pt>
                <c:pt idx="454">
                  <c:v>7230.8615572627841</c:v>
                </c:pt>
                <c:pt idx="455">
                  <c:v>7230.8615572627841</c:v>
                </c:pt>
                <c:pt idx="456">
                  <c:v>7230.8615572627841</c:v>
                </c:pt>
                <c:pt idx="457">
                  <c:v>7230.8615572627841</c:v>
                </c:pt>
                <c:pt idx="458">
                  <c:v>7230.8615572627841</c:v>
                </c:pt>
                <c:pt idx="459">
                  <c:v>7230.8615572627841</c:v>
                </c:pt>
                <c:pt idx="460">
                  <c:v>7230.8615572627841</c:v>
                </c:pt>
                <c:pt idx="461">
                  <c:v>7230.8615572627841</c:v>
                </c:pt>
                <c:pt idx="462">
                  <c:v>7230.8615572627841</c:v>
                </c:pt>
                <c:pt idx="463">
                  <c:v>7230.8615572627841</c:v>
                </c:pt>
                <c:pt idx="464">
                  <c:v>7230.8615572627841</c:v>
                </c:pt>
                <c:pt idx="465">
                  <c:v>7230.8615572627841</c:v>
                </c:pt>
                <c:pt idx="466">
                  <c:v>7230.8615572627841</c:v>
                </c:pt>
                <c:pt idx="467">
                  <c:v>7230.8615572627841</c:v>
                </c:pt>
                <c:pt idx="468">
                  <c:v>7230.8615572627841</c:v>
                </c:pt>
                <c:pt idx="469">
                  <c:v>7230.8615572627841</c:v>
                </c:pt>
                <c:pt idx="470">
                  <c:v>7230.8615572627841</c:v>
                </c:pt>
                <c:pt idx="471">
                  <c:v>7230.8615572627841</c:v>
                </c:pt>
                <c:pt idx="472">
                  <c:v>7230.8615572627841</c:v>
                </c:pt>
                <c:pt idx="473">
                  <c:v>7230.8615572627841</c:v>
                </c:pt>
                <c:pt idx="474">
                  <c:v>7230.8615572627841</c:v>
                </c:pt>
                <c:pt idx="475">
                  <c:v>7230.8615572627841</c:v>
                </c:pt>
                <c:pt idx="476">
                  <c:v>7230.8615572627841</c:v>
                </c:pt>
                <c:pt idx="477">
                  <c:v>7230.8615572627841</c:v>
                </c:pt>
                <c:pt idx="478">
                  <c:v>7230.8615572627841</c:v>
                </c:pt>
                <c:pt idx="479">
                  <c:v>7230.8615572627841</c:v>
                </c:pt>
                <c:pt idx="480">
                  <c:v>7230.8615572627841</c:v>
                </c:pt>
                <c:pt idx="481">
                  <c:v>7230.8615572627841</c:v>
                </c:pt>
                <c:pt idx="482">
                  <c:v>7230.8615572627841</c:v>
                </c:pt>
                <c:pt idx="483">
                  <c:v>7230.8615572627841</c:v>
                </c:pt>
                <c:pt idx="484">
                  <c:v>7230.8615572627841</c:v>
                </c:pt>
                <c:pt idx="485">
                  <c:v>7230.8615572627841</c:v>
                </c:pt>
                <c:pt idx="486">
                  <c:v>7230.8615572627841</c:v>
                </c:pt>
                <c:pt idx="487">
                  <c:v>7230.8615572627841</c:v>
                </c:pt>
                <c:pt idx="488">
                  <c:v>7230.8615572627841</c:v>
                </c:pt>
                <c:pt idx="489">
                  <c:v>7230.8615572627841</c:v>
                </c:pt>
                <c:pt idx="490">
                  <c:v>7230.8615572627841</c:v>
                </c:pt>
                <c:pt idx="491">
                  <c:v>7230.8615572627841</c:v>
                </c:pt>
                <c:pt idx="492">
                  <c:v>7230.8615572627841</c:v>
                </c:pt>
                <c:pt idx="493">
                  <c:v>7230.8615572627841</c:v>
                </c:pt>
                <c:pt idx="494">
                  <c:v>7230.8615572627841</c:v>
                </c:pt>
                <c:pt idx="495">
                  <c:v>7230.8615572627841</c:v>
                </c:pt>
                <c:pt idx="496">
                  <c:v>7230.8615572627841</c:v>
                </c:pt>
                <c:pt idx="497">
                  <c:v>7230.8615572627841</c:v>
                </c:pt>
                <c:pt idx="498">
                  <c:v>7230.8615572627841</c:v>
                </c:pt>
                <c:pt idx="499">
                  <c:v>7230.8615572627841</c:v>
                </c:pt>
                <c:pt idx="500">
                  <c:v>7230.8615572627841</c:v>
                </c:pt>
                <c:pt idx="501">
                  <c:v>7230.8615572627841</c:v>
                </c:pt>
                <c:pt idx="502">
                  <c:v>7230.8615572627841</c:v>
                </c:pt>
                <c:pt idx="503">
                  <c:v>7230.8615572627841</c:v>
                </c:pt>
                <c:pt idx="504">
                  <c:v>7230.8615572627841</c:v>
                </c:pt>
                <c:pt idx="505">
                  <c:v>7230.8615572627841</c:v>
                </c:pt>
                <c:pt idx="506">
                  <c:v>7230.8615572627841</c:v>
                </c:pt>
                <c:pt idx="507">
                  <c:v>7230.8615572627841</c:v>
                </c:pt>
                <c:pt idx="508">
                  <c:v>7230.8615572627841</c:v>
                </c:pt>
                <c:pt idx="509">
                  <c:v>7230.8615572627841</c:v>
                </c:pt>
                <c:pt idx="510">
                  <c:v>7230.8615572627841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06-4ACB-84BA-8940E7FDB0D9}"/>
            </c:ext>
          </c:extLst>
        </c:ser>
        <c:ser>
          <c:idx val="5"/>
          <c:order val="3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BC06-4ACB-84BA-8940E7FDB0D9}"/>
            </c:ext>
          </c:extLst>
        </c:ser>
        <c:ser>
          <c:idx val="6"/>
          <c:order val="4"/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Curves!$AK$2:$AK$512</c:f>
              <c:numCache>
                <c:formatCode>0.0</c:formatCode>
                <c:ptCount val="511"/>
                <c:pt idx="0">
                  <c:v>25</c:v>
                </c:pt>
                <c:pt idx="1">
                  <c:v>25.1</c:v>
                </c:pt>
                <c:pt idx="2">
                  <c:v>25.200000000000003</c:v>
                </c:pt>
                <c:pt idx="3">
                  <c:v>25.300000000000004</c:v>
                </c:pt>
                <c:pt idx="4">
                  <c:v>25.400000000000006</c:v>
                </c:pt>
                <c:pt idx="5">
                  <c:v>25.500000000000007</c:v>
                </c:pt>
                <c:pt idx="6">
                  <c:v>25.600000000000009</c:v>
                </c:pt>
                <c:pt idx="7">
                  <c:v>25.70000000000001</c:v>
                </c:pt>
                <c:pt idx="8">
                  <c:v>25.800000000000011</c:v>
                </c:pt>
                <c:pt idx="9">
                  <c:v>25.900000000000013</c:v>
                </c:pt>
                <c:pt idx="10">
                  <c:v>26.000000000000014</c:v>
                </c:pt>
                <c:pt idx="11">
                  <c:v>26.100000000000016</c:v>
                </c:pt>
                <c:pt idx="12">
                  <c:v>26.200000000000017</c:v>
                </c:pt>
                <c:pt idx="13">
                  <c:v>26.300000000000018</c:v>
                </c:pt>
                <c:pt idx="14">
                  <c:v>26.40000000000002</c:v>
                </c:pt>
                <c:pt idx="15">
                  <c:v>26.500000000000021</c:v>
                </c:pt>
                <c:pt idx="16">
                  <c:v>26.600000000000023</c:v>
                </c:pt>
                <c:pt idx="17">
                  <c:v>26.700000000000024</c:v>
                </c:pt>
                <c:pt idx="18">
                  <c:v>26.800000000000026</c:v>
                </c:pt>
                <c:pt idx="19">
                  <c:v>26.900000000000027</c:v>
                </c:pt>
                <c:pt idx="20">
                  <c:v>27.000000000000028</c:v>
                </c:pt>
                <c:pt idx="21">
                  <c:v>27.10000000000003</c:v>
                </c:pt>
                <c:pt idx="22">
                  <c:v>27.200000000000031</c:v>
                </c:pt>
                <c:pt idx="23">
                  <c:v>27.300000000000033</c:v>
                </c:pt>
                <c:pt idx="24">
                  <c:v>27.400000000000034</c:v>
                </c:pt>
                <c:pt idx="25">
                  <c:v>27.500000000000036</c:v>
                </c:pt>
                <c:pt idx="26">
                  <c:v>27.600000000000037</c:v>
                </c:pt>
                <c:pt idx="27">
                  <c:v>27.700000000000038</c:v>
                </c:pt>
                <c:pt idx="28">
                  <c:v>27.80000000000004</c:v>
                </c:pt>
                <c:pt idx="29">
                  <c:v>27.900000000000041</c:v>
                </c:pt>
                <c:pt idx="30">
                  <c:v>28.000000000000043</c:v>
                </c:pt>
                <c:pt idx="31">
                  <c:v>28.100000000000044</c:v>
                </c:pt>
                <c:pt idx="32">
                  <c:v>28.200000000000045</c:v>
                </c:pt>
                <c:pt idx="33">
                  <c:v>28.300000000000047</c:v>
                </c:pt>
                <c:pt idx="34">
                  <c:v>28.400000000000048</c:v>
                </c:pt>
                <c:pt idx="35">
                  <c:v>28.50000000000005</c:v>
                </c:pt>
                <c:pt idx="36">
                  <c:v>28.600000000000051</c:v>
                </c:pt>
                <c:pt idx="37">
                  <c:v>28.700000000000053</c:v>
                </c:pt>
                <c:pt idx="38">
                  <c:v>28.800000000000054</c:v>
                </c:pt>
                <c:pt idx="39">
                  <c:v>28.900000000000055</c:v>
                </c:pt>
                <c:pt idx="40">
                  <c:v>29.000000000000057</c:v>
                </c:pt>
                <c:pt idx="41">
                  <c:v>29.100000000000058</c:v>
                </c:pt>
                <c:pt idx="42">
                  <c:v>29.20000000000006</c:v>
                </c:pt>
                <c:pt idx="43">
                  <c:v>29.300000000000061</c:v>
                </c:pt>
                <c:pt idx="44">
                  <c:v>29.400000000000063</c:v>
                </c:pt>
                <c:pt idx="45">
                  <c:v>29.500000000000064</c:v>
                </c:pt>
                <c:pt idx="46">
                  <c:v>29.600000000000065</c:v>
                </c:pt>
                <c:pt idx="47">
                  <c:v>29.700000000000067</c:v>
                </c:pt>
                <c:pt idx="48">
                  <c:v>29.800000000000068</c:v>
                </c:pt>
                <c:pt idx="49">
                  <c:v>29.90000000000007</c:v>
                </c:pt>
                <c:pt idx="50">
                  <c:v>30.000000000000071</c:v>
                </c:pt>
                <c:pt idx="51">
                  <c:v>30.100000000000072</c:v>
                </c:pt>
                <c:pt idx="52">
                  <c:v>30.200000000000074</c:v>
                </c:pt>
                <c:pt idx="53">
                  <c:v>30.300000000000075</c:v>
                </c:pt>
                <c:pt idx="54">
                  <c:v>30.400000000000077</c:v>
                </c:pt>
                <c:pt idx="55">
                  <c:v>30.500000000000078</c:v>
                </c:pt>
                <c:pt idx="56">
                  <c:v>30.60000000000008</c:v>
                </c:pt>
                <c:pt idx="57">
                  <c:v>30.700000000000081</c:v>
                </c:pt>
                <c:pt idx="58">
                  <c:v>30.800000000000082</c:v>
                </c:pt>
                <c:pt idx="59">
                  <c:v>30.900000000000084</c:v>
                </c:pt>
                <c:pt idx="60">
                  <c:v>31.000000000000085</c:v>
                </c:pt>
                <c:pt idx="61">
                  <c:v>31.100000000000087</c:v>
                </c:pt>
                <c:pt idx="62">
                  <c:v>31.200000000000088</c:v>
                </c:pt>
                <c:pt idx="63">
                  <c:v>31.30000000000009</c:v>
                </c:pt>
                <c:pt idx="64">
                  <c:v>31.400000000000091</c:v>
                </c:pt>
                <c:pt idx="65">
                  <c:v>31.500000000000092</c:v>
                </c:pt>
                <c:pt idx="66">
                  <c:v>31.600000000000094</c:v>
                </c:pt>
                <c:pt idx="67">
                  <c:v>31.700000000000095</c:v>
                </c:pt>
                <c:pt idx="68">
                  <c:v>31.800000000000097</c:v>
                </c:pt>
                <c:pt idx="69">
                  <c:v>31.900000000000098</c:v>
                </c:pt>
                <c:pt idx="70">
                  <c:v>32.000000000000099</c:v>
                </c:pt>
                <c:pt idx="71">
                  <c:v>32.100000000000101</c:v>
                </c:pt>
                <c:pt idx="72">
                  <c:v>32.200000000000102</c:v>
                </c:pt>
                <c:pt idx="73">
                  <c:v>32.300000000000104</c:v>
                </c:pt>
                <c:pt idx="74">
                  <c:v>32.400000000000105</c:v>
                </c:pt>
                <c:pt idx="75">
                  <c:v>32.500000000000107</c:v>
                </c:pt>
                <c:pt idx="76">
                  <c:v>32.600000000000108</c:v>
                </c:pt>
                <c:pt idx="77">
                  <c:v>32.700000000000109</c:v>
                </c:pt>
                <c:pt idx="78">
                  <c:v>32.800000000000111</c:v>
                </c:pt>
                <c:pt idx="79">
                  <c:v>32.900000000000112</c:v>
                </c:pt>
                <c:pt idx="80">
                  <c:v>33.000000000000114</c:v>
                </c:pt>
                <c:pt idx="81">
                  <c:v>33.100000000000115</c:v>
                </c:pt>
                <c:pt idx="82">
                  <c:v>33.200000000000117</c:v>
                </c:pt>
                <c:pt idx="83">
                  <c:v>33.300000000000118</c:v>
                </c:pt>
                <c:pt idx="84">
                  <c:v>33.400000000000119</c:v>
                </c:pt>
                <c:pt idx="85">
                  <c:v>33.500000000000121</c:v>
                </c:pt>
                <c:pt idx="86">
                  <c:v>33.600000000000122</c:v>
                </c:pt>
                <c:pt idx="87">
                  <c:v>33.700000000000124</c:v>
                </c:pt>
                <c:pt idx="88">
                  <c:v>33.800000000000125</c:v>
                </c:pt>
                <c:pt idx="89">
                  <c:v>33.900000000000126</c:v>
                </c:pt>
                <c:pt idx="90">
                  <c:v>34.000000000000128</c:v>
                </c:pt>
                <c:pt idx="91">
                  <c:v>34.100000000000129</c:v>
                </c:pt>
                <c:pt idx="92">
                  <c:v>34.200000000000131</c:v>
                </c:pt>
                <c:pt idx="93">
                  <c:v>34.300000000000132</c:v>
                </c:pt>
                <c:pt idx="94">
                  <c:v>34.400000000000134</c:v>
                </c:pt>
                <c:pt idx="95">
                  <c:v>34.500000000000135</c:v>
                </c:pt>
                <c:pt idx="96">
                  <c:v>34.600000000000136</c:v>
                </c:pt>
                <c:pt idx="97">
                  <c:v>34.700000000000138</c:v>
                </c:pt>
                <c:pt idx="98">
                  <c:v>34.800000000000139</c:v>
                </c:pt>
                <c:pt idx="99">
                  <c:v>34.900000000000141</c:v>
                </c:pt>
                <c:pt idx="100">
                  <c:v>35.000000000000142</c:v>
                </c:pt>
                <c:pt idx="101">
                  <c:v>35.100000000000144</c:v>
                </c:pt>
                <c:pt idx="102">
                  <c:v>35.200000000000145</c:v>
                </c:pt>
                <c:pt idx="103">
                  <c:v>35.300000000000146</c:v>
                </c:pt>
                <c:pt idx="104">
                  <c:v>35.400000000000148</c:v>
                </c:pt>
                <c:pt idx="105">
                  <c:v>35.500000000000149</c:v>
                </c:pt>
                <c:pt idx="106">
                  <c:v>35.600000000000151</c:v>
                </c:pt>
                <c:pt idx="107">
                  <c:v>35.700000000000152</c:v>
                </c:pt>
                <c:pt idx="108">
                  <c:v>35.800000000000153</c:v>
                </c:pt>
                <c:pt idx="109">
                  <c:v>35.900000000000155</c:v>
                </c:pt>
                <c:pt idx="110">
                  <c:v>36.000000000000156</c:v>
                </c:pt>
                <c:pt idx="111">
                  <c:v>36.100000000000158</c:v>
                </c:pt>
                <c:pt idx="112">
                  <c:v>36.200000000000159</c:v>
                </c:pt>
                <c:pt idx="113">
                  <c:v>36.300000000000161</c:v>
                </c:pt>
                <c:pt idx="114">
                  <c:v>36.400000000000162</c:v>
                </c:pt>
                <c:pt idx="115">
                  <c:v>36.500000000000163</c:v>
                </c:pt>
                <c:pt idx="116">
                  <c:v>36.600000000000165</c:v>
                </c:pt>
                <c:pt idx="117">
                  <c:v>36.700000000000166</c:v>
                </c:pt>
                <c:pt idx="118">
                  <c:v>36.800000000000168</c:v>
                </c:pt>
                <c:pt idx="119">
                  <c:v>36.900000000000169</c:v>
                </c:pt>
                <c:pt idx="120">
                  <c:v>37.000000000000171</c:v>
                </c:pt>
                <c:pt idx="121">
                  <c:v>37.100000000000172</c:v>
                </c:pt>
                <c:pt idx="122">
                  <c:v>37.200000000000173</c:v>
                </c:pt>
                <c:pt idx="123">
                  <c:v>37.300000000000175</c:v>
                </c:pt>
                <c:pt idx="124">
                  <c:v>37.400000000000176</c:v>
                </c:pt>
                <c:pt idx="125">
                  <c:v>37.500000000000178</c:v>
                </c:pt>
                <c:pt idx="126">
                  <c:v>37.600000000000179</c:v>
                </c:pt>
                <c:pt idx="127">
                  <c:v>37.70000000000018</c:v>
                </c:pt>
                <c:pt idx="128">
                  <c:v>37.800000000000182</c:v>
                </c:pt>
                <c:pt idx="129">
                  <c:v>37.900000000000183</c:v>
                </c:pt>
                <c:pt idx="130">
                  <c:v>38.000000000000185</c:v>
                </c:pt>
                <c:pt idx="131">
                  <c:v>38.100000000000186</c:v>
                </c:pt>
                <c:pt idx="132">
                  <c:v>38.200000000000188</c:v>
                </c:pt>
                <c:pt idx="133">
                  <c:v>38.300000000000189</c:v>
                </c:pt>
                <c:pt idx="134">
                  <c:v>38.40000000000019</c:v>
                </c:pt>
                <c:pt idx="135">
                  <c:v>38.500000000000192</c:v>
                </c:pt>
                <c:pt idx="136">
                  <c:v>38.600000000000193</c:v>
                </c:pt>
                <c:pt idx="137">
                  <c:v>38.700000000000195</c:v>
                </c:pt>
                <c:pt idx="138">
                  <c:v>38.800000000000196</c:v>
                </c:pt>
                <c:pt idx="139">
                  <c:v>38.900000000000198</c:v>
                </c:pt>
                <c:pt idx="140">
                  <c:v>39.000000000000199</c:v>
                </c:pt>
                <c:pt idx="141">
                  <c:v>39.1000000000002</c:v>
                </c:pt>
                <c:pt idx="142">
                  <c:v>39.200000000000202</c:v>
                </c:pt>
                <c:pt idx="143">
                  <c:v>39.300000000000203</c:v>
                </c:pt>
                <c:pt idx="144">
                  <c:v>39.400000000000205</c:v>
                </c:pt>
                <c:pt idx="145">
                  <c:v>39.500000000000206</c:v>
                </c:pt>
                <c:pt idx="146">
                  <c:v>39.600000000000207</c:v>
                </c:pt>
                <c:pt idx="147">
                  <c:v>39.700000000000209</c:v>
                </c:pt>
                <c:pt idx="148">
                  <c:v>39.80000000000021</c:v>
                </c:pt>
                <c:pt idx="149">
                  <c:v>39.900000000000212</c:v>
                </c:pt>
                <c:pt idx="150">
                  <c:v>40.000000000000213</c:v>
                </c:pt>
                <c:pt idx="151">
                  <c:v>40.100000000000215</c:v>
                </c:pt>
                <c:pt idx="152">
                  <c:v>40.200000000000216</c:v>
                </c:pt>
                <c:pt idx="153">
                  <c:v>40.300000000000217</c:v>
                </c:pt>
                <c:pt idx="154">
                  <c:v>40.400000000000219</c:v>
                </c:pt>
                <c:pt idx="155">
                  <c:v>40.50000000000022</c:v>
                </c:pt>
                <c:pt idx="156">
                  <c:v>40.600000000000222</c:v>
                </c:pt>
                <c:pt idx="157">
                  <c:v>40.700000000000223</c:v>
                </c:pt>
                <c:pt idx="158">
                  <c:v>40.800000000000225</c:v>
                </c:pt>
                <c:pt idx="159">
                  <c:v>40.900000000000226</c:v>
                </c:pt>
                <c:pt idx="160">
                  <c:v>41.000000000000227</c:v>
                </c:pt>
                <c:pt idx="161">
                  <c:v>41.100000000000229</c:v>
                </c:pt>
                <c:pt idx="162">
                  <c:v>41.20000000000023</c:v>
                </c:pt>
                <c:pt idx="163">
                  <c:v>41.300000000000232</c:v>
                </c:pt>
                <c:pt idx="164">
                  <c:v>41.400000000000233</c:v>
                </c:pt>
                <c:pt idx="165">
                  <c:v>41.500000000000234</c:v>
                </c:pt>
                <c:pt idx="166">
                  <c:v>41.600000000000236</c:v>
                </c:pt>
                <c:pt idx="167">
                  <c:v>41.700000000000237</c:v>
                </c:pt>
                <c:pt idx="168">
                  <c:v>41.800000000000239</c:v>
                </c:pt>
                <c:pt idx="169">
                  <c:v>41.90000000000024</c:v>
                </c:pt>
                <c:pt idx="170">
                  <c:v>42.000000000000242</c:v>
                </c:pt>
                <c:pt idx="171">
                  <c:v>42.100000000000243</c:v>
                </c:pt>
                <c:pt idx="172">
                  <c:v>42.200000000000244</c:v>
                </c:pt>
                <c:pt idx="173">
                  <c:v>42.300000000000246</c:v>
                </c:pt>
                <c:pt idx="174">
                  <c:v>42.400000000000247</c:v>
                </c:pt>
                <c:pt idx="175">
                  <c:v>42.500000000000249</c:v>
                </c:pt>
                <c:pt idx="176">
                  <c:v>42.60000000000025</c:v>
                </c:pt>
                <c:pt idx="177">
                  <c:v>42.700000000000252</c:v>
                </c:pt>
                <c:pt idx="178">
                  <c:v>42.800000000000253</c:v>
                </c:pt>
                <c:pt idx="179">
                  <c:v>42.900000000000254</c:v>
                </c:pt>
                <c:pt idx="180">
                  <c:v>43.000000000000256</c:v>
                </c:pt>
                <c:pt idx="181">
                  <c:v>43.100000000000257</c:v>
                </c:pt>
                <c:pt idx="182">
                  <c:v>43.200000000000259</c:v>
                </c:pt>
                <c:pt idx="183">
                  <c:v>43.30000000000026</c:v>
                </c:pt>
                <c:pt idx="184">
                  <c:v>43.400000000000261</c:v>
                </c:pt>
                <c:pt idx="185">
                  <c:v>43.500000000000263</c:v>
                </c:pt>
                <c:pt idx="186">
                  <c:v>43.600000000000264</c:v>
                </c:pt>
                <c:pt idx="187">
                  <c:v>43.700000000000266</c:v>
                </c:pt>
                <c:pt idx="188">
                  <c:v>43.800000000000267</c:v>
                </c:pt>
                <c:pt idx="189">
                  <c:v>43.900000000000269</c:v>
                </c:pt>
                <c:pt idx="190">
                  <c:v>44.00000000000027</c:v>
                </c:pt>
                <c:pt idx="191">
                  <c:v>44.100000000000271</c:v>
                </c:pt>
                <c:pt idx="192">
                  <c:v>44.200000000000273</c:v>
                </c:pt>
                <c:pt idx="193">
                  <c:v>44.300000000000274</c:v>
                </c:pt>
                <c:pt idx="194">
                  <c:v>44.400000000000276</c:v>
                </c:pt>
                <c:pt idx="195">
                  <c:v>44.500000000000277</c:v>
                </c:pt>
                <c:pt idx="196">
                  <c:v>44.600000000000279</c:v>
                </c:pt>
                <c:pt idx="197">
                  <c:v>44.70000000000028</c:v>
                </c:pt>
                <c:pt idx="198">
                  <c:v>44.800000000000281</c:v>
                </c:pt>
                <c:pt idx="199">
                  <c:v>44.900000000000283</c:v>
                </c:pt>
                <c:pt idx="200">
                  <c:v>45.000000000000284</c:v>
                </c:pt>
                <c:pt idx="201">
                  <c:v>45.100000000000286</c:v>
                </c:pt>
                <c:pt idx="202">
                  <c:v>45.200000000000287</c:v>
                </c:pt>
                <c:pt idx="203">
                  <c:v>45.300000000000288</c:v>
                </c:pt>
                <c:pt idx="204">
                  <c:v>45.40000000000029</c:v>
                </c:pt>
                <c:pt idx="205">
                  <c:v>45.500000000000291</c:v>
                </c:pt>
                <c:pt idx="206">
                  <c:v>45.600000000000293</c:v>
                </c:pt>
                <c:pt idx="207">
                  <c:v>45.700000000000294</c:v>
                </c:pt>
                <c:pt idx="208">
                  <c:v>45.800000000000296</c:v>
                </c:pt>
                <c:pt idx="209">
                  <c:v>45.900000000000297</c:v>
                </c:pt>
                <c:pt idx="210">
                  <c:v>46.000000000000298</c:v>
                </c:pt>
                <c:pt idx="211">
                  <c:v>46.1000000000003</c:v>
                </c:pt>
                <c:pt idx="212">
                  <c:v>46.200000000000301</c:v>
                </c:pt>
                <c:pt idx="213">
                  <c:v>46.300000000000303</c:v>
                </c:pt>
                <c:pt idx="214">
                  <c:v>46.400000000000304</c:v>
                </c:pt>
                <c:pt idx="215">
                  <c:v>46.500000000000306</c:v>
                </c:pt>
                <c:pt idx="216">
                  <c:v>46.600000000000307</c:v>
                </c:pt>
                <c:pt idx="217">
                  <c:v>46.700000000000308</c:v>
                </c:pt>
                <c:pt idx="218">
                  <c:v>46.80000000000031</c:v>
                </c:pt>
                <c:pt idx="219">
                  <c:v>46.900000000000311</c:v>
                </c:pt>
                <c:pt idx="220">
                  <c:v>47.000000000000313</c:v>
                </c:pt>
                <c:pt idx="221">
                  <c:v>47.100000000000314</c:v>
                </c:pt>
                <c:pt idx="222">
                  <c:v>47.200000000000315</c:v>
                </c:pt>
                <c:pt idx="223">
                  <c:v>47.300000000000317</c:v>
                </c:pt>
                <c:pt idx="224">
                  <c:v>47.400000000000318</c:v>
                </c:pt>
                <c:pt idx="225">
                  <c:v>47.50000000000032</c:v>
                </c:pt>
                <c:pt idx="226">
                  <c:v>47.600000000000321</c:v>
                </c:pt>
                <c:pt idx="227">
                  <c:v>47.700000000000323</c:v>
                </c:pt>
                <c:pt idx="228">
                  <c:v>47.800000000000324</c:v>
                </c:pt>
                <c:pt idx="229">
                  <c:v>47.900000000000325</c:v>
                </c:pt>
                <c:pt idx="230">
                  <c:v>48.000000000000327</c:v>
                </c:pt>
                <c:pt idx="231">
                  <c:v>48.100000000000328</c:v>
                </c:pt>
                <c:pt idx="232">
                  <c:v>48.20000000000033</c:v>
                </c:pt>
                <c:pt idx="233">
                  <c:v>48.300000000000331</c:v>
                </c:pt>
                <c:pt idx="234">
                  <c:v>48.400000000000333</c:v>
                </c:pt>
                <c:pt idx="235">
                  <c:v>48.500000000000334</c:v>
                </c:pt>
                <c:pt idx="236">
                  <c:v>48.600000000000335</c:v>
                </c:pt>
                <c:pt idx="237">
                  <c:v>48.700000000000337</c:v>
                </c:pt>
                <c:pt idx="238">
                  <c:v>48.800000000000338</c:v>
                </c:pt>
                <c:pt idx="239">
                  <c:v>48.90000000000034</c:v>
                </c:pt>
                <c:pt idx="240">
                  <c:v>49.000000000000341</c:v>
                </c:pt>
                <c:pt idx="241">
                  <c:v>49.100000000000342</c:v>
                </c:pt>
                <c:pt idx="242">
                  <c:v>49.200000000000344</c:v>
                </c:pt>
                <c:pt idx="243">
                  <c:v>49.300000000000345</c:v>
                </c:pt>
                <c:pt idx="244">
                  <c:v>49.400000000000347</c:v>
                </c:pt>
                <c:pt idx="245">
                  <c:v>49.500000000000348</c:v>
                </c:pt>
                <c:pt idx="246">
                  <c:v>49.60000000000035</c:v>
                </c:pt>
                <c:pt idx="247">
                  <c:v>49.700000000000351</c:v>
                </c:pt>
                <c:pt idx="248">
                  <c:v>49.800000000000352</c:v>
                </c:pt>
                <c:pt idx="249">
                  <c:v>49.900000000000354</c:v>
                </c:pt>
                <c:pt idx="250">
                  <c:v>50.000000000000355</c:v>
                </c:pt>
                <c:pt idx="251">
                  <c:v>50.100000000000357</c:v>
                </c:pt>
                <c:pt idx="252">
                  <c:v>50.200000000000358</c:v>
                </c:pt>
                <c:pt idx="253">
                  <c:v>50.30000000000036</c:v>
                </c:pt>
                <c:pt idx="254">
                  <c:v>50.400000000000361</c:v>
                </c:pt>
                <c:pt idx="255">
                  <c:v>50.500000000000362</c:v>
                </c:pt>
                <c:pt idx="256">
                  <c:v>50.600000000000364</c:v>
                </c:pt>
                <c:pt idx="257">
                  <c:v>50.700000000000365</c:v>
                </c:pt>
                <c:pt idx="258">
                  <c:v>50.800000000000367</c:v>
                </c:pt>
                <c:pt idx="259">
                  <c:v>50.900000000000368</c:v>
                </c:pt>
                <c:pt idx="260">
                  <c:v>51.000000000000369</c:v>
                </c:pt>
                <c:pt idx="261">
                  <c:v>51.100000000000371</c:v>
                </c:pt>
                <c:pt idx="262">
                  <c:v>51.200000000000372</c:v>
                </c:pt>
                <c:pt idx="263">
                  <c:v>51.300000000000374</c:v>
                </c:pt>
                <c:pt idx="264">
                  <c:v>51.400000000000375</c:v>
                </c:pt>
                <c:pt idx="265">
                  <c:v>51.500000000000377</c:v>
                </c:pt>
                <c:pt idx="266">
                  <c:v>51.600000000000378</c:v>
                </c:pt>
                <c:pt idx="267">
                  <c:v>51.700000000000379</c:v>
                </c:pt>
                <c:pt idx="268">
                  <c:v>51.800000000000381</c:v>
                </c:pt>
                <c:pt idx="269">
                  <c:v>51.900000000000382</c:v>
                </c:pt>
                <c:pt idx="270">
                  <c:v>52.000000000000384</c:v>
                </c:pt>
                <c:pt idx="271">
                  <c:v>52.100000000000385</c:v>
                </c:pt>
                <c:pt idx="272">
                  <c:v>52.200000000000387</c:v>
                </c:pt>
                <c:pt idx="273">
                  <c:v>52.300000000000388</c:v>
                </c:pt>
                <c:pt idx="274">
                  <c:v>52.400000000000389</c:v>
                </c:pt>
                <c:pt idx="275">
                  <c:v>52.500000000000391</c:v>
                </c:pt>
                <c:pt idx="276">
                  <c:v>52.600000000000392</c:v>
                </c:pt>
                <c:pt idx="277">
                  <c:v>52.700000000000394</c:v>
                </c:pt>
                <c:pt idx="278">
                  <c:v>52.800000000000395</c:v>
                </c:pt>
                <c:pt idx="279">
                  <c:v>52.900000000000396</c:v>
                </c:pt>
                <c:pt idx="280">
                  <c:v>53.000000000000398</c:v>
                </c:pt>
                <c:pt idx="281">
                  <c:v>53.100000000000399</c:v>
                </c:pt>
                <c:pt idx="282">
                  <c:v>53.200000000000401</c:v>
                </c:pt>
                <c:pt idx="283">
                  <c:v>53.300000000000402</c:v>
                </c:pt>
                <c:pt idx="284">
                  <c:v>53.400000000000404</c:v>
                </c:pt>
                <c:pt idx="285">
                  <c:v>53.500000000000405</c:v>
                </c:pt>
                <c:pt idx="286">
                  <c:v>53.600000000000406</c:v>
                </c:pt>
                <c:pt idx="287">
                  <c:v>53.700000000000408</c:v>
                </c:pt>
                <c:pt idx="288">
                  <c:v>53.800000000000409</c:v>
                </c:pt>
                <c:pt idx="289">
                  <c:v>53.900000000000411</c:v>
                </c:pt>
                <c:pt idx="290">
                  <c:v>54.000000000000412</c:v>
                </c:pt>
                <c:pt idx="291">
                  <c:v>54.100000000000414</c:v>
                </c:pt>
                <c:pt idx="292">
                  <c:v>54.200000000000415</c:v>
                </c:pt>
                <c:pt idx="293">
                  <c:v>54.300000000000416</c:v>
                </c:pt>
                <c:pt idx="294">
                  <c:v>54.400000000000418</c:v>
                </c:pt>
                <c:pt idx="295">
                  <c:v>54.500000000000419</c:v>
                </c:pt>
                <c:pt idx="296">
                  <c:v>54.600000000000421</c:v>
                </c:pt>
                <c:pt idx="297">
                  <c:v>54.700000000000422</c:v>
                </c:pt>
                <c:pt idx="298">
                  <c:v>54.800000000000423</c:v>
                </c:pt>
                <c:pt idx="299">
                  <c:v>54.900000000000425</c:v>
                </c:pt>
                <c:pt idx="300">
                  <c:v>55.000000000000426</c:v>
                </c:pt>
                <c:pt idx="301">
                  <c:v>55.100000000000428</c:v>
                </c:pt>
                <c:pt idx="302">
                  <c:v>55.200000000000429</c:v>
                </c:pt>
                <c:pt idx="303">
                  <c:v>55.300000000000431</c:v>
                </c:pt>
                <c:pt idx="304">
                  <c:v>55.400000000000432</c:v>
                </c:pt>
                <c:pt idx="305">
                  <c:v>55.500000000000433</c:v>
                </c:pt>
                <c:pt idx="306">
                  <c:v>55.600000000000435</c:v>
                </c:pt>
                <c:pt idx="307">
                  <c:v>55.700000000000436</c:v>
                </c:pt>
                <c:pt idx="308">
                  <c:v>55.800000000000438</c:v>
                </c:pt>
                <c:pt idx="309">
                  <c:v>55.900000000000439</c:v>
                </c:pt>
                <c:pt idx="310">
                  <c:v>56.000000000000441</c:v>
                </c:pt>
                <c:pt idx="311">
                  <c:v>56.100000000000442</c:v>
                </c:pt>
                <c:pt idx="312">
                  <c:v>56.200000000000443</c:v>
                </c:pt>
                <c:pt idx="313">
                  <c:v>56.300000000000445</c:v>
                </c:pt>
                <c:pt idx="314">
                  <c:v>56.400000000000446</c:v>
                </c:pt>
                <c:pt idx="315">
                  <c:v>56.500000000000448</c:v>
                </c:pt>
                <c:pt idx="316">
                  <c:v>56.600000000000449</c:v>
                </c:pt>
                <c:pt idx="317">
                  <c:v>56.70000000000045</c:v>
                </c:pt>
                <c:pt idx="318">
                  <c:v>56.800000000000452</c:v>
                </c:pt>
                <c:pt idx="319">
                  <c:v>56.900000000000453</c:v>
                </c:pt>
                <c:pt idx="320">
                  <c:v>57.000000000000455</c:v>
                </c:pt>
                <c:pt idx="321">
                  <c:v>57.100000000000456</c:v>
                </c:pt>
                <c:pt idx="322">
                  <c:v>57.200000000000458</c:v>
                </c:pt>
                <c:pt idx="323">
                  <c:v>57.300000000000459</c:v>
                </c:pt>
                <c:pt idx="324">
                  <c:v>57.40000000000046</c:v>
                </c:pt>
                <c:pt idx="325">
                  <c:v>57.500000000000462</c:v>
                </c:pt>
                <c:pt idx="326">
                  <c:v>57.600000000000463</c:v>
                </c:pt>
                <c:pt idx="327">
                  <c:v>57.700000000000465</c:v>
                </c:pt>
                <c:pt idx="328">
                  <c:v>57.800000000000466</c:v>
                </c:pt>
                <c:pt idx="329">
                  <c:v>57.900000000000468</c:v>
                </c:pt>
                <c:pt idx="330">
                  <c:v>58.000000000000469</c:v>
                </c:pt>
                <c:pt idx="331">
                  <c:v>58.10000000000047</c:v>
                </c:pt>
                <c:pt idx="332">
                  <c:v>58.200000000000472</c:v>
                </c:pt>
                <c:pt idx="333">
                  <c:v>58.300000000000473</c:v>
                </c:pt>
                <c:pt idx="334">
                  <c:v>58.400000000000475</c:v>
                </c:pt>
                <c:pt idx="335">
                  <c:v>58.500000000000476</c:v>
                </c:pt>
                <c:pt idx="336">
                  <c:v>58.600000000000477</c:v>
                </c:pt>
                <c:pt idx="337">
                  <c:v>58.700000000000479</c:v>
                </c:pt>
                <c:pt idx="338">
                  <c:v>58.80000000000048</c:v>
                </c:pt>
                <c:pt idx="339">
                  <c:v>58.900000000000482</c:v>
                </c:pt>
                <c:pt idx="340">
                  <c:v>59.000000000000483</c:v>
                </c:pt>
                <c:pt idx="341">
                  <c:v>59.100000000000485</c:v>
                </c:pt>
                <c:pt idx="342">
                  <c:v>59.200000000000486</c:v>
                </c:pt>
                <c:pt idx="343">
                  <c:v>59.300000000000487</c:v>
                </c:pt>
                <c:pt idx="344">
                  <c:v>59.400000000000489</c:v>
                </c:pt>
                <c:pt idx="345">
                  <c:v>59.50000000000049</c:v>
                </c:pt>
                <c:pt idx="346">
                  <c:v>59.600000000000492</c:v>
                </c:pt>
                <c:pt idx="347">
                  <c:v>59.700000000000493</c:v>
                </c:pt>
                <c:pt idx="348">
                  <c:v>59.800000000000495</c:v>
                </c:pt>
                <c:pt idx="349">
                  <c:v>59.900000000000496</c:v>
                </c:pt>
                <c:pt idx="350">
                  <c:v>60.000000000000497</c:v>
                </c:pt>
                <c:pt idx="351">
                  <c:v>60.100000000000499</c:v>
                </c:pt>
                <c:pt idx="352">
                  <c:v>60.2000000000005</c:v>
                </c:pt>
                <c:pt idx="353">
                  <c:v>60.300000000000502</c:v>
                </c:pt>
                <c:pt idx="354">
                  <c:v>60.400000000000503</c:v>
                </c:pt>
                <c:pt idx="355">
                  <c:v>60.500000000000504</c:v>
                </c:pt>
                <c:pt idx="356">
                  <c:v>60.600000000000506</c:v>
                </c:pt>
                <c:pt idx="357">
                  <c:v>60.700000000000507</c:v>
                </c:pt>
                <c:pt idx="358">
                  <c:v>60.800000000000509</c:v>
                </c:pt>
                <c:pt idx="359">
                  <c:v>60.90000000000051</c:v>
                </c:pt>
                <c:pt idx="360">
                  <c:v>61.000000000000512</c:v>
                </c:pt>
                <c:pt idx="361">
                  <c:v>61.100000000000513</c:v>
                </c:pt>
                <c:pt idx="362">
                  <c:v>61.200000000000514</c:v>
                </c:pt>
                <c:pt idx="363">
                  <c:v>61.300000000000516</c:v>
                </c:pt>
                <c:pt idx="364">
                  <c:v>61.400000000000517</c:v>
                </c:pt>
                <c:pt idx="365">
                  <c:v>61.500000000000519</c:v>
                </c:pt>
                <c:pt idx="366">
                  <c:v>61.60000000000052</c:v>
                </c:pt>
                <c:pt idx="367">
                  <c:v>61.700000000000522</c:v>
                </c:pt>
                <c:pt idx="368">
                  <c:v>61.800000000000523</c:v>
                </c:pt>
                <c:pt idx="369">
                  <c:v>61.900000000000524</c:v>
                </c:pt>
                <c:pt idx="370">
                  <c:v>62.000000000000526</c:v>
                </c:pt>
                <c:pt idx="371">
                  <c:v>62.100000000000527</c:v>
                </c:pt>
                <c:pt idx="372">
                  <c:v>62.200000000000529</c:v>
                </c:pt>
                <c:pt idx="373">
                  <c:v>62.30000000000053</c:v>
                </c:pt>
                <c:pt idx="374">
                  <c:v>62.400000000000531</c:v>
                </c:pt>
                <c:pt idx="375">
                  <c:v>62.500000000000533</c:v>
                </c:pt>
                <c:pt idx="376">
                  <c:v>62.600000000000534</c:v>
                </c:pt>
                <c:pt idx="377">
                  <c:v>62.700000000000536</c:v>
                </c:pt>
                <c:pt idx="378">
                  <c:v>62.800000000000537</c:v>
                </c:pt>
                <c:pt idx="379">
                  <c:v>62.900000000000539</c:v>
                </c:pt>
                <c:pt idx="380">
                  <c:v>63.00000000000054</c:v>
                </c:pt>
                <c:pt idx="381">
                  <c:v>63.100000000000541</c:v>
                </c:pt>
                <c:pt idx="382">
                  <c:v>63.200000000000543</c:v>
                </c:pt>
                <c:pt idx="383">
                  <c:v>63.300000000000544</c:v>
                </c:pt>
                <c:pt idx="384">
                  <c:v>63.400000000000546</c:v>
                </c:pt>
                <c:pt idx="385">
                  <c:v>63.500000000000547</c:v>
                </c:pt>
                <c:pt idx="386">
                  <c:v>63.600000000000549</c:v>
                </c:pt>
                <c:pt idx="387">
                  <c:v>63.70000000000055</c:v>
                </c:pt>
                <c:pt idx="388">
                  <c:v>63.800000000000551</c:v>
                </c:pt>
                <c:pt idx="389">
                  <c:v>63.900000000000553</c:v>
                </c:pt>
                <c:pt idx="390">
                  <c:v>64.000000000000554</c:v>
                </c:pt>
                <c:pt idx="391">
                  <c:v>64.100000000000549</c:v>
                </c:pt>
                <c:pt idx="392">
                  <c:v>64.200000000000543</c:v>
                </c:pt>
                <c:pt idx="393">
                  <c:v>64.300000000000537</c:v>
                </c:pt>
                <c:pt idx="394">
                  <c:v>64.400000000000531</c:v>
                </c:pt>
                <c:pt idx="395">
                  <c:v>64.500000000000526</c:v>
                </c:pt>
                <c:pt idx="396">
                  <c:v>64.60000000000052</c:v>
                </c:pt>
                <c:pt idx="397">
                  <c:v>64.700000000000514</c:v>
                </c:pt>
                <c:pt idx="398">
                  <c:v>64.800000000000509</c:v>
                </c:pt>
                <c:pt idx="399">
                  <c:v>64.900000000000503</c:v>
                </c:pt>
                <c:pt idx="400">
                  <c:v>65.000000000000497</c:v>
                </c:pt>
                <c:pt idx="401">
                  <c:v>65.100000000000492</c:v>
                </c:pt>
                <c:pt idx="402">
                  <c:v>65.200000000000486</c:v>
                </c:pt>
                <c:pt idx="403">
                  <c:v>65.30000000000048</c:v>
                </c:pt>
                <c:pt idx="404">
                  <c:v>65.400000000000475</c:v>
                </c:pt>
                <c:pt idx="405">
                  <c:v>65.500000000000469</c:v>
                </c:pt>
                <c:pt idx="406">
                  <c:v>65.600000000000463</c:v>
                </c:pt>
                <c:pt idx="407">
                  <c:v>65.700000000000458</c:v>
                </c:pt>
                <c:pt idx="408">
                  <c:v>65.800000000000452</c:v>
                </c:pt>
                <c:pt idx="409">
                  <c:v>65.900000000000446</c:v>
                </c:pt>
                <c:pt idx="410">
                  <c:v>66.000000000000441</c:v>
                </c:pt>
                <c:pt idx="411">
                  <c:v>66.100000000000435</c:v>
                </c:pt>
                <c:pt idx="412">
                  <c:v>66.200000000000429</c:v>
                </c:pt>
                <c:pt idx="413">
                  <c:v>66.300000000000423</c:v>
                </c:pt>
                <c:pt idx="414">
                  <c:v>66.400000000000418</c:v>
                </c:pt>
                <c:pt idx="415">
                  <c:v>66.500000000000412</c:v>
                </c:pt>
                <c:pt idx="416">
                  <c:v>66.600000000000406</c:v>
                </c:pt>
                <c:pt idx="417">
                  <c:v>66.700000000000401</c:v>
                </c:pt>
                <c:pt idx="418">
                  <c:v>66.800000000000395</c:v>
                </c:pt>
                <c:pt idx="419">
                  <c:v>66.900000000000389</c:v>
                </c:pt>
                <c:pt idx="420">
                  <c:v>67.000000000000384</c:v>
                </c:pt>
                <c:pt idx="421">
                  <c:v>67.100000000000378</c:v>
                </c:pt>
                <c:pt idx="422">
                  <c:v>67.200000000000372</c:v>
                </c:pt>
                <c:pt idx="423">
                  <c:v>67.300000000000367</c:v>
                </c:pt>
                <c:pt idx="424">
                  <c:v>67.400000000000361</c:v>
                </c:pt>
                <c:pt idx="425">
                  <c:v>67.500000000000355</c:v>
                </c:pt>
                <c:pt idx="426">
                  <c:v>67.60000000000035</c:v>
                </c:pt>
                <c:pt idx="427">
                  <c:v>67.700000000000344</c:v>
                </c:pt>
                <c:pt idx="428">
                  <c:v>67.800000000000338</c:v>
                </c:pt>
                <c:pt idx="429">
                  <c:v>67.900000000000333</c:v>
                </c:pt>
                <c:pt idx="430">
                  <c:v>68.000000000000327</c:v>
                </c:pt>
                <c:pt idx="431">
                  <c:v>68.100000000000321</c:v>
                </c:pt>
                <c:pt idx="432">
                  <c:v>68.200000000000315</c:v>
                </c:pt>
                <c:pt idx="433">
                  <c:v>68.30000000000031</c:v>
                </c:pt>
                <c:pt idx="434">
                  <c:v>68.400000000000304</c:v>
                </c:pt>
                <c:pt idx="435">
                  <c:v>68.500000000000298</c:v>
                </c:pt>
                <c:pt idx="436">
                  <c:v>68.600000000000293</c:v>
                </c:pt>
                <c:pt idx="437">
                  <c:v>68.700000000000287</c:v>
                </c:pt>
                <c:pt idx="438">
                  <c:v>68.800000000000281</c:v>
                </c:pt>
                <c:pt idx="439">
                  <c:v>68.900000000000276</c:v>
                </c:pt>
                <c:pt idx="440">
                  <c:v>69.00000000000027</c:v>
                </c:pt>
                <c:pt idx="441">
                  <c:v>69.100000000000264</c:v>
                </c:pt>
                <c:pt idx="442">
                  <c:v>69.200000000000259</c:v>
                </c:pt>
                <c:pt idx="443">
                  <c:v>69.300000000000253</c:v>
                </c:pt>
                <c:pt idx="444">
                  <c:v>69.400000000000247</c:v>
                </c:pt>
                <c:pt idx="445">
                  <c:v>69.500000000000242</c:v>
                </c:pt>
                <c:pt idx="446">
                  <c:v>69.600000000000236</c:v>
                </c:pt>
                <c:pt idx="447">
                  <c:v>69.70000000000023</c:v>
                </c:pt>
                <c:pt idx="448">
                  <c:v>69.800000000000225</c:v>
                </c:pt>
                <c:pt idx="449">
                  <c:v>69.900000000000219</c:v>
                </c:pt>
                <c:pt idx="450">
                  <c:v>69.900000000000219</c:v>
                </c:pt>
                <c:pt idx="451">
                  <c:v>69.900000000000219</c:v>
                </c:pt>
                <c:pt idx="452">
                  <c:v>69.900000000000219</c:v>
                </c:pt>
                <c:pt idx="453">
                  <c:v>69.900000000000219</c:v>
                </c:pt>
                <c:pt idx="454">
                  <c:v>69.900000000000219</c:v>
                </c:pt>
                <c:pt idx="455">
                  <c:v>69.900000000000219</c:v>
                </c:pt>
                <c:pt idx="456">
                  <c:v>69.900000000000219</c:v>
                </c:pt>
                <c:pt idx="457">
                  <c:v>69.900000000000219</c:v>
                </c:pt>
                <c:pt idx="458">
                  <c:v>69.900000000000219</c:v>
                </c:pt>
                <c:pt idx="459">
                  <c:v>69.900000000000219</c:v>
                </c:pt>
                <c:pt idx="460">
                  <c:v>69.900000000000219</c:v>
                </c:pt>
                <c:pt idx="461">
                  <c:v>69.900000000000219</c:v>
                </c:pt>
                <c:pt idx="462">
                  <c:v>69.900000000000219</c:v>
                </c:pt>
                <c:pt idx="463">
                  <c:v>69.900000000000219</c:v>
                </c:pt>
                <c:pt idx="464">
                  <c:v>69.900000000000219</c:v>
                </c:pt>
                <c:pt idx="465">
                  <c:v>69.900000000000219</c:v>
                </c:pt>
                <c:pt idx="466">
                  <c:v>69.900000000000219</c:v>
                </c:pt>
                <c:pt idx="467">
                  <c:v>69.900000000000219</c:v>
                </c:pt>
                <c:pt idx="468">
                  <c:v>69.900000000000219</c:v>
                </c:pt>
                <c:pt idx="469">
                  <c:v>69.900000000000219</c:v>
                </c:pt>
                <c:pt idx="470">
                  <c:v>69.900000000000219</c:v>
                </c:pt>
                <c:pt idx="471">
                  <c:v>69.900000000000219</c:v>
                </c:pt>
                <c:pt idx="472">
                  <c:v>69.900000000000219</c:v>
                </c:pt>
                <c:pt idx="473">
                  <c:v>69.900000000000219</c:v>
                </c:pt>
                <c:pt idx="474">
                  <c:v>69.900000000000219</c:v>
                </c:pt>
                <c:pt idx="475">
                  <c:v>69.900000000000219</c:v>
                </c:pt>
                <c:pt idx="476">
                  <c:v>69.900000000000219</c:v>
                </c:pt>
                <c:pt idx="477">
                  <c:v>69.900000000000219</c:v>
                </c:pt>
                <c:pt idx="478">
                  <c:v>69.900000000000219</c:v>
                </c:pt>
                <c:pt idx="479">
                  <c:v>69.900000000000219</c:v>
                </c:pt>
                <c:pt idx="480">
                  <c:v>69.900000000000219</c:v>
                </c:pt>
                <c:pt idx="481">
                  <c:v>69.900000000000219</c:v>
                </c:pt>
                <c:pt idx="482">
                  <c:v>69.900000000000219</c:v>
                </c:pt>
                <c:pt idx="483">
                  <c:v>69.900000000000219</c:v>
                </c:pt>
                <c:pt idx="484">
                  <c:v>69.900000000000219</c:v>
                </c:pt>
                <c:pt idx="485">
                  <c:v>69.900000000000219</c:v>
                </c:pt>
                <c:pt idx="486">
                  <c:v>69.900000000000219</c:v>
                </c:pt>
                <c:pt idx="487">
                  <c:v>69.900000000000219</c:v>
                </c:pt>
                <c:pt idx="488">
                  <c:v>69.900000000000219</c:v>
                </c:pt>
                <c:pt idx="489">
                  <c:v>69.900000000000219</c:v>
                </c:pt>
                <c:pt idx="490">
                  <c:v>69.900000000000219</c:v>
                </c:pt>
                <c:pt idx="491">
                  <c:v>69.900000000000219</c:v>
                </c:pt>
                <c:pt idx="492">
                  <c:v>69.900000000000219</c:v>
                </c:pt>
                <c:pt idx="493">
                  <c:v>69.900000000000219</c:v>
                </c:pt>
                <c:pt idx="494">
                  <c:v>69.900000000000219</c:v>
                </c:pt>
                <c:pt idx="495">
                  <c:v>69.900000000000219</c:v>
                </c:pt>
                <c:pt idx="496">
                  <c:v>69.900000000000219</c:v>
                </c:pt>
                <c:pt idx="497">
                  <c:v>69.900000000000219</c:v>
                </c:pt>
                <c:pt idx="498">
                  <c:v>69.900000000000219</c:v>
                </c:pt>
                <c:pt idx="499">
                  <c:v>69.900000000000219</c:v>
                </c:pt>
                <c:pt idx="500">
                  <c:v>69.900000000000219</c:v>
                </c:pt>
                <c:pt idx="501">
                  <c:v>69.900000000000219</c:v>
                </c:pt>
                <c:pt idx="502">
                  <c:v>69.900000000000219</c:v>
                </c:pt>
                <c:pt idx="503">
                  <c:v>69.900000000000219</c:v>
                </c:pt>
                <c:pt idx="504">
                  <c:v>69.900000000000219</c:v>
                </c:pt>
                <c:pt idx="505">
                  <c:v>69.900000000000219</c:v>
                </c:pt>
                <c:pt idx="506">
                  <c:v>69.900000000000219</c:v>
                </c:pt>
                <c:pt idx="507">
                  <c:v>69.900000000000219</c:v>
                </c:pt>
                <c:pt idx="508">
                  <c:v>69.900000000000219</c:v>
                </c:pt>
                <c:pt idx="509">
                  <c:v>69.900000000000219</c:v>
                </c:pt>
                <c:pt idx="510">
                  <c:v>69.900000000000219</c:v>
                </c:pt>
              </c:numCache>
            </c:numRef>
          </c:xVal>
          <c:yVal>
            <c:numRef>
              <c:f>Curves!$BE$2:$BE$512</c:f>
              <c:numCache>
                <c:formatCode>General</c:formatCode>
                <c:ptCount val="511"/>
                <c:pt idx="0">
                  <c:v>2646.061858610341</c:v>
                </c:pt>
                <c:pt idx="1">
                  <c:v>2642.7460693610201</c:v>
                </c:pt>
                <c:pt idx="2">
                  <c:v>2639.4302801116992</c:v>
                </c:pt>
                <c:pt idx="3">
                  <c:v>2636.1144908623783</c:v>
                </c:pt>
                <c:pt idx="4">
                  <c:v>2632.7987016130573</c:v>
                </c:pt>
                <c:pt idx="5">
                  <c:v>2629.4829123637364</c:v>
                </c:pt>
                <c:pt idx="6">
                  <c:v>2626.1671231144155</c:v>
                </c:pt>
                <c:pt idx="7">
                  <c:v>2622.8513338650951</c:v>
                </c:pt>
                <c:pt idx="8">
                  <c:v>2619.5355446157741</c:v>
                </c:pt>
                <c:pt idx="9">
                  <c:v>2616.2197553664532</c:v>
                </c:pt>
                <c:pt idx="10">
                  <c:v>2612.9039661171323</c:v>
                </c:pt>
                <c:pt idx="11">
                  <c:v>2609.5881768678119</c:v>
                </c:pt>
                <c:pt idx="12">
                  <c:v>2606.2723876184909</c:v>
                </c:pt>
                <c:pt idx="13">
                  <c:v>2602.95659836917</c:v>
                </c:pt>
                <c:pt idx="14">
                  <c:v>2599.6408091198491</c:v>
                </c:pt>
                <c:pt idx="15">
                  <c:v>2596.3250198705282</c:v>
                </c:pt>
                <c:pt idx="16">
                  <c:v>2593.0092306212073</c:v>
                </c:pt>
                <c:pt idx="17">
                  <c:v>2589.6934413718868</c:v>
                </c:pt>
                <c:pt idx="18">
                  <c:v>2586.3776521225659</c:v>
                </c:pt>
                <c:pt idx="19">
                  <c:v>2583.061862873245</c:v>
                </c:pt>
                <c:pt idx="20">
                  <c:v>2579.7460736239241</c:v>
                </c:pt>
                <c:pt idx="21">
                  <c:v>2576.4302843746036</c:v>
                </c:pt>
                <c:pt idx="22">
                  <c:v>2573.1144951252827</c:v>
                </c:pt>
                <c:pt idx="23">
                  <c:v>2569.7987058759618</c:v>
                </c:pt>
                <c:pt idx="24">
                  <c:v>2566.4829166266409</c:v>
                </c:pt>
                <c:pt idx="25">
                  <c:v>2563.16712737732</c:v>
                </c:pt>
                <c:pt idx="26">
                  <c:v>2559.851338127999</c:v>
                </c:pt>
                <c:pt idx="27">
                  <c:v>2556.5355488786786</c:v>
                </c:pt>
                <c:pt idx="28">
                  <c:v>2553.2197596293577</c:v>
                </c:pt>
                <c:pt idx="29">
                  <c:v>2549.9039703800368</c:v>
                </c:pt>
                <c:pt idx="30">
                  <c:v>2546.5881811307158</c:v>
                </c:pt>
                <c:pt idx="31">
                  <c:v>2543.2723918813954</c:v>
                </c:pt>
                <c:pt idx="32">
                  <c:v>2539.9566026320745</c:v>
                </c:pt>
                <c:pt idx="33">
                  <c:v>2536.6408133827535</c:v>
                </c:pt>
                <c:pt idx="34">
                  <c:v>2533.3250241334326</c:v>
                </c:pt>
                <c:pt idx="35">
                  <c:v>2530.0092348841117</c:v>
                </c:pt>
                <c:pt idx="36">
                  <c:v>2526.6934456347908</c:v>
                </c:pt>
                <c:pt idx="37">
                  <c:v>2523.3776563854703</c:v>
                </c:pt>
                <c:pt idx="38">
                  <c:v>2520.0618671361494</c:v>
                </c:pt>
                <c:pt idx="39">
                  <c:v>2516.7460778868285</c:v>
                </c:pt>
                <c:pt idx="40">
                  <c:v>2513.4302886375076</c:v>
                </c:pt>
                <c:pt idx="41">
                  <c:v>2510.1144993881871</c:v>
                </c:pt>
                <c:pt idx="42">
                  <c:v>2506.7987101388662</c:v>
                </c:pt>
                <c:pt idx="43">
                  <c:v>2503.4829208895453</c:v>
                </c:pt>
                <c:pt idx="44">
                  <c:v>2500.1671316402244</c:v>
                </c:pt>
                <c:pt idx="45">
                  <c:v>2496.8513423909035</c:v>
                </c:pt>
                <c:pt idx="46">
                  <c:v>2493.5355531415826</c:v>
                </c:pt>
                <c:pt idx="47">
                  <c:v>2490.2197638922621</c:v>
                </c:pt>
                <c:pt idx="48">
                  <c:v>2486.9039746429412</c:v>
                </c:pt>
                <c:pt idx="49">
                  <c:v>2483.5881853936203</c:v>
                </c:pt>
                <c:pt idx="50">
                  <c:v>2480.2723961442994</c:v>
                </c:pt>
                <c:pt idx="51">
                  <c:v>2476.9566068949789</c:v>
                </c:pt>
                <c:pt idx="52">
                  <c:v>2473.640817645658</c:v>
                </c:pt>
                <c:pt idx="53">
                  <c:v>2470.3250283963371</c:v>
                </c:pt>
                <c:pt idx="54">
                  <c:v>2467.0092391470162</c:v>
                </c:pt>
                <c:pt idx="55">
                  <c:v>2463.6934498976952</c:v>
                </c:pt>
                <c:pt idx="56">
                  <c:v>2460.3776606483743</c:v>
                </c:pt>
                <c:pt idx="57">
                  <c:v>2457.0618713990539</c:v>
                </c:pt>
                <c:pt idx="58">
                  <c:v>2453.746082149733</c:v>
                </c:pt>
                <c:pt idx="59">
                  <c:v>2450.430292900412</c:v>
                </c:pt>
                <c:pt idx="60">
                  <c:v>2447.1145036510916</c:v>
                </c:pt>
                <c:pt idx="61">
                  <c:v>2443.7987144017707</c:v>
                </c:pt>
                <c:pt idx="62">
                  <c:v>2440.4829251524498</c:v>
                </c:pt>
                <c:pt idx="63">
                  <c:v>2437.1671359031288</c:v>
                </c:pt>
                <c:pt idx="64">
                  <c:v>2433.8513466538079</c:v>
                </c:pt>
                <c:pt idx="65">
                  <c:v>2430.535557404487</c:v>
                </c:pt>
                <c:pt idx="66">
                  <c:v>2427.2197681551661</c:v>
                </c:pt>
                <c:pt idx="67">
                  <c:v>2423.9039789058452</c:v>
                </c:pt>
                <c:pt idx="68">
                  <c:v>2420.5881896565247</c:v>
                </c:pt>
                <c:pt idx="69">
                  <c:v>2417.2724004072038</c:v>
                </c:pt>
                <c:pt idx="70">
                  <c:v>2413.9566111578829</c:v>
                </c:pt>
                <c:pt idx="71">
                  <c:v>2410.6408219085624</c:v>
                </c:pt>
                <c:pt idx="72">
                  <c:v>2407.3250326592415</c:v>
                </c:pt>
                <c:pt idx="73">
                  <c:v>2404.0092434099206</c:v>
                </c:pt>
                <c:pt idx="74">
                  <c:v>2400.6934541605997</c:v>
                </c:pt>
                <c:pt idx="75">
                  <c:v>2397.3776649112788</c:v>
                </c:pt>
                <c:pt idx="76">
                  <c:v>2394.0618756619579</c:v>
                </c:pt>
                <c:pt idx="77">
                  <c:v>2390.7460864126369</c:v>
                </c:pt>
                <c:pt idx="78">
                  <c:v>2387.4302971633165</c:v>
                </c:pt>
                <c:pt idx="79">
                  <c:v>2384.1145079139956</c:v>
                </c:pt>
                <c:pt idx="80">
                  <c:v>2380.7987186646747</c:v>
                </c:pt>
                <c:pt idx="81">
                  <c:v>2377.4829294153542</c:v>
                </c:pt>
                <c:pt idx="82">
                  <c:v>2374.1671401660333</c:v>
                </c:pt>
                <c:pt idx="83">
                  <c:v>2370.8513509167124</c:v>
                </c:pt>
                <c:pt idx="84">
                  <c:v>2367.5355616673914</c:v>
                </c:pt>
                <c:pt idx="85">
                  <c:v>2364.2197724180705</c:v>
                </c:pt>
                <c:pt idx="86">
                  <c:v>2360.9039831687496</c:v>
                </c:pt>
                <c:pt idx="87">
                  <c:v>2357.5881939194287</c:v>
                </c:pt>
                <c:pt idx="88">
                  <c:v>2354.2724046701082</c:v>
                </c:pt>
                <c:pt idx="89">
                  <c:v>2350.9566154207873</c:v>
                </c:pt>
                <c:pt idx="90">
                  <c:v>2347.6408261714664</c:v>
                </c:pt>
                <c:pt idx="91">
                  <c:v>2344.325036922146</c:v>
                </c:pt>
                <c:pt idx="92">
                  <c:v>2341.009247672825</c:v>
                </c:pt>
                <c:pt idx="93">
                  <c:v>2337.6934584235041</c:v>
                </c:pt>
                <c:pt idx="94">
                  <c:v>2334.3776691741832</c:v>
                </c:pt>
                <c:pt idx="95">
                  <c:v>2331.0618799248623</c:v>
                </c:pt>
                <c:pt idx="96">
                  <c:v>2327.7460906755414</c:v>
                </c:pt>
                <c:pt idx="97">
                  <c:v>2324.4303014262205</c:v>
                </c:pt>
                <c:pt idx="98">
                  <c:v>2321.1145121769</c:v>
                </c:pt>
                <c:pt idx="99">
                  <c:v>2317.7987229275791</c:v>
                </c:pt>
                <c:pt idx="100">
                  <c:v>2314.4829336782582</c:v>
                </c:pt>
                <c:pt idx="101">
                  <c:v>2311.1671444289377</c:v>
                </c:pt>
                <c:pt idx="102">
                  <c:v>2307.8513551796168</c:v>
                </c:pt>
                <c:pt idx="103">
                  <c:v>2304.5355659302959</c:v>
                </c:pt>
                <c:pt idx="104">
                  <c:v>2301.219776680975</c:v>
                </c:pt>
                <c:pt idx="105">
                  <c:v>2297.9039874316541</c:v>
                </c:pt>
                <c:pt idx="106">
                  <c:v>2294.5881981823331</c:v>
                </c:pt>
                <c:pt idx="107">
                  <c:v>2291.2724089330122</c:v>
                </c:pt>
                <c:pt idx="108">
                  <c:v>2287.9566196836918</c:v>
                </c:pt>
                <c:pt idx="109">
                  <c:v>2284.6408304343709</c:v>
                </c:pt>
                <c:pt idx="110">
                  <c:v>2281.3250411850499</c:v>
                </c:pt>
                <c:pt idx="111">
                  <c:v>2278.0092519357295</c:v>
                </c:pt>
                <c:pt idx="112">
                  <c:v>2274.6934626864086</c:v>
                </c:pt>
                <c:pt idx="113">
                  <c:v>2271.3776734370877</c:v>
                </c:pt>
                <c:pt idx="114">
                  <c:v>2268.0618841877667</c:v>
                </c:pt>
                <c:pt idx="115">
                  <c:v>2264.7460949384458</c:v>
                </c:pt>
                <c:pt idx="116">
                  <c:v>2261.4303056891249</c:v>
                </c:pt>
                <c:pt idx="117">
                  <c:v>2258.114516439804</c:v>
                </c:pt>
                <c:pt idx="118">
                  <c:v>2254.7987271904831</c:v>
                </c:pt>
                <c:pt idx="119">
                  <c:v>2251.4829379411626</c:v>
                </c:pt>
                <c:pt idx="120">
                  <c:v>2248.1671486918417</c:v>
                </c:pt>
                <c:pt idx="121">
                  <c:v>2244.8513594425212</c:v>
                </c:pt>
                <c:pt idx="122">
                  <c:v>2241.5355701932003</c:v>
                </c:pt>
                <c:pt idx="123">
                  <c:v>2238.2197809438794</c:v>
                </c:pt>
                <c:pt idx="124">
                  <c:v>2234.9039916945585</c:v>
                </c:pt>
                <c:pt idx="125">
                  <c:v>2231.5882024452376</c:v>
                </c:pt>
                <c:pt idx="126">
                  <c:v>2228.2724131959167</c:v>
                </c:pt>
                <c:pt idx="127">
                  <c:v>2224.9566239465958</c:v>
                </c:pt>
                <c:pt idx="128">
                  <c:v>2221.6408346972748</c:v>
                </c:pt>
                <c:pt idx="129">
                  <c:v>2218.3250454479544</c:v>
                </c:pt>
                <c:pt idx="130">
                  <c:v>2215.0092561986335</c:v>
                </c:pt>
                <c:pt idx="131">
                  <c:v>2211.693466949313</c:v>
                </c:pt>
                <c:pt idx="132">
                  <c:v>2208.3776776999921</c:v>
                </c:pt>
                <c:pt idx="133">
                  <c:v>2205.0618884506712</c:v>
                </c:pt>
                <c:pt idx="134">
                  <c:v>2201.7460992013503</c:v>
                </c:pt>
                <c:pt idx="135">
                  <c:v>2198.4303099520293</c:v>
                </c:pt>
                <c:pt idx="136">
                  <c:v>2195.1145207027084</c:v>
                </c:pt>
                <c:pt idx="137">
                  <c:v>2191.7987314533875</c:v>
                </c:pt>
                <c:pt idx="138">
                  <c:v>2188.4829422040666</c:v>
                </c:pt>
                <c:pt idx="139">
                  <c:v>2185.1671529547461</c:v>
                </c:pt>
                <c:pt idx="140">
                  <c:v>2181.8513637054252</c:v>
                </c:pt>
                <c:pt idx="141">
                  <c:v>2178.5355744561048</c:v>
                </c:pt>
                <c:pt idx="142">
                  <c:v>2175.2197852067839</c:v>
                </c:pt>
                <c:pt idx="143">
                  <c:v>2171.9039959574629</c:v>
                </c:pt>
                <c:pt idx="144">
                  <c:v>2168.588206708142</c:v>
                </c:pt>
                <c:pt idx="145">
                  <c:v>2165.2724174588211</c:v>
                </c:pt>
                <c:pt idx="146">
                  <c:v>2161.9566282095002</c:v>
                </c:pt>
                <c:pt idx="147">
                  <c:v>2158.6408389601793</c:v>
                </c:pt>
                <c:pt idx="148">
                  <c:v>2155.3250497108584</c:v>
                </c:pt>
                <c:pt idx="149">
                  <c:v>2152.0092604615379</c:v>
                </c:pt>
                <c:pt idx="150">
                  <c:v>2148.693471212217</c:v>
                </c:pt>
                <c:pt idx="151">
                  <c:v>2145.3776819628965</c:v>
                </c:pt>
                <c:pt idx="152">
                  <c:v>2142.0618927135756</c:v>
                </c:pt>
                <c:pt idx="153">
                  <c:v>2138.7461034642547</c:v>
                </c:pt>
                <c:pt idx="154">
                  <c:v>2135.4303142149338</c:v>
                </c:pt>
                <c:pt idx="155">
                  <c:v>2132.1145249656129</c:v>
                </c:pt>
                <c:pt idx="156">
                  <c:v>2128.798735716292</c:v>
                </c:pt>
                <c:pt idx="157">
                  <c:v>2125.482946466971</c:v>
                </c:pt>
                <c:pt idx="158">
                  <c:v>2122.1671572176501</c:v>
                </c:pt>
                <c:pt idx="159">
                  <c:v>2118.8513679683297</c:v>
                </c:pt>
                <c:pt idx="160">
                  <c:v>2115.5355787190088</c:v>
                </c:pt>
                <c:pt idx="161">
                  <c:v>2112.2197894696883</c:v>
                </c:pt>
                <c:pt idx="162">
                  <c:v>2108.9040002203674</c:v>
                </c:pt>
                <c:pt idx="163">
                  <c:v>2105.5882109710465</c:v>
                </c:pt>
                <c:pt idx="164">
                  <c:v>2102.2724217217256</c:v>
                </c:pt>
                <c:pt idx="165">
                  <c:v>2098.9566324724046</c:v>
                </c:pt>
                <c:pt idx="166">
                  <c:v>2095.6408432230837</c:v>
                </c:pt>
                <c:pt idx="167">
                  <c:v>2092.3250539737628</c:v>
                </c:pt>
                <c:pt idx="168">
                  <c:v>2089.0092647244419</c:v>
                </c:pt>
                <c:pt idx="169">
                  <c:v>2085.6934754751214</c:v>
                </c:pt>
                <c:pt idx="170">
                  <c:v>2082.3776862258005</c:v>
                </c:pt>
                <c:pt idx="171">
                  <c:v>2079.0618969764796</c:v>
                </c:pt>
                <c:pt idx="172">
                  <c:v>2075.7461077271591</c:v>
                </c:pt>
                <c:pt idx="173">
                  <c:v>2072.4303184778382</c:v>
                </c:pt>
                <c:pt idx="174">
                  <c:v>2069.1145292285173</c:v>
                </c:pt>
                <c:pt idx="175">
                  <c:v>2065.7987399791964</c:v>
                </c:pt>
                <c:pt idx="176">
                  <c:v>2062.4829507298755</c:v>
                </c:pt>
                <c:pt idx="177">
                  <c:v>2059.1671614805546</c:v>
                </c:pt>
                <c:pt idx="178">
                  <c:v>2055.8513722312337</c:v>
                </c:pt>
                <c:pt idx="179">
                  <c:v>2052.5355829819132</c:v>
                </c:pt>
                <c:pt idx="180">
                  <c:v>2049.2197937325923</c:v>
                </c:pt>
                <c:pt idx="181">
                  <c:v>2045.9040044832714</c:v>
                </c:pt>
                <c:pt idx="182">
                  <c:v>2042.5882152339507</c:v>
                </c:pt>
                <c:pt idx="183">
                  <c:v>2039.2724259846298</c:v>
                </c:pt>
                <c:pt idx="184">
                  <c:v>2035.9566367353091</c:v>
                </c:pt>
                <c:pt idx="185">
                  <c:v>2032.6408474859882</c:v>
                </c:pt>
                <c:pt idx="186">
                  <c:v>2029.3250582366672</c:v>
                </c:pt>
                <c:pt idx="187">
                  <c:v>2026.0092689873466</c:v>
                </c:pt>
                <c:pt idx="188">
                  <c:v>2022.6934797380256</c:v>
                </c:pt>
                <c:pt idx="189">
                  <c:v>2019.377690488705</c:v>
                </c:pt>
                <c:pt idx="190">
                  <c:v>2016.061901239384</c:v>
                </c:pt>
                <c:pt idx="191">
                  <c:v>2012.7461119900631</c:v>
                </c:pt>
                <c:pt idx="192">
                  <c:v>2009.4303227407424</c:v>
                </c:pt>
                <c:pt idx="193">
                  <c:v>2006.1145334914215</c:v>
                </c:pt>
                <c:pt idx="194">
                  <c:v>2002.7987442421008</c:v>
                </c:pt>
                <c:pt idx="195">
                  <c:v>1999.4829549927799</c:v>
                </c:pt>
                <c:pt idx="196">
                  <c:v>1996.167165743459</c:v>
                </c:pt>
                <c:pt idx="197">
                  <c:v>1992.8513764941383</c:v>
                </c:pt>
                <c:pt idx="198">
                  <c:v>1989.5355872448174</c:v>
                </c:pt>
                <c:pt idx="199">
                  <c:v>1986.2197979954967</c:v>
                </c:pt>
                <c:pt idx="200">
                  <c:v>1982.9040087461758</c:v>
                </c:pt>
                <c:pt idx="201">
                  <c:v>1979.5882194968549</c:v>
                </c:pt>
                <c:pt idx="202">
                  <c:v>1976.2724302475342</c:v>
                </c:pt>
                <c:pt idx="203">
                  <c:v>1972.9566409982133</c:v>
                </c:pt>
                <c:pt idx="204">
                  <c:v>1969.6408517488926</c:v>
                </c:pt>
                <c:pt idx="205">
                  <c:v>1966.3250624995717</c:v>
                </c:pt>
                <c:pt idx="206">
                  <c:v>1963.0092732502508</c:v>
                </c:pt>
                <c:pt idx="207">
                  <c:v>1959.6934840009301</c:v>
                </c:pt>
                <c:pt idx="208">
                  <c:v>1956.3776947516092</c:v>
                </c:pt>
                <c:pt idx="209">
                  <c:v>1953.0619055022885</c:v>
                </c:pt>
                <c:pt idx="210">
                  <c:v>1949.7461162529676</c:v>
                </c:pt>
                <c:pt idx="211">
                  <c:v>1946.4303270036467</c:v>
                </c:pt>
                <c:pt idx="212">
                  <c:v>1943.114537754326</c:v>
                </c:pt>
                <c:pt idx="213">
                  <c:v>1939.7987485050051</c:v>
                </c:pt>
                <c:pt idx="214">
                  <c:v>1936.4829592556844</c:v>
                </c:pt>
                <c:pt idx="215">
                  <c:v>1933.1671700063634</c:v>
                </c:pt>
                <c:pt idx="216">
                  <c:v>1929.8513807570425</c:v>
                </c:pt>
                <c:pt idx="217">
                  <c:v>1926.5355915077218</c:v>
                </c:pt>
                <c:pt idx="218">
                  <c:v>1923.2198022584009</c:v>
                </c:pt>
                <c:pt idx="219">
                  <c:v>1919.90401300908</c:v>
                </c:pt>
                <c:pt idx="220">
                  <c:v>1916.5882237597593</c:v>
                </c:pt>
                <c:pt idx="221">
                  <c:v>1913.2724345104384</c:v>
                </c:pt>
                <c:pt idx="222">
                  <c:v>1909.9566452611177</c:v>
                </c:pt>
                <c:pt idx="223">
                  <c:v>1906.6408560117968</c:v>
                </c:pt>
                <c:pt idx="224">
                  <c:v>1903.3250667624759</c:v>
                </c:pt>
                <c:pt idx="225">
                  <c:v>1900.0092775131552</c:v>
                </c:pt>
                <c:pt idx="226">
                  <c:v>1896.6934882638343</c:v>
                </c:pt>
                <c:pt idx="227">
                  <c:v>1893.3776990145136</c:v>
                </c:pt>
                <c:pt idx="228">
                  <c:v>1890.0619097651927</c:v>
                </c:pt>
                <c:pt idx="229">
                  <c:v>1886.7461205158718</c:v>
                </c:pt>
                <c:pt idx="230">
                  <c:v>1883.4303312665511</c:v>
                </c:pt>
                <c:pt idx="231">
                  <c:v>1880.1145420172302</c:v>
                </c:pt>
                <c:pt idx="232">
                  <c:v>1876.7987527679095</c:v>
                </c:pt>
                <c:pt idx="233">
                  <c:v>1873.4829635185886</c:v>
                </c:pt>
                <c:pt idx="234">
                  <c:v>1870.1671742692677</c:v>
                </c:pt>
                <c:pt idx="235">
                  <c:v>1866.851385019947</c:v>
                </c:pt>
                <c:pt idx="236">
                  <c:v>1863.5355957706261</c:v>
                </c:pt>
                <c:pt idx="237">
                  <c:v>1860.2198065213054</c:v>
                </c:pt>
                <c:pt idx="238">
                  <c:v>1856.9040172719845</c:v>
                </c:pt>
                <c:pt idx="239">
                  <c:v>1853.5882280226635</c:v>
                </c:pt>
                <c:pt idx="240">
                  <c:v>1850.2724387733429</c:v>
                </c:pt>
                <c:pt idx="241">
                  <c:v>1846.9566495240219</c:v>
                </c:pt>
                <c:pt idx="242">
                  <c:v>1843.6408602747013</c:v>
                </c:pt>
                <c:pt idx="243">
                  <c:v>1840.3250710253803</c:v>
                </c:pt>
                <c:pt idx="244">
                  <c:v>1837.0092817760594</c:v>
                </c:pt>
                <c:pt idx="245">
                  <c:v>1833.6934925267387</c:v>
                </c:pt>
                <c:pt idx="246">
                  <c:v>1830.3777032774178</c:v>
                </c:pt>
                <c:pt idx="247">
                  <c:v>1827.0619140280971</c:v>
                </c:pt>
                <c:pt idx="248">
                  <c:v>1823.7461247787762</c:v>
                </c:pt>
                <c:pt idx="249">
                  <c:v>1820.4303355294553</c:v>
                </c:pt>
                <c:pt idx="250">
                  <c:v>1817.1145462801346</c:v>
                </c:pt>
                <c:pt idx="251">
                  <c:v>1813.7987570308137</c:v>
                </c:pt>
                <c:pt idx="252">
                  <c:v>1810.482967781493</c:v>
                </c:pt>
                <c:pt idx="253">
                  <c:v>1807.1671785321721</c:v>
                </c:pt>
                <c:pt idx="254">
                  <c:v>1803.8513892828512</c:v>
                </c:pt>
                <c:pt idx="255">
                  <c:v>1800.5356000335305</c:v>
                </c:pt>
                <c:pt idx="256">
                  <c:v>1797.2198107842096</c:v>
                </c:pt>
                <c:pt idx="257">
                  <c:v>1793.9040215348889</c:v>
                </c:pt>
                <c:pt idx="258">
                  <c:v>1790.588232285568</c:v>
                </c:pt>
                <c:pt idx="259">
                  <c:v>1787.2724430362471</c:v>
                </c:pt>
                <c:pt idx="260">
                  <c:v>1783.9566537869264</c:v>
                </c:pt>
                <c:pt idx="261">
                  <c:v>1780.6408645376055</c:v>
                </c:pt>
                <c:pt idx="262">
                  <c:v>1777.3250752882848</c:v>
                </c:pt>
                <c:pt idx="263">
                  <c:v>1774.0092860389639</c:v>
                </c:pt>
                <c:pt idx="264">
                  <c:v>1770.6934967896429</c:v>
                </c:pt>
                <c:pt idx="265">
                  <c:v>1767.3777075403223</c:v>
                </c:pt>
                <c:pt idx="266">
                  <c:v>1764.0619182910013</c:v>
                </c:pt>
                <c:pt idx="267">
                  <c:v>1760.7461290416804</c:v>
                </c:pt>
                <c:pt idx="268">
                  <c:v>1757.4303397923597</c:v>
                </c:pt>
                <c:pt idx="269">
                  <c:v>1754.1145505430388</c:v>
                </c:pt>
                <c:pt idx="270">
                  <c:v>1750.7987612937181</c:v>
                </c:pt>
                <c:pt idx="271">
                  <c:v>1747.4829720443972</c:v>
                </c:pt>
                <c:pt idx="272">
                  <c:v>1744.1671827950763</c:v>
                </c:pt>
                <c:pt idx="273">
                  <c:v>1740.8513935457556</c:v>
                </c:pt>
                <c:pt idx="274">
                  <c:v>1737.5356042964347</c:v>
                </c:pt>
                <c:pt idx="275">
                  <c:v>1734.219815047114</c:v>
                </c:pt>
                <c:pt idx="276">
                  <c:v>1730.9040257977931</c:v>
                </c:pt>
                <c:pt idx="277">
                  <c:v>1727.5882365484722</c:v>
                </c:pt>
                <c:pt idx="278">
                  <c:v>1724.2724472991515</c:v>
                </c:pt>
                <c:pt idx="279">
                  <c:v>1720.9566580498306</c:v>
                </c:pt>
                <c:pt idx="280">
                  <c:v>1717.6408688005099</c:v>
                </c:pt>
                <c:pt idx="281">
                  <c:v>1714.325079551189</c:v>
                </c:pt>
                <c:pt idx="282">
                  <c:v>1711.0092903018681</c:v>
                </c:pt>
                <c:pt idx="283">
                  <c:v>1707.6935010525474</c:v>
                </c:pt>
                <c:pt idx="284">
                  <c:v>1704.3777118032265</c:v>
                </c:pt>
                <c:pt idx="285">
                  <c:v>1701.0619225539058</c:v>
                </c:pt>
                <c:pt idx="286">
                  <c:v>1697.7461333045849</c:v>
                </c:pt>
                <c:pt idx="287">
                  <c:v>1694.430344055264</c:v>
                </c:pt>
                <c:pt idx="288">
                  <c:v>1691.1145548059433</c:v>
                </c:pt>
                <c:pt idx="289">
                  <c:v>1687.7987655566224</c:v>
                </c:pt>
                <c:pt idx="290">
                  <c:v>1684.4829763073017</c:v>
                </c:pt>
                <c:pt idx="291">
                  <c:v>1681.1671870579808</c:v>
                </c:pt>
                <c:pt idx="292">
                  <c:v>1677.8513978086598</c:v>
                </c:pt>
                <c:pt idx="293">
                  <c:v>1674.5356085593392</c:v>
                </c:pt>
                <c:pt idx="294">
                  <c:v>1671.2198193100182</c:v>
                </c:pt>
                <c:pt idx="295">
                  <c:v>1667.9040300606976</c:v>
                </c:pt>
                <c:pt idx="296">
                  <c:v>1664.5882408113766</c:v>
                </c:pt>
                <c:pt idx="297">
                  <c:v>1661.2724515620557</c:v>
                </c:pt>
                <c:pt idx="298">
                  <c:v>1657.956662312735</c:v>
                </c:pt>
                <c:pt idx="299">
                  <c:v>1654.6408730634141</c:v>
                </c:pt>
                <c:pt idx="300">
                  <c:v>1651.3250838140934</c:v>
                </c:pt>
                <c:pt idx="301">
                  <c:v>1648.0092945647725</c:v>
                </c:pt>
                <c:pt idx="302">
                  <c:v>1644.6935053154516</c:v>
                </c:pt>
                <c:pt idx="303">
                  <c:v>1641.3777160661309</c:v>
                </c:pt>
                <c:pt idx="304">
                  <c:v>1638.06192681681</c:v>
                </c:pt>
                <c:pt idx="305">
                  <c:v>1634.7461375674893</c:v>
                </c:pt>
                <c:pt idx="306">
                  <c:v>1631.4303483181684</c:v>
                </c:pt>
                <c:pt idx="307">
                  <c:v>1628.1145590688475</c:v>
                </c:pt>
                <c:pt idx="308">
                  <c:v>1624.7987698195268</c:v>
                </c:pt>
                <c:pt idx="309">
                  <c:v>1621.4829805702059</c:v>
                </c:pt>
                <c:pt idx="310">
                  <c:v>1618.1671913208852</c:v>
                </c:pt>
                <c:pt idx="311">
                  <c:v>1614.8514020715643</c:v>
                </c:pt>
                <c:pt idx="312">
                  <c:v>1611.5356128222434</c:v>
                </c:pt>
                <c:pt idx="313">
                  <c:v>1608.2198235729227</c:v>
                </c:pt>
                <c:pt idx="314">
                  <c:v>1604.9040343236018</c:v>
                </c:pt>
                <c:pt idx="315">
                  <c:v>1601.5882450742808</c:v>
                </c:pt>
                <c:pt idx="316">
                  <c:v>1598.2724558249602</c:v>
                </c:pt>
                <c:pt idx="317">
                  <c:v>1594.9566665756392</c:v>
                </c:pt>
                <c:pt idx="318">
                  <c:v>1591.6408773263186</c:v>
                </c:pt>
                <c:pt idx="319">
                  <c:v>1588.3250880769976</c:v>
                </c:pt>
                <c:pt idx="320">
                  <c:v>1585.0092988276767</c:v>
                </c:pt>
                <c:pt idx="321">
                  <c:v>1581.693509578356</c:v>
                </c:pt>
                <c:pt idx="322">
                  <c:v>1578.3777203290351</c:v>
                </c:pt>
                <c:pt idx="323">
                  <c:v>1575.0619310797144</c:v>
                </c:pt>
                <c:pt idx="324">
                  <c:v>1571.7461418303935</c:v>
                </c:pt>
                <c:pt idx="325">
                  <c:v>1568.4303525810726</c:v>
                </c:pt>
                <c:pt idx="326">
                  <c:v>1565.1145633317519</c:v>
                </c:pt>
                <c:pt idx="327">
                  <c:v>1561.798774082431</c:v>
                </c:pt>
                <c:pt idx="328">
                  <c:v>1558.4829848331103</c:v>
                </c:pt>
                <c:pt idx="329">
                  <c:v>1555.1671955837894</c:v>
                </c:pt>
                <c:pt idx="330">
                  <c:v>1551.8514063344685</c:v>
                </c:pt>
                <c:pt idx="331">
                  <c:v>1548.5356170851478</c:v>
                </c:pt>
                <c:pt idx="332">
                  <c:v>1545.2198278358269</c:v>
                </c:pt>
                <c:pt idx="333">
                  <c:v>1541.9040385865062</c:v>
                </c:pt>
                <c:pt idx="334">
                  <c:v>1538.5882493371853</c:v>
                </c:pt>
                <c:pt idx="335">
                  <c:v>1535.2724600878644</c:v>
                </c:pt>
                <c:pt idx="336">
                  <c:v>1531.9566708385437</c:v>
                </c:pt>
                <c:pt idx="337">
                  <c:v>1528.6408815892228</c:v>
                </c:pt>
                <c:pt idx="338">
                  <c:v>1525.3250923399021</c:v>
                </c:pt>
                <c:pt idx="339">
                  <c:v>1522.0093030905812</c:v>
                </c:pt>
                <c:pt idx="340">
                  <c:v>1518.6935138412603</c:v>
                </c:pt>
                <c:pt idx="341">
                  <c:v>1515.3777245919396</c:v>
                </c:pt>
                <c:pt idx="342">
                  <c:v>1512.0619353426187</c:v>
                </c:pt>
                <c:pt idx="343">
                  <c:v>1508.746146093298</c:v>
                </c:pt>
                <c:pt idx="344">
                  <c:v>1505.4303568439771</c:v>
                </c:pt>
                <c:pt idx="345">
                  <c:v>1502.1145675946561</c:v>
                </c:pt>
                <c:pt idx="346">
                  <c:v>1498.7987783453354</c:v>
                </c:pt>
                <c:pt idx="347">
                  <c:v>1495.4829890960145</c:v>
                </c:pt>
                <c:pt idx="348">
                  <c:v>1492.1671998466938</c:v>
                </c:pt>
                <c:pt idx="349">
                  <c:v>1488.8514105973729</c:v>
                </c:pt>
                <c:pt idx="350">
                  <c:v>1485.535621348052</c:v>
                </c:pt>
                <c:pt idx="351">
                  <c:v>1482.2198320987313</c:v>
                </c:pt>
                <c:pt idx="352">
                  <c:v>1478.9040428494104</c:v>
                </c:pt>
                <c:pt idx="353">
                  <c:v>1475.5882536000897</c:v>
                </c:pt>
                <c:pt idx="354">
                  <c:v>1472.2724643507688</c:v>
                </c:pt>
                <c:pt idx="355">
                  <c:v>1468.9566751014479</c:v>
                </c:pt>
                <c:pt idx="356">
                  <c:v>1465.6408858521272</c:v>
                </c:pt>
                <c:pt idx="357">
                  <c:v>1462.3250966028063</c:v>
                </c:pt>
                <c:pt idx="358">
                  <c:v>1459.0093073534856</c:v>
                </c:pt>
                <c:pt idx="359">
                  <c:v>1455.6935181041647</c:v>
                </c:pt>
                <c:pt idx="360">
                  <c:v>1452.3777288548438</c:v>
                </c:pt>
                <c:pt idx="361">
                  <c:v>1449.0619396055231</c:v>
                </c:pt>
                <c:pt idx="362">
                  <c:v>1445.7461503562022</c:v>
                </c:pt>
                <c:pt idx="363">
                  <c:v>1442.4303611068813</c:v>
                </c:pt>
                <c:pt idx="364">
                  <c:v>1439.1145718575606</c:v>
                </c:pt>
                <c:pt idx="365">
                  <c:v>1435.7987826082397</c:v>
                </c:pt>
                <c:pt idx="366">
                  <c:v>1432.482993358919</c:v>
                </c:pt>
                <c:pt idx="367">
                  <c:v>1429.1672041095981</c:v>
                </c:pt>
                <c:pt idx="368">
                  <c:v>1425.8514148602771</c:v>
                </c:pt>
                <c:pt idx="369">
                  <c:v>1422.5356256109562</c:v>
                </c:pt>
                <c:pt idx="370">
                  <c:v>1419.2198363616358</c:v>
                </c:pt>
                <c:pt idx="371">
                  <c:v>1415.9040471123149</c:v>
                </c:pt>
                <c:pt idx="372">
                  <c:v>1412.5882578629939</c:v>
                </c:pt>
                <c:pt idx="373">
                  <c:v>1409.272468613673</c:v>
                </c:pt>
                <c:pt idx="374">
                  <c:v>1405.9566793643521</c:v>
                </c:pt>
                <c:pt idx="375">
                  <c:v>1402.6408901150317</c:v>
                </c:pt>
                <c:pt idx="376">
                  <c:v>1399.3251008657107</c:v>
                </c:pt>
                <c:pt idx="377">
                  <c:v>1396.0093116163898</c:v>
                </c:pt>
                <c:pt idx="378">
                  <c:v>1392.6935223670689</c:v>
                </c:pt>
                <c:pt idx="379">
                  <c:v>1389.377733117748</c:v>
                </c:pt>
                <c:pt idx="380">
                  <c:v>1386.0619438684275</c:v>
                </c:pt>
                <c:pt idx="381">
                  <c:v>1382.7461546191066</c:v>
                </c:pt>
                <c:pt idx="382">
                  <c:v>1379.4303653697857</c:v>
                </c:pt>
                <c:pt idx="383">
                  <c:v>1376.1145761204648</c:v>
                </c:pt>
                <c:pt idx="384">
                  <c:v>1372.7987868711439</c:v>
                </c:pt>
                <c:pt idx="385">
                  <c:v>1369.4829976218234</c:v>
                </c:pt>
                <c:pt idx="386">
                  <c:v>1366.1672083725025</c:v>
                </c:pt>
                <c:pt idx="387">
                  <c:v>1362.8514191231816</c:v>
                </c:pt>
                <c:pt idx="388">
                  <c:v>1359.5356298738607</c:v>
                </c:pt>
                <c:pt idx="389">
                  <c:v>1356.2198406245398</c:v>
                </c:pt>
                <c:pt idx="390">
                  <c:v>1352.9040513752193</c:v>
                </c:pt>
                <c:pt idx="391">
                  <c:v>1349.5882621258984</c:v>
                </c:pt>
                <c:pt idx="392">
                  <c:v>1346.2724728765779</c:v>
                </c:pt>
                <c:pt idx="393">
                  <c:v>1342.9566836272575</c:v>
                </c:pt>
                <c:pt idx="394">
                  <c:v>1339.6408943779365</c:v>
                </c:pt>
                <c:pt idx="395">
                  <c:v>1336.3251051286161</c:v>
                </c:pt>
                <c:pt idx="396">
                  <c:v>1333.0093158792956</c:v>
                </c:pt>
                <c:pt idx="397">
                  <c:v>1329.6935266299752</c:v>
                </c:pt>
                <c:pt idx="398">
                  <c:v>1326.3777373806543</c:v>
                </c:pt>
                <c:pt idx="399">
                  <c:v>1323.0619481313338</c:v>
                </c:pt>
                <c:pt idx="400">
                  <c:v>1319.7461588820133</c:v>
                </c:pt>
                <c:pt idx="401">
                  <c:v>1316.4303696326924</c:v>
                </c:pt>
                <c:pt idx="402">
                  <c:v>1313.114580383372</c:v>
                </c:pt>
                <c:pt idx="403">
                  <c:v>1309.7987911340515</c:v>
                </c:pt>
                <c:pt idx="404">
                  <c:v>1306.483001884731</c:v>
                </c:pt>
                <c:pt idx="405">
                  <c:v>1303.1672126354101</c:v>
                </c:pt>
                <c:pt idx="406">
                  <c:v>1299.8514233860897</c:v>
                </c:pt>
                <c:pt idx="407">
                  <c:v>1296.5356341367692</c:v>
                </c:pt>
                <c:pt idx="408">
                  <c:v>1293.2198448874483</c:v>
                </c:pt>
                <c:pt idx="409">
                  <c:v>1289.9040556381278</c:v>
                </c:pt>
                <c:pt idx="410">
                  <c:v>1286.5882663888074</c:v>
                </c:pt>
                <c:pt idx="411">
                  <c:v>1283.2724771394869</c:v>
                </c:pt>
                <c:pt idx="412">
                  <c:v>1279.956687890166</c:v>
                </c:pt>
                <c:pt idx="413">
                  <c:v>1276.6408986408455</c:v>
                </c:pt>
                <c:pt idx="414">
                  <c:v>1273.3251093915251</c:v>
                </c:pt>
                <c:pt idx="415">
                  <c:v>1270.0093201422042</c:v>
                </c:pt>
                <c:pt idx="416">
                  <c:v>1266.6935308928837</c:v>
                </c:pt>
                <c:pt idx="417">
                  <c:v>1263.3777416435632</c:v>
                </c:pt>
                <c:pt idx="418">
                  <c:v>1260.0619523942428</c:v>
                </c:pt>
                <c:pt idx="419">
                  <c:v>1256.7461631449219</c:v>
                </c:pt>
                <c:pt idx="420">
                  <c:v>1253.4303738956014</c:v>
                </c:pt>
                <c:pt idx="421">
                  <c:v>1250.1145846462809</c:v>
                </c:pt>
                <c:pt idx="422">
                  <c:v>1246.7987953969605</c:v>
                </c:pt>
                <c:pt idx="423">
                  <c:v>1243.4830061476396</c:v>
                </c:pt>
                <c:pt idx="424">
                  <c:v>1240.1672168983191</c:v>
                </c:pt>
                <c:pt idx="425">
                  <c:v>1236.8514276489987</c:v>
                </c:pt>
                <c:pt idx="426">
                  <c:v>1233.5356383996777</c:v>
                </c:pt>
                <c:pt idx="427">
                  <c:v>1230.2198491503573</c:v>
                </c:pt>
                <c:pt idx="428">
                  <c:v>1226.9040599010368</c:v>
                </c:pt>
                <c:pt idx="429">
                  <c:v>1223.5882706517164</c:v>
                </c:pt>
                <c:pt idx="430">
                  <c:v>1220.2724814023954</c:v>
                </c:pt>
                <c:pt idx="431">
                  <c:v>1216.956692153075</c:v>
                </c:pt>
                <c:pt idx="432">
                  <c:v>1213.6409029037545</c:v>
                </c:pt>
                <c:pt idx="433">
                  <c:v>1210.3251136544336</c:v>
                </c:pt>
                <c:pt idx="434">
                  <c:v>1207.0093244051131</c:v>
                </c:pt>
                <c:pt idx="435">
                  <c:v>1203.6935351557927</c:v>
                </c:pt>
                <c:pt idx="436">
                  <c:v>1200.3777459064722</c:v>
                </c:pt>
                <c:pt idx="437">
                  <c:v>1197.0619566571513</c:v>
                </c:pt>
                <c:pt idx="438">
                  <c:v>1193.7461674078309</c:v>
                </c:pt>
                <c:pt idx="439">
                  <c:v>1190.4303781585104</c:v>
                </c:pt>
                <c:pt idx="440">
                  <c:v>1187.1145889091895</c:v>
                </c:pt>
                <c:pt idx="441">
                  <c:v>1183.798799659869</c:v>
                </c:pt>
                <c:pt idx="442">
                  <c:v>1180.4830104105486</c:v>
                </c:pt>
                <c:pt idx="443">
                  <c:v>1177.1672211612281</c:v>
                </c:pt>
                <c:pt idx="444">
                  <c:v>1173.8514319119072</c:v>
                </c:pt>
                <c:pt idx="445">
                  <c:v>1170.5356426625867</c:v>
                </c:pt>
                <c:pt idx="446">
                  <c:v>1167.2198534132663</c:v>
                </c:pt>
                <c:pt idx="447">
                  <c:v>1163.9040641639453</c:v>
                </c:pt>
                <c:pt idx="448">
                  <c:v>1160.5882749146249</c:v>
                </c:pt>
                <c:pt idx="449">
                  <c:v>1157.2724856653044</c:v>
                </c:pt>
                <c:pt idx="450">
                  <c:v>1157.2724856653044</c:v>
                </c:pt>
                <c:pt idx="451">
                  <c:v>1157.2724856653044</c:v>
                </c:pt>
                <c:pt idx="452">
                  <c:v>1157.2724856653044</c:v>
                </c:pt>
                <c:pt idx="453">
                  <c:v>1157.2724856653044</c:v>
                </c:pt>
                <c:pt idx="454">
                  <c:v>1157.2724856653044</c:v>
                </c:pt>
                <c:pt idx="455">
                  <c:v>1157.2724856653044</c:v>
                </c:pt>
                <c:pt idx="456">
                  <c:v>1157.2724856653044</c:v>
                </c:pt>
                <c:pt idx="457">
                  <c:v>1157.2724856653044</c:v>
                </c:pt>
                <c:pt idx="458">
                  <c:v>1157.2724856653044</c:v>
                </c:pt>
                <c:pt idx="459">
                  <c:v>1157.2724856653044</c:v>
                </c:pt>
                <c:pt idx="460">
                  <c:v>1157.2724856653044</c:v>
                </c:pt>
                <c:pt idx="461">
                  <c:v>1157.2724856653044</c:v>
                </c:pt>
                <c:pt idx="462">
                  <c:v>1157.2724856653044</c:v>
                </c:pt>
                <c:pt idx="463">
                  <c:v>1157.2724856653044</c:v>
                </c:pt>
                <c:pt idx="464">
                  <c:v>1157.2724856653044</c:v>
                </c:pt>
                <c:pt idx="465">
                  <c:v>1157.2724856653044</c:v>
                </c:pt>
                <c:pt idx="466">
                  <c:v>1157.2724856653044</c:v>
                </c:pt>
                <c:pt idx="467">
                  <c:v>1157.2724856653044</c:v>
                </c:pt>
                <c:pt idx="468">
                  <c:v>1157.2724856653044</c:v>
                </c:pt>
                <c:pt idx="469">
                  <c:v>1157.2724856653044</c:v>
                </c:pt>
                <c:pt idx="470">
                  <c:v>1157.2724856653044</c:v>
                </c:pt>
                <c:pt idx="471">
                  <c:v>1157.2724856653044</c:v>
                </c:pt>
                <c:pt idx="472">
                  <c:v>1157.2724856653044</c:v>
                </c:pt>
                <c:pt idx="473">
                  <c:v>1157.2724856653044</c:v>
                </c:pt>
                <c:pt idx="474">
                  <c:v>1157.2724856653044</c:v>
                </c:pt>
                <c:pt idx="475">
                  <c:v>1157.2724856653044</c:v>
                </c:pt>
                <c:pt idx="476">
                  <c:v>1157.2724856653044</c:v>
                </c:pt>
                <c:pt idx="477">
                  <c:v>1157.2724856653044</c:v>
                </c:pt>
                <c:pt idx="478">
                  <c:v>1157.2724856653044</c:v>
                </c:pt>
                <c:pt idx="479">
                  <c:v>1157.2724856653044</c:v>
                </c:pt>
                <c:pt idx="480">
                  <c:v>1157.2724856653044</c:v>
                </c:pt>
                <c:pt idx="481">
                  <c:v>1157.2724856653044</c:v>
                </c:pt>
                <c:pt idx="482">
                  <c:v>1157.2724856653044</c:v>
                </c:pt>
                <c:pt idx="483">
                  <c:v>1157.2724856653044</c:v>
                </c:pt>
                <c:pt idx="484">
                  <c:v>1157.2724856653044</c:v>
                </c:pt>
                <c:pt idx="485">
                  <c:v>1157.2724856653044</c:v>
                </c:pt>
                <c:pt idx="486">
                  <c:v>1157.2724856653044</c:v>
                </c:pt>
                <c:pt idx="487">
                  <c:v>1157.2724856653044</c:v>
                </c:pt>
                <c:pt idx="488">
                  <c:v>1157.2724856653044</c:v>
                </c:pt>
                <c:pt idx="489">
                  <c:v>1157.2724856653044</c:v>
                </c:pt>
                <c:pt idx="490">
                  <c:v>1157.2724856653044</c:v>
                </c:pt>
                <c:pt idx="491">
                  <c:v>1157.2724856653044</c:v>
                </c:pt>
                <c:pt idx="492">
                  <c:v>1157.2724856653044</c:v>
                </c:pt>
                <c:pt idx="493">
                  <c:v>1157.2724856653044</c:v>
                </c:pt>
                <c:pt idx="494">
                  <c:v>1157.2724856653044</c:v>
                </c:pt>
                <c:pt idx="495">
                  <c:v>1157.2724856653044</c:v>
                </c:pt>
                <c:pt idx="496">
                  <c:v>1157.2724856653044</c:v>
                </c:pt>
                <c:pt idx="497">
                  <c:v>1157.2724856653044</c:v>
                </c:pt>
                <c:pt idx="498">
                  <c:v>1157.2724856653044</c:v>
                </c:pt>
                <c:pt idx="499">
                  <c:v>1157.2724856653044</c:v>
                </c:pt>
                <c:pt idx="500">
                  <c:v>1157.2724856653044</c:v>
                </c:pt>
                <c:pt idx="501">
                  <c:v>1157.2724856653044</c:v>
                </c:pt>
                <c:pt idx="502">
                  <c:v>1157.2724856653044</c:v>
                </c:pt>
                <c:pt idx="503">
                  <c:v>1157.2724856653044</c:v>
                </c:pt>
                <c:pt idx="504">
                  <c:v>1157.2724856653044</c:v>
                </c:pt>
                <c:pt idx="505">
                  <c:v>1157.2724856653044</c:v>
                </c:pt>
                <c:pt idx="506">
                  <c:v>1157.2724856653044</c:v>
                </c:pt>
                <c:pt idx="507">
                  <c:v>1157.2724856653044</c:v>
                </c:pt>
                <c:pt idx="508">
                  <c:v>1157.2724856653044</c:v>
                </c:pt>
                <c:pt idx="509">
                  <c:v>1157.2724856653044</c:v>
                </c:pt>
                <c:pt idx="510">
                  <c:v>1157.2724856653044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06-4ACB-84BA-8940E7FDB0D9}"/>
            </c:ext>
          </c:extLst>
        </c:ser>
        <c:ser>
          <c:idx val="0"/>
          <c:order val="5"/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Curves!$AK$2:$AK$512</c:f>
              <c:numCache>
                <c:formatCode>0.0</c:formatCode>
                <c:ptCount val="511"/>
                <c:pt idx="0">
                  <c:v>25</c:v>
                </c:pt>
                <c:pt idx="1">
                  <c:v>25.1</c:v>
                </c:pt>
                <c:pt idx="2">
                  <c:v>25.200000000000003</c:v>
                </c:pt>
                <c:pt idx="3">
                  <c:v>25.300000000000004</c:v>
                </c:pt>
                <c:pt idx="4">
                  <c:v>25.400000000000006</c:v>
                </c:pt>
                <c:pt idx="5">
                  <c:v>25.500000000000007</c:v>
                </c:pt>
                <c:pt idx="6">
                  <c:v>25.600000000000009</c:v>
                </c:pt>
                <c:pt idx="7">
                  <c:v>25.70000000000001</c:v>
                </c:pt>
                <c:pt idx="8">
                  <c:v>25.800000000000011</c:v>
                </c:pt>
                <c:pt idx="9">
                  <c:v>25.900000000000013</c:v>
                </c:pt>
                <c:pt idx="10">
                  <c:v>26.000000000000014</c:v>
                </c:pt>
                <c:pt idx="11">
                  <c:v>26.100000000000016</c:v>
                </c:pt>
                <c:pt idx="12">
                  <c:v>26.200000000000017</c:v>
                </c:pt>
                <c:pt idx="13">
                  <c:v>26.300000000000018</c:v>
                </c:pt>
                <c:pt idx="14">
                  <c:v>26.40000000000002</c:v>
                </c:pt>
                <c:pt idx="15">
                  <c:v>26.500000000000021</c:v>
                </c:pt>
                <c:pt idx="16">
                  <c:v>26.600000000000023</c:v>
                </c:pt>
                <c:pt idx="17">
                  <c:v>26.700000000000024</c:v>
                </c:pt>
                <c:pt idx="18">
                  <c:v>26.800000000000026</c:v>
                </c:pt>
                <c:pt idx="19">
                  <c:v>26.900000000000027</c:v>
                </c:pt>
                <c:pt idx="20">
                  <c:v>27.000000000000028</c:v>
                </c:pt>
                <c:pt idx="21">
                  <c:v>27.10000000000003</c:v>
                </c:pt>
                <c:pt idx="22">
                  <c:v>27.200000000000031</c:v>
                </c:pt>
                <c:pt idx="23">
                  <c:v>27.300000000000033</c:v>
                </c:pt>
                <c:pt idx="24">
                  <c:v>27.400000000000034</c:v>
                </c:pt>
                <c:pt idx="25">
                  <c:v>27.500000000000036</c:v>
                </c:pt>
                <c:pt idx="26">
                  <c:v>27.600000000000037</c:v>
                </c:pt>
                <c:pt idx="27">
                  <c:v>27.700000000000038</c:v>
                </c:pt>
                <c:pt idx="28">
                  <c:v>27.80000000000004</c:v>
                </c:pt>
                <c:pt idx="29">
                  <c:v>27.900000000000041</c:v>
                </c:pt>
                <c:pt idx="30">
                  <c:v>28.000000000000043</c:v>
                </c:pt>
                <c:pt idx="31">
                  <c:v>28.100000000000044</c:v>
                </c:pt>
                <c:pt idx="32">
                  <c:v>28.200000000000045</c:v>
                </c:pt>
                <c:pt idx="33">
                  <c:v>28.300000000000047</c:v>
                </c:pt>
                <c:pt idx="34">
                  <c:v>28.400000000000048</c:v>
                </c:pt>
                <c:pt idx="35">
                  <c:v>28.50000000000005</c:v>
                </c:pt>
                <c:pt idx="36">
                  <c:v>28.600000000000051</c:v>
                </c:pt>
                <c:pt idx="37">
                  <c:v>28.700000000000053</c:v>
                </c:pt>
                <c:pt idx="38">
                  <c:v>28.800000000000054</c:v>
                </c:pt>
                <c:pt idx="39">
                  <c:v>28.900000000000055</c:v>
                </c:pt>
                <c:pt idx="40">
                  <c:v>29.000000000000057</c:v>
                </c:pt>
                <c:pt idx="41">
                  <c:v>29.100000000000058</c:v>
                </c:pt>
                <c:pt idx="42">
                  <c:v>29.20000000000006</c:v>
                </c:pt>
                <c:pt idx="43">
                  <c:v>29.300000000000061</c:v>
                </c:pt>
                <c:pt idx="44">
                  <c:v>29.400000000000063</c:v>
                </c:pt>
                <c:pt idx="45">
                  <c:v>29.500000000000064</c:v>
                </c:pt>
                <c:pt idx="46">
                  <c:v>29.600000000000065</c:v>
                </c:pt>
                <c:pt idx="47">
                  <c:v>29.700000000000067</c:v>
                </c:pt>
                <c:pt idx="48">
                  <c:v>29.800000000000068</c:v>
                </c:pt>
                <c:pt idx="49">
                  <c:v>29.90000000000007</c:v>
                </c:pt>
                <c:pt idx="50">
                  <c:v>30.000000000000071</c:v>
                </c:pt>
                <c:pt idx="51">
                  <c:v>30.100000000000072</c:v>
                </c:pt>
                <c:pt idx="52">
                  <c:v>30.200000000000074</c:v>
                </c:pt>
                <c:pt idx="53">
                  <c:v>30.300000000000075</c:v>
                </c:pt>
                <c:pt idx="54">
                  <c:v>30.400000000000077</c:v>
                </c:pt>
                <c:pt idx="55">
                  <c:v>30.500000000000078</c:v>
                </c:pt>
                <c:pt idx="56">
                  <c:v>30.60000000000008</c:v>
                </c:pt>
                <c:pt idx="57">
                  <c:v>30.700000000000081</c:v>
                </c:pt>
                <c:pt idx="58">
                  <c:v>30.800000000000082</c:v>
                </c:pt>
                <c:pt idx="59">
                  <c:v>30.900000000000084</c:v>
                </c:pt>
                <c:pt idx="60">
                  <c:v>31.000000000000085</c:v>
                </c:pt>
                <c:pt idx="61">
                  <c:v>31.100000000000087</c:v>
                </c:pt>
                <c:pt idx="62">
                  <c:v>31.200000000000088</c:v>
                </c:pt>
                <c:pt idx="63">
                  <c:v>31.30000000000009</c:v>
                </c:pt>
                <c:pt idx="64">
                  <c:v>31.400000000000091</c:v>
                </c:pt>
                <c:pt idx="65">
                  <c:v>31.500000000000092</c:v>
                </c:pt>
                <c:pt idx="66">
                  <c:v>31.600000000000094</c:v>
                </c:pt>
                <c:pt idx="67">
                  <c:v>31.700000000000095</c:v>
                </c:pt>
                <c:pt idx="68">
                  <c:v>31.800000000000097</c:v>
                </c:pt>
                <c:pt idx="69">
                  <c:v>31.900000000000098</c:v>
                </c:pt>
                <c:pt idx="70">
                  <c:v>32.000000000000099</c:v>
                </c:pt>
                <c:pt idx="71">
                  <c:v>32.100000000000101</c:v>
                </c:pt>
                <c:pt idx="72">
                  <c:v>32.200000000000102</c:v>
                </c:pt>
                <c:pt idx="73">
                  <c:v>32.300000000000104</c:v>
                </c:pt>
                <c:pt idx="74">
                  <c:v>32.400000000000105</c:v>
                </c:pt>
                <c:pt idx="75">
                  <c:v>32.500000000000107</c:v>
                </c:pt>
                <c:pt idx="76">
                  <c:v>32.600000000000108</c:v>
                </c:pt>
                <c:pt idx="77">
                  <c:v>32.700000000000109</c:v>
                </c:pt>
                <c:pt idx="78">
                  <c:v>32.800000000000111</c:v>
                </c:pt>
                <c:pt idx="79">
                  <c:v>32.900000000000112</c:v>
                </c:pt>
                <c:pt idx="80">
                  <c:v>33.000000000000114</c:v>
                </c:pt>
                <c:pt idx="81">
                  <c:v>33.100000000000115</c:v>
                </c:pt>
                <c:pt idx="82">
                  <c:v>33.200000000000117</c:v>
                </c:pt>
                <c:pt idx="83">
                  <c:v>33.300000000000118</c:v>
                </c:pt>
                <c:pt idx="84">
                  <c:v>33.400000000000119</c:v>
                </c:pt>
                <c:pt idx="85">
                  <c:v>33.500000000000121</c:v>
                </c:pt>
                <c:pt idx="86">
                  <c:v>33.600000000000122</c:v>
                </c:pt>
                <c:pt idx="87">
                  <c:v>33.700000000000124</c:v>
                </c:pt>
                <c:pt idx="88">
                  <c:v>33.800000000000125</c:v>
                </c:pt>
                <c:pt idx="89">
                  <c:v>33.900000000000126</c:v>
                </c:pt>
                <c:pt idx="90">
                  <c:v>34.000000000000128</c:v>
                </c:pt>
                <c:pt idx="91">
                  <c:v>34.100000000000129</c:v>
                </c:pt>
                <c:pt idx="92">
                  <c:v>34.200000000000131</c:v>
                </c:pt>
                <c:pt idx="93">
                  <c:v>34.300000000000132</c:v>
                </c:pt>
                <c:pt idx="94">
                  <c:v>34.400000000000134</c:v>
                </c:pt>
                <c:pt idx="95">
                  <c:v>34.500000000000135</c:v>
                </c:pt>
                <c:pt idx="96">
                  <c:v>34.600000000000136</c:v>
                </c:pt>
                <c:pt idx="97">
                  <c:v>34.700000000000138</c:v>
                </c:pt>
                <c:pt idx="98">
                  <c:v>34.800000000000139</c:v>
                </c:pt>
                <c:pt idx="99">
                  <c:v>34.900000000000141</c:v>
                </c:pt>
                <c:pt idx="100">
                  <c:v>35.000000000000142</c:v>
                </c:pt>
                <c:pt idx="101">
                  <c:v>35.100000000000144</c:v>
                </c:pt>
                <c:pt idx="102">
                  <c:v>35.200000000000145</c:v>
                </c:pt>
                <c:pt idx="103">
                  <c:v>35.300000000000146</c:v>
                </c:pt>
                <c:pt idx="104">
                  <c:v>35.400000000000148</c:v>
                </c:pt>
                <c:pt idx="105">
                  <c:v>35.500000000000149</c:v>
                </c:pt>
                <c:pt idx="106">
                  <c:v>35.600000000000151</c:v>
                </c:pt>
                <c:pt idx="107">
                  <c:v>35.700000000000152</c:v>
                </c:pt>
                <c:pt idx="108">
                  <c:v>35.800000000000153</c:v>
                </c:pt>
                <c:pt idx="109">
                  <c:v>35.900000000000155</c:v>
                </c:pt>
                <c:pt idx="110">
                  <c:v>36.000000000000156</c:v>
                </c:pt>
                <c:pt idx="111">
                  <c:v>36.100000000000158</c:v>
                </c:pt>
                <c:pt idx="112">
                  <c:v>36.200000000000159</c:v>
                </c:pt>
                <c:pt idx="113">
                  <c:v>36.300000000000161</c:v>
                </c:pt>
                <c:pt idx="114">
                  <c:v>36.400000000000162</c:v>
                </c:pt>
                <c:pt idx="115">
                  <c:v>36.500000000000163</c:v>
                </c:pt>
                <c:pt idx="116">
                  <c:v>36.600000000000165</c:v>
                </c:pt>
                <c:pt idx="117">
                  <c:v>36.700000000000166</c:v>
                </c:pt>
                <c:pt idx="118">
                  <c:v>36.800000000000168</c:v>
                </c:pt>
                <c:pt idx="119">
                  <c:v>36.900000000000169</c:v>
                </c:pt>
                <c:pt idx="120">
                  <c:v>37.000000000000171</c:v>
                </c:pt>
                <c:pt idx="121">
                  <c:v>37.100000000000172</c:v>
                </c:pt>
                <c:pt idx="122">
                  <c:v>37.200000000000173</c:v>
                </c:pt>
                <c:pt idx="123">
                  <c:v>37.300000000000175</c:v>
                </c:pt>
                <c:pt idx="124">
                  <c:v>37.400000000000176</c:v>
                </c:pt>
                <c:pt idx="125">
                  <c:v>37.500000000000178</c:v>
                </c:pt>
                <c:pt idx="126">
                  <c:v>37.600000000000179</c:v>
                </c:pt>
                <c:pt idx="127">
                  <c:v>37.70000000000018</c:v>
                </c:pt>
                <c:pt idx="128">
                  <c:v>37.800000000000182</c:v>
                </c:pt>
                <c:pt idx="129">
                  <c:v>37.900000000000183</c:v>
                </c:pt>
                <c:pt idx="130">
                  <c:v>38.000000000000185</c:v>
                </c:pt>
                <c:pt idx="131">
                  <c:v>38.100000000000186</c:v>
                </c:pt>
                <c:pt idx="132">
                  <c:v>38.200000000000188</c:v>
                </c:pt>
                <c:pt idx="133">
                  <c:v>38.300000000000189</c:v>
                </c:pt>
                <c:pt idx="134">
                  <c:v>38.40000000000019</c:v>
                </c:pt>
                <c:pt idx="135">
                  <c:v>38.500000000000192</c:v>
                </c:pt>
                <c:pt idx="136">
                  <c:v>38.600000000000193</c:v>
                </c:pt>
                <c:pt idx="137">
                  <c:v>38.700000000000195</c:v>
                </c:pt>
                <c:pt idx="138">
                  <c:v>38.800000000000196</c:v>
                </c:pt>
                <c:pt idx="139">
                  <c:v>38.900000000000198</c:v>
                </c:pt>
                <c:pt idx="140">
                  <c:v>39.000000000000199</c:v>
                </c:pt>
                <c:pt idx="141">
                  <c:v>39.1000000000002</c:v>
                </c:pt>
                <c:pt idx="142">
                  <c:v>39.200000000000202</c:v>
                </c:pt>
                <c:pt idx="143">
                  <c:v>39.300000000000203</c:v>
                </c:pt>
                <c:pt idx="144">
                  <c:v>39.400000000000205</c:v>
                </c:pt>
                <c:pt idx="145">
                  <c:v>39.500000000000206</c:v>
                </c:pt>
                <c:pt idx="146">
                  <c:v>39.600000000000207</c:v>
                </c:pt>
                <c:pt idx="147">
                  <c:v>39.700000000000209</c:v>
                </c:pt>
                <c:pt idx="148">
                  <c:v>39.80000000000021</c:v>
                </c:pt>
                <c:pt idx="149">
                  <c:v>39.900000000000212</c:v>
                </c:pt>
                <c:pt idx="150">
                  <c:v>40.000000000000213</c:v>
                </c:pt>
                <c:pt idx="151">
                  <c:v>40.100000000000215</c:v>
                </c:pt>
                <c:pt idx="152">
                  <c:v>40.200000000000216</c:v>
                </c:pt>
                <c:pt idx="153">
                  <c:v>40.300000000000217</c:v>
                </c:pt>
                <c:pt idx="154">
                  <c:v>40.400000000000219</c:v>
                </c:pt>
                <c:pt idx="155">
                  <c:v>40.50000000000022</c:v>
                </c:pt>
                <c:pt idx="156">
                  <c:v>40.600000000000222</c:v>
                </c:pt>
                <c:pt idx="157">
                  <c:v>40.700000000000223</c:v>
                </c:pt>
                <c:pt idx="158">
                  <c:v>40.800000000000225</c:v>
                </c:pt>
                <c:pt idx="159">
                  <c:v>40.900000000000226</c:v>
                </c:pt>
                <c:pt idx="160">
                  <c:v>41.000000000000227</c:v>
                </c:pt>
                <c:pt idx="161">
                  <c:v>41.100000000000229</c:v>
                </c:pt>
                <c:pt idx="162">
                  <c:v>41.20000000000023</c:v>
                </c:pt>
                <c:pt idx="163">
                  <c:v>41.300000000000232</c:v>
                </c:pt>
                <c:pt idx="164">
                  <c:v>41.400000000000233</c:v>
                </c:pt>
                <c:pt idx="165">
                  <c:v>41.500000000000234</c:v>
                </c:pt>
                <c:pt idx="166">
                  <c:v>41.600000000000236</c:v>
                </c:pt>
                <c:pt idx="167">
                  <c:v>41.700000000000237</c:v>
                </c:pt>
                <c:pt idx="168">
                  <c:v>41.800000000000239</c:v>
                </c:pt>
                <c:pt idx="169">
                  <c:v>41.90000000000024</c:v>
                </c:pt>
                <c:pt idx="170">
                  <c:v>42.000000000000242</c:v>
                </c:pt>
                <c:pt idx="171">
                  <c:v>42.100000000000243</c:v>
                </c:pt>
                <c:pt idx="172">
                  <c:v>42.200000000000244</c:v>
                </c:pt>
                <c:pt idx="173">
                  <c:v>42.300000000000246</c:v>
                </c:pt>
                <c:pt idx="174">
                  <c:v>42.400000000000247</c:v>
                </c:pt>
                <c:pt idx="175">
                  <c:v>42.500000000000249</c:v>
                </c:pt>
                <c:pt idx="176">
                  <c:v>42.60000000000025</c:v>
                </c:pt>
                <c:pt idx="177">
                  <c:v>42.700000000000252</c:v>
                </c:pt>
                <c:pt idx="178">
                  <c:v>42.800000000000253</c:v>
                </c:pt>
                <c:pt idx="179">
                  <c:v>42.900000000000254</c:v>
                </c:pt>
                <c:pt idx="180">
                  <c:v>43.000000000000256</c:v>
                </c:pt>
                <c:pt idx="181">
                  <c:v>43.100000000000257</c:v>
                </c:pt>
                <c:pt idx="182">
                  <c:v>43.200000000000259</c:v>
                </c:pt>
                <c:pt idx="183">
                  <c:v>43.30000000000026</c:v>
                </c:pt>
                <c:pt idx="184">
                  <c:v>43.400000000000261</c:v>
                </c:pt>
                <c:pt idx="185">
                  <c:v>43.500000000000263</c:v>
                </c:pt>
                <c:pt idx="186">
                  <c:v>43.600000000000264</c:v>
                </c:pt>
                <c:pt idx="187">
                  <c:v>43.700000000000266</c:v>
                </c:pt>
                <c:pt idx="188">
                  <c:v>43.800000000000267</c:v>
                </c:pt>
                <c:pt idx="189">
                  <c:v>43.900000000000269</c:v>
                </c:pt>
                <c:pt idx="190">
                  <c:v>44.00000000000027</c:v>
                </c:pt>
                <c:pt idx="191">
                  <c:v>44.100000000000271</c:v>
                </c:pt>
                <c:pt idx="192">
                  <c:v>44.200000000000273</c:v>
                </c:pt>
                <c:pt idx="193">
                  <c:v>44.300000000000274</c:v>
                </c:pt>
                <c:pt idx="194">
                  <c:v>44.400000000000276</c:v>
                </c:pt>
                <c:pt idx="195">
                  <c:v>44.500000000000277</c:v>
                </c:pt>
                <c:pt idx="196">
                  <c:v>44.600000000000279</c:v>
                </c:pt>
                <c:pt idx="197">
                  <c:v>44.70000000000028</c:v>
                </c:pt>
                <c:pt idx="198">
                  <c:v>44.800000000000281</c:v>
                </c:pt>
                <c:pt idx="199">
                  <c:v>44.900000000000283</c:v>
                </c:pt>
                <c:pt idx="200">
                  <c:v>45.000000000000284</c:v>
                </c:pt>
                <c:pt idx="201">
                  <c:v>45.100000000000286</c:v>
                </c:pt>
                <c:pt idx="202">
                  <c:v>45.200000000000287</c:v>
                </c:pt>
                <c:pt idx="203">
                  <c:v>45.300000000000288</c:v>
                </c:pt>
                <c:pt idx="204">
                  <c:v>45.40000000000029</c:v>
                </c:pt>
                <c:pt idx="205">
                  <c:v>45.500000000000291</c:v>
                </c:pt>
                <c:pt idx="206">
                  <c:v>45.600000000000293</c:v>
                </c:pt>
                <c:pt idx="207">
                  <c:v>45.700000000000294</c:v>
                </c:pt>
                <c:pt idx="208">
                  <c:v>45.800000000000296</c:v>
                </c:pt>
                <c:pt idx="209">
                  <c:v>45.900000000000297</c:v>
                </c:pt>
                <c:pt idx="210">
                  <c:v>46.000000000000298</c:v>
                </c:pt>
                <c:pt idx="211">
                  <c:v>46.1000000000003</c:v>
                </c:pt>
                <c:pt idx="212">
                  <c:v>46.200000000000301</c:v>
                </c:pt>
                <c:pt idx="213">
                  <c:v>46.300000000000303</c:v>
                </c:pt>
                <c:pt idx="214">
                  <c:v>46.400000000000304</c:v>
                </c:pt>
                <c:pt idx="215">
                  <c:v>46.500000000000306</c:v>
                </c:pt>
                <c:pt idx="216">
                  <c:v>46.600000000000307</c:v>
                </c:pt>
                <c:pt idx="217">
                  <c:v>46.700000000000308</c:v>
                </c:pt>
                <c:pt idx="218">
                  <c:v>46.80000000000031</c:v>
                </c:pt>
                <c:pt idx="219">
                  <c:v>46.900000000000311</c:v>
                </c:pt>
                <c:pt idx="220">
                  <c:v>47.000000000000313</c:v>
                </c:pt>
                <c:pt idx="221">
                  <c:v>47.100000000000314</c:v>
                </c:pt>
                <c:pt idx="222">
                  <c:v>47.200000000000315</c:v>
                </c:pt>
                <c:pt idx="223">
                  <c:v>47.300000000000317</c:v>
                </c:pt>
                <c:pt idx="224">
                  <c:v>47.400000000000318</c:v>
                </c:pt>
                <c:pt idx="225">
                  <c:v>47.50000000000032</c:v>
                </c:pt>
                <c:pt idx="226">
                  <c:v>47.600000000000321</c:v>
                </c:pt>
                <c:pt idx="227">
                  <c:v>47.700000000000323</c:v>
                </c:pt>
                <c:pt idx="228">
                  <c:v>47.800000000000324</c:v>
                </c:pt>
                <c:pt idx="229">
                  <c:v>47.900000000000325</c:v>
                </c:pt>
                <c:pt idx="230">
                  <c:v>48.000000000000327</c:v>
                </c:pt>
                <c:pt idx="231">
                  <c:v>48.100000000000328</c:v>
                </c:pt>
                <c:pt idx="232">
                  <c:v>48.20000000000033</c:v>
                </c:pt>
                <c:pt idx="233">
                  <c:v>48.300000000000331</c:v>
                </c:pt>
                <c:pt idx="234">
                  <c:v>48.400000000000333</c:v>
                </c:pt>
                <c:pt idx="235">
                  <c:v>48.500000000000334</c:v>
                </c:pt>
                <c:pt idx="236">
                  <c:v>48.600000000000335</c:v>
                </c:pt>
                <c:pt idx="237">
                  <c:v>48.700000000000337</c:v>
                </c:pt>
                <c:pt idx="238">
                  <c:v>48.800000000000338</c:v>
                </c:pt>
                <c:pt idx="239">
                  <c:v>48.90000000000034</c:v>
                </c:pt>
                <c:pt idx="240">
                  <c:v>49.000000000000341</c:v>
                </c:pt>
                <c:pt idx="241">
                  <c:v>49.100000000000342</c:v>
                </c:pt>
                <c:pt idx="242">
                  <c:v>49.200000000000344</c:v>
                </c:pt>
                <c:pt idx="243">
                  <c:v>49.300000000000345</c:v>
                </c:pt>
                <c:pt idx="244">
                  <c:v>49.400000000000347</c:v>
                </c:pt>
                <c:pt idx="245">
                  <c:v>49.500000000000348</c:v>
                </c:pt>
                <c:pt idx="246">
                  <c:v>49.60000000000035</c:v>
                </c:pt>
                <c:pt idx="247">
                  <c:v>49.700000000000351</c:v>
                </c:pt>
                <c:pt idx="248">
                  <c:v>49.800000000000352</c:v>
                </c:pt>
                <c:pt idx="249">
                  <c:v>49.900000000000354</c:v>
                </c:pt>
                <c:pt idx="250">
                  <c:v>50.000000000000355</c:v>
                </c:pt>
                <c:pt idx="251">
                  <c:v>50.100000000000357</c:v>
                </c:pt>
                <c:pt idx="252">
                  <c:v>50.200000000000358</c:v>
                </c:pt>
                <c:pt idx="253">
                  <c:v>50.30000000000036</c:v>
                </c:pt>
                <c:pt idx="254">
                  <c:v>50.400000000000361</c:v>
                </c:pt>
                <c:pt idx="255">
                  <c:v>50.500000000000362</c:v>
                </c:pt>
                <c:pt idx="256">
                  <c:v>50.600000000000364</c:v>
                </c:pt>
                <c:pt idx="257">
                  <c:v>50.700000000000365</c:v>
                </c:pt>
                <c:pt idx="258">
                  <c:v>50.800000000000367</c:v>
                </c:pt>
                <c:pt idx="259">
                  <c:v>50.900000000000368</c:v>
                </c:pt>
                <c:pt idx="260">
                  <c:v>51.000000000000369</c:v>
                </c:pt>
                <c:pt idx="261">
                  <c:v>51.100000000000371</c:v>
                </c:pt>
                <c:pt idx="262">
                  <c:v>51.200000000000372</c:v>
                </c:pt>
                <c:pt idx="263">
                  <c:v>51.300000000000374</c:v>
                </c:pt>
                <c:pt idx="264">
                  <c:v>51.400000000000375</c:v>
                </c:pt>
                <c:pt idx="265">
                  <c:v>51.500000000000377</c:v>
                </c:pt>
                <c:pt idx="266">
                  <c:v>51.600000000000378</c:v>
                </c:pt>
                <c:pt idx="267">
                  <c:v>51.700000000000379</c:v>
                </c:pt>
                <c:pt idx="268">
                  <c:v>51.800000000000381</c:v>
                </c:pt>
                <c:pt idx="269">
                  <c:v>51.900000000000382</c:v>
                </c:pt>
                <c:pt idx="270">
                  <c:v>52.000000000000384</c:v>
                </c:pt>
                <c:pt idx="271">
                  <c:v>52.100000000000385</c:v>
                </c:pt>
                <c:pt idx="272">
                  <c:v>52.200000000000387</c:v>
                </c:pt>
                <c:pt idx="273">
                  <c:v>52.300000000000388</c:v>
                </c:pt>
                <c:pt idx="274">
                  <c:v>52.400000000000389</c:v>
                </c:pt>
                <c:pt idx="275">
                  <c:v>52.500000000000391</c:v>
                </c:pt>
                <c:pt idx="276">
                  <c:v>52.600000000000392</c:v>
                </c:pt>
                <c:pt idx="277">
                  <c:v>52.700000000000394</c:v>
                </c:pt>
                <c:pt idx="278">
                  <c:v>52.800000000000395</c:v>
                </c:pt>
                <c:pt idx="279">
                  <c:v>52.900000000000396</c:v>
                </c:pt>
                <c:pt idx="280">
                  <c:v>53.000000000000398</c:v>
                </c:pt>
                <c:pt idx="281">
                  <c:v>53.100000000000399</c:v>
                </c:pt>
                <c:pt idx="282">
                  <c:v>53.200000000000401</c:v>
                </c:pt>
                <c:pt idx="283">
                  <c:v>53.300000000000402</c:v>
                </c:pt>
                <c:pt idx="284">
                  <c:v>53.400000000000404</c:v>
                </c:pt>
                <c:pt idx="285">
                  <c:v>53.500000000000405</c:v>
                </c:pt>
                <c:pt idx="286">
                  <c:v>53.600000000000406</c:v>
                </c:pt>
                <c:pt idx="287">
                  <c:v>53.700000000000408</c:v>
                </c:pt>
                <c:pt idx="288">
                  <c:v>53.800000000000409</c:v>
                </c:pt>
                <c:pt idx="289">
                  <c:v>53.900000000000411</c:v>
                </c:pt>
                <c:pt idx="290">
                  <c:v>54.000000000000412</c:v>
                </c:pt>
                <c:pt idx="291">
                  <c:v>54.100000000000414</c:v>
                </c:pt>
                <c:pt idx="292">
                  <c:v>54.200000000000415</c:v>
                </c:pt>
                <c:pt idx="293">
                  <c:v>54.300000000000416</c:v>
                </c:pt>
                <c:pt idx="294">
                  <c:v>54.400000000000418</c:v>
                </c:pt>
                <c:pt idx="295">
                  <c:v>54.500000000000419</c:v>
                </c:pt>
                <c:pt idx="296">
                  <c:v>54.600000000000421</c:v>
                </c:pt>
                <c:pt idx="297">
                  <c:v>54.700000000000422</c:v>
                </c:pt>
                <c:pt idx="298">
                  <c:v>54.800000000000423</c:v>
                </c:pt>
                <c:pt idx="299">
                  <c:v>54.900000000000425</c:v>
                </c:pt>
                <c:pt idx="300">
                  <c:v>55.000000000000426</c:v>
                </c:pt>
                <c:pt idx="301">
                  <c:v>55.100000000000428</c:v>
                </c:pt>
                <c:pt idx="302">
                  <c:v>55.200000000000429</c:v>
                </c:pt>
                <c:pt idx="303">
                  <c:v>55.300000000000431</c:v>
                </c:pt>
                <c:pt idx="304">
                  <c:v>55.400000000000432</c:v>
                </c:pt>
                <c:pt idx="305">
                  <c:v>55.500000000000433</c:v>
                </c:pt>
                <c:pt idx="306">
                  <c:v>55.600000000000435</c:v>
                </c:pt>
                <c:pt idx="307">
                  <c:v>55.700000000000436</c:v>
                </c:pt>
                <c:pt idx="308">
                  <c:v>55.800000000000438</c:v>
                </c:pt>
                <c:pt idx="309">
                  <c:v>55.900000000000439</c:v>
                </c:pt>
                <c:pt idx="310">
                  <c:v>56.000000000000441</c:v>
                </c:pt>
                <c:pt idx="311">
                  <c:v>56.100000000000442</c:v>
                </c:pt>
                <c:pt idx="312">
                  <c:v>56.200000000000443</c:v>
                </c:pt>
                <c:pt idx="313">
                  <c:v>56.300000000000445</c:v>
                </c:pt>
                <c:pt idx="314">
                  <c:v>56.400000000000446</c:v>
                </c:pt>
                <c:pt idx="315">
                  <c:v>56.500000000000448</c:v>
                </c:pt>
                <c:pt idx="316">
                  <c:v>56.600000000000449</c:v>
                </c:pt>
                <c:pt idx="317">
                  <c:v>56.70000000000045</c:v>
                </c:pt>
                <c:pt idx="318">
                  <c:v>56.800000000000452</c:v>
                </c:pt>
                <c:pt idx="319">
                  <c:v>56.900000000000453</c:v>
                </c:pt>
                <c:pt idx="320">
                  <c:v>57.000000000000455</c:v>
                </c:pt>
                <c:pt idx="321">
                  <c:v>57.100000000000456</c:v>
                </c:pt>
                <c:pt idx="322">
                  <c:v>57.200000000000458</c:v>
                </c:pt>
                <c:pt idx="323">
                  <c:v>57.300000000000459</c:v>
                </c:pt>
                <c:pt idx="324">
                  <c:v>57.40000000000046</c:v>
                </c:pt>
                <c:pt idx="325">
                  <c:v>57.500000000000462</c:v>
                </c:pt>
                <c:pt idx="326">
                  <c:v>57.600000000000463</c:v>
                </c:pt>
                <c:pt idx="327">
                  <c:v>57.700000000000465</c:v>
                </c:pt>
                <c:pt idx="328">
                  <c:v>57.800000000000466</c:v>
                </c:pt>
                <c:pt idx="329">
                  <c:v>57.900000000000468</c:v>
                </c:pt>
                <c:pt idx="330">
                  <c:v>58.000000000000469</c:v>
                </c:pt>
                <c:pt idx="331">
                  <c:v>58.10000000000047</c:v>
                </c:pt>
                <c:pt idx="332">
                  <c:v>58.200000000000472</c:v>
                </c:pt>
                <c:pt idx="333">
                  <c:v>58.300000000000473</c:v>
                </c:pt>
                <c:pt idx="334">
                  <c:v>58.400000000000475</c:v>
                </c:pt>
                <c:pt idx="335">
                  <c:v>58.500000000000476</c:v>
                </c:pt>
                <c:pt idx="336">
                  <c:v>58.600000000000477</c:v>
                </c:pt>
                <c:pt idx="337">
                  <c:v>58.700000000000479</c:v>
                </c:pt>
                <c:pt idx="338">
                  <c:v>58.80000000000048</c:v>
                </c:pt>
                <c:pt idx="339">
                  <c:v>58.900000000000482</c:v>
                </c:pt>
                <c:pt idx="340">
                  <c:v>59.000000000000483</c:v>
                </c:pt>
                <c:pt idx="341">
                  <c:v>59.100000000000485</c:v>
                </c:pt>
                <c:pt idx="342">
                  <c:v>59.200000000000486</c:v>
                </c:pt>
                <c:pt idx="343">
                  <c:v>59.300000000000487</c:v>
                </c:pt>
                <c:pt idx="344">
                  <c:v>59.400000000000489</c:v>
                </c:pt>
                <c:pt idx="345">
                  <c:v>59.50000000000049</c:v>
                </c:pt>
                <c:pt idx="346">
                  <c:v>59.600000000000492</c:v>
                </c:pt>
                <c:pt idx="347">
                  <c:v>59.700000000000493</c:v>
                </c:pt>
                <c:pt idx="348">
                  <c:v>59.800000000000495</c:v>
                </c:pt>
                <c:pt idx="349">
                  <c:v>59.900000000000496</c:v>
                </c:pt>
                <c:pt idx="350">
                  <c:v>60.000000000000497</c:v>
                </c:pt>
                <c:pt idx="351">
                  <c:v>60.100000000000499</c:v>
                </c:pt>
                <c:pt idx="352">
                  <c:v>60.2000000000005</c:v>
                </c:pt>
                <c:pt idx="353">
                  <c:v>60.300000000000502</c:v>
                </c:pt>
                <c:pt idx="354">
                  <c:v>60.400000000000503</c:v>
                </c:pt>
                <c:pt idx="355">
                  <c:v>60.500000000000504</c:v>
                </c:pt>
                <c:pt idx="356">
                  <c:v>60.600000000000506</c:v>
                </c:pt>
                <c:pt idx="357">
                  <c:v>60.700000000000507</c:v>
                </c:pt>
                <c:pt idx="358">
                  <c:v>60.800000000000509</c:v>
                </c:pt>
                <c:pt idx="359">
                  <c:v>60.90000000000051</c:v>
                </c:pt>
                <c:pt idx="360">
                  <c:v>61.000000000000512</c:v>
                </c:pt>
                <c:pt idx="361">
                  <c:v>61.100000000000513</c:v>
                </c:pt>
                <c:pt idx="362">
                  <c:v>61.200000000000514</c:v>
                </c:pt>
                <c:pt idx="363">
                  <c:v>61.300000000000516</c:v>
                </c:pt>
                <c:pt idx="364">
                  <c:v>61.400000000000517</c:v>
                </c:pt>
                <c:pt idx="365">
                  <c:v>61.500000000000519</c:v>
                </c:pt>
                <c:pt idx="366">
                  <c:v>61.60000000000052</c:v>
                </c:pt>
                <c:pt idx="367">
                  <c:v>61.700000000000522</c:v>
                </c:pt>
                <c:pt idx="368">
                  <c:v>61.800000000000523</c:v>
                </c:pt>
                <c:pt idx="369">
                  <c:v>61.900000000000524</c:v>
                </c:pt>
                <c:pt idx="370">
                  <c:v>62.000000000000526</c:v>
                </c:pt>
                <c:pt idx="371">
                  <c:v>62.100000000000527</c:v>
                </c:pt>
                <c:pt idx="372">
                  <c:v>62.200000000000529</c:v>
                </c:pt>
                <c:pt idx="373">
                  <c:v>62.30000000000053</c:v>
                </c:pt>
                <c:pt idx="374">
                  <c:v>62.400000000000531</c:v>
                </c:pt>
                <c:pt idx="375">
                  <c:v>62.500000000000533</c:v>
                </c:pt>
                <c:pt idx="376">
                  <c:v>62.600000000000534</c:v>
                </c:pt>
                <c:pt idx="377">
                  <c:v>62.700000000000536</c:v>
                </c:pt>
                <c:pt idx="378">
                  <c:v>62.800000000000537</c:v>
                </c:pt>
                <c:pt idx="379">
                  <c:v>62.900000000000539</c:v>
                </c:pt>
                <c:pt idx="380">
                  <c:v>63.00000000000054</c:v>
                </c:pt>
                <c:pt idx="381">
                  <c:v>63.100000000000541</c:v>
                </c:pt>
                <c:pt idx="382">
                  <c:v>63.200000000000543</c:v>
                </c:pt>
                <c:pt idx="383">
                  <c:v>63.300000000000544</c:v>
                </c:pt>
                <c:pt idx="384">
                  <c:v>63.400000000000546</c:v>
                </c:pt>
                <c:pt idx="385">
                  <c:v>63.500000000000547</c:v>
                </c:pt>
                <c:pt idx="386">
                  <c:v>63.600000000000549</c:v>
                </c:pt>
                <c:pt idx="387">
                  <c:v>63.70000000000055</c:v>
                </c:pt>
                <c:pt idx="388">
                  <c:v>63.800000000000551</c:v>
                </c:pt>
                <c:pt idx="389">
                  <c:v>63.900000000000553</c:v>
                </c:pt>
                <c:pt idx="390">
                  <c:v>64.000000000000554</c:v>
                </c:pt>
                <c:pt idx="391">
                  <c:v>64.100000000000549</c:v>
                </c:pt>
                <c:pt idx="392">
                  <c:v>64.200000000000543</c:v>
                </c:pt>
                <c:pt idx="393">
                  <c:v>64.300000000000537</c:v>
                </c:pt>
                <c:pt idx="394">
                  <c:v>64.400000000000531</c:v>
                </c:pt>
                <c:pt idx="395">
                  <c:v>64.500000000000526</c:v>
                </c:pt>
                <c:pt idx="396">
                  <c:v>64.60000000000052</c:v>
                </c:pt>
                <c:pt idx="397">
                  <c:v>64.700000000000514</c:v>
                </c:pt>
                <c:pt idx="398">
                  <c:v>64.800000000000509</c:v>
                </c:pt>
                <c:pt idx="399">
                  <c:v>64.900000000000503</c:v>
                </c:pt>
                <c:pt idx="400">
                  <c:v>65.000000000000497</c:v>
                </c:pt>
                <c:pt idx="401">
                  <c:v>65.100000000000492</c:v>
                </c:pt>
                <c:pt idx="402">
                  <c:v>65.200000000000486</c:v>
                </c:pt>
                <c:pt idx="403">
                  <c:v>65.30000000000048</c:v>
                </c:pt>
                <c:pt idx="404">
                  <c:v>65.400000000000475</c:v>
                </c:pt>
                <c:pt idx="405">
                  <c:v>65.500000000000469</c:v>
                </c:pt>
                <c:pt idx="406">
                  <c:v>65.600000000000463</c:v>
                </c:pt>
                <c:pt idx="407">
                  <c:v>65.700000000000458</c:v>
                </c:pt>
                <c:pt idx="408">
                  <c:v>65.800000000000452</c:v>
                </c:pt>
                <c:pt idx="409">
                  <c:v>65.900000000000446</c:v>
                </c:pt>
                <c:pt idx="410">
                  <c:v>66.000000000000441</c:v>
                </c:pt>
                <c:pt idx="411">
                  <c:v>66.100000000000435</c:v>
                </c:pt>
                <c:pt idx="412">
                  <c:v>66.200000000000429</c:v>
                </c:pt>
                <c:pt idx="413">
                  <c:v>66.300000000000423</c:v>
                </c:pt>
                <c:pt idx="414">
                  <c:v>66.400000000000418</c:v>
                </c:pt>
                <c:pt idx="415">
                  <c:v>66.500000000000412</c:v>
                </c:pt>
                <c:pt idx="416">
                  <c:v>66.600000000000406</c:v>
                </c:pt>
                <c:pt idx="417">
                  <c:v>66.700000000000401</c:v>
                </c:pt>
                <c:pt idx="418">
                  <c:v>66.800000000000395</c:v>
                </c:pt>
                <c:pt idx="419">
                  <c:v>66.900000000000389</c:v>
                </c:pt>
                <c:pt idx="420">
                  <c:v>67.000000000000384</c:v>
                </c:pt>
                <c:pt idx="421">
                  <c:v>67.100000000000378</c:v>
                </c:pt>
                <c:pt idx="422">
                  <c:v>67.200000000000372</c:v>
                </c:pt>
                <c:pt idx="423">
                  <c:v>67.300000000000367</c:v>
                </c:pt>
                <c:pt idx="424">
                  <c:v>67.400000000000361</c:v>
                </c:pt>
                <c:pt idx="425">
                  <c:v>67.500000000000355</c:v>
                </c:pt>
                <c:pt idx="426">
                  <c:v>67.60000000000035</c:v>
                </c:pt>
                <c:pt idx="427">
                  <c:v>67.700000000000344</c:v>
                </c:pt>
                <c:pt idx="428">
                  <c:v>67.800000000000338</c:v>
                </c:pt>
                <c:pt idx="429">
                  <c:v>67.900000000000333</c:v>
                </c:pt>
                <c:pt idx="430">
                  <c:v>68.000000000000327</c:v>
                </c:pt>
                <c:pt idx="431">
                  <c:v>68.100000000000321</c:v>
                </c:pt>
                <c:pt idx="432">
                  <c:v>68.200000000000315</c:v>
                </c:pt>
                <c:pt idx="433">
                  <c:v>68.30000000000031</c:v>
                </c:pt>
                <c:pt idx="434">
                  <c:v>68.400000000000304</c:v>
                </c:pt>
                <c:pt idx="435">
                  <c:v>68.500000000000298</c:v>
                </c:pt>
                <c:pt idx="436">
                  <c:v>68.600000000000293</c:v>
                </c:pt>
                <c:pt idx="437">
                  <c:v>68.700000000000287</c:v>
                </c:pt>
                <c:pt idx="438">
                  <c:v>68.800000000000281</c:v>
                </c:pt>
                <c:pt idx="439">
                  <c:v>68.900000000000276</c:v>
                </c:pt>
                <c:pt idx="440">
                  <c:v>69.00000000000027</c:v>
                </c:pt>
                <c:pt idx="441">
                  <c:v>69.100000000000264</c:v>
                </c:pt>
                <c:pt idx="442">
                  <c:v>69.200000000000259</c:v>
                </c:pt>
                <c:pt idx="443">
                  <c:v>69.300000000000253</c:v>
                </c:pt>
                <c:pt idx="444">
                  <c:v>69.400000000000247</c:v>
                </c:pt>
                <c:pt idx="445">
                  <c:v>69.500000000000242</c:v>
                </c:pt>
                <c:pt idx="446">
                  <c:v>69.600000000000236</c:v>
                </c:pt>
                <c:pt idx="447">
                  <c:v>69.70000000000023</c:v>
                </c:pt>
                <c:pt idx="448">
                  <c:v>69.800000000000225</c:v>
                </c:pt>
                <c:pt idx="449">
                  <c:v>69.900000000000219</c:v>
                </c:pt>
                <c:pt idx="450">
                  <c:v>69.900000000000219</c:v>
                </c:pt>
                <c:pt idx="451">
                  <c:v>69.900000000000219</c:v>
                </c:pt>
                <c:pt idx="452">
                  <c:v>69.900000000000219</c:v>
                </c:pt>
                <c:pt idx="453">
                  <c:v>69.900000000000219</c:v>
                </c:pt>
                <c:pt idx="454">
                  <c:v>69.900000000000219</c:v>
                </c:pt>
                <c:pt idx="455">
                  <c:v>69.900000000000219</c:v>
                </c:pt>
                <c:pt idx="456">
                  <c:v>69.900000000000219</c:v>
                </c:pt>
                <c:pt idx="457">
                  <c:v>69.900000000000219</c:v>
                </c:pt>
                <c:pt idx="458">
                  <c:v>69.900000000000219</c:v>
                </c:pt>
                <c:pt idx="459">
                  <c:v>69.900000000000219</c:v>
                </c:pt>
                <c:pt idx="460">
                  <c:v>69.900000000000219</c:v>
                </c:pt>
                <c:pt idx="461">
                  <c:v>69.900000000000219</c:v>
                </c:pt>
                <c:pt idx="462">
                  <c:v>69.900000000000219</c:v>
                </c:pt>
                <c:pt idx="463">
                  <c:v>69.900000000000219</c:v>
                </c:pt>
                <c:pt idx="464">
                  <c:v>69.900000000000219</c:v>
                </c:pt>
                <c:pt idx="465">
                  <c:v>69.900000000000219</c:v>
                </c:pt>
                <c:pt idx="466">
                  <c:v>69.900000000000219</c:v>
                </c:pt>
                <c:pt idx="467">
                  <c:v>69.900000000000219</c:v>
                </c:pt>
                <c:pt idx="468">
                  <c:v>69.900000000000219</c:v>
                </c:pt>
                <c:pt idx="469">
                  <c:v>69.900000000000219</c:v>
                </c:pt>
                <c:pt idx="470">
                  <c:v>69.900000000000219</c:v>
                </c:pt>
                <c:pt idx="471">
                  <c:v>69.900000000000219</c:v>
                </c:pt>
                <c:pt idx="472">
                  <c:v>69.900000000000219</c:v>
                </c:pt>
                <c:pt idx="473">
                  <c:v>69.900000000000219</c:v>
                </c:pt>
                <c:pt idx="474">
                  <c:v>69.900000000000219</c:v>
                </c:pt>
                <c:pt idx="475">
                  <c:v>69.900000000000219</c:v>
                </c:pt>
                <c:pt idx="476">
                  <c:v>69.900000000000219</c:v>
                </c:pt>
                <c:pt idx="477">
                  <c:v>69.900000000000219</c:v>
                </c:pt>
                <c:pt idx="478">
                  <c:v>69.900000000000219</c:v>
                </c:pt>
                <c:pt idx="479">
                  <c:v>69.900000000000219</c:v>
                </c:pt>
                <c:pt idx="480">
                  <c:v>69.900000000000219</c:v>
                </c:pt>
                <c:pt idx="481">
                  <c:v>69.900000000000219</c:v>
                </c:pt>
                <c:pt idx="482">
                  <c:v>69.900000000000219</c:v>
                </c:pt>
                <c:pt idx="483">
                  <c:v>69.900000000000219</c:v>
                </c:pt>
                <c:pt idx="484">
                  <c:v>69.900000000000219</c:v>
                </c:pt>
                <c:pt idx="485">
                  <c:v>69.900000000000219</c:v>
                </c:pt>
                <c:pt idx="486">
                  <c:v>69.900000000000219</c:v>
                </c:pt>
                <c:pt idx="487">
                  <c:v>69.900000000000219</c:v>
                </c:pt>
                <c:pt idx="488">
                  <c:v>69.900000000000219</c:v>
                </c:pt>
                <c:pt idx="489">
                  <c:v>69.900000000000219</c:v>
                </c:pt>
                <c:pt idx="490">
                  <c:v>69.900000000000219</c:v>
                </c:pt>
                <c:pt idx="491">
                  <c:v>69.900000000000219</c:v>
                </c:pt>
                <c:pt idx="492">
                  <c:v>69.900000000000219</c:v>
                </c:pt>
                <c:pt idx="493">
                  <c:v>69.900000000000219</c:v>
                </c:pt>
                <c:pt idx="494">
                  <c:v>69.900000000000219</c:v>
                </c:pt>
                <c:pt idx="495">
                  <c:v>69.900000000000219</c:v>
                </c:pt>
                <c:pt idx="496">
                  <c:v>69.900000000000219</c:v>
                </c:pt>
                <c:pt idx="497">
                  <c:v>69.900000000000219</c:v>
                </c:pt>
                <c:pt idx="498">
                  <c:v>69.900000000000219</c:v>
                </c:pt>
                <c:pt idx="499">
                  <c:v>69.900000000000219</c:v>
                </c:pt>
                <c:pt idx="500">
                  <c:v>69.900000000000219</c:v>
                </c:pt>
                <c:pt idx="501">
                  <c:v>69.900000000000219</c:v>
                </c:pt>
                <c:pt idx="502">
                  <c:v>69.900000000000219</c:v>
                </c:pt>
                <c:pt idx="503">
                  <c:v>69.900000000000219</c:v>
                </c:pt>
                <c:pt idx="504">
                  <c:v>69.900000000000219</c:v>
                </c:pt>
                <c:pt idx="505">
                  <c:v>69.900000000000219</c:v>
                </c:pt>
                <c:pt idx="506">
                  <c:v>69.900000000000219</c:v>
                </c:pt>
                <c:pt idx="507">
                  <c:v>69.900000000000219</c:v>
                </c:pt>
                <c:pt idx="508">
                  <c:v>69.900000000000219</c:v>
                </c:pt>
                <c:pt idx="509">
                  <c:v>69.900000000000219</c:v>
                </c:pt>
                <c:pt idx="510">
                  <c:v>69.900000000000219</c:v>
                </c:pt>
              </c:numCache>
            </c:numRef>
          </c:xVal>
          <c:yVal>
            <c:numRef>
              <c:f>Curves!$BF$2:$BF$512</c:f>
              <c:numCache>
                <c:formatCode>General</c:formatCode>
                <c:ptCount val="511"/>
                <c:pt idx="0">
                  <c:v>11362.752387995184</c:v>
                </c:pt>
                <c:pt idx="1">
                  <c:v>11355.462405762291</c:v>
                </c:pt>
                <c:pt idx="2">
                  <c:v>11348.172423529399</c:v>
                </c:pt>
                <c:pt idx="3">
                  <c:v>11340.882441296506</c:v>
                </c:pt>
                <c:pt idx="4">
                  <c:v>11333.592459063613</c:v>
                </c:pt>
                <c:pt idx="5">
                  <c:v>11326.302476830719</c:v>
                </c:pt>
                <c:pt idx="6">
                  <c:v>11319.012494597826</c:v>
                </c:pt>
                <c:pt idx="7">
                  <c:v>11311.722512364933</c:v>
                </c:pt>
                <c:pt idx="8">
                  <c:v>11304.43253013204</c:v>
                </c:pt>
                <c:pt idx="9">
                  <c:v>11297.142547899146</c:v>
                </c:pt>
                <c:pt idx="10">
                  <c:v>11289.852565666253</c:v>
                </c:pt>
                <c:pt idx="11">
                  <c:v>11282.56258343336</c:v>
                </c:pt>
                <c:pt idx="12">
                  <c:v>11275.272601200468</c:v>
                </c:pt>
                <c:pt idx="13">
                  <c:v>11267.982618967573</c:v>
                </c:pt>
                <c:pt idx="14">
                  <c:v>11260.69263673468</c:v>
                </c:pt>
                <c:pt idx="15">
                  <c:v>11253.402654501788</c:v>
                </c:pt>
                <c:pt idx="16">
                  <c:v>11246.112672268895</c:v>
                </c:pt>
                <c:pt idx="17">
                  <c:v>11238.822690036</c:v>
                </c:pt>
                <c:pt idx="18">
                  <c:v>11231.532707803108</c:v>
                </c:pt>
                <c:pt idx="19">
                  <c:v>11224.242725570215</c:v>
                </c:pt>
                <c:pt idx="20">
                  <c:v>11216.952743337322</c:v>
                </c:pt>
                <c:pt idx="21">
                  <c:v>11209.662761104428</c:v>
                </c:pt>
                <c:pt idx="22">
                  <c:v>11202.372778871535</c:v>
                </c:pt>
                <c:pt idx="23">
                  <c:v>11195.082796638642</c:v>
                </c:pt>
                <c:pt idx="24">
                  <c:v>11187.79281440575</c:v>
                </c:pt>
                <c:pt idx="25">
                  <c:v>11180.502832172857</c:v>
                </c:pt>
                <c:pt idx="26">
                  <c:v>11173.212849939962</c:v>
                </c:pt>
                <c:pt idx="27">
                  <c:v>11165.92286770707</c:v>
                </c:pt>
                <c:pt idx="28">
                  <c:v>11158.632885474177</c:v>
                </c:pt>
                <c:pt idx="29">
                  <c:v>11151.342903241282</c:v>
                </c:pt>
                <c:pt idx="30">
                  <c:v>11144.05292100839</c:v>
                </c:pt>
                <c:pt idx="31">
                  <c:v>11136.762938775497</c:v>
                </c:pt>
                <c:pt idx="32">
                  <c:v>11129.472956542604</c:v>
                </c:pt>
                <c:pt idx="33">
                  <c:v>11122.182974309711</c:v>
                </c:pt>
                <c:pt idx="34">
                  <c:v>11114.892992076817</c:v>
                </c:pt>
                <c:pt idx="35">
                  <c:v>11107.603009843924</c:v>
                </c:pt>
                <c:pt idx="36">
                  <c:v>11100.313027611031</c:v>
                </c:pt>
                <c:pt idx="37">
                  <c:v>11093.023045378137</c:v>
                </c:pt>
                <c:pt idx="38">
                  <c:v>11085.733063145244</c:v>
                </c:pt>
                <c:pt idx="39">
                  <c:v>11078.443080912351</c:v>
                </c:pt>
                <c:pt idx="40">
                  <c:v>11071.153098679459</c:v>
                </c:pt>
                <c:pt idx="41">
                  <c:v>11063.863116446566</c:v>
                </c:pt>
                <c:pt idx="42">
                  <c:v>11056.573134213671</c:v>
                </c:pt>
                <c:pt idx="43">
                  <c:v>11049.283151980779</c:v>
                </c:pt>
                <c:pt idx="44">
                  <c:v>11041.993169747886</c:v>
                </c:pt>
                <c:pt idx="45">
                  <c:v>11034.703187514991</c:v>
                </c:pt>
                <c:pt idx="46">
                  <c:v>11027.413205282099</c:v>
                </c:pt>
                <c:pt idx="47">
                  <c:v>11020.123223049206</c:v>
                </c:pt>
                <c:pt idx="48">
                  <c:v>11012.833240816313</c:v>
                </c:pt>
                <c:pt idx="49">
                  <c:v>11005.543258583421</c:v>
                </c:pt>
                <c:pt idx="50">
                  <c:v>10998.253276350526</c:v>
                </c:pt>
                <c:pt idx="51">
                  <c:v>10990.963294117633</c:v>
                </c:pt>
                <c:pt idx="52">
                  <c:v>10983.673311884741</c:v>
                </c:pt>
                <c:pt idx="53">
                  <c:v>10976.383329651848</c:v>
                </c:pt>
                <c:pt idx="54">
                  <c:v>10969.093347418955</c:v>
                </c:pt>
                <c:pt idx="55">
                  <c:v>10961.803365186061</c:v>
                </c:pt>
                <c:pt idx="56">
                  <c:v>10954.513382953168</c:v>
                </c:pt>
                <c:pt idx="57">
                  <c:v>10947.223400720275</c:v>
                </c:pt>
                <c:pt idx="58">
                  <c:v>10939.933418487381</c:v>
                </c:pt>
                <c:pt idx="59">
                  <c:v>10932.643436254488</c:v>
                </c:pt>
                <c:pt idx="60">
                  <c:v>10925.353454021595</c:v>
                </c:pt>
                <c:pt idx="61">
                  <c:v>10918.063471788702</c:v>
                </c:pt>
                <c:pt idx="62">
                  <c:v>10910.77348955581</c:v>
                </c:pt>
                <c:pt idx="63">
                  <c:v>10903.483507322915</c:v>
                </c:pt>
                <c:pt idx="64">
                  <c:v>10896.193525090022</c:v>
                </c:pt>
                <c:pt idx="65">
                  <c:v>10888.90354285713</c:v>
                </c:pt>
                <c:pt idx="66">
                  <c:v>10881.613560624235</c:v>
                </c:pt>
                <c:pt idx="67">
                  <c:v>10874.323578391342</c:v>
                </c:pt>
                <c:pt idx="68">
                  <c:v>10867.03359615845</c:v>
                </c:pt>
                <c:pt idx="69">
                  <c:v>10859.743613925557</c:v>
                </c:pt>
                <c:pt idx="70">
                  <c:v>10852.453631692664</c:v>
                </c:pt>
                <c:pt idx="71">
                  <c:v>10845.16364945977</c:v>
                </c:pt>
                <c:pt idx="72">
                  <c:v>10837.873667226877</c:v>
                </c:pt>
                <c:pt idx="73">
                  <c:v>10830.583684993984</c:v>
                </c:pt>
                <c:pt idx="74">
                  <c:v>10823.29370276109</c:v>
                </c:pt>
                <c:pt idx="75">
                  <c:v>10816.003720528197</c:v>
                </c:pt>
                <c:pt idx="76">
                  <c:v>10808.713738295304</c:v>
                </c:pt>
                <c:pt idx="77">
                  <c:v>10801.423756062411</c:v>
                </c:pt>
                <c:pt idx="78">
                  <c:v>10794.133773829519</c:v>
                </c:pt>
                <c:pt idx="79">
                  <c:v>10786.843791596624</c:v>
                </c:pt>
                <c:pt idx="80">
                  <c:v>10779.553809363731</c:v>
                </c:pt>
                <c:pt idx="81">
                  <c:v>10772.263827130839</c:v>
                </c:pt>
                <c:pt idx="82">
                  <c:v>10764.973844897944</c:v>
                </c:pt>
                <c:pt idx="83">
                  <c:v>10757.683862665051</c:v>
                </c:pt>
                <c:pt idx="84">
                  <c:v>10750.393880432159</c:v>
                </c:pt>
                <c:pt idx="85">
                  <c:v>10743.103898199266</c:v>
                </c:pt>
                <c:pt idx="86">
                  <c:v>10735.813915966373</c:v>
                </c:pt>
                <c:pt idx="87">
                  <c:v>10728.523933733479</c:v>
                </c:pt>
                <c:pt idx="88">
                  <c:v>10721.233951500586</c:v>
                </c:pt>
                <c:pt idx="89">
                  <c:v>10713.943969267693</c:v>
                </c:pt>
                <c:pt idx="90">
                  <c:v>10706.653987034801</c:v>
                </c:pt>
                <c:pt idx="91">
                  <c:v>10699.364004801908</c:v>
                </c:pt>
                <c:pt idx="92">
                  <c:v>10692.074022569013</c:v>
                </c:pt>
                <c:pt idx="93">
                  <c:v>10684.784040336121</c:v>
                </c:pt>
                <c:pt idx="94">
                  <c:v>10677.494058103228</c:v>
                </c:pt>
                <c:pt idx="95">
                  <c:v>10670.204075870333</c:v>
                </c:pt>
                <c:pt idx="96">
                  <c:v>10662.914093637441</c:v>
                </c:pt>
                <c:pt idx="97">
                  <c:v>10655.624111404548</c:v>
                </c:pt>
                <c:pt idx="98">
                  <c:v>10648.334129171655</c:v>
                </c:pt>
                <c:pt idx="99">
                  <c:v>10641.044146938762</c:v>
                </c:pt>
                <c:pt idx="100">
                  <c:v>10633.754164705868</c:v>
                </c:pt>
                <c:pt idx="101">
                  <c:v>10626.464182472975</c:v>
                </c:pt>
                <c:pt idx="102">
                  <c:v>10619.174200240082</c:v>
                </c:pt>
                <c:pt idx="103">
                  <c:v>10611.884218007188</c:v>
                </c:pt>
                <c:pt idx="104">
                  <c:v>10604.594235774295</c:v>
                </c:pt>
                <c:pt idx="105">
                  <c:v>10597.304253541402</c:v>
                </c:pt>
                <c:pt idx="106">
                  <c:v>10590.01427130851</c:v>
                </c:pt>
                <c:pt idx="107">
                  <c:v>10582.724289075617</c:v>
                </c:pt>
                <c:pt idx="108">
                  <c:v>10575.434306842722</c:v>
                </c:pt>
                <c:pt idx="109">
                  <c:v>10568.14432460983</c:v>
                </c:pt>
                <c:pt idx="110">
                  <c:v>10560.854342376937</c:v>
                </c:pt>
                <c:pt idx="111">
                  <c:v>10553.564360144042</c:v>
                </c:pt>
                <c:pt idx="112">
                  <c:v>10546.27437791115</c:v>
                </c:pt>
                <c:pt idx="113">
                  <c:v>10538.984395678257</c:v>
                </c:pt>
                <c:pt idx="114">
                  <c:v>10531.694413445364</c:v>
                </c:pt>
                <c:pt idx="115">
                  <c:v>10524.404431212472</c:v>
                </c:pt>
                <c:pt idx="116">
                  <c:v>10517.114448979577</c:v>
                </c:pt>
                <c:pt idx="117">
                  <c:v>10509.824466746684</c:v>
                </c:pt>
                <c:pt idx="118">
                  <c:v>10502.534484513792</c:v>
                </c:pt>
                <c:pt idx="119">
                  <c:v>10495.244502280897</c:v>
                </c:pt>
                <c:pt idx="120">
                  <c:v>10487.954520048004</c:v>
                </c:pt>
                <c:pt idx="121">
                  <c:v>10480.664537815112</c:v>
                </c:pt>
                <c:pt idx="122">
                  <c:v>10473.374555582219</c:v>
                </c:pt>
                <c:pt idx="123">
                  <c:v>10466.084573349326</c:v>
                </c:pt>
                <c:pt idx="124">
                  <c:v>10458.794591116432</c:v>
                </c:pt>
                <c:pt idx="125">
                  <c:v>10451.504608883539</c:v>
                </c:pt>
                <c:pt idx="126">
                  <c:v>10444.214626650646</c:v>
                </c:pt>
                <c:pt idx="127">
                  <c:v>10436.924644417753</c:v>
                </c:pt>
                <c:pt idx="128">
                  <c:v>10429.634662184861</c:v>
                </c:pt>
                <c:pt idx="129">
                  <c:v>10422.344679951966</c:v>
                </c:pt>
                <c:pt idx="130">
                  <c:v>10415.054697719073</c:v>
                </c:pt>
                <c:pt idx="131">
                  <c:v>10407.764715486181</c:v>
                </c:pt>
                <c:pt idx="132">
                  <c:v>10400.474733253286</c:v>
                </c:pt>
                <c:pt idx="133">
                  <c:v>10393.184751020393</c:v>
                </c:pt>
                <c:pt idx="134">
                  <c:v>10385.894768787501</c:v>
                </c:pt>
                <c:pt idx="135">
                  <c:v>10378.604786554608</c:v>
                </c:pt>
                <c:pt idx="136">
                  <c:v>10371.314804321715</c:v>
                </c:pt>
                <c:pt idx="137">
                  <c:v>10364.024822088821</c:v>
                </c:pt>
                <c:pt idx="138">
                  <c:v>10356.734839855928</c:v>
                </c:pt>
                <c:pt idx="139">
                  <c:v>10349.444857623035</c:v>
                </c:pt>
                <c:pt idx="140">
                  <c:v>10342.154875390141</c:v>
                </c:pt>
                <c:pt idx="141">
                  <c:v>10334.864893157248</c:v>
                </c:pt>
                <c:pt idx="142">
                  <c:v>10327.574910924355</c:v>
                </c:pt>
                <c:pt idx="143">
                  <c:v>10320.284928691462</c:v>
                </c:pt>
                <c:pt idx="144">
                  <c:v>10312.99494645857</c:v>
                </c:pt>
                <c:pt idx="145">
                  <c:v>10305.704964225675</c:v>
                </c:pt>
                <c:pt idx="146">
                  <c:v>10298.414981992782</c:v>
                </c:pt>
                <c:pt idx="147">
                  <c:v>10291.12499975989</c:v>
                </c:pt>
                <c:pt idx="148">
                  <c:v>10283.835017526995</c:v>
                </c:pt>
                <c:pt idx="149">
                  <c:v>10276.545035294102</c:v>
                </c:pt>
                <c:pt idx="150">
                  <c:v>10269.25505306121</c:v>
                </c:pt>
                <c:pt idx="151">
                  <c:v>10261.965070828317</c:v>
                </c:pt>
                <c:pt idx="152">
                  <c:v>10254.675088595424</c:v>
                </c:pt>
                <c:pt idx="153">
                  <c:v>10247.38510636253</c:v>
                </c:pt>
                <c:pt idx="154">
                  <c:v>10240.095124129637</c:v>
                </c:pt>
                <c:pt idx="155">
                  <c:v>10232.805141896744</c:v>
                </c:pt>
                <c:pt idx="156">
                  <c:v>10225.51515966385</c:v>
                </c:pt>
                <c:pt idx="157">
                  <c:v>10218.225177430959</c:v>
                </c:pt>
                <c:pt idx="158">
                  <c:v>10210.935195198064</c:v>
                </c:pt>
                <c:pt idx="159">
                  <c:v>10203.645212965172</c:v>
                </c:pt>
                <c:pt idx="160">
                  <c:v>10196.355230732279</c:v>
                </c:pt>
                <c:pt idx="161">
                  <c:v>10189.065248499384</c:v>
                </c:pt>
                <c:pt idx="162">
                  <c:v>10181.775266266492</c:v>
                </c:pt>
                <c:pt idx="163">
                  <c:v>10174.485284033599</c:v>
                </c:pt>
                <c:pt idx="164">
                  <c:v>10167.195301800706</c:v>
                </c:pt>
                <c:pt idx="165">
                  <c:v>10159.905319567813</c:v>
                </c:pt>
                <c:pt idx="166">
                  <c:v>10152.615337334919</c:v>
                </c:pt>
                <c:pt idx="167">
                  <c:v>10145.325355102026</c:v>
                </c:pt>
                <c:pt idx="168">
                  <c:v>10138.035372869133</c:v>
                </c:pt>
                <c:pt idx="169">
                  <c:v>10130.745390636239</c:v>
                </c:pt>
                <c:pt idx="170">
                  <c:v>10123.455408403346</c:v>
                </c:pt>
                <c:pt idx="171">
                  <c:v>10116.165426170453</c:v>
                </c:pt>
                <c:pt idx="172">
                  <c:v>10108.875443937561</c:v>
                </c:pt>
                <c:pt idx="173">
                  <c:v>10101.585461704668</c:v>
                </c:pt>
                <c:pt idx="174">
                  <c:v>10094.295479471773</c:v>
                </c:pt>
                <c:pt idx="175">
                  <c:v>10087.005497238881</c:v>
                </c:pt>
                <c:pt idx="176">
                  <c:v>10079.715515005988</c:v>
                </c:pt>
                <c:pt idx="177">
                  <c:v>10072.425532773093</c:v>
                </c:pt>
                <c:pt idx="178">
                  <c:v>10065.135550540201</c:v>
                </c:pt>
                <c:pt idx="179">
                  <c:v>10057.845568307308</c:v>
                </c:pt>
                <c:pt idx="180">
                  <c:v>10050.555586074415</c:v>
                </c:pt>
                <c:pt idx="181">
                  <c:v>10043.265603841523</c:v>
                </c:pt>
                <c:pt idx="182">
                  <c:v>10035.975621608628</c:v>
                </c:pt>
                <c:pt idx="183">
                  <c:v>10028.685639375735</c:v>
                </c:pt>
                <c:pt idx="184">
                  <c:v>10021.395657142843</c:v>
                </c:pt>
                <c:pt idx="185">
                  <c:v>10014.105674909948</c:v>
                </c:pt>
                <c:pt idx="186">
                  <c:v>10006.815692677055</c:v>
                </c:pt>
                <c:pt idx="187">
                  <c:v>9999.5257104441625</c:v>
                </c:pt>
                <c:pt idx="188">
                  <c:v>9992.2357282112698</c:v>
                </c:pt>
                <c:pt idx="189">
                  <c:v>9984.9457459783771</c:v>
                </c:pt>
                <c:pt idx="190">
                  <c:v>9977.6557637454825</c:v>
                </c:pt>
                <c:pt idx="191">
                  <c:v>9970.3657815125898</c:v>
                </c:pt>
                <c:pt idx="192">
                  <c:v>9963.0757992796971</c:v>
                </c:pt>
                <c:pt idx="193">
                  <c:v>9955.7858170468044</c:v>
                </c:pt>
                <c:pt idx="194">
                  <c:v>9948.4958348139116</c:v>
                </c:pt>
                <c:pt idx="195">
                  <c:v>9941.2058525810171</c:v>
                </c:pt>
                <c:pt idx="196">
                  <c:v>9933.9158703481244</c:v>
                </c:pt>
                <c:pt idx="197">
                  <c:v>9926.6258881152316</c:v>
                </c:pt>
                <c:pt idx="198">
                  <c:v>9919.3359058823371</c:v>
                </c:pt>
                <c:pt idx="199">
                  <c:v>9912.0459236494444</c:v>
                </c:pt>
                <c:pt idx="200">
                  <c:v>9904.7559414165517</c:v>
                </c:pt>
                <c:pt idx="201">
                  <c:v>9897.4659591836589</c:v>
                </c:pt>
                <c:pt idx="202">
                  <c:v>9890.1759769507662</c:v>
                </c:pt>
                <c:pt idx="203">
                  <c:v>9882.8859947178717</c:v>
                </c:pt>
                <c:pt idx="204">
                  <c:v>9875.5960124849789</c:v>
                </c:pt>
                <c:pt idx="205">
                  <c:v>9868.3060302520862</c:v>
                </c:pt>
                <c:pt idx="206">
                  <c:v>9861.0160480191917</c:v>
                </c:pt>
                <c:pt idx="207">
                  <c:v>9853.7260657862989</c:v>
                </c:pt>
                <c:pt idx="208">
                  <c:v>9846.4360835534062</c:v>
                </c:pt>
                <c:pt idx="209">
                  <c:v>9839.1461013205135</c:v>
                </c:pt>
                <c:pt idx="210">
                  <c:v>9831.8561190876208</c:v>
                </c:pt>
                <c:pt idx="211">
                  <c:v>9824.5661368547262</c:v>
                </c:pt>
                <c:pt idx="212">
                  <c:v>9817.2761546218335</c:v>
                </c:pt>
                <c:pt idx="213">
                  <c:v>9809.9861723889408</c:v>
                </c:pt>
                <c:pt idx="214">
                  <c:v>9802.6961901560462</c:v>
                </c:pt>
                <c:pt idx="215">
                  <c:v>9795.4062079231535</c:v>
                </c:pt>
                <c:pt idx="216">
                  <c:v>9788.1162256902608</c:v>
                </c:pt>
                <c:pt idx="217">
                  <c:v>9780.826243457368</c:v>
                </c:pt>
                <c:pt idx="218">
                  <c:v>9773.5362612244753</c:v>
                </c:pt>
                <c:pt idx="219">
                  <c:v>9766.2462789915808</c:v>
                </c:pt>
                <c:pt idx="220">
                  <c:v>9758.956296758688</c:v>
                </c:pt>
                <c:pt idx="221">
                  <c:v>9751.6663145257953</c:v>
                </c:pt>
                <c:pt idx="222">
                  <c:v>9744.3763322929008</c:v>
                </c:pt>
                <c:pt idx="223">
                  <c:v>9737.086350060008</c:v>
                </c:pt>
                <c:pt idx="224">
                  <c:v>9729.7963678271153</c:v>
                </c:pt>
                <c:pt idx="225">
                  <c:v>9722.5063855942226</c:v>
                </c:pt>
                <c:pt idx="226">
                  <c:v>9715.2164033613299</c:v>
                </c:pt>
                <c:pt idx="227">
                  <c:v>9707.9264211284353</c:v>
                </c:pt>
                <c:pt idx="228">
                  <c:v>9700.6364388955426</c:v>
                </c:pt>
                <c:pt idx="229">
                  <c:v>9693.3464566626499</c:v>
                </c:pt>
                <c:pt idx="230">
                  <c:v>9686.0564744297571</c:v>
                </c:pt>
                <c:pt idx="231">
                  <c:v>9678.7664921968644</c:v>
                </c:pt>
                <c:pt idx="232">
                  <c:v>9671.4765099639699</c:v>
                </c:pt>
                <c:pt idx="233">
                  <c:v>9664.1865277310771</c:v>
                </c:pt>
                <c:pt idx="234">
                  <c:v>9656.8965454981844</c:v>
                </c:pt>
                <c:pt idx="235">
                  <c:v>9649.6065632652899</c:v>
                </c:pt>
                <c:pt idx="236">
                  <c:v>9642.3165810323972</c:v>
                </c:pt>
                <c:pt idx="237">
                  <c:v>9635.0265987995044</c:v>
                </c:pt>
                <c:pt idx="238">
                  <c:v>9627.7366165666117</c:v>
                </c:pt>
                <c:pt idx="239">
                  <c:v>9620.446634333719</c:v>
                </c:pt>
                <c:pt idx="240">
                  <c:v>9613.1566521008244</c:v>
                </c:pt>
                <c:pt idx="241">
                  <c:v>9605.8666698679317</c:v>
                </c:pt>
                <c:pt idx="242">
                  <c:v>9598.576687635039</c:v>
                </c:pt>
                <c:pt idx="243">
                  <c:v>9591.2867054021444</c:v>
                </c:pt>
                <c:pt idx="244">
                  <c:v>9583.9967231692517</c:v>
                </c:pt>
                <c:pt idx="245">
                  <c:v>9576.706740936359</c:v>
                </c:pt>
                <c:pt idx="246">
                  <c:v>9569.4167587034663</c:v>
                </c:pt>
                <c:pt idx="247">
                  <c:v>9562.1267764705735</c:v>
                </c:pt>
                <c:pt idx="248">
                  <c:v>9554.836794237679</c:v>
                </c:pt>
                <c:pt idx="249">
                  <c:v>9547.5468120047863</c:v>
                </c:pt>
                <c:pt idx="250">
                  <c:v>9540.2568297718935</c:v>
                </c:pt>
                <c:pt idx="251">
                  <c:v>9532.966847538999</c:v>
                </c:pt>
                <c:pt idx="252">
                  <c:v>9525.6768653061063</c:v>
                </c:pt>
                <c:pt idx="253">
                  <c:v>9518.3868830732135</c:v>
                </c:pt>
                <c:pt idx="254">
                  <c:v>9511.0969008403208</c:v>
                </c:pt>
                <c:pt idx="255">
                  <c:v>9503.8069186074281</c:v>
                </c:pt>
                <c:pt idx="256">
                  <c:v>9496.5169363745335</c:v>
                </c:pt>
                <c:pt idx="257">
                  <c:v>9489.2269541416408</c:v>
                </c:pt>
                <c:pt idx="258">
                  <c:v>9481.9369719087481</c:v>
                </c:pt>
                <c:pt idx="259">
                  <c:v>9474.6469896758535</c:v>
                </c:pt>
                <c:pt idx="260">
                  <c:v>9467.3570074429608</c:v>
                </c:pt>
                <c:pt idx="261">
                  <c:v>9460.0670252100681</c:v>
                </c:pt>
                <c:pt idx="262">
                  <c:v>9452.7770429771754</c:v>
                </c:pt>
                <c:pt idx="263">
                  <c:v>9445.4870607442826</c:v>
                </c:pt>
                <c:pt idx="264">
                  <c:v>9438.1970785113881</c:v>
                </c:pt>
                <c:pt idx="265">
                  <c:v>9430.9070962784954</c:v>
                </c:pt>
                <c:pt idx="266">
                  <c:v>9423.6171140456026</c:v>
                </c:pt>
                <c:pt idx="267">
                  <c:v>9416.3271318127099</c:v>
                </c:pt>
                <c:pt idx="268">
                  <c:v>9409.0371495798172</c:v>
                </c:pt>
                <c:pt idx="269">
                  <c:v>9401.7471673469227</c:v>
                </c:pt>
                <c:pt idx="270">
                  <c:v>9394.4571851140299</c:v>
                </c:pt>
                <c:pt idx="271">
                  <c:v>9387.1672028811372</c:v>
                </c:pt>
                <c:pt idx="272">
                  <c:v>9379.8772206482427</c:v>
                </c:pt>
                <c:pt idx="273">
                  <c:v>9372.5872384153499</c:v>
                </c:pt>
                <c:pt idx="274">
                  <c:v>9365.2972561824572</c:v>
                </c:pt>
                <c:pt idx="275">
                  <c:v>9358.0072739495645</c:v>
                </c:pt>
                <c:pt idx="276">
                  <c:v>9350.7172917166718</c:v>
                </c:pt>
                <c:pt idx="277">
                  <c:v>9343.4273094837772</c:v>
                </c:pt>
                <c:pt idx="278">
                  <c:v>9336.1373272508845</c:v>
                </c:pt>
                <c:pt idx="279">
                  <c:v>9328.8473450179918</c:v>
                </c:pt>
                <c:pt idx="280">
                  <c:v>9321.5573627850972</c:v>
                </c:pt>
                <c:pt idx="281">
                  <c:v>9314.2673805522045</c:v>
                </c:pt>
                <c:pt idx="282">
                  <c:v>9306.9773983193118</c:v>
                </c:pt>
                <c:pt idx="283">
                  <c:v>9299.687416086419</c:v>
                </c:pt>
                <c:pt idx="284">
                  <c:v>9292.3974338535263</c:v>
                </c:pt>
                <c:pt idx="285">
                  <c:v>9285.1074516206318</c:v>
                </c:pt>
                <c:pt idx="286">
                  <c:v>9277.817469387739</c:v>
                </c:pt>
                <c:pt idx="287">
                  <c:v>9270.5274871548463</c:v>
                </c:pt>
                <c:pt idx="288">
                  <c:v>9263.2375049219518</c:v>
                </c:pt>
                <c:pt idx="289">
                  <c:v>9255.947522689059</c:v>
                </c:pt>
                <c:pt idx="290">
                  <c:v>9248.6575404561663</c:v>
                </c:pt>
                <c:pt idx="291">
                  <c:v>9241.3675582232736</c:v>
                </c:pt>
                <c:pt idx="292">
                  <c:v>9234.0775759903809</c:v>
                </c:pt>
                <c:pt idx="293">
                  <c:v>9226.7875937574863</c:v>
                </c:pt>
                <c:pt idx="294">
                  <c:v>9219.4976115245936</c:v>
                </c:pt>
                <c:pt idx="295">
                  <c:v>9212.2076292917009</c:v>
                </c:pt>
                <c:pt idx="296">
                  <c:v>9204.9176470588063</c:v>
                </c:pt>
                <c:pt idx="297">
                  <c:v>9197.6276648259154</c:v>
                </c:pt>
                <c:pt idx="298">
                  <c:v>9190.3376825930209</c:v>
                </c:pt>
                <c:pt idx="299">
                  <c:v>9183.0477003601281</c:v>
                </c:pt>
                <c:pt idx="300">
                  <c:v>9175.7577181272354</c:v>
                </c:pt>
                <c:pt idx="301">
                  <c:v>9168.4677358943409</c:v>
                </c:pt>
                <c:pt idx="302">
                  <c:v>9161.1777536614482</c:v>
                </c:pt>
                <c:pt idx="303">
                  <c:v>9153.8877714285554</c:v>
                </c:pt>
                <c:pt idx="304">
                  <c:v>9146.5977891956627</c:v>
                </c:pt>
                <c:pt idx="305">
                  <c:v>9139.30780696277</c:v>
                </c:pt>
                <c:pt idx="306">
                  <c:v>9132.0178247298754</c:v>
                </c:pt>
                <c:pt idx="307">
                  <c:v>9124.7278424969827</c:v>
                </c:pt>
                <c:pt idx="308">
                  <c:v>9117.43786026409</c:v>
                </c:pt>
                <c:pt idx="309">
                  <c:v>9110.1478780311954</c:v>
                </c:pt>
                <c:pt idx="310">
                  <c:v>9102.8578957983027</c:v>
                </c:pt>
                <c:pt idx="311">
                  <c:v>9095.56791356541</c:v>
                </c:pt>
                <c:pt idx="312">
                  <c:v>9088.2779313325154</c:v>
                </c:pt>
                <c:pt idx="313">
                  <c:v>9080.9879490996245</c:v>
                </c:pt>
                <c:pt idx="314">
                  <c:v>9073.69796686673</c:v>
                </c:pt>
                <c:pt idx="315">
                  <c:v>9066.4079846338373</c:v>
                </c:pt>
                <c:pt idx="316">
                  <c:v>9059.1180024009445</c:v>
                </c:pt>
                <c:pt idx="317">
                  <c:v>9051.82802016805</c:v>
                </c:pt>
                <c:pt idx="318">
                  <c:v>9044.5380379351591</c:v>
                </c:pt>
                <c:pt idx="319">
                  <c:v>9037.2480557022645</c:v>
                </c:pt>
                <c:pt idx="320">
                  <c:v>9029.9580734693718</c:v>
                </c:pt>
                <c:pt idx="321">
                  <c:v>9022.6680912364791</c:v>
                </c:pt>
                <c:pt idx="322">
                  <c:v>9015.3781090035845</c:v>
                </c:pt>
                <c:pt idx="323">
                  <c:v>9008.0881267706918</c:v>
                </c:pt>
                <c:pt idx="324">
                  <c:v>9000.7981445377991</c:v>
                </c:pt>
                <c:pt idx="325">
                  <c:v>8993.5081623049045</c:v>
                </c:pt>
                <c:pt idx="326">
                  <c:v>8986.2181800720136</c:v>
                </c:pt>
                <c:pt idx="327">
                  <c:v>8978.9281978391191</c:v>
                </c:pt>
                <c:pt idx="328">
                  <c:v>8971.6382156062264</c:v>
                </c:pt>
                <c:pt idx="329">
                  <c:v>8964.3482333733336</c:v>
                </c:pt>
                <c:pt idx="330">
                  <c:v>8957.0582511404391</c:v>
                </c:pt>
                <c:pt idx="331">
                  <c:v>8949.7682689075464</c:v>
                </c:pt>
                <c:pt idx="332">
                  <c:v>8942.4782866746536</c:v>
                </c:pt>
                <c:pt idx="333">
                  <c:v>8935.1883044417591</c:v>
                </c:pt>
                <c:pt idx="334">
                  <c:v>8927.8983222088682</c:v>
                </c:pt>
                <c:pt idx="335">
                  <c:v>8920.6083399759736</c:v>
                </c:pt>
                <c:pt idx="336">
                  <c:v>8913.3183577430809</c:v>
                </c:pt>
                <c:pt idx="337">
                  <c:v>8906.0283755101882</c:v>
                </c:pt>
                <c:pt idx="338">
                  <c:v>8898.7383932772937</c:v>
                </c:pt>
                <c:pt idx="339">
                  <c:v>8891.4484110444009</c:v>
                </c:pt>
                <c:pt idx="340">
                  <c:v>8884.1584288115082</c:v>
                </c:pt>
                <c:pt idx="341">
                  <c:v>8876.8684465786137</c:v>
                </c:pt>
                <c:pt idx="342">
                  <c:v>8869.5784643457228</c:v>
                </c:pt>
                <c:pt idx="343">
                  <c:v>8862.2884821128282</c:v>
                </c:pt>
                <c:pt idx="344">
                  <c:v>8854.9984998799355</c:v>
                </c:pt>
                <c:pt idx="345">
                  <c:v>8847.7085176470428</c:v>
                </c:pt>
                <c:pt idx="346">
                  <c:v>8840.4185354141482</c:v>
                </c:pt>
                <c:pt idx="347">
                  <c:v>8833.1285531812555</c:v>
                </c:pt>
                <c:pt idx="348">
                  <c:v>8825.8385709483628</c:v>
                </c:pt>
                <c:pt idx="349">
                  <c:v>8818.5485887154682</c:v>
                </c:pt>
                <c:pt idx="350">
                  <c:v>8811.2586064825773</c:v>
                </c:pt>
                <c:pt idx="351">
                  <c:v>8803.9686242496828</c:v>
                </c:pt>
                <c:pt idx="352">
                  <c:v>8796.67864201679</c:v>
                </c:pt>
                <c:pt idx="353">
                  <c:v>8789.3886597838973</c:v>
                </c:pt>
                <c:pt idx="354">
                  <c:v>8782.0986775510028</c:v>
                </c:pt>
                <c:pt idx="355">
                  <c:v>8774.8086953181119</c:v>
                </c:pt>
                <c:pt idx="356">
                  <c:v>8767.5187130852173</c:v>
                </c:pt>
                <c:pt idx="357">
                  <c:v>8760.2287308523246</c:v>
                </c:pt>
                <c:pt idx="358">
                  <c:v>8752.9387486194319</c:v>
                </c:pt>
                <c:pt idx="359">
                  <c:v>8745.6487663865373</c:v>
                </c:pt>
                <c:pt idx="360">
                  <c:v>8738.3587841536446</c:v>
                </c:pt>
                <c:pt idx="361">
                  <c:v>8731.0688019207519</c:v>
                </c:pt>
                <c:pt idx="362">
                  <c:v>8723.7788196878573</c:v>
                </c:pt>
                <c:pt idx="363">
                  <c:v>8716.4888374549664</c:v>
                </c:pt>
                <c:pt idx="364">
                  <c:v>8709.1988552220719</c:v>
                </c:pt>
                <c:pt idx="365">
                  <c:v>8701.9088729891791</c:v>
                </c:pt>
                <c:pt idx="366">
                  <c:v>8694.6188907562864</c:v>
                </c:pt>
                <c:pt idx="367">
                  <c:v>8687.3289085233919</c:v>
                </c:pt>
                <c:pt idx="368">
                  <c:v>8680.0389262904991</c:v>
                </c:pt>
                <c:pt idx="369">
                  <c:v>8672.7489440576064</c:v>
                </c:pt>
                <c:pt idx="370">
                  <c:v>8665.4589618247119</c:v>
                </c:pt>
                <c:pt idx="371">
                  <c:v>8658.168979591821</c:v>
                </c:pt>
                <c:pt idx="372">
                  <c:v>8650.8789973589264</c:v>
                </c:pt>
                <c:pt idx="373">
                  <c:v>8643.5890151260337</c:v>
                </c:pt>
                <c:pt idx="374">
                  <c:v>8636.299032893141</c:v>
                </c:pt>
                <c:pt idx="375">
                  <c:v>8629.0090506602464</c:v>
                </c:pt>
                <c:pt idx="376">
                  <c:v>8621.7190684273537</c:v>
                </c:pt>
                <c:pt idx="377">
                  <c:v>8614.429086194461</c:v>
                </c:pt>
                <c:pt idx="378">
                  <c:v>8607.1391039615664</c:v>
                </c:pt>
                <c:pt idx="379">
                  <c:v>8599.8491217286755</c:v>
                </c:pt>
                <c:pt idx="380">
                  <c:v>8592.559139495781</c:v>
                </c:pt>
                <c:pt idx="381">
                  <c:v>8585.2691572628883</c:v>
                </c:pt>
                <c:pt idx="382">
                  <c:v>8577.9791750299955</c:v>
                </c:pt>
                <c:pt idx="383">
                  <c:v>8570.689192797101</c:v>
                </c:pt>
                <c:pt idx="384">
                  <c:v>8563.3992105642083</c:v>
                </c:pt>
                <c:pt idx="385">
                  <c:v>8556.1092283313155</c:v>
                </c:pt>
                <c:pt idx="386">
                  <c:v>8548.8192460984228</c:v>
                </c:pt>
                <c:pt idx="387">
                  <c:v>8541.5292638655301</c:v>
                </c:pt>
                <c:pt idx="388">
                  <c:v>8534.2392816326355</c:v>
                </c:pt>
                <c:pt idx="389">
                  <c:v>8526.9492993997428</c:v>
                </c:pt>
                <c:pt idx="390">
                  <c:v>8519.6593171668501</c:v>
                </c:pt>
                <c:pt idx="391">
                  <c:v>8512.3693349339574</c:v>
                </c:pt>
                <c:pt idx="392">
                  <c:v>8505.0793527010646</c:v>
                </c:pt>
                <c:pt idx="393">
                  <c:v>8497.7893704681719</c:v>
                </c:pt>
                <c:pt idx="394">
                  <c:v>8490.4993882352792</c:v>
                </c:pt>
                <c:pt idx="395">
                  <c:v>8483.2094060023865</c:v>
                </c:pt>
                <c:pt idx="396">
                  <c:v>8475.9194237694937</c:v>
                </c:pt>
                <c:pt idx="397">
                  <c:v>8468.629441536601</c:v>
                </c:pt>
                <c:pt idx="398">
                  <c:v>8461.3394593037083</c:v>
                </c:pt>
                <c:pt idx="399">
                  <c:v>8454.0494770708156</c:v>
                </c:pt>
                <c:pt idx="400">
                  <c:v>8446.7594948379228</c:v>
                </c:pt>
                <c:pt idx="401">
                  <c:v>8439.4695126050301</c:v>
                </c:pt>
                <c:pt idx="402">
                  <c:v>8432.1795303721374</c:v>
                </c:pt>
                <c:pt idx="403">
                  <c:v>8424.8895481392465</c:v>
                </c:pt>
                <c:pt idx="404">
                  <c:v>8417.5995659063519</c:v>
                </c:pt>
                <c:pt idx="405">
                  <c:v>8410.309583673461</c:v>
                </c:pt>
                <c:pt idx="406">
                  <c:v>8403.0196014405665</c:v>
                </c:pt>
                <c:pt idx="407">
                  <c:v>8395.7296192076756</c:v>
                </c:pt>
                <c:pt idx="408">
                  <c:v>8388.439636974781</c:v>
                </c:pt>
                <c:pt idx="409">
                  <c:v>8381.1496547418901</c:v>
                </c:pt>
                <c:pt idx="410">
                  <c:v>8373.8596725089956</c:v>
                </c:pt>
                <c:pt idx="411">
                  <c:v>8366.5696902761047</c:v>
                </c:pt>
                <c:pt idx="412">
                  <c:v>8359.2797080432101</c:v>
                </c:pt>
                <c:pt idx="413">
                  <c:v>8351.9897258103192</c:v>
                </c:pt>
                <c:pt idx="414">
                  <c:v>8344.6997435774265</c:v>
                </c:pt>
                <c:pt idx="415">
                  <c:v>8337.4097613445338</c:v>
                </c:pt>
                <c:pt idx="416">
                  <c:v>8330.119779111641</c:v>
                </c:pt>
                <c:pt idx="417">
                  <c:v>8322.8297968787483</c:v>
                </c:pt>
                <c:pt idx="418">
                  <c:v>8315.5398146458556</c:v>
                </c:pt>
                <c:pt idx="419">
                  <c:v>8308.2498324129629</c:v>
                </c:pt>
                <c:pt idx="420">
                  <c:v>8300.9598501800701</c:v>
                </c:pt>
                <c:pt idx="421">
                  <c:v>8293.6698679471774</c:v>
                </c:pt>
                <c:pt idx="422">
                  <c:v>8286.3798857142847</c:v>
                </c:pt>
                <c:pt idx="423">
                  <c:v>8279.089903481392</c:v>
                </c:pt>
                <c:pt idx="424">
                  <c:v>8271.7999212484992</c:v>
                </c:pt>
                <c:pt idx="425">
                  <c:v>8264.5099390156065</c:v>
                </c:pt>
                <c:pt idx="426">
                  <c:v>8257.2199567827156</c:v>
                </c:pt>
                <c:pt idx="427">
                  <c:v>8249.9299745498211</c:v>
                </c:pt>
                <c:pt idx="428">
                  <c:v>8242.6399923169301</c:v>
                </c:pt>
                <c:pt idx="429">
                  <c:v>8235.3500100840356</c:v>
                </c:pt>
                <c:pt idx="430">
                  <c:v>8228.0600278511447</c:v>
                </c:pt>
                <c:pt idx="431">
                  <c:v>8220.7700456182502</c:v>
                </c:pt>
                <c:pt idx="432">
                  <c:v>8213.4800633853592</c:v>
                </c:pt>
                <c:pt idx="433">
                  <c:v>8206.1900811524647</c:v>
                </c:pt>
                <c:pt idx="434">
                  <c:v>8198.9000989195738</c:v>
                </c:pt>
                <c:pt idx="435">
                  <c:v>8191.6101166866802</c:v>
                </c:pt>
                <c:pt idx="436">
                  <c:v>8184.3201344537874</c:v>
                </c:pt>
                <c:pt idx="437">
                  <c:v>8177.0301522208956</c:v>
                </c:pt>
                <c:pt idx="438">
                  <c:v>8169.7401699880029</c:v>
                </c:pt>
                <c:pt idx="439">
                  <c:v>8162.4501877551102</c:v>
                </c:pt>
                <c:pt idx="440">
                  <c:v>8155.1602055222174</c:v>
                </c:pt>
                <c:pt idx="441">
                  <c:v>8147.8702232893247</c:v>
                </c:pt>
                <c:pt idx="442">
                  <c:v>8140.580241056432</c:v>
                </c:pt>
                <c:pt idx="443">
                  <c:v>8133.2902588235393</c:v>
                </c:pt>
                <c:pt idx="444">
                  <c:v>8126.0002765906465</c:v>
                </c:pt>
                <c:pt idx="445">
                  <c:v>8118.7102943577538</c:v>
                </c:pt>
                <c:pt idx="446">
                  <c:v>8111.4203121248611</c:v>
                </c:pt>
                <c:pt idx="447">
                  <c:v>8104.1303298919684</c:v>
                </c:pt>
                <c:pt idx="448">
                  <c:v>8096.8403476590756</c:v>
                </c:pt>
                <c:pt idx="449">
                  <c:v>8089.5503654261838</c:v>
                </c:pt>
                <c:pt idx="450">
                  <c:v>8089.5503654261838</c:v>
                </c:pt>
                <c:pt idx="451">
                  <c:v>8089.5503654261838</c:v>
                </c:pt>
                <c:pt idx="452">
                  <c:v>8089.5503654261838</c:v>
                </c:pt>
                <c:pt idx="453">
                  <c:v>8089.5503654261838</c:v>
                </c:pt>
                <c:pt idx="454">
                  <c:v>8089.5503654261838</c:v>
                </c:pt>
                <c:pt idx="455">
                  <c:v>8089.5503654261838</c:v>
                </c:pt>
                <c:pt idx="456">
                  <c:v>8089.5503654261838</c:v>
                </c:pt>
                <c:pt idx="457">
                  <c:v>8089.5503654261838</c:v>
                </c:pt>
                <c:pt idx="458">
                  <c:v>8089.5503654261838</c:v>
                </c:pt>
                <c:pt idx="459">
                  <c:v>8089.5503654261838</c:v>
                </c:pt>
                <c:pt idx="460">
                  <c:v>8089.5503654261838</c:v>
                </c:pt>
                <c:pt idx="461">
                  <c:v>8089.5503654261838</c:v>
                </c:pt>
                <c:pt idx="462">
                  <c:v>8089.5503654261838</c:v>
                </c:pt>
                <c:pt idx="463">
                  <c:v>8089.5503654261838</c:v>
                </c:pt>
                <c:pt idx="464">
                  <c:v>8089.5503654261838</c:v>
                </c:pt>
                <c:pt idx="465">
                  <c:v>8089.5503654261838</c:v>
                </c:pt>
                <c:pt idx="466">
                  <c:v>8089.5503654261838</c:v>
                </c:pt>
                <c:pt idx="467">
                  <c:v>8089.5503654261838</c:v>
                </c:pt>
                <c:pt idx="468">
                  <c:v>8089.5503654261838</c:v>
                </c:pt>
                <c:pt idx="469">
                  <c:v>8089.5503654261838</c:v>
                </c:pt>
                <c:pt idx="470">
                  <c:v>8089.5503654261838</c:v>
                </c:pt>
                <c:pt idx="471">
                  <c:v>8089.5503654261838</c:v>
                </c:pt>
                <c:pt idx="472">
                  <c:v>8089.5503654261838</c:v>
                </c:pt>
                <c:pt idx="473">
                  <c:v>8089.5503654261838</c:v>
                </c:pt>
                <c:pt idx="474">
                  <c:v>8089.5503654261838</c:v>
                </c:pt>
                <c:pt idx="475">
                  <c:v>8089.5503654261838</c:v>
                </c:pt>
                <c:pt idx="476">
                  <c:v>8089.5503654261838</c:v>
                </c:pt>
                <c:pt idx="477">
                  <c:v>8089.5503654261838</c:v>
                </c:pt>
                <c:pt idx="478">
                  <c:v>8089.5503654261838</c:v>
                </c:pt>
                <c:pt idx="479">
                  <c:v>8089.5503654261838</c:v>
                </c:pt>
                <c:pt idx="480">
                  <c:v>8089.5503654261838</c:v>
                </c:pt>
                <c:pt idx="481">
                  <c:v>8089.5503654261838</c:v>
                </c:pt>
                <c:pt idx="482">
                  <c:v>8089.5503654261838</c:v>
                </c:pt>
                <c:pt idx="483">
                  <c:v>8089.5503654261838</c:v>
                </c:pt>
                <c:pt idx="484">
                  <c:v>8089.5503654261838</c:v>
                </c:pt>
                <c:pt idx="485">
                  <c:v>8089.5503654261838</c:v>
                </c:pt>
                <c:pt idx="486">
                  <c:v>8089.5503654261838</c:v>
                </c:pt>
                <c:pt idx="487">
                  <c:v>8089.5503654261838</c:v>
                </c:pt>
                <c:pt idx="488">
                  <c:v>8089.5503654261838</c:v>
                </c:pt>
                <c:pt idx="489">
                  <c:v>8089.5503654261838</c:v>
                </c:pt>
                <c:pt idx="490">
                  <c:v>8089.5503654261838</c:v>
                </c:pt>
                <c:pt idx="491">
                  <c:v>8089.5503654261838</c:v>
                </c:pt>
                <c:pt idx="492">
                  <c:v>8089.5503654261838</c:v>
                </c:pt>
                <c:pt idx="493">
                  <c:v>8089.5503654261838</c:v>
                </c:pt>
                <c:pt idx="494">
                  <c:v>8089.5503654261838</c:v>
                </c:pt>
                <c:pt idx="495">
                  <c:v>8089.5503654261838</c:v>
                </c:pt>
                <c:pt idx="496">
                  <c:v>8089.5503654261838</c:v>
                </c:pt>
                <c:pt idx="497">
                  <c:v>8089.5503654261838</c:v>
                </c:pt>
                <c:pt idx="498">
                  <c:v>8089.5503654261838</c:v>
                </c:pt>
                <c:pt idx="499">
                  <c:v>8089.5503654261838</c:v>
                </c:pt>
                <c:pt idx="500">
                  <c:v>8089.5503654261838</c:v>
                </c:pt>
                <c:pt idx="501">
                  <c:v>8089.5503654261838</c:v>
                </c:pt>
                <c:pt idx="502">
                  <c:v>8089.5503654261838</c:v>
                </c:pt>
                <c:pt idx="503">
                  <c:v>8089.5503654261838</c:v>
                </c:pt>
                <c:pt idx="504">
                  <c:v>8089.5503654261838</c:v>
                </c:pt>
                <c:pt idx="505">
                  <c:v>8089.5503654261838</c:v>
                </c:pt>
                <c:pt idx="506">
                  <c:v>8089.5503654261838</c:v>
                </c:pt>
                <c:pt idx="507">
                  <c:v>8089.5503654261838</c:v>
                </c:pt>
                <c:pt idx="508">
                  <c:v>8089.5503654261838</c:v>
                </c:pt>
                <c:pt idx="509">
                  <c:v>8089.5503654261838</c:v>
                </c:pt>
                <c:pt idx="510">
                  <c:v>8089.5503654261838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C06-4ACB-84BA-8940E7FDB0D9}"/>
            </c:ext>
          </c:extLst>
        </c:ser>
        <c:ser>
          <c:idx val="1"/>
          <c:order val="6"/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Curves!$AK$2:$AK$512</c:f>
              <c:numCache>
                <c:formatCode>0.0</c:formatCode>
                <c:ptCount val="511"/>
                <c:pt idx="0">
                  <c:v>25</c:v>
                </c:pt>
                <c:pt idx="1">
                  <c:v>25.1</c:v>
                </c:pt>
                <c:pt idx="2">
                  <c:v>25.200000000000003</c:v>
                </c:pt>
                <c:pt idx="3">
                  <c:v>25.300000000000004</c:v>
                </c:pt>
                <c:pt idx="4">
                  <c:v>25.400000000000006</c:v>
                </c:pt>
                <c:pt idx="5">
                  <c:v>25.500000000000007</c:v>
                </c:pt>
                <c:pt idx="6">
                  <c:v>25.600000000000009</c:v>
                </c:pt>
                <c:pt idx="7">
                  <c:v>25.70000000000001</c:v>
                </c:pt>
                <c:pt idx="8">
                  <c:v>25.800000000000011</c:v>
                </c:pt>
                <c:pt idx="9">
                  <c:v>25.900000000000013</c:v>
                </c:pt>
                <c:pt idx="10">
                  <c:v>26.000000000000014</c:v>
                </c:pt>
                <c:pt idx="11">
                  <c:v>26.100000000000016</c:v>
                </c:pt>
                <c:pt idx="12">
                  <c:v>26.200000000000017</c:v>
                </c:pt>
                <c:pt idx="13">
                  <c:v>26.300000000000018</c:v>
                </c:pt>
                <c:pt idx="14">
                  <c:v>26.40000000000002</c:v>
                </c:pt>
                <c:pt idx="15">
                  <c:v>26.500000000000021</c:v>
                </c:pt>
                <c:pt idx="16">
                  <c:v>26.600000000000023</c:v>
                </c:pt>
                <c:pt idx="17">
                  <c:v>26.700000000000024</c:v>
                </c:pt>
                <c:pt idx="18">
                  <c:v>26.800000000000026</c:v>
                </c:pt>
                <c:pt idx="19">
                  <c:v>26.900000000000027</c:v>
                </c:pt>
                <c:pt idx="20">
                  <c:v>27.000000000000028</c:v>
                </c:pt>
                <c:pt idx="21">
                  <c:v>27.10000000000003</c:v>
                </c:pt>
                <c:pt idx="22">
                  <c:v>27.200000000000031</c:v>
                </c:pt>
                <c:pt idx="23">
                  <c:v>27.300000000000033</c:v>
                </c:pt>
                <c:pt idx="24">
                  <c:v>27.400000000000034</c:v>
                </c:pt>
                <c:pt idx="25">
                  <c:v>27.500000000000036</c:v>
                </c:pt>
                <c:pt idx="26">
                  <c:v>27.600000000000037</c:v>
                </c:pt>
                <c:pt idx="27">
                  <c:v>27.700000000000038</c:v>
                </c:pt>
                <c:pt idx="28">
                  <c:v>27.80000000000004</c:v>
                </c:pt>
                <c:pt idx="29">
                  <c:v>27.900000000000041</c:v>
                </c:pt>
                <c:pt idx="30">
                  <c:v>28.000000000000043</c:v>
                </c:pt>
                <c:pt idx="31">
                  <c:v>28.100000000000044</c:v>
                </c:pt>
                <c:pt idx="32">
                  <c:v>28.200000000000045</c:v>
                </c:pt>
                <c:pt idx="33">
                  <c:v>28.300000000000047</c:v>
                </c:pt>
                <c:pt idx="34">
                  <c:v>28.400000000000048</c:v>
                </c:pt>
                <c:pt idx="35">
                  <c:v>28.50000000000005</c:v>
                </c:pt>
                <c:pt idx="36">
                  <c:v>28.600000000000051</c:v>
                </c:pt>
                <c:pt idx="37">
                  <c:v>28.700000000000053</c:v>
                </c:pt>
                <c:pt idx="38">
                  <c:v>28.800000000000054</c:v>
                </c:pt>
                <c:pt idx="39">
                  <c:v>28.900000000000055</c:v>
                </c:pt>
                <c:pt idx="40">
                  <c:v>29.000000000000057</c:v>
                </c:pt>
                <c:pt idx="41">
                  <c:v>29.100000000000058</c:v>
                </c:pt>
                <c:pt idx="42">
                  <c:v>29.20000000000006</c:v>
                </c:pt>
                <c:pt idx="43">
                  <c:v>29.300000000000061</c:v>
                </c:pt>
                <c:pt idx="44">
                  <c:v>29.400000000000063</c:v>
                </c:pt>
                <c:pt idx="45">
                  <c:v>29.500000000000064</c:v>
                </c:pt>
                <c:pt idx="46">
                  <c:v>29.600000000000065</c:v>
                </c:pt>
                <c:pt idx="47">
                  <c:v>29.700000000000067</c:v>
                </c:pt>
                <c:pt idx="48">
                  <c:v>29.800000000000068</c:v>
                </c:pt>
                <c:pt idx="49">
                  <c:v>29.90000000000007</c:v>
                </c:pt>
                <c:pt idx="50">
                  <c:v>30.000000000000071</c:v>
                </c:pt>
                <c:pt idx="51">
                  <c:v>30.100000000000072</c:v>
                </c:pt>
                <c:pt idx="52">
                  <c:v>30.200000000000074</c:v>
                </c:pt>
                <c:pt idx="53">
                  <c:v>30.300000000000075</c:v>
                </c:pt>
                <c:pt idx="54">
                  <c:v>30.400000000000077</c:v>
                </c:pt>
                <c:pt idx="55">
                  <c:v>30.500000000000078</c:v>
                </c:pt>
                <c:pt idx="56">
                  <c:v>30.60000000000008</c:v>
                </c:pt>
                <c:pt idx="57">
                  <c:v>30.700000000000081</c:v>
                </c:pt>
                <c:pt idx="58">
                  <c:v>30.800000000000082</c:v>
                </c:pt>
                <c:pt idx="59">
                  <c:v>30.900000000000084</c:v>
                </c:pt>
                <c:pt idx="60">
                  <c:v>31.000000000000085</c:v>
                </c:pt>
                <c:pt idx="61">
                  <c:v>31.100000000000087</c:v>
                </c:pt>
                <c:pt idx="62">
                  <c:v>31.200000000000088</c:v>
                </c:pt>
                <c:pt idx="63">
                  <c:v>31.30000000000009</c:v>
                </c:pt>
                <c:pt idx="64">
                  <c:v>31.400000000000091</c:v>
                </c:pt>
                <c:pt idx="65">
                  <c:v>31.500000000000092</c:v>
                </c:pt>
                <c:pt idx="66">
                  <c:v>31.600000000000094</c:v>
                </c:pt>
                <c:pt idx="67">
                  <c:v>31.700000000000095</c:v>
                </c:pt>
                <c:pt idx="68">
                  <c:v>31.800000000000097</c:v>
                </c:pt>
                <c:pt idx="69">
                  <c:v>31.900000000000098</c:v>
                </c:pt>
                <c:pt idx="70">
                  <c:v>32.000000000000099</c:v>
                </c:pt>
                <c:pt idx="71">
                  <c:v>32.100000000000101</c:v>
                </c:pt>
                <c:pt idx="72">
                  <c:v>32.200000000000102</c:v>
                </c:pt>
                <c:pt idx="73">
                  <c:v>32.300000000000104</c:v>
                </c:pt>
                <c:pt idx="74">
                  <c:v>32.400000000000105</c:v>
                </c:pt>
                <c:pt idx="75">
                  <c:v>32.500000000000107</c:v>
                </c:pt>
                <c:pt idx="76">
                  <c:v>32.600000000000108</c:v>
                </c:pt>
                <c:pt idx="77">
                  <c:v>32.700000000000109</c:v>
                </c:pt>
                <c:pt idx="78">
                  <c:v>32.800000000000111</c:v>
                </c:pt>
                <c:pt idx="79">
                  <c:v>32.900000000000112</c:v>
                </c:pt>
                <c:pt idx="80">
                  <c:v>33.000000000000114</c:v>
                </c:pt>
                <c:pt idx="81">
                  <c:v>33.100000000000115</c:v>
                </c:pt>
                <c:pt idx="82">
                  <c:v>33.200000000000117</c:v>
                </c:pt>
                <c:pt idx="83">
                  <c:v>33.300000000000118</c:v>
                </c:pt>
                <c:pt idx="84">
                  <c:v>33.400000000000119</c:v>
                </c:pt>
                <c:pt idx="85">
                  <c:v>33.500000000000121</c:v>
                </c:pt>
                <c:pt idx="86">
                  <c:v>33.600000000000122</c:v>
                </c:pt>
                <c:pt idx="87">
                  <c:v>33.700000000000124</c:v>
                </c:pt>
                <c:pt idx="88">
                  <c:v>33.800000000000125</c:v>
                </c:pt>
                <c:pt idx="89">
                  <c:v>33.900000000000126</c:v>
                </c:pt>
                <c:pt idx="90">
                  <c:v>34.000000000000128</c:v>
                </c:pt>
                <c:pt idx="91">
                  <c:v>34.100000000000129</c:v>
                </c:pt>
                <c:pt idx="92">
                  <c:v>34.200000000000131</c:v>
                </c:pt>
                <c:pt idx="93">
                  <c:v>34.300000000000132</c:v>
                </c:pt>
                <c:pt idx="94">
                  <c:v>34.400000000000134</c:v>
                </c:pt>
                <c:pt idx="95">
                  <c:v>34.500000000000135</c:v>
                </c:pt>
                <c:pt idx="96">
                  <c:v>34.600000000000136</c:v>
                </c:pt>
                <c:pt idx="97">
                  <c:v>34.700000000000138</c:v>
                </c:pt>
                <c:pt idx="98">
                  <c:v>34.800000000000139</c:v>
                </c:pt>
                <c:pt idx="99">
                  <c:v>34.900000000000141</c:v>
                </c:pt>
                <c:pt idx="100">
                  <c:v>35.000000000000142</c:v>
                </c:pt>
                <c:pt idx="101">
                  <c:v>35.100000000000144</c:v>
                </c:pt>
                <c:pt idx="102">
                  <c:v>35.200000000000145</c:v>
                </c:pt>
                <c:pt idx="103">
                  <c:v>35.300000000000146</c:v>
                </c:pt>
                <c:pt idx="104">
                  <c:v>35.400000000000148</c:v>
                </c:pt>
                <c:pt idx="105">
                  <c:v>35.500000000000149</c:v>
                </c:pt>
                <c:pt idx="106">
                  <c:v>35.600000000000151</c:v>
                </c:pt>
                <c:pt idx="107">
                  <c:v>35.700000000000152</c:v>
                </c:pt>
                <c:pt idx="108">
                  <c:v>35.800000000000153</c:v>
                </c:pt>
                <c:pt idx="109">
                  <c:v>35.900000000000155</c:v>
                </c:pt>
                <c:pt idx="110">
                  <c:v>36.000000000000156</c:v>
                </c:pt>
                <c:pt idx="111">
                  <c:v>36.100000000000158</c:v>
                </c:pt>
                <c:pt idx="112">
                  <c:v>36.200000000000159</c:v>
                </c:pt>
                <c:pt idx="113">
                  <c:v>36.300000000000161</c:v>
                </c:pt>
                <c:pt idx="114">
                  <c:v>36.400000000000162</c:v>
                </c:pt>
                <c:pt idx="115">
                  <c:v>36.500000000000163</c:v>
                </c:pt>
                <c:pt idx="116">
                  <c:v>36.600000000000165</c:v>
                </c:pt>
                <c:pt idx="117">
                  <c:v>36.700000000000166</c:v>
                </c:pt>
                <c:pt idx="118">
                  <c:v>36.800000000000168</c:v>
                </c:pt>
                <c:pt idx="119">
                  <c:v>36.900000000000169</c:v>
                </c:pt>
                <c:pt idx="120">
                  <c:v>37.000000000000171</c:v>
                </c:pt>
                <c:pt idx="121">
                  <c:v>37.100000000000172</c:v>
                </c:pt>
                <c:pt idx="122">
                  <c:v>37.200000000000173</c:v>
                </c:pt>
                <c:pt idx="123">
                  <c:v>37.300000000000175</c:v>
                </c:pt>
                <c:pt idx="124">
                  <c:v>37.400000000000176</c:v>
                </c:pt>
                <c:pt idx="125">
                  <c:v>37.500000000000178</c:v>
                </c:pt>
                <c:pt idx="126">
                  <c:v>37.600000000000179</c:v>
                </c:pt>
                <c:pt idx="127">
                  <c:v>37.70000000000018</c:v>
                </c:pt>
                <c:pt idx="128">
                  <c:v>37.800000000000182</c:v>
                </c:pt>
                <c:pt idx="129">
                  <c:v>37.900000000000183</c:v>
                </c:pt>
                <c:pt idx="130">
                  <c:v>38.000000000000185</c:v>
                </c:pt>
                <c:pt idx="131">
                  <c:v>38.100000000000186</c:v>
                </c:pt>
                <c:pt idx="132">
                  <c:v>38.200000000000188</c:v>
                </c:pt>
                <c:pt idx="133">
                  <c:v>38.300000000000189</c:v>
                </c:pt>
                <c:pt idx="134">
                  <c:v>38.40000000000019</c:v>
                </c:pt>
                <c:pt idx="135">
                  <c:v>38.500000000000192</c:v>
                </c:pt>
                <c:pt idx="136">
                  <c:v>38.600000000000193</c:v>
                </c:pt>
                <c:pt idx="137">
                  <c:v>38.700000000000195</c:v>
                </c:pt>
                <c:pt idx="138">
                  <c:v>38.800000000000196</c:v>
                </c:pt>
                <c:pt idx="139">
                  <c:v>38.900000000000198</c:v>
                </c:pt>
                <c:pt idx="140">
                  <c:v>39.000000000000199</c:v>
                </c:pt>
                <c:pt idx="141">
                  <c:v>39.1000000000002</c:v>
                </c:pt>
                <c:pt idx="142">
                  <c:v>39.200000000000202</c:v>
                </c:pt>
                <c:pt idx="143">
                  <c:v>39.300000000000203</c:v>
                </c:pt>
                <c:pt idx="144">
                  <c:v>39.400000000000205</c:v>
                </c:pt>
                <c:pt idx="145">
                  <c:v>39.500000000000206</c:v>
                </c:pt>
                <c:pt idx="146">
                  <c:v>39.600000000000207</c:v>
                </c:pt>
                <c:pt idx="147">
                  <c:v>39.700000000000209</c:v>
                </c:pt>
                <c:pt idx="148">
                  <c:v>39.80000000000021</c:v>
                </c:pt>
                <c:pt idx="149">
                  <c:v>39.900000000000212</c:v>
                </c:pt>
                <c:pt idx="150">
                  <c:v>40.000000000000213</c:v>
                </c:pt>
                <c:pt idx="151">
                  <c:v>40.100000000000215</c:v>
                </c:pt>
                <c:pt idx="152">
                  <c:v>40.200000000000216</c:v>
                </c:pt>
                <c:pt idx="153">
                  <c:v>40.300000000000217</c:v>
                </c:pt>
                <c:pt idx="154">
                  <c:v>40.400000000000219</c:v>
                </c:pt>
                <c:pt idx="155">
                  <c:v>40.50000000000022</c:v>
                </c:pt>
                <c:pt idx="156">
                  <c:v>40.600000000000222</c:v>
                </c:pt>
                <c:pt idx="157">
                  <c:v>40.700000000000223</c:v>
                </c:pt>
                <c:pt idx="158">
                  <c:v>40.800000000000225</c:v>
                </c:pt>
                <c:pt idx="159">
                  <c:v>40.900000000000226</c:v>
                </c:pt>
                <c:pt idx="160">
                  <c:v>41.000000000000227</c:v>
                </c:pt>
                <c:pt idx="161">
                  <c:v>41.100000000000229</c:v>
                </c:pt>
                <c:pt idx="162">
                  <c:v>41.20000000000023</c:v>
                </c:pt>
                <c:pt idx="163">
                  <c:v>41.300000000000232</c:v>
                </c:pt>
                <c:pt idx="164">
                  <c:v>41.400000000000233</c:v>
                </c:pt>
                <c:pt idx="165">
                  <c:v>41.500000000000234</c:v>
                </c:pt>
                <c:pt idx="166">
                  <c:v>41.600000000000236</c:v>
                </c:pt>
                <c:pt idx="167">
                  <c:v>41.700000000000237</c:v>
                </c:pt>
                <c:pt idx="168">
                  <c:v>41.800000000000239</c:v>
                </c:pt>
                <c:pt idx="169">
                  <c:v>41.90000000000024</c:v>
                </c:pt>
                <c:pt idx="170">
                  <c:v>42.000000000000242</c:v>
                </c:pt>
                <c:pt idx="171">
                  <c:v>42.100000000000243</c:v>
                </c:pt>
                <c:pt idx="172">
                  <c:v>42.200000000000244</c:v>
                </c:pt>
                <c:pt idx="173">
                  <c:v>42.300000000000246</c:v>
                </c:pt>
                <c:pt idx="174">
                  <c:v>42.400000000000247</c:v>
                </c:pt>
                <c:pt idx="175">
                  <c:v>42.500000000000249</c:v>
                </c:pt>
                <c:pt idx="176">
                  <c:v>42.60000000000025</c:v>
                </c:pt>
                <c:pt idx="177">
                  <c:v>42.700000000000252</c:v>
                </c:pt>
                <c:pt idx="178">
                  <c:v>42.800000000000253</c:v>
                </c:pt>
                <c:pt idx="179">
                  <c:v>42.900000000000254</c:v>
                </c:pt>
                <c:pt idx="180">
                  <c:v>43.000000000000256</c:v>
                </c:pt>
                <c:pt idx="181">
                  <c:v>43.100000000000257</c:v>
                </c:pt>
                <c:pt idx="182">
                  <c:v>43.200000000000259</c:v>
                </c:pt>
                <c:pt idx="183">
                  <c:v>43.30000000000026</c:v>
                </c:pt>
                <c:pt idx="184">
                  <c:v>43.400000000000261</c:v>
                </c:pt>
                <c:pt idx="185">
                  <c:v>43.500000000000263</c:v>
                </c:pt>
                <c:pt idx="186">
                  <c:v>43.600000000000264</c:v>
                </c:pt>
                <c:pt idx="187">
                  <c:v>43.700000000000266</c:v>
                </c:pt>
                <c:pt idx="188">
                  <c:v>43.800000000000267</c:v>
                </c:pt>
                <c:pt idx="189">
                  <c:v>43.900000000000269</c:v>
                </c:pt>
                <c:pt idx="190">
                  <c:v>44.00000000000027</c:v>
                </c:pt>
                <c:pt idx="191">
                  <c:v>44.100000000000271</c:v>
                </c:pt>
                <c:pt idx="192">
                  <c:v>44.200000000000273</c:v>
                </c:pt>
                <c:pt idx="193">
                  <c:v>44.300000000000274</c:v>
                </c:pt>
                <c:pt idx="194">
                  <c:v>44.400000000000276</c:v>
                </c:pt>
                <c:pt idx="195">
                  <c:v>44.500000000000277</c:v>
                </c:pt>
                <c:pt idx="196">
                  <c:v>44.600000000000279</c:v>
                </c:pt>
                <c:pt idx="197">
                  <c:v>44.70000000000028</c:v>
                </c:pt>
                <c:pt idx="198">
                  <c:v>44.800000000000281</c:v>
                </c:pt>
                <c:pt idx="199">
                  <c:v>44.900000000000283</c:v>
                </c:pt>
                <c:pt idx="200">
                  <c:v>45.000000000000284</c:v>
                </c:pt>
                <c:pt idx="201">
                  <c:v>45.100000000000286</c:v>
                </c:pt>
                <c:pt idx="202">
                  <c:v>45.200000000000287</c:v>
                </c:pt>
                <c:pt idx="203">
                  <c:v>45.300000000000288</c:v>
                </c:pt>
                <c:pt idx="204">
                  <c:v>45.40000000000029</c:v>
                </c:pt>
                <c:pt idx="205">
                  <c:v>45.500000000000291</c:v>
                </c:pt>
                <c:pt idx="206">
                  <c:v>45.600000000000293</c:v>
                </c:pt>
                <c:pt idx="207">
                  <c:v>45.700000000000294</c:v>
                </c:pt>
                <c:pt idx="208">
                  <c:v>45.800000000000296</c:v>
                </c:pt>
                <c:pt idx="209">
                  <c:v>45.900000000000297</c:v>
                </c:pt>
                <c:pt idx="210">
                  <c:v>46.000000000000298</c:v>
                </c:pt>
                <c:pt idx="211">
                  <c:v>46.1000000000003</c:v>
                </c:pt>
                <c:pt idx="212">
                  <c:v>46.200000000000301</c:v>
                </c:pt>
                <c:pt idx="213">
                  <c:v>46.300000000000303</c:v>
                </c:pt>
                <c:pt idx="214">
                  <c:v>46.400000000000304</c:v>
                </c:pt>
                <c:pt idx="215">
                  <c:v>46.500000000000306</c:v>
                </c:pt>
                <c:pt idx="216">
                  <c:v>46.600000000000307</c:v>
                </c:pt>
                <c:pt idx="217">
                  <c:v>46.700000000000308</c:v>
                </c:pt>
                <c:pt idx="218">
                  <c:v>46.80000000000031</c:v>
                </c:pt>
                <c:pt idx="219">
                  <c:v>46.900000000000311</c:v>
                </c:pt>
                <c:pt idx="220">
                  <c:v>47.000000000000313</c:v>
                </c:pt>
                <c:pt idx="221">
                  <c:v>47.100000000000314</c:v>
                </c:pt>
                <c:pt idx="222">
                  <c:v>47.200000000000315</c:v>
                </c:pt>
                <c:pt idx="223">
                  <c:v>47.300000000000317</c:v>
                </c:pt>
                <c:pt idx="224">
                  <c:v>47.400000000000318</c:v>
                </c:pt>
                <c:pt idx="225">
                  <c:v>47.50000000000032</c:v>
                </c:pt>
                <c:pt idx="226">
                  <c:v>47.600000000000321</c:v>
                </c:pt>
                <c:pt idx="227">
                  <c:v>47.700000000000323</c:v>
                </c:pt>
                <c:pt idx="228">
                  <c:v>47.800000000000324</c:v>
                </c:pt>
                <c:pt idx="229">
                  <c:v>47.900000000000325</c:v>
                </c:pt>
                <c:pt idx="230">
                  <c:v>48.000000000000327</c:v>
                </c:pt>
                <c:pt idx="231">
                  <c:v>48.100000000000328</c:v>
                </c:pt>
                <c:pt idx="232">
                  <c:v>48.20000000000033</c:v>
                </c:pt>
                <c:pt idx="233">
                  <c:v>48.300000000000331</c:v>
                </c:pt>
                <c:pt idx="234">
                  <c:v>48.400000000000333</c:v>
                </c:pt>
                <c:pt idx="235">
                  <c:v>48.500000000000334</c:v>
                </c:pt>
                <c:pt idx="236">
                  <c:v>48.600000000000335</c:v>
                </c:pt>
                <c:pt idx="237">
                  <c:v>48.700000000000337</c:v>
                </c:pt>
                <c:pt idx="238">
                  <c:v>48.800000000000338</c:v>
                </c:pt>
                <c:pt idx="239">
                  <c:v>48.90000000000034</c:v>
                </c:pt>
                <c:pt idx="240">
                  <c:v>49.000000000000341</c:v>
                </c:pt>
                <c:pt idx="241">
                  <c:v>49.100000000000342</c:v>
                </c:pt>
                <c:pt idx="242">
                  <c:v>49.200000000000344</c:v>
                </c:pt>
                <c:pt idx="243">
                  <c:v>49.300000000000345</c:v>
                </c:pt>
                <c:pt idx="244">
                  <c:v>49.400000000000347</c:v>
                </c:pt>
                <c:pt idx="245">
                  <c:v>49.500000000000348</c:v>
                </c:pt>
                <c:pt idx="246">
                  <c:v>49.60000000000035</c:v>
                </c:pt>
                <c:pt idx="247">
                  <c:v>49.700000000000351</c:v>
                </c:pt>
                <c:pt idx="248">
                  <c:v>49.800000000000352</c:v>
                </c:pt>
                <c:pt idx="249">
                  <c:v>49.900000000000354</c:v>
                </c:pt>
                <c:pt idx="250">
                  <c:v>50.000000000000355</c:v>
                </c:pt>
                <c:pt idx="251">
                  <c:v>50.100000000000357</c:v>
                </c:pt>
                <c:pt idx="252">
                  <c:v>50.200000000000358</c:v>
                </c:pt>
                <c:pt idx="253">
                  <c:v>50.30000000000036</c:v>
                </c:pt>
                <c:pt idx="254">
                  <c:v>50.400000000000361</c:v>
                </c:pt>
                <c:pt idx="255">
                  <c:v>50.500000000000362</c:v>
                </c:pt>
                <c:pt idx="256">
                  <c:v>50.600000000000364</c:v>
                </c:pt>
                <c:pt idx="257">
                  <c:v>50.700000000000365</c:v>
                </c:pt>
                <c:pt idx="258">
                  <c:v>50.800000000000367</c:v>
                </c:pt>
                <c:pt idx="259">
                  <c:v>50.900000000000368</c:v>
                </c:pt>
                <c:pt idx="260">
                  <c:v>51.000000000000369</c:v>
                </c:pt>
                <c:pt idx="261">
                  <c:v>51.100000000000371</c:v>
                </c:pt>
                <c:pt idx="262">
                  <c:v>51.200000000000372</c:v>
                </c:pt>
                <c:pt idx="263">
                  <c:v>51.300000000000374</c:v>
                </c:pt>
                <c:pt idx="264">
                  <c:v>51.400000000000375</c:v>
                </c:pt>
                <c:pt idx="265">
                  <c:v>51.500000000000377</c:v>
                </c:pt>
                <c:pt idx="266">
                  <c:v>51.600000000000378</c:v>
                </c:pt>
                <c:pt idx="267">
                  <c:v>51.700000000000379</c:v>
                </c:pt>
                <c:pt idx="268">
                  <c:v>51.800000000000381</c:v>
                </c:pt>
                <c:pt idx="269">
                  <c:v>51.900000000000382</c:v>
                </c:pt>
                <c:pt idx="270">
                  <c:v>52.000000000000384</c:v>
                </c:pt>
                <c:pt idx="271">
                  <c:v>52.100000000000385</c:v>
                </c:pt>
                <c:pt idx="272">
                  <c:v>52.200000000000387</c:v>
                </c:pt>
                <c:pt idx="273">
                  <c:v>52.300000000000388</c:v>
                </c:pt>
                <c:pt idx="274">
                  <c:v>52.400000000000389</c:v>
                </c:pt>
                <c:pt idx="275">
                  <c:v>52.500000000000391</c:v>
                </c:pt>
                <c:pt idx="276">
                  <c:v>52.600000000000392</c:v>
                </c:pt>
                <c:pt idx="277">
                  <c:v>52.700000000000394</c:v>
                </c:pt>
                <c:pt idx="278">
                  <c:v>52.800000000000395</c:v>
                </c:pt>
                <c:pt idx="279">
                  <c:v>52.900000000000396</c:v>
                </c:pt>
                <c:pt idx="280">
                  <c:v>53.000000000000398</c:v>
                </c:pt>
                <c:pt idx="281">
                  <c:v>53.100000000000399</c:v>
                </c:pt>
                <c:pt idx="282">
                  <c:v>53.200000000000401</c:v>
                </c:pt>
                <c:pt idx="283">
                  <c:v>53.300000000000402</c:v>
                </c:pt>
                <c:pt idx="284">
                  <c:v>53.400000000000404</c:v>
                </c:pt>
                <c:pt idx="285">
                  <c:v>53.500000000000405</c:v>
                </c:pt>
                <c:pt idx="286">
                  <c:v>53.600000000000406</c:v>
                </c:pt>
                <c:pt idx="287">
                  <c:v>53.700000000000408</c:v>
                </c:pt>
                <c:pt idx="288">
                  <c:v>53.800000000000409</c:v>
                </c:pt>
                <c:pt idx="289">
                  <c:v>53.900000000000411</c:v>
                </c:pt>
                <c:pt idx="290">
                  <c:v>54.000000000000412</c:v>
                </c:pt>
                <c:pt idx="291">
                  <c:v>54.100000000000414</c:v>
                </c:pt>
                <c:pt idx="292">
                  <c:v>54.200000000000415</c:v>
                </c:pt>
                <c:pt idx="293">
                  <c:v>54.300000000000416</c:v>
                </c:pt>
                <c:pt idx="294">
                  <c:v>54.400000000000418</c:v>
                </c:pt>
                <c:pt idx="295">
                  <c:v>54.500000000000419</c:v>
                </c:pt>
                <c:pt idx="296">
                  <c:v>54.600000000000421</c:v>
                </c:pt>
                <c:pt idx="297">
                  <c:v>54.700000000000422</c:v>
                </c:pt>
                <c:pt idx="298">
                  <c:v>54.800000000000423</c:v>
                </c:pt>
                <c:pt idx="299">
                  <c:v>54.900000000000425</c:v>
                </c:pt>
                <c:pt idx="300">
                  <c:v>55.000000000000426</c:v>
                </c:pt>
                <c:pt idx="301">
                  <c:v>55.100000000000428</c:v>
                </c:pt>
                <c:pt idx="302">
                  <c:v>55.200000000000429</c:v>
                </c:pt>
                <c:pt idx="303">
                  <c:v>55.300000000000431</c:v>
                </c:pt>
                <c:pt idx="304">
                  <c:v>55.400000000000432</c:v>
                </c:pt>
                <c:pt idx="305">
                  <c:v>55.500000000000433</c:v>
                </c:pt>
                <c:pt idx="306">
                  <c:v>55.600000000000435</c:v>
                </c:pt>
                <c:pt idx="307">
                  <c:v>55.700000000000436</c:v>
                </c:pt>
                <c:pt idx="308">
                  <c:v>55.800000000000438</c:v>
                </c:pt>
                <c:pt idx="309">
                  <c:v>55.900000000000439</c:v>
                </c:pt>
                <c:pt idx="310">
                  <c:v>56.000000000000441</c:v>
                </c:pt>
                <c:pt idx="311">
                  <c:v>56.100000000000442</c:v>
                </c:pt>
                <c:pt idx="312">
                  <c:v>56.200000000000443</c:v>
                </c:pt>
                <c:pt idx="313">
                  <c:v>56.300000000000445</c:v>
                </c:pt>
                <c:pt idx="314">
                  <c:v>56.400000000000446</c:v>
                </c:pt>
                <c:pt idx="315">
                  <c:v>56.500000000000448</c:v>
                </c:pt>
                <c:pt idx="316">
                  <c:v>56.600000000000449</c:v>
                </c:pt>
                <c:pt idx="317">
                  <c:v>56.70000000000045</c:v>
                </c:pt>
                <c:pt idx="318">
                  <c:v>56.800000000000452</c:v>
                </c:pt>
                <c:pt idx="319">
                  <c:v>56.900000000000453</c:v>
                </c:pt>
                <c:pt idx="320">
                  <c:v>57.000000000000455</c:v>
                </c:pt>
                <c:pt idx="321">
                  <c:v>57.100000000000456</c:v>
                </c:pt>
                <c:pt idx="322">
                  <c:v>57.200000000000458</c:v>
                </c:pt>
                <c:pt idx="323">
                  <c:v>57.300000000000459</c:v>
                </c:pt>
                <c:pt idx="324">
                  <c:v>57.40000000000046</c:v>
                </c:pt>
                <c:pt idx="325">
                  <c:v>57.500000000000462</c:v>
                </c:pt>
                <c:pt idx="326">
                  <c:v>57.600000000000463</c:v>
                </c:pt>
                <c:pt idx="327">
                  <c:v>57.700000000000465</c:v>
                </c:pt>
                <c:pt idx="328">
                  <c:v>57.800000000000466</c:v>
                </c:pt>
                <c:pt idx="329">
                  <c:v>57.900000000000468</c:v>
                </c:pt>
                <c:pt idx="330">
                  <c:v>58.000000000000469</c:v>
                </c:pt>
                <c:pt idx="331">
                  <c:v>58.10000000000047</c:v>
                </c:pt>
                <c:pt idx="332">
                  <c:v>58.200000000000472</c:v>
                </c:pt>
                <c:pt idx="333">
                  <c:v>58.300000000000473</c:v>
                </c:pt>
                <c:pt idx="334">
                  <c:v>58.400000000000475</c:v>
                </c:pt>
                <c:pt idx="335">
                  <c:v>58.500000000000476</c:v>
                </c:pt>
                <c:pt idx="336">
                  <c:v>58.600000000000477</c:v>
                </c:pt>
                <c:pt idx="337">
                  <c:v>58.700000000000479</c:v>
                </c:pt>
                <c:pt idx="338">
                  <c:v>58.80000000000048</c:v>
                </c:pt>
                <c:pt idx="339">
                  <c:v>58.900000000000482</c:v>
                </c:pt>
                <c:pt idx="340">
                  <c:v>59.000000000000483</c:v>
                </c:pt>
                <c:pt idx="341">
                  <c:v>59.100000000000485</c:v>
                </c:pt>
                <c:pt idx="342">
                  <c:v>59.200000000000486</c:v>
                </c:pt>
                <c:pt idx="343">
                  <c:v>59.300000000000487</c:v>
                </c:pt>
                <c:pt idx="344">
                  <c:v>59.400000000000489</c:v>
                </c:pt>
                <c:pt idx="345">
                  <c:v>59.50000000000049</c:v>
                </c:pt>
                <c:pt idx="346">
                  <c:v>59.600000000000492</c:v>
                </c:pt>
                <c:pt idx="347">
                  <c:v>59.700000000000493</c:v>
                </c:pt>
                <c:pt idx="348">
                  <c:v>59.800000000000495</c:v>
                </c:pt>
                <c:pt idx="349">
                  <c:v>59.900000000000496</c:v>
                </c:pt>
                <c:pt idx="350">
                  <c:v>60.000000000000497</c:v>
                </c:pt>
                <c:pt idx="351">
                  <c:v>60.100000000000499</c:v>
                </c:pt>
                <c:pt idx="352">
                  <c:v>60.2000000000005</c:v>
                </c:pt>
                <c:pt idx="353">
                  <c:v>60.300000000000502</c:v>
                </c:pt>
                <c:pt idx="354">
                  <c:v>60.400000000000503</c:v>
                </c:pt>
                <c:pt idx="355">
                  <c:v>60.500000000000504</c:v>
                </c:pt>
                <c:pt idx="356">
                  <c:v>60.600000000000506</c:v>
                </c:pt>
                <c:pt idx="357">
                  <c:v>60.700000000000507</c:v>
                </c:pt>
                <c:pt idx="358">
                  <c:v>60.800000000000509</c:v>
                </c:pt>
                <c:pt idx="359">
                  <c:v>60.90000000000051</c:v>
                </c:pt>
                <c:pt idx="360">
                  <c:v>61.000000000000512</c:v>
                </c:pt>
                <c:pt idx="361">
                  <c:v>61.100000000000513</c:v>
                </c:pt>
                <c:pt idx="362">
                  <c:v>61.200000000000514</c:v>
                </c:pt>
                <c:pt idx="363">
                  <c:v>61.300000000000516</c:v>
                </c:pt>
                <c:pt idx="364">
                  <c:v>61.400000000000517</c:v>
                </c:pt>
                <c:pt idx="365">
                  <c:v>61.500000000000519</c:v>
                </c:pt>
                <c:pt idx="366">
                  <c:v>61.60000000000052</c:v>
                </c:pt>
                <c:pt idx="367">
                  <c:v>61.700000000000522</c:v>
                </c:pt>
                <c:pt idx="368">
                  <c:v>61.800000000000523</c:v>
                </c:pt>
                <c:pt idx="369">
                  <c:v>61.900000000000524</c:v>
                </c:pt>
                <c:pt idx="370">
                  <c:v>62.000000000000526</c:v>
                </c:pt>
                <c:pt idx="371">
                  <c:v>62.100000000000527</c:v>
                </c:pt>
                <c:pt idx="372">
                  <c:v>62.200000000000529</c:v>
                </c:pt>
                <c:pt idx="373">
                  <c:v>62.30000000000053</c:v>
                </c:pt>
                <c:pt idx="374">
                  <c:v>62.400000000000531</c:v>
                </c:pt>
                <c:pt idx="375">
                  <c:v>62.500000000000533</c:v>
                </c:pt>
                <c:pt idx="376">
                  <c:v>62.600000000000534</c:v>
                </c:pt>
                <c:pt idx="377">
                  <c:v>62.700000000000536</c:v>
                </c:pt>
                <c:pt idx="378">
                  <c:v>62.800000000000537</c:v>
                </c:pt>
                <c:pt idx="379">
                  <c:v>62.900000000000539</c:v>
                </c:pt>
                <c:pt idx="380">
                  <c:v>63.00000000000054</c:v>
                </c:pt>
                <c:pt idx="381">
                  <c:v>63.100000000000541</c:v>
                </c:pt>
                <c:pt idx="382">
                  <c:v>63.200000000000543</c:v>
                </c:pt>
                <c:pt idx="383">
                  <c:v>63.300000000000544</c:v>
                </c:pt>
                <c:pt idx="384">
                  <c:v>63.400000000000546</c:v>
                </c:pt>
                <c:pt idx="385">
                  <c:v>63.500000000000547</c:v>
                </c:pt>
                <c:pt idx="386">
                  <c:v>63.600000000000549</c:v>
                </c:pt>
                <c:pt idx="387">
                  <c:v>63.70000000000055</c:v>
                </c:pt>
                <c:pt idx="388">
                  <c:v>63.800000000000551</c:v>
                </c:pt>
                <c:pt idx="389">
                  <c:v>63.900000000000553</c:v>
                </c:pt>
                <c:pt idx="390">
                  <c:v>64.000000000000554</c:v>
                </c:pt>
                <c:pt idx="391">
                  <c:v>64.100000000000549</c:v>
                </c:pt>
                <c:pt idx="392">
                  <c:v>64.200000000000543</c:v>
                </c:pt>
                <c:pt idx="393">
                  <c:v>64.300000000000537</c:v>
                </c:pt>
                <c:pt idx="394">
                  <c:v>64.400000000000531</c:v>
                </c:pt>
                <c:pt idx="395">
                  <c:v>64.500000000000526</c:v>
                </c:pt>
                <c:pt idx="396">
                  <c:v>64.60000000000052</c:v>
                </c:pt>
                <c:pt idx="397">
                  <c:v>64.700000000000514</c:v>
                </c:pt>
                <c:pt idx="398">
                  <c:v>64.800000000000509</c:v>
                </c:pt>
                <c:pt idx="399">
                  <c:v>64.900000000000503</c:v>
                </c:pt>
                <c:pt idx="400">
                  <c:v>65.000000000000497</c:v>
                </c:pt>
                <c:pt idx="401">
                  <c:v>65.100000000000492</c:v>
                </c:pt>
                <c:pt idx="402">
                  <c:v>65.200000000000486</c:v>
                </c:pt>
                <c:pt idx="403">
                  <c:v>65.30000000000048</c:v>
                </c:pt>
                <c:pt idx="404">
                  <c:v>65.400000000000475</c:v>
                </c:pt>
                <c:pt idx="405">
                  <c:v>65.500000000000469</c:v>
                </c:pt>
                <c:pt idx="406">
                  <c:v>65.600000000000463</c:v>
                </c:pt>
                <c:pt idx="407">
                  <c:v>65.700000000000458</c:v>
                </c:pt>
                <c:pt idx="408">
                  <c:v>65.800000000000452</c:v>
                </c:pt>
                <c:pt idx="409">
                  <c:v>65.900000000000446</c:v>
                </c:pt>
                <c:pt idx="410">
                  <c:v>66.000000000000441</c:v>
                </c:pt>
                <c:pt idx="411">
                  <c:v>66.100000000000435</c:v>
                </c:pt>
                <c:pt idx="412">
                  <c:v>66.200000000000429</c:v>
                </c:pt>
                <c:pt idx="413">
                  <c:v>66.300000000000423</c:v>
                </c:pt>
                <c:pt idx="414">
                  <c:v>66.400000000000418</c:v>
                </c:pt>
                <c:pt idx="415">
                  <c:v>66.500000000000412</c:v>
                </c:pt>
                <c:pt idx="416">
                  <c:v>66.600000000000406</c:v>
                </c:pt>
                <c:pt idx="417">
                  <c:v>66.700000000000401</c:v>
                </c:pt>
                <c:pt idx="418">
                  <c:v>66.800000000000395</c:v>
                </c:pt>
                <c:pt idx="419">
                  <c:v>66.900000000000389</c:v>
                </c:pt>
                <c:pt idx="420">
                  <c:v>67.000000000000384</c:v>
                </c:pt>
                <c:pt idx="421">
                  <c:v>67.100000000000378</c:v>
                </c:pt>
                <c:pt idx="422">
                  <c:v>67.200000000000372</c:v>
                </c:pt>
                <c:pt idx="423">
                  <c:v>67.300000000000367</c:v>
                </c:pt>
                <c:pt idx="424">
                  <c:v>67.400000000000361</c:v>
                </c:pt>
                <c:pt idx="425">
                  <c:v>67.500000000000355</c:v>
                </c:pt>
                <c:pt idx="426">
                  <c:v>67.60000000000035</c:v>
                </c:pt>
                <c:pt idx="427">
                  <c:v>67.700000000000344</c:v>
                </c:pt>
                <c:pt idx="428">
                  <c:v>67.800000000000338</c:v>
                </c:pt>
                <c:pt idx="429">
                  <c:v>67.900000000000333</c:v>
                </c:pt>
                <c:pt idx="430">
                  <c:v>68.000000000000327</c:v>
                </c:pt>
                <c:pt idx="431">
                  <c:v>68.100000000000321</c:v>
                </c:pt>
                <c:pt idx="432">
                  <c:v>68.200000000000315</c:v>
                </c:pt>
                <c:pt idx="433">
                  <c:v>68.30000000000031</c:v>
                </c:pt>
                <c:pt idx="434">
                  <c:v>68.400000000000304</c:v>
                </c:pt>
                <c:pt idx="435">
                  <c:v>68.500000000000298</c:v>
                </c:pt>
                <c:pt idx="436">
                  <c:v>68.600000000000293</c:v>
                </c:pt>
                <c:pt idx="437">
                  <c:v>68.700000000000287</c:v>
                </c:pt>
                <c:pt idx="438">
                  <c:v>68.800000000000281</c:v>
                </c:pt>
                <c:pt idx="439">
                  <c:v>68.900000000000276</c:v>
                </c:pt>
                <c:pt idx="440">
                  <c:v>69.00000000000027</c:v>
                </c:pt>
                <c:pt idx="441">
                  <c:v>69.100000000000264</c:v>
                </c:pt>
                <c:pt idx="442">
                  <c:v>69.200000000000259</c:v>
                </c:pt>
                <c:pt idx="443">
                  <c:v>69.300000000000253</c:v>
                </c:pt>
                <c:pt idx="444">
                  <c:v>69.400000000000247</c:v>
                </c:pt>
                <c:pt idx="445">
                  <c:v>69.500000000000242</c:v>
                </c:pt>
                <c:pt idx="446">
                  <c:v>69.600000000000236</c:v>
                </c:pt>
                <c:pt idx="447">
                  <c:v>69.70000000000023</c:v>
                </c:pt>
                <c:pt idx="448">
                  <c:v>69.800000000000225</c:v>
                </c:pt>
                <c:pt idx="449">
                  <c:v>69.900000000000219</c:v>
                </c:pt>
                <c:pt idx="450">
                  <c:v>69.900000000000219</c:v>
                </c:pt>
                <c:pt idx="451">
                  <c:v>69.900000000000219</c:v>
                </c:pt>
                <c:pt idx="452">
                  <c:v>69.900000000000219</c:v>
                </c:pt>
                <c:pt idx="453">
                  <c:v>69.900000000000219</c:v>
                </c:pt>
                <c:pt idx="454">
                  <c:v>69.900000000000219</c:v>
                </c:pt>
                <c:pt idx="455">
                  <c:v>69.900000000000219</c:v>
                </c:pt>
                <c:pt idx="456">
                  <c:v>69.900000000000219</c:v>
                </c:pt>
                <c:pt idx="457">
                  <c:v>69.900000000000219</c:v>
                </c:pt>
                <c:pt idx="458">
                  <c:v>69.900000000000219</c:v>
                </c:pt>
                <c:pt idx="459">
                  <c:v>69.900000000000219</c:v>
                </c:pt>
                <c:pt idx="460">
                  <c:v>69.900000000000219</c:v>
                </c:pt>
                <c:pt idx="461">
                  <c:v>69.900000000000219</c:v>
                </c:pt>
                <c:pt idx="462">
                  <c:v>69.900000000000219</c:v>
                </c:pt>
                <c:pt idx="463">
                  <c:v>69.900000000000219</c:v>
                </c:pt>
                <c:pt idx="464">
                  <c:v>69.900000000000219</c:v>
                </c:pt>
                <c:pt idx="465">
                  <c:v>69.900000000000219</c:v>
                </c:pt>
                <c:pt idx="466">
                  <c:v>69.900000000000219</c:v>
                </c:pt>
                <c:pt idx="467">
                  <c:v>69.900000000000219</c:v>
                </c:pt>
                <c:pt idx="468">
                  <c:v>69.900000000000219</c:v>
                </c:pt>
                <c:pt idx="469">
                  <c:v>69.900000000000219</c:v>
                </c:pt>
                <c:pt idx="470">
                  <c:v>69.900000000000219</c:v>
                </c:pt>
                <c:pt idx="471">
                  <c:v>69.900000000000219</c:v>
                </c:pt>
                <c:pt idx="472">
                  <c:v>69.900000000000219</c:v>
                </c:pt>
                <c:pt idx="473">
                  <c:v>69.900000000000219</c:v>
                </c:pt>
                <c:pt idx="474">
                  <c:v>69.900000000000219</c:v>
                </c:pt>
                <c:pt idx="475">
                  <c:v>69.900000000000219</c:v>
                </c:pt>
                <c:pt idx="476">
                  <c:v>69.900000000000219</c:v>
                </c:pt>
                <c:pt idx="477">
                  <c:v>69.900000000000219</c:v>
                </c:pt>
                <c:pt idx="478">
                  <c:v>69.900000000000219</c:v>
                </c:pt>
                <c:pt idx="479">
                  <c:v>69.900000000000219</c:v>
                </c:pt>
                <c:pt idx="480">
                  <c:v>69.900000000000219</c:v>
                </c:pt>
                <c:pt idx="481">
                  <c:v>69.900000000000219</c:v>
                </c:pt>
                <c:pt idx="482">
                  <c:v>69.900000000000219</c:v>
                </c:pt>
                <c:pt idx="483">
                  <c:v>69.900000000000219</c:v>
                </c:pt>
                <c:pt idx="484">
                  <c:v>69.900000000000219</c:v>
                </c:pt>
                <c:pt idx="485">
                  <c:v>69.900000000000219</c:v>
                </c:pt>
                <c:pt idx="486">
                  <c:v>69.900000000000219</c:v>
                </c:pt>
                <c:pt idx="487">
                  <c:v>69.900000000000219</c:v>
                </c:pt>
                <c:pt idx="488">
                  <c:v>69.900000000000219</c:v>
                </c:pt>
                <c:pt idx="489">
                  <c:v>69.900000000000219</c:v>
                </c:pt>
                <c:pt idx="490">
                  <c:v>69.900000000000219</c:v>
                </c:pt>
                <c:pt idx="491">
                  <c:v>69.900000000000219</c:v>
                </c:pt>
                <c:pt idx="492">
                  <c:v>69.900000000000219</c:v>
                </c:pt>
                <c:pt idx="493">
                  <c:v>69.900000000000219</c:v>
                </c:pt>
                <c:pt idx="494">
                  <c:v>69.900000000000219</c:v>
                </c:pt>
                <c:pt idx="495">
                  <c:v>69.900000000000219</c:v>
                </c:pt>
                <c:pt idx="496">
                  <c:v>69.900000000000219</c:v>
                </c:pt>
                <c:pt idx="497">
                  <c:v>69.900000000000219</c:v>
                </c:pt>
                <c:pt idx="498">
                  <c:v>69.900000000000219</c:v>
                </c:pt>
                <c:pt idx="499">
                  <c:v>69.900000000000219</c:v>
                </c:pt>
                <c:pt idx="500">
                  <c:v>69.900000000000219</c:v>
                </c:pt>
                <c:pt idx="501">
                  <c:v>69.900000000000219</c:v>
                </c:pt>
                <c:pt idx="502">
                  <c:v>69.900000000000219</c:v>
                </c:pt>
                <c:pt idx="503">
                  <c:v>69.900000000000219</c:v>
                </c:pt>
                <c:pt idx="504">
                  <c:v>69.900000000000219</c:v>
                </c:pt>
                <c:pt idx="505">
                  <c:v>69.900000000000219</c:v>
                </c:pt>
                <c:pt idx="506">
                  <c:v>69.900000000000219</c:v>
                </c:pt>
                <c:pt idx="507">
                  <c:v>69.900000000000219</c:v>
                </c:pt>
                <c:pt idx="508">
                  <c:v>69.900000000000219</c:v>
                </c:pt>
                <c:pt idx="509">
                  <c:v>69.900000000000219</c:v>
                </c:pt>
                <c:pt idx="510">
                  <c:v>69.900000000000219</c:v>
                </c:pt>
              </c:numCache>
            </c:numRef>
          </c:xVal>
          <c:yVal>
            <c:numRef>
              <c:f>Curves!$BG$2:$BG$512</c:f>
              <c:numCache>
                <c:formatCode>General</c:formatCode>
                <c:ptCount val="511"/>
                <c:pt idx="0">
                  <c:v>1401.0907973002654</c:v>
                </c:pt>
                <c:pt idx="1">
                  <c:v>1400.5399963407403</c:v>
                </c:pt>
                <c:pt idx="2">
                  <c:v>1399.9891953812155</c:v>
                </c:pt>
                <c:pt idx="3">
                  <c:v>1399.4383944216904</c:v>
                </c:pt>
                <c:pt idx="4">
                  <c:v>1398.8875934621656</c:v>
                </c:pt>
                <c:pt idx="5">
                  <c:v>1398.3367925026405</c:v>
                </c:pt>
                <c:pt idx="6">
                  <c:v>1397.7859915431154</c:v>
                </c:pt>
                <c:pt idx="7">
                  <c:v>1397.2351905835903</c:v>
                </c:pt>
                <c:pt idx="8">
                  <c:v>1396.6843896240655</c:v>
                </c:pt>
                <c:pt idx="9">
                  <c:v>1396.1335886645404</c:v>
                </c:pt>
                <c:pt idx="10">
                  <c:v>1395.5827877050156</c:v>
                </c:pt>
                <c:pt idx="11">
                  <c:v>1395.0319867454905</c:v>
                </c:pt>
                <c:pt idx="12">
                  <c:v>1394.4811857859654</c:v>
                </c:pt>
                <c:pt idx="13">
                  <c:v>1393.9303848264403</c:v>
                </c:pt>
                <c:pt idx="14">
                  <c:v>1393.3795838669155</c:v>
                </c:pt>
                <c:pt idx="15">
                  <c:v>1392.8287829073904</c:v>
                </c:pt>
                <c:pt idx="16">
                  <c:v>1392.2779819478656</c:v>
                </c:pt>
                <c:pt idx="17">
                  <c:v>1391.7271809883405</c:v>
                </c:pt>
                <c:pt idx="18">
                  <c:v>1391.1763800288154</c:v>
                </c:pt>
                <c:pt idx="19">
                  <c:v>1390.6255790692903</c:v>
                </c:pt>
                <c:pt idx="20">
                  <c:v>1390.0747781097655</c:v>
                </c:pt>
                <c:pt idx="21">
                  <c:v>1389.5239771502404</c:v>
                </c:pt>
                <c:pt idx="22">
                  <c:v>1388.9731761907155</c:v>
                </c:pt>
                <c:pt idx="23">
                  <c:v>1388.4223752311905</c:v>
                </c:pt>
                <c:pt idx="24">
                  <c:v>1387.8715742716654</c:v>
                </c:pt>
                <c:pt idx="25">
                  <c:v>1387.3207733121403</c:v>
                </c:pt>
                <c:pt idx="26">
                  <c:v>1386.7699723526155</c:v>
                </c:pt>
                <c:pt idx="27">
                  <c:v>1386.2191713930904</c:v>
                </c:pt>
                <c:pt idx="28">
                  <c:v>1385.6683704335655</c:v>
                </c:pt>
                <c:pt idx="29">
                  <c:v>1385.1175694740405</c:v>
                </c:pt>
                <c:pt idx="30">
                  <c:v>1384.5667685145154</c:v>
                </c:pt>
                <c:pt idx="31">
                  <c:v>1384.0159675549903</c:v>
                </c:pt>
                <c:pt idx="32">
                  <c:v>1383.4651665954655</c:v>
                </c:pt>
                <c:pt idx="33">
                  <c:v>1382.9143656359404</c:v>
                </c:pt>
                <c:pt idx="34">
                  <c:v>1382.3635646764155</c:v>
                </c:pt>
                <c:pt idx="35">
                  <c:v>1381.8127637168905</c:v>
                </c:pt>
                <c:pt idx="36">
                  <c:v>1381.2619627573654</c:v>
                </c:pt>
                <c:pt idx="37">
                  <c:v>1380.7111617978403</c:v>
                </c:pt>
                <c:pt idx="38">
                  <c:v>1380.1603608383155</c:v>
                </c:pt>
                <c:pt idx="39">
                  <c:v>1379.6095598787904</c:v>
                </c:pt>
                <c:pt idx="40">
                  <c:v>1379.0587589192653</c:v>
                </c:pt>
                <c:pt idx="41">
                  <c:v>1378.5079579597405</c:v>
                </c:pt>
                <c:pt idx="42">
                  <c:v>1377.9571570002154</c:v>
                </c:pt>
                <c:pt idx="43">
                  <c:v>1377.4063560406903</c:v>
                </c:pt>
                <c:pt idx="44">
                  <c:v>1376.8555550811654</c:v>
                </c:pt>
                <c:pt idx="45">
                  <c:v>1376.3047541216404</c:v>
                </c:pt>
                <c:pt idx="46">
                  <c:v>1375.7539531621153</c:v>
                </c:pt>
                <c:pt idx="47">
                  <c:v>1375.2031522025904</c:v>
                </c:pt>
                <c:pt idx="48">
                  <c:v>1374.6523512430654</c:v>
                </c:pt>
                <c:pt idx="49">
                  <c:v>1374.1015502835403</c:v>
                </c:pt>
                <c:pt idx="50">
                  <c:v>1373.5507493240154</c:v>
                </c:pt>
                <c:pt idx="51">
                  <c:v>1372.9999483644904</c:v>
                </c:pt>
                <c:pt idx="52">
                  <c:v>1372.4491474049653</c:v>
                </c:pt>
                <c:pt idx="53">
                  <c:v>1371.8983464454404</c:v>
                </c:pt>
                <c:pt idx="54">
                  <c:v>1371.3475454859154</c:v>
                </c:pt>
                <c:pt idx="55">
                  <c:v>1370.7967445263903</c:v>
                </c:pt>
                <c:pt idx="56">
                  <c:v>1370.2459435668654</c:v>
                </c:pt>
                <c:pt idx="57">
                  <c:v>1369.6951426073404</c:v>
                </c:pt>
                <c:pt idx="58">
                  <c:v>1369.1443416478153</c:v>
                </c:pt>
                <c:pt idx="59">
                  <c:v>1368.5935406882904</c:v>
                </c:pt>
                <c:pt idx="60">
                  <c:v>1368.0427397287654</c:v>
                </c:pt>
                <c:pt idx="61">
                  <c:v>1367.4919387692403</c:v>
                </c:pt>
                <c:pt idx="62">
                  <c:v>1366.9411378097154</c:v>
                </c:pt>
                <c:pt idx="63">
                  <c:v>1366.3903368501904</c:v>
                </c:pt>
                <c:pt idx="64">
                  <c:v>1365.8395358906653</c:v>
                </c:pt>
                <c:pt idx="65">
                  <c:v>1365.2887349311404</c:v>
                </c:pt>
                <c:pt idx="66">
                  <c:v>1364.7379339716153</c:v>
                </c:pt>
                <c:pt idx="67">
                  <c:v>1364.1871330120903</c:v>
                </c:pt>
                <c:pt idx="68">
                  <c:v>1363.6363320525654</c:v>
                </c:pt>
                <c:pt idx="69">
                  <c:v>1363.0855310930403</c:v>
                </c:pt>
                <c:pt idx="70">
                  <c:v>1362.5347301335153</c:v>
                </c:pt>
                <c:pt idx="71">
                  <c:v>1361.9839291739904</c:v>
                </c:pt>
                <c:pt idx="72">
                  <c:v>1361.4331282144653</c:v>
                </c:pt>
                <c:pt idx="73">
                  <c:v>1360.8823272549403</c:v>
                </c:pt>
                <c:pt idx="74">
                  <c:v>1360.3315262954154</c:v>
                </c:pt>
                <c:pt idx="75">
                  <c:v>1359.7807253358903</c:v>
                </c:pt>
                <c:pt idx="76">
                  <c:v>1359.2299243763653</c:v>
                </c:pt>
                <c:pt idx="77">
                  <c:v>1358.6791234168404</c:v>
                </c:pt>
                <c:pt idx="78">
                  <c:v>1358.1283224573153</c:v>
                </c:pt>
                <c:pt idx="79">
                  <c:v>1357.5775214977903</c:v>
                </c:pt>
                <c:pt idx="80">
                  <c:v>1357.0267205382654</c:v>
                </c:pt>
                <c:pt idx="81">
                  <c:v>1356.4759195787403</c:v>
                </c:pt>
                <c:pt idx="82">
                  <c:v>1355.9251186192153</c:v>
                </c:pt>
                <c:pt idx="83">
                  <c:v>1355.3743176596904</c:v>
                </c:pt>
                <c:pt idx="84">
                  <c:v>1354.8235167001653</c:v>
                </c:pt>
                <c:pt idx="85">
                  <c:v>1354.2727157406403</c:v>
                </c:pt>
                <c:pt idx="86">
                  <c:v>1353.7219147811154</c:v>
                </c:pt>
                <c:pt idx="87">
                  <c:v>1353.1711138215903</c:v>
                </c:pt>
                <c:pt idx="88">
                  <c:v>1352.6203128620652</c:v>
                </c:pt>
                <c:pt idx="89">
                  <c:v>1352.0695119025404</c:v>
                </c:pt>
                <c:pt idx="90">
                  <c:v>1351.5187109430153</c:v>
                </c:pt>
                <c:pt idx="91">
                  <c:v>1350.9679099834902</c:v>
                </c:pt>
                <c:pt idx="92">
                  <c:v>1350.4171090239654</c:v>
                </c:pt>
                <c:pt idx="93">
                  <c:v>1349.8663080644403</c:v>
                </c:pt>
                <c:pt idx="94">
                  <c:v>1349.3155071049152</c:v>
                </c:pt>
                <c:pt idx="95">
                  <c:v>1348.7647061453904</c:v>
                </c:pt>
                <c:pt idx="96">
                  <c:v>1348.2139051858653</c:v>
                </c:pt>
                <c:pt idx="97">
                  <c:v>1347.6631042263402</c:v>
                </c:pt>
                <c:pt idx="98">
                  <c:v>1347.1123032668154</c:v>
                </c:pt>
                <c:pt idx="99">
                  <c:v>1346.5615023072903</c:v>
                </c:pt>
                <c:pt idx="100">
                  <c:v>1346.0107013477652</c:v>
                </c:pt>
                <c:pt idx="101">
                  <c:v>1345.4599003882404</c:v>
                </c:pt>
                <c:pt idx="102">
                  <c:v>1344.9090994287153</c:v>
                </c:pt>
                <c:pt idx="103">
                  <c:v>1344.3582984691902</c:v>
                </c:pt>
                <c:pt idx="104">
                  <c:v>1343.8074975096654</c:v>
                </c:pt>
                <c:pt idx="105">
                  <c:v>1343.2566965501403</c:v>
                </c:pt>
                <c:pt idx="106">
                  <c:v>1342.7058955906152</c:v>
                </c:pt>
                <c:pt idx="107">
                  <c:v>1342.1550946310904</c:v>
                </c:pt>
                <c:pt idx="108">
                  <c:v>1341.6042936715653</c:v>
                </c:pt>
                <c:pt idx="109">
                  <c:v>1341.0534927120402</c:v>
                </c:pt>
                <c:pt idx="110">
                  <c:v>1340.5026917525151</c:v>
                </c:pt>
                <c:pt idx="111">
                  <c:v>1339.9518907929903</c:v>
                </c:pt>
                <c:pt idx="112">
                  <c:v>1339.4010898334652</c:v>
                </c:pt>
                <c:pt idx="113">
                  <c:v>1338.8502888739404</c:v>
                </c:pt>
                <c:pt idx="114">
                  <c:v>1338.2994879144153</c:v>
                </c:pt>
                <c:pt idx="115">
                  <c:v>1337.7486869548902</c:v>
                </c:pt>
                <c:pt idx="116">
                  <c:v>1337.1978859953651</c:v>
                </c:pt>
                <c:pt idx="117">
                  <c:v>1336.6470850358403</c:v>
                </c:pt>
                <c:pt idx="118">
                  <c:v>1336.0962840763152</c:v>
                </c:pt>
                <c:pt idx="119">
                  <c:v>1335.5454831167904</c:v>
                </c:pt>
                <c:pt idx="120">
                  <c:v>1334.9946821572653</c:v>
                </c:pt>
                <c:pt idx="121">
                  <c:v>1334.4438811977402</c:v>
                </c:pt>
                <c:pt idx="122">
                  <c:v>1333.8930802382151</c:v>
                </c:pt>
                <c:pt idx="123">
                  <c:v>1333.3422792786903</c:v>
                </c:pt>
                <c:pt idx="124">
                  <c:v>1332.7914783191652</c:v>
                </c:pt>
                <c:pt idx="125">
                  <c:v>1332.2406773596404</c:v>
                </c:pt>
                <c:pt idx="126">
                  <c:v>1331.6898764001153</c:v>
                </c:pt>
                <c:pt idx="127">
                  <c:v>1331.1390754405902</c:v>
                </c:pt>
                <c:pt idx="128">
                  <c:v>1330.5882744810651</c:v>
                </c:pt>
                <c:pt idx="129">
                  <c:v>1330.0374735215403</c:v>
                </c:pt>
                <c:pt idx="130">
                  <c:v>1329.4866725620152</c:v>
                </c:pt>
                <c:pt idx="131">
                  <c:v>1328.9358716024904</c:v>
                </c:pt>
                <c:pt idx="132">
                  <c:v>1328.3850706429653</c:v>
                </c:pt>
                <c:pt idx="133">
                  <c:v>1327.8342696834402</c:v>
                </c:pt>
                <c:pt idx="134">
                  <c:v>1327.2834687239151</c:v>
                </c:pt>
                <c:pt idx="135">
                  <c:v>1326.7326677643903</c:v>
                </c:pt>
                <c:pt idx="136">
                  <c:v>1326.1818668048652</c:v>
                </c:pt>
                <c:pt idx="137">
                  <c:v>1325.6310658453403</c:v>
                </c:pt>
                <c:pt idx="138">
                  <c:v>1325.0802648858153</c:v>
                </c:pt>
                <c:pt idx="139">
                  <c:v>1324.5294639262902</c:v>
                </c:pt>
                <c:pt idx="140">
                  <c:v>1323.9786629667651</c:v>
                </c:pt>
                <c:pt idx="141">
                  <c:v>1323.4278620072403</c:v>
                </c:pt>
                <c:pt idx="142">
                  <c:v>1322.8770610477152</c:v>
                </c:pt>
                <c:pt idx="143">
                  <c:v>1322.3262600881903</c:v>
                </c:pt>
                <c:pt idx="144">
                  <c:v>1321.7754591286653</c:v>
                </c:pt>
                <c:pt idx="145">
                  <c:v>1321.2246581691402</c:v>
                </c:pt>
                <c:pt idx="146">
                  <c:v>1320.6738572096151</c:v>
                </c:pt>
                <c:pt idx="147">
                  <c:v>1320.1230562500903</c:v>
                </c:pt>
                <c:pt idx="148">
                  <c:v>1319.5722552905652</c:v>
                </c:pt>
                <c:pt idx="149">
                  <c:v>1319.0214543310403</c:v>
                </c:pt>
                <c:pt idx="150">
                  <c:v>1318.4706533715153</c:v>
                </c:pt>
                <c:pt idx="151">
                  <c:v>1317.9198524119902</c:v>
                </c:pt>
                <c:pt idx="152">
                  <c:v>1317.3690514524651</c:v>
                </c:pt>
                <c:pt idx="153">
                  <c:v>1316.8182504929403</c:v>
                </c:pt>
                <c:pt idx="154">
                  <c:v>1316.2674495334152</c:v>
                </c:pt>
                <c:pt idx="155">
                  <c:v>1315.7166485738901</c:v>
                </c:pt>
                <c:pt idx="156">
                  <c:v>1315.1658476143652</c:v>
                </c:pt>
                <c:pt idx="157">
                  <c:v>1314.6150466548402</c:v>
                </c:pt>
                <c:pt idx="158">
                  <c:v>1314.0642456953151</c:v>
                </c:pt>
                <c:pt idx="159">
                  <c:v>1313.5134447357902</c:v>
                </c:pt>
                <c:pt idx="160">
                  <c:v>1312.9626437762652</c:v>
                </c:pt>
                <c:pt idx="161">
                  <c:v>1312.4118428167401</c:v>
                </c:pt>
                <c:pt idx="162">
                  <c:v>1311.8610418572152</c:v>
                </c:pt>
                <c:pt idx="163">
                  <c:v>1311.3102408976902</c:v>
                </c:pt>
                <c:pt idx="164">
                  <c:v>1310.7594399381651</c:v>
                </c:pt>
                <c:pt idx="165">
                  <c:v>1310.2086389786402</c:v>
                </c:pt>
                <c:pt idx="166">
                  <c:v>1309.6578380191152</c:v>
                </c:pt>
                <c:pt idx="167">
                  <c:v>1309.1070370595901</c:v>
                </c:pt>
                <c:pt idx="168">
                  <c:v>1308.5562361000652</c:v>
                </c:pt>
                <c:pt idx="169">
                  <c:v>1308.0054351405402</c:v>
                </c:pt>
                <c:pt idx="170">
                  <c:v>1307.4546341810151</c:v>
                </c:pt>
                <c:pt idx="171">
                  <c:v>1306.9038332214902</c:v>
                </c:pt>
                <c:pt idx="172">
                  <c:v>1306.3530322619652</c:v>
                </c:pt>
                <c:pt idx="173">
                  <c:v>1305.8022313024401</c:v>
                </c:pt>
                <c:pt idx="174">
                  <c:v>1305.2514303429152</c:v>
                </c:pt>
                <c:pt idx="175">
                  <c:v>1304.7006293833902</c:v>
                </c:pt>
                <c:pt idx="176">
                  <c:v>1304.1498284238651</c:v>
                </c:pt>
                <c:pt idx="177">
                  <c:v>1303.5990274643402</c:v>
                </c:pt>
                <c:pt idx="178">
                  <c:v>1303.0482265048151</c:v>
                </c:pt>
                <c:pt idx="179">
                  <c:v>1302.4974255452901</c:v>
                </c:pt>
                <c:pt idx="180">
                  <c:v>1301.9466245857652</c:v>
                </c:pt>
                <c:pt idx="181">
                  <c:v>1301.3958236262401</c:v>
                </c:pt>
                <c:pt idx="182">
                  <c:v>1300.8450226667151</c:v>
                </c:pt>
                <c:pt idx="183">
                  <c:v>1300.2942217071902</c:v>
                </c:pt>
                <c:pt idx="184">
                  <c:v>1299.7434207476651</c:v>
                </c:pt>
                <c:pt idx="185">
                  <c:v>1299.1926197881401</c:v>
                </c:pt>
                <c:pt idx="186">
                  <c:v>1298.6418188286152</c:v>
                </c:pt>
                <c:pt idx="187">
                  <c:v>1298.0910178690901</c:v>
                </c:pt>
                <c:pt idx="188">
                  <c:v>1297.5402169095651</c:v>
                </c:pt>
                <c:pt idx="189">
                  <c:v>1296.9894159500402</c:v>
                </c:pt>
                <c:pt idx="190">
                  <c:v>1296.4386149905151</c:v>
                </c:pt>
                <c:pt idx="191">
                  <c:v>1295.8878140309901</c:v>
                </c:pt>
                <c:pt idx="192">
                  <c:v>1295.3370130714652</c:v>
                </c:pt>
                <c:pt idx="193">
                  <c:v>1294.7862121119401</c:v>
                </c:pt>
                <c:pt idx="194">
                  <c:v>1294.2354111524151</c:v>
                </c:pt>
                <c:pt idx="195">
                  <c:v>1293.6846101928902</c:v>
                </c:pt>
                <c:pt idx="196">
                  <c:v>1293.1338092333651</c:v>
                </c:pt>
                <c:pt idx="197">
                  <c:v>1292.5830082738401</c:v>
                </c:pt>
                <c:pt idx="198">
                  <c:v>1292.0322073143152</c:v>
                </c:pt>
                <c:pt idx="199">
                  <c:v>1291.4814063547901</c:v>
                </c:pt>
                <c:pt idx="200">
                  <c:v>1290.930605395265</c:v>
                </c:pt>
                <c:pt idx="201">
                  <c:v>1290.3798044357402</c:v>
                </c:pt>
                <c:pt idx="202">
                  <c:v>1289.8290034762151</c:v>
                </c:pt>
                <c:pt idx="203">
                  <c:v>1289.27820251669</c:v>
                </c:pt>
                <c:pt idx="204">
                  <c:v>1288.7274015571652</c:v>
                </c:pt>
                <c:pt idx="205">
                  <c:v>1288.1766005976401</c:v>
                </c:pt>
                <c:pt idx="206">
                  <c:v>1287.625799638115</c:v>
                </c:pt>
                <c:pt idx="207">
                  <c:v>1287.0749986785902</c:v>
                </c:pt>
                <c:pt idx="208">
                  <c:v>1286.5241977190651</c:v>
                </c:pt>
                <c:pt idx="209">
                  <c:v>1285.97339675954</c:v>
                </c:pt>
                <c:pt idx="210">
                  <c:v>1285.4225958000152</c:v>
                </c:pt>
                <c:pt idx="211">
                  <c:v>1284.8717948404901</c:v>
                </c:pt>
                <c:pt idx="212">
                  <c:v>1284.320993880965</c:v>
                </c:pt>
                <c:pt idx="213">
                  <c:v>1283.7701929214402</c:v>
                </c:pt>
                <c:pt idx="214">
                  <c:v>1283.2193919619151</c:v>
                </c:pt>
                <c:pt idx="215">
                  <c:v>1282.66859100239</c:v>
                </c:pt>
                <c:pt idx="216">
                  <c:v>1282.1177900428652</c:v>
                </c:pt>
                <c:pt idx="217">
                  <c:v>1281.5669890833401</c:v>
                </c:pt>
                <c:pt idx="218">
                  <c:v>1281.016188123815</c:v>
                </c:pt>
                <c:pt idx="219">
                  <c:v>1280.46538716429</c:v>
                </c:pt>
                <c:pt idx="220">
                  <c:v>1279.9145862047651</c:v>
                </c:pt>
                <c:pt idx="221">
                  <c:v>1279.36378524524</c:v>
                </c:pt>
                <c:pt idx="222">
                  <c:v>1278.8129842857152</c:v>
                </c:pt>
                <c:pt idx="223">
                  <c:v>1278.2621833261901</c:v>
                </c:pt>
                <c:pt idx="224">
                  <c:v>1277.711382366665</c:v>
                </c:pt>
                <c:pt idx="225">
                  <c:v>1277.1605814071399</c:v>
                </c:pt>
                <c:pt idx="226">
                  <c:v>1276.6097804476151</c:v>
                </c:pt>
                <c:pt idx="227">
                  <c:v>1276.05897948809</c:v>
                </c:pt>
                <c:pt idx="228">
                  <c:v>1275.5081785285652</c:v>
                </c:pt>
                <c:pt idx="229">
                  <c:v>1274.9573775690401</c:v>
                </c:pt>
                <c:pt idx="230">
                  <c:v>1274.406576609515</c:v>
                </c:pt>
                <c:pt idx="231">
                  <c:v>1273.8557756499899</c:v>
                </c:pt>
                <c:pt idx="232">
                  <c:v>1273.3049746904651</c:v>
                </c:pt>
                <c:pt idx="233">
                  <c:v>1272.75417373094</c:v>
                </c:pt>
                <c:pt idx="234">
                  <c:v>1272.2033727714152</c:v>
                </c:pt>
                <c:pt idx="235">
                  <c:v>1271.6525718118901</c:v>
                </c:pt>
                <c:pt idx="236">
                  <c:v>1271.101770852365</c:v>
                </c:pt>
                <c:pt idx="237">
                  <c:v>1270.5509698928399</c:v>
                </c:pt>
                <c:pt idx="238">
                  <c:v>1270.0001689333151</c:v>
                </c:pt>
                <c:pt idx="239">
                  <c:v>1269.44936797379</c:v>
                </c:pt>
                <c:pt idx="240">
                  <c:v>1268.8985670142652</c:v>
                </c:pt>
                <c:pt idx="241">
                  <c:v>1268.3477660547401</c:v>
                </c:pt>
                <c:pt idx="242">
                  <c:v>1267.796965095215</c:v>
                </c:pt>
                <c:pt idx="243">
                  <c:v>1267.2461641356899</c:v>
                </c:pt>
                <c:pt idx="244">
                  <c:v>1266.6953631761651</c:v>
                </c:pt>
                <c:pt idx="245">
                  <c:v>1266.14456221664</c:v>
                </c:pt>
                <c:pt idx="246">
                  <c:v>1265.5937612571151</c:v>
                </c:pt>
                <c:pt idx="247">
                  <c:v>1265.0429602975901</c:v>
                </c:pt>
                <c:pt idx="248">
                  <c:v>1264.492159338065</c:v>
                </c:pt>
                <c:pt idx="249">
                  <c:v>1263.9413583785399</c:v>
                </c:pt>
                <c:pt idx="250">
                  <c:v>1263.3905574190151</c:v>
                </c:pt>
                <c:pt idx="251">
                  <c:v>1262.83975645949</c:v>
                </c:pt>
                <c:pt idx="252">
                  <c:v>1262.2889554999651</c:v>
                </c:pt>
                <c:pt idx="253">
                  <c:v>1261.7381545404401</c:v>
                </c:pt>
                <c:pt idx="254">
                  <c:v>1261.187353580915</c:v>
                </c:pt>
                <c:pt idx="255">
                  <c:v>1260.6365526213899</c:v>
                </c:pt>
                <c:pt idx="256">
                  <c:v>1260.0857516618651</c:v>
                </c:pt>
                <c:pt idx="257">
                  <c:v>1259.53495070234</c:v>
                </c:pt>
                <c:pt idx="258">
                  <c:v>1258.9841497428151</c:v>
                </c:pt>
                <c:pt idx="259">
                  <c:v>1258.4333487832901</c:v>
                </c:pt>
                <c:pt idx="260">
                  <c:v>1257.882547823765</c:v>
                </c:pt>
                <c:pt idx="261">
                  <c:v>1257.3317468642399</c:v>
                </c:pt>
                <c:pt idx="262">
                  <c:v>1256.7809459047151</c:v>
                </c:pt>
                <c:pt idx="263">
                  <c:v>1256.23014494519</c:v>
                </c:pt>
                <c:pt idx="264">
                  <c:v>1255.6793439856651</c:v>
                </c:pt>
                <c:pt idx="265">
                  <c:v>1255.1285430261401</c:v>
                </c:pt>
                <c:pt idx="266">
                  <c:v>1254.577742066615</c:v>
                </c:pt>
                <c:pt idx="267">
                  <c:v>1254.0269411070899</c:v>
                </c:pt>
                <c:pt idx="268">
                  <c:v>1253.476140147565</c:v>
                </c:pt>
                <c:pt idx="269">
                  <c:v>1252.92533918804</c:v>
                </c:pt>
                <c:pt idx="270">
                  <c:v>1252.3745382285151</c:v>
                </c:pt>
                <c:pt idx="271">
                  <c:v>1251.82373726899</c:v>
                </c:pt>
                <c:pt idx="272">
                  <c:v>1251.272936309465</c:v>
                </c:pt>
                <c:pt idx="273">
                  <c:v>1250.7221353499399</c:v>
                </c:pt>
                <c:pt idx="274">
                  <c:v>1250.171334390415</c:v>
                </c:pt>
                <c:pt idx="275">
                  <c:v>1249.62053343089</c:v>
                </c:pt>
                <c:pt idx="276">
                  <c:v>1249.0697324713651</c:v>
                </c:pt>
                <c:pt idx="277">
                  <c:v>1248.51893151184</c:v>
                </c:pt>
                <c:pt idx="278">
                  <c:v>1247.968130552315</c:v>
                </c:pt>
                <c:pt idx="279">
                  <c:v>1247.4173295927899</c:v>
                </c:pt>
                <c:pt idx="280">
                  <c:v>1246.866528633265</c:v>
                </c:pt>
                <c:pt idx="281">
                  <c:v>1246.31572767374</c:v>
                </c:pt>
                <c:pt idx="282">
                  <c:v>1245.7649267142151</c:v>
                </c:pt>
                <c:pt idx="283">
                  <c:v>1245.21412575469</c:v>
                </c:pt>
                <c:pt idx="284">
                  <c:v>1244.663324795165</c:v>
                </c:pt>
                <c:pt idx="285">
                  <c:v>1244.1125238356399</c:v>
                </c:pt>
                <c:pt idx="286">
                  <c:v>1243.561722876115</c:v>
                </c:pt>
                <c:pt idx="287">
                  <c:v>1243.01092191659</c:v>
                </c:pt>
                <c:pt idx="288">
                  <c:v>1242.4601209570649</c:v>
                </c:pt>
                <c:pt idx="289">
                  <c:v>1241.90931999754</c:v>
                </c:pt>
                <c:pt idx="290">
                  <c:v>1241.3585190380149</c:v>
                </c:pt>
                <c:pt idx="291">
                  <c:v>1240.8077180784899</c:v>
                </c:pt>
                <c:pt idx="292">
                  <c:v>1240.256917118965</c:v>
                </c:pt>
                <c:pt idx="293">
                  <c:v>1239.7061161594399</c:v>
                </c:pt>
                <c:pt idx="294">
                  <c:v>1239.1553151999149</c:v>
                </c:pt>
                <c:pt idx="295">
                  <c:v>1238.60451424039</c:v>
                </c:pt>
                <c:pt idx="296">
                  <c:v>1238.0537132808649</c:v>
                </c:pt>
                <c:pt idx="297">
                  <c:v>1237.5029123213399</c:v>
                </c:pt>
                <c:pt idx="298">
                  <c:v>1236.952111361815</c:v>
                </c:pt>
                <c:pt idx="299">
                  <c:v>1236.4013104022899</c:v>
                </c:pt>
                <c:pt idx="300">
                  <c:v>1235.8505094427649</c:v>
                </c:pt>
                <c:pt idx="301">
                  <c:v>1235.29970848324</c:v>
                </c:pt>
                <c:pt idx="302">
                  <c:v>1234.7489075237149</c:v>
                </c:pt>
                <c:pt idx="303">
                  <c:v>1234.1981065641899</c:v>
                </c:pt>
                <c:pt idx="304">
                  <c:v>1233.647305604665</c:v>
                </c:pt>
                <c:pt idx="305">
                  <c:v>1233.0965046451399</c:v>
                </c:pt>
                <c:pt idx="306">
                  <c:v>1232.5457036856149</c:v>
                </c:pt>
                <c:pt idx="307">
                  <c:v>1231.99490272609</c:v>
                </c:pt>
                <c:pt idx="308">
                  <c:v>1231.4441017665649</c:v>
                </c:pt>
                <c:pt idx="309">
                  <c:v>1230.8933008070399</c:v>
                </c:pt>
                <c:pt idx="310">
                  <c:v>1230.342499847515</c:v>
                </c:pt>
                <c:pt idx="311">
                  <c:v>1229.7916988879899</c:v>
                </c:pt>
                <c:pt idx="312">
                  <c:v>1229.2408979284648</c:v>
                </c:pt>
                <c:pt idx="313">
                  <c:v>1228.69009696894</c:v>
                </c:pt>
                <c:pt idx="314">
                  <c:v>1228.1392960094149</c:v>
                </c:pt>
                <c:pt idx="315">
                  <c:v>1227.5884950498898</c:v>
                </c:pt>
                <c:pt idx="316">
                  <c:v>1227.0376940903648</c:v>
                </c:pt>
                <c:pt idx="317">
                  <c:v>1226.4868931308399</c:v>
                </c:pt>
                <c:pt idx="318">
                  <c:v>1225.9360921713148</c:v>
                </c:pt>
                <c:pt idx="319">
                  <c:v>1225.38529121179</c:v>
                </c:pt>
                <c:pt idx="320">
                  <c:v>1224.8344902522649</c:v>
                </c:pt>
                <c:pt idx="321">
                  <c:v>1224.2836892927398</c:v>
                </c:pt>
                <c:pt idx="322">
                  <c:v>1223.7328883332148</c:v>
                </c:pt>
                <c:pt idx="323">
                  <c:v>1223.1820873736899</c:v>
                </c:pt>
                <c:pt idx="324">
                  <c:v>1222.6312864141648</c:v>
                </c:pt>
                <c:pt idx="325">
                  <c:v>1222.08048545464</c:v>
                </c:pt>
                <c:pt idx="326">
                  <c:v>1221.5296844951149</c:v>
                </c:pt>
                <c:pt idx="327">
                  <c:v>1220.9788835355898</c:v>
                </c:pt>
                <c:pt idx="328">
                  <c:v>1220.4280825760648</c:v>
                </c:pt>
                <c:pt idx="329">
                  <c:v>1219.8772816165399</c:v>
                </c:pt>
                <c:pt idx="330">
                  <c:v>1219.3264806570148</c:v>
                </c:pt>
                <c:pt idx="331">
                  <c:v>1218.77567969749</c:v>
                </c:pt>
                <c:pt idx="332">
                  <c:v>1218.2248787379649</c:v>
                </c:pt>
                <c:pt idx="333">
                  <c:v>1217.6740777784398</c:v>
                </c:pt>
                <c:pt idx="334">
                  <c:v>1217.1232768189147</c:v>
                </c:pt>
                <c:pt idx="335">
                  <c:v>1216.5724758593899</c:v>
                </c:pt>
                <c:pt idx="336">
                  <c:v>1216.0216748998648</c:v>
                </c:pt>
                <c:pt idx="337">
                  <c:v>1215.47087394034</c:v>
                </c:pt>
                <c:pt idx="338">
                  <c:v>1214.9200729808149</c:v>
                </c:pt>
                <c:pt idx="339">
                  <c:v>1214.3692720212898</c:v>
                </c:pt>
                <c:pt idx="340">
                  <c:v>1213.8184710617647</c:v>
                </c:pt>
                <c:pt idx="341">
                  <c:v>1213.2676701022399</c:v>
                </c:pt>
                <c:pt idx="342">
                  <c:v>1212.7168691427148</c:v>
                </c:pt>
                <c:pt idx="343">
                  <c:v>1212.16606818319</c:v>
                </c:pt>
                <c:pt idx="344">
                  <c:v>1211.6152672236649</c:v>
                </c:pt>
                <c:pt idx="345">
                  <c:v>1211.0644662641398</c:v>
                </c:pt>
                <c:pt idx="346">
                  <c:v>1210.5136653046147</c:v>
                </c:pt>
                <c:pt idx="347">
                  <c:v>1209.9628643450899</c:v>
                </c:pt>
                <c:pt idx="348">
                  <c:v>1209.4120633855648</c:v>
                </c:pt>
                <c:pt idx="349">
                  <c:v>1208.86126242604</c:v>
                </c:pt>
                <c:pt idx="350">
                  <c:v>1208.3104614665149</c:v>
                </c:pt>
                <c:pt idx="351">
                  <c:v>1207.7596605069898</c:v>
                </c:pt>
                <c:pt idx="352">
                  <c:v>1207.2088595474647</c:v>
                </c:pt>
                <c:pt idx="353">
                  <c:v>1206.6580585879399</c:v>
                </c:pt>
                <c:pt idx="354">
                  <c:v>1206.1072576284148</c:v>
                </c:pt>
                <c:pt idx="355">
                  <c:v>1205.55645666889</c:v>
                </c:pt>
                <c:pt idx="356">
                  <c:v>1205.0056557093649</c:v>
                </c:pt>
                <c:pt idx="357">
                  <c:v>1204.4548547498398</c:v>
                </c:pt>
                <c:pt idx="358">
                  <c:v>1203.9040537903147</c:v>
                </c:pt>
                <c:pt idx="359">
                  <c:v>1203.3532528307899</c:v>
                </c:pt>
                <c:pt idx="360">
                  <c:v>1202.8024518712648</c:v>
                </c:pt>
                <c:pt idx="361">
                  <c:v>1202.2516509117399</c:v>
                </c:pt>
                <c:pt idx="362">
                  <c:v>1201.7008499522149</c:v>
                </c:pt>
                <c:pt idx="363">
                  <c:v>1201.1500489926898</c:v>
                </c:pt>
                <c:pt idx="364">
                  <c:v>1200.5992480331647</c:v>
                </c:pt>
                <c:pt idx="365">
                  <c:v>1200.0484470736399</c:v>
                </c:pt>
                <c:pt idx="366">
                  <c:v>1199.4976461141148</c:v>
                </c:pt>
                <c:pt idx="367">
                  <c:v>1198.9468451545899</c:v>
                </c:pt>
                <c:pt idx="368">
                  <c:v>1198.3960441950649</c:v>
                </c:pt>
                <c:pt idx="369">
                  <c:v>1197.8452432355398</c:v>
                </c:pt>
                <c:pt idx="370">
                  <c:v>1197.2944422760147</c:v>
                </c:pt>
                <c:pt idx="371">
                  <c:v>1196.7436413164899</c:v>
                </c:pt>
                <c:pt idx="372">
                  <c:v>1196.1928403569648</c:v>
                </c:pt>
                <c:pt idx="373">
                  <c:v>1195.6420393974399</c:v>
                </c:pt>
                <c:pt idx="374">
                  <c:v>1195.0912384379149</c:v>
                </c:pt>
                <c:pt idx="375">
                  <c:v>1194.5404374783898</c:v>
                </c:pt>
                <c:pt idx="376">
                  <c:v>1193.9896365188647</c:v>
                </c:pt>
                <c:pt idx="377">
                  <c:v>1193.4388355593399</c:v>
                </c:pt>
                <c:pt idx="378">
                  <c:v>1192.8880345998148</c:v>
                </c:pt>
                <c:pt idx="379">
                  <c:v>1192.3372336402899</c:v>
                </c:pt>
                <c:pt idx="380">
                  <c:v>1191.7864326807648</c:v>
                </c:pt>
                <c:pt idx="381">
                  <c:v>1191.2356317212398</c:v>
                </c:pt>
                <c:pt idx="382">
                  <c:v>1190.6848307617147</c:v>
                </c:pt>
                <c:pt idx="383">
                  <c:v>1190.1340298021898</c:v>
                </c:pt>
                <c:pt idx="384">
                  <c:v>1189.5832288426648</c:v>
                </c:pt>
                <c:pt idx="385">
                  <c:v>1189.0324278831399</c:v>
                </c:pt>
                <c:pt idx="386">
                  <c:v>1188.4816269236148</c:v>
                </c:pt>
                <c:pt idx="387">
                  <c:v>1187.9308259640898</c:v>
                </c:pt>
                <c:pt idx="388">
                  <c:v>1187.3800250045647</c:v>
                </c:pt>
                <c:pt idx="389">
                  <c:v>1186.8292240450398</c:v>
                </c:pt>
                <c:pt idx="390">
                  <c:v>1186.2784230855148</c:v>
                </c:pt>
                <c:pt idx="391">
                  <c:v>1185.7276221259899</c:v>
                </c:pt>
                <c:pt idx="392">
                  <c:v>1185.1768211664648</c:v>
                </c:pt>
                <c:pt idx="393">
                  <c:v>1184.6260202069398</c:v>
                </c:pt>
                <c:pt idx="394">
                  <c:v>1184.0752192474149</c:v>
                </c:pt>
                <c:pt idx="395">
                  <c:v>1183.5244182878901</c:v>
                </c:pt>
                <c:pt idx="396">
                  <c:v>1182.973617328365</c:v>
                </c:pt>
                <c:pt idx="397">
                  <c:v>1182.4228163688399</c:v>
                </c:pt>
                <c:pt idx="398">
                  <c:v>1181.8720154093151</c:v>
                </c:pt>
                <c:pt idx="399">
                  <c:v>1181.3212144497902</c:v>
                </c:pt>
                <c:pt idx="400">
                  <c:v>1180.7704134902651</c:v>
                </c:pt>
                <c:pt idx="401">
                  <c:v>1180.2196125307401</c:v>
                </c:pt>
                <c:pt idx="402">
                  <c:v>1179.6688115712152</c:v>
                </c:pt>
                <c:pt idx="403">
                  <c:v>1179.1180106116904</c:v>
                </c:pt>
                <c:pt idx="404">
                  <c:v>1178.5672096521653</c:v>
                </c:pt>
                <c:pt idx="405">
                  <c:v>1178.0164086926402</c:v>
                </c:pt>
                <c:pt idx="406">
                  <c:v>1177.4656077331153</c:v>
                </c:pt>
                <c:pt idx="407">
                  <c:v>1176.9148067735905</c:v>
                </c:pt>
                <c:pt idx="408">
                  <c:v>1176.3640058140654</c:v>
                </c:pt>
                <c:pt idx="409">
                  <c:v>1175.8132048545403</c:v>
                </c:pt>
                <c:pt idx="410">
                  <c:v>1175.2624038950155</c:v>
                </c:pt>
                <c:pt idx="411">
                  <c:v>1174.7116029354906</c:v>
                </c:pt>
                <c:pt idx="412">
                  <c:v>1174.1608019759656</c:v>
                </c:pt>
                <c:pt idx="413">
                  <c:v>1173.6100010164407</c:v>
                </c:pt>
                <c:pt idx="414">
                  <c:v>1173.0592000569156</c:v>
                </c:pt>
                <c:pt idx="415">
                  <c:v>1172.5083990973908</c:v>
                </c:pt>
                <c:pt idx="416">
                  <c:v>1171.9575981378657</c:v>
                </c:pt>
                <c:pt idx="417">
                  <c:v>1171.4067971783409</c:v>
                </c:pt>
                <c:pt idx="418">
                  <c:v>1170.8559962188158</c:v>
                </c:pt>
                <c:pt idx="419">
                  <c:v>1170.3051952592909</c:v>
                </c:pt>
                <c:pt idx="420">
                  <c:v>1169.7543942997659</c:v>
                </c:pt>
                <c:pt idx="421">
                  <c:v>1169.203593340241</c:v>
                </c:pt>
                <c:pt idx="422">
                  <c:v>1168.6527923807159</c:v>
                </c:pt>
                <c:pt idx="423">
                  <c:v>1168.1019914211911</c:v>
                </c:pt>
                <c:pt idx="424">
                  <c:v>1167.551190461666</c:v>
                </c:pt>
                <c:pt idx="425">
                  <c:v>1167.0003895021412</c:v>
                </c:pt>
                <c:pt idx="426">
                  <c:v>1166.4495885426161</c:v>
                </c:pt>
                <c:pt idx="427">
                  <c:v>1165.8987875830912</c:v>
                </c:pt>
                <c:pt idx="428">
                  <c:v>1165.3479866235662</c:v>
                </c:pt>
                <c:pt idx="429">
                  <c:v>1164.7971856640413</c:v>
                </c:pt>
                <c:pt idx="430">
                  <c:v>1164.2463847045162</c:v>
                </c:pt>
                <c:pt idx="431">
                  <c:v>1163.6955837449914</c:v>
                </c:pt>
                <c:pt idx="432">
                  <c:v>1163.1447827854663</c:v>
                </c:pt>
                <c:pt idx="433">
                  <c:v>1162.5939818259415</c:v>
                </c:pt>
                <c:pt idx="434">
                  <c:v>1162.0431808664164</c:v>
                </c:pt>
                <c:pt idx="435">
                  <c:v>1161.4923799068915</c:v>
                </c:pt>
                <c:pt idx="436">
                  <c:v>1160.9415789473665</c:v>
                </c:pt>
                <c:pt idx="437">
                  <c:v>1160.3907779878416</c:v>
                </c:pt>
                <c:pt idx="438">
                  <c:v>1159.8399770283165</c:v>
                </c:pt>
                <c:pt idx="439">
                  <c:v>1159.2891760687917</c:v>
                </c:pt>
                <c:pt idx="440">
                  <c:v>1158.7383751092666</c:v>
                </c:pt>
                <c:pt idx="441">
                  <c:v>1158.1875741497417</c:v>
                </c:pt>
                <c:pt idx="442">
                  <c:v>1157.6367731902167</c:v>
                </c:pt>
                <c:pt idx="443">
                  <c:v>1157.0859722306918</c:v>
                </c:pt>
                <c:pt idx="444">
                  <c:v>1156.5351712711667</c:v>
                </c:pt>
                <c:pt idx="445">
                  <c:v>1155.9843703116419</c:v>
                </c:pt>
                <c:pt idx="446">
                  <c:v>1155.4335693521168</c:v>
                </c:pt>
                <c:pt idx="447">
                  <c:v>1154.882768392592</c:v>
                </c:pt>
                <c:pt idx="448">
                  <c:v>1154.3319674330669</c:v>
                </c:pt>
                <c:pt idx="449">
                  <c:v>1153.781166473542</c:v>
                </c:pt>
                <c:pt idx="450">
                  <c:v>1153.781166473542</c:v>
                </c:pt>
                <c:pt idx="451">
                  <c:v>1153.781166473542</c:v>
                </c:pt>
                <c:pt idx="452">
                  <c:v>1153.781166473542</c:v>
                </c:pt>
                <c:pt idx="453">
                  <c:v>1153.781166473542</c:v>
                </c:pt>
                <c:pt idx="454">
                  <c:v>1153.781166473542</c:v>
                </c:pt>
                <c:pt idx="455">
                  <c:v>1153.781166473542</c:v>
                </c:pt>
                <c:pt idx="456">
                  <c:v>1153.781166473542</c:v>
                </c:pt>
                <c:pt idx="457">
                  <c:v>1153.781166473542</c:v>
                </c:pt>
                <c:pt idx="458">
                  <c:v>1153.781166473542</c:v>
                </c:pt>
                <c:pt idx="459">
                  <c:v>1153.781166473542</c:v>
                </c:pt>
                <c:pt idx="460">
                  <c:v>1153.781166473542</c:v>
                </c:pt>
                <c:pt idx="461">
                  <c:v>1153.781166473542</c:v>
                </c:pt>
                <c:pt idx="462">
                  <c:v>1153.781166473542</c:v>
                </c:pt>
                <c:pt idx="463">
                  <c:v>1153.781166473542</c:v>
                </c:pt>
                <c:pt idx="464">
                  <c:v>1153.781166473542</c:v>
                </c:pt>
                <c:pt idx="465">
                  <c:v>1153.781166473542</c:v>
                </c:pt>
                <c:pt idx="466">
                  <c:v>1153.781166473542</c:v>
                </c:pt>
                <c:pt idx="467">
                  <c:v>1153.781166473542</c:v>
                </c:pt>
                <c:pt idx="468">
                  <c:v>1153.781166473542</c:v>
                </c:pt>
                <c:pt idx="469">
                  <c:v>1153.781166473542</c:v>
                </c:pt>
                <c:pt idx="470">
                  <c:v>1153.781166473542</c:v>
                </c:pt>
                <c:pt idx="471">
                  <c:v>1153.781166473542</c:v>
                </c:pt>
                <c:pt idx="472">
                  <c:v>1153.781166473542</c:v>
                </c:pt>
                <c:pt idx="473">
                  <c:v>1153.781166473542</c:v>
                </c:pt>
                <c:pt idx="474">
                  <c:v>1153.781166473542</c:v>
                </c:pt>
                <c:pt idx="475">
                  <c:v>1153.781166473542</c:v>
                </c:pt>
                <c:pt idx="476">
                  <c:v>1153.781166473542</c:v>
                </c:pt>
                <c:pt idx="477">
                  <c:v>1153.781166473542</c:v>
                </c:pt>
                <c:pt idx="478">
                  <c:v>1153.781166473542</c:v>
                </c:pt>
                <c:pt idx="479">
                  <c:v>1153.781166473542</c:v>
                </c:pt>
                <c:pt idx="480">
                  <c:v>1153.781166473542</c:v>
                </c:pt>
                <c:pt idx="481">
                  <c:v>1153.781166473542</c:v>
                </c:pt>
                <c:pt idx="482">
                  <c:v>1153.781166473542</c:v>
                </c:pt>
                <c:pt idx="483">
                  <c:v>1153.781166473542</c:v>
                </c:pt>
                <c:pt idx="484">
                  <c:v>1153.781166473542</c:v>
                </c:pt>
                <c:pt idx="485">
                  <c:v>1153.781166473542</c:v>
                </c:pt>
                <c:pt idx="486">
                  <c:v>1153.781166473542</c:v>
                </c:pt>
                <c:pt idx="487">
                  <c:v>1153.781166473542</c:v>
                </c:pt>
                <c:pt idx="488">
                  <c:v>1153.781166473542</c:v>
                </c:pt>
                <c:pt idx="489">
                  <c:v>1153.781166473542</c:v>
                </c:pt>
                <c:pt idx="490">
                  <c:v>1153.781166473542</c:v>
                </c:pt>
                <c:pt idx="491">
                  <c:v>1153.781166473542</c:v>
                </c:pt>
                <c:pt idx="492">
                  <c:v>1153.781166473542</c:v>
                </c:pt>
                <c:pt idx="493">
                  <c:v>1153.781166473542</c:v>
                </c:pt>
                <c:pt idx="494">
                  <c:v>1153.781166473542</c:v>
                </c:pt>
                <c:pt idx="495">
                  <c:v>1153.781166473542</c:v>
                </c:pt>
                <c:pt idx="496">
                  <c:v>1153.781166473542</c:v>
                </c:pt>
                <c:pt idx="497">
                  <c:v>1153.781166473542</c:v>
                </c:pt>
                <c:pt idx="498">
                  <c:v>1153.781166473542</c:v>
                </c:pt>
                <c:pt idx="499">
                  <c:v>1153.781166473542</c:v>
                </c:pt>
                <c:pt idx="500">
                  <c:v>1153.781166473542</c:v>
                </c:pt>
                <c:pt idx="501">
                  <c:v>1153.781166473542</c:v>
                </c:pt>
                <c:pt idx="502">
                  <c:v>1153.781166473542</c:v>
                </c:pt>
                <c:pt idx="503">
                  <c:v>1153.781166473542</c:v>
                </c:pt>
                <c:pt idx="504">
                  <c:v>1153.781166473542</c:v>
                </c:pt>
                <c:pt idx="505">
                  <c:v>1153.781166473542</c:v>
                </c:pt>
                <c:pt idx="506">
                  <c:v>1153.781166473542</c:v>
                </c:pt>
                <c:pt idx="507">
                  <c:v>1153.781166473542</c:v>
                </c:pt>
                <c:pt idx="508">
                  <c:v>1153.781166473542</c:v>
                </c:pt>
                <c:pt idx="509">
                  <c:v>1153.781166473542</c:v>
                </c:pt>
                <c:pt idx="510">
                  <c:v>1153.781166473542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C06-4ACB-84BA-8940E7FDB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1883279"/>
        <c:axId val="1"/>
      </c:scatterChart>
      <c:valAx>
        <c:axId val="1101883279"/>
        <c:scaling>
          <c:orientation val="minMax"/>
          <c:max val="70"/>
          <c:min val="2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Temperature</a:t>
                </a:r>
                <a:r>
                  <a:rPr lang="en-US" baseline="0"/>
                  <a:t> (</a:t>
                </a:r>
                <a:r>
                  <a:rPr lang="en-US" baseline="0">
                    <a:sym typeface="Symbol" panose="05050102010706020507" pitchFamily="18" charset="2"/>
                  </a:rPr>
                  <a:t>C)</a:t>
                </a:r>
                <a:endParaRPr lang="en-US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Absorbance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1883279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Alpha vs.</a:t>
            </a:r>
            <a:r>
              <a:rPr lang="en-US" baseline="0"/>
              <a:t> Temperature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9944506104328525E-2"/>
          <c:y val="3.4257748776508973E-2"/>
          <c:w val="0.91675915649278583"/>
          <c:h val="0.92985318107667214"/>
        </c:manualLayout>
      </c:layout>
      <c:scatterChart>
        <c:scatterStyle val="smoothMarker"/>
        <c:varyColors val="0"/>
        <c:ser>
          <c:idx val="0"/>
          <c:order val="0"/>
          <c:tx>
            <c:v>Heating Curve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Curves!$AK$2:$AK$512</c:f>
              <c:numCache>
                <c:formatCode>0.0</c:formatCode>
                <c:ptCount val="511"/>
                <c:pt idx="0">
                  <c:v>25</c:v>
                </c:pt>
                <c:pt idx="1">
                  <c:v>25.1</c:v>
                </c:pt>
                <c:pt idx="2">
                  <c:v>25.200000000000003</c:v>
                </c:pt>
                <c:pt idx="3">
                  <c:v>25.300000000000004</c:v>
                </c:pt>
                <c:pt idx="4">
                  <c:v>25.400000000000006</c:v>
                </c:pt>
                <c:pt idx="5">
                  <c:v>25.500000000000007</c:v>
                </c:pt>
                <c:pt idx="6">
                  <c:v>25.600000000000009</c:v>
                </c:pt>
                <c:pt idx="7">
                  <c:v>25.70000000000001</c:v>
                </c:pt>
                <c:pt idx="8">
                  <c:v>25.800000000000011</c:v>
                </c:pt>
                <c:pt idx="9">
                  <c:v>25.900000000000013</c:v>
                </c:pt>
                <c:pt idx="10">
                  <c:v>26.000000000000014</c:v>
                </c:pt>
                <c:pt idx="11">
                  <c:v>26.100000000000016</c:v>
                </c:pt>
                <c:pt idx="12">
                  <c:v>26.200000000000017</c:v>
                </c:pt>
                <c:pt idx="13">
                  <c:v>26.300000000000018</c:v>
                </c:pt>
                <c:pt idx="14">
                  <c:v>26.40000000000002</c:v>
                </c:pt>
                <c:pt idx="15">
                  <c:v>26.500000000000021</c:v>
                </c:pt>
                <c:pt idx="16">
                  <c:v>26.600000000000023</c:v>
                </c:pt>
                <c:pt idx="17">
                  <c:v>26.700000000000024</c:v>
                </c:pt>
                <c:pt idx="18">
                  <c:v>26.800000000000026</c:v>
                </c:pt>
                <c:pt idx="19">
                  <c:v>26.900000000000027</c:v>
                </c:pt>
                <c:pt idx="20">
                  <c:v>27.000000000000028</c:v>
                </c:pt>
                <c:pt idx="21">
                  <c:v>27.10000000000003</c:v>
                </c:pt>
                <c:pt idx="22">
                  <c:v>27.200000000000031</c:v>
                </c:pt>
                <c:pt idx="23">
                  <c:v>27.300000000000033</c:v>
                </c:pt>
                <c:pt idx="24">
                  <c:v>27.400000000000034</c:v>
                </c:pt>
                <c:pt idx="25">
                  <c:v>27.500000000000036</c:v>
                </c:pt>
                <c:pt idx="26">
                  <c:v>27.600000000000037</c:v>
                </c:pt>
                <c:pt idx="27">
                  <c:v>27.700000000000038</c:v>
                </c:pt>
                <c:pt idx="28">
                  <c:v>27.80000000000004</c:v>
                </c:pt>
                <c:pt idx="29">
                  <c:v>27.900000000000041</c:v>
                </c:pt>
                <c:pt idx="30">
                  <c:v>28.000000000000043</c:v>
                </c:pt>
                <c:pt idx="31">
                  <c:v>28.100000000000044</c:v>
                </c:pt>
                <c:pt idx="32">
                  <c:v>28.200000000000045</c:v>
                </c:pt>
                <c:pt idx="33">
                  <c:v>28.300000000000047</c:v>
                </c:pt>
                <c:pt idx="34">
                  <c:v>28.400000000000048</c:v>
                </c:pt>
                <c:pt idx="35">
                  <c:v>28.50000000000005</c:v>
                </c:pt>
                <c:pt idx="36">
                  <c:v>28.600000000000051</c:v>
                </c:pt>
                <c:pt idx="37">
                  <c:v>28.700000000000053</c:v>
                </c:pt>
                <c:pt idx="38">
                  <c:v>28.800000000000054</c:v>
                </c:pt>
                <c:pt idx="39">
                  <c:v>28.900000000000055</c:v>
                </c:pt>
                <c:pt idx="40">
                  <c:v>29.000000000000057</c:v>
                </c:pt>
                <c:pt idx="41">
                  <c:v>29.100000000000058</c:v>
                </c:pt>
                <c:pt idx="42">
                  <c:v>29.20000000000006</c:v>
                </c:pt>
                <c:pt idx="43">
                  <c:v>29.300000000000061</c:v>
                </c:pt>
                <c:pt idx="44">
                  <c:v>29.400000000000063</c:v>
                </c:pt>
                <c:pt idx="45">
                  <c:v>29.500000000000064</c:v>
                </c:pt>
                <c:pt idx="46">
                  <c:v>29.600000000000065</c:v>
                </c:pt>
                <c:pt idx="47">
                  <c:v>29.700000000000067</c:v>
                </c:pt>
                <c:pt idx="48">
                  <c:v>29.800000000000068</c:v>
                </c:pt>
                <c:pt idx="49">
                  <c:v>29.90000000000007</c:v>
                </c:pt>
                <c:pt idx="50">
                  <c:v>30.000000000000071</c:v>
                </c:pt>
                <c:pt idx="51">
                  <c:v>30.100000000000072</c:v>
                </c:pt>
                <c:pt idx="52">
                  <c:v>30.200000000000074</c:v>
                </c:pt>
                <c:pt idx="53">
                  <c:v>30.300000000000075</c:v>
                </c:pt>
                <c:pt idx="54">
                  <c:v>30.400000000000077</c:v>
                </c:pt>
                <c:pt idx="55">
                  <c:v>30.500000000000078</c:v>
                </c:pt>
                <c:pt idx="56">
                  <c:v>30.60000000000008</c:v>
                </c:pt>
                <c:pt idx="57">
                  <c:v>30.700000000000081</c:v>
                </c:pt>
                <c:pt idx="58">
                  <c:v>30.800000000000082</c:v>
                </c:pt>
                <c:pt idx="59">
                  <c:v>30.900000000000084</c:v>
                </c:pt>
                <c:pt idx="60">
                  <c:v>31.000000000000085</c:v>
                </c:pt>
                <c:pt idx="61">
                  <c:v>31.100000000000087</c:v>
                </c:pt>
                <c:pt idx="62">
                  <c:v>31.200000000000088</c:v>
                </c:pt>
                <c:pt idx="63">
                  <c:v>31.30000000000009</c:v>
                </c:pt>
                <c:pt idx="64">
                  <c:v>31.400000000000091</c:v>
                </c:pt>
                <c:pt idx="65">
                  <c:v>31.500000000000092</c:v>
                </c:pt>
                <c:pt idx="66">
                  <c:v>31.600000000000094</c:v>
                </c:pt>
                <c:pt idx="67">
                  <c:v>31.700000000000095</c:v>
                </c:pt>
                <c:pt idx="68">
                  <c:v>31.800000000000097</c:v>
                </c:pt>
                <c:pt idx="69">
                  <c:v>31.900000000000098</c:v>
                </c:pt>
                <c:pt idx="70">
                  <c:v>32.000000000000099</c:v>
                </c:pt>
                <c:pt idx="71">
                  <c:v>32.100000000000101</c:v>
                </c:pt>
                <c:pt idx="72">
                  <c:v>32.200000000000102</c:v>
                </c:pt>
                <c:pt idx="73">
                  <c:v>32.300000000000104</c:v>
                </c:pt>
                <c:pt idx="74">
                  <c:v>32.400000000000105</c:v>
                </c:pt>
                <c:pt idx="75">
                  <c:v>32.500000000000107</c:v>
                </c:pt>
                <c:pt idx="76">
                  <c:v>32.600000000000108</c:v>
                </c:pt>
                <c:pt idx="77">
                  <c:v>32.700000000000109</c:v>
                </c:pt>
                <c:pt idx="78">
                  <c:v>32.800000000000111</c:v>
                </c:pt>
                <c:pt idx="79">
                  <c:v>32.900000000000112</c:v>
                </c:pt>
                <c:pt idx="80">
                  <c:v>33.000000000000114</c:v>
                </c:pt>
                <c:pt idx="81">
                  <c:v>33.100000000000115</c:v>
                </c:pt>
                <c:pt idx="82">
                  <c:v>33.200000000000117</c:v>
                </c:pt>
                <c:pt idx="83">
                  <c:v>33.300000000000118</c:v>
                </c:pt>
                <c:pt idx="84">
                  <c:v>33.400000000000119</c:v>
                </c:pt>
                <c:pt idx="85">
                  <c:v>33.500000000000121</c:v>
                </c:pt>
                <c:pt idx="86">
                  <c:v>33.600000000000122</c:v>
                </c:pt>
                <c:pt idx="87">
                  <c:v>33.700000000000124</c:v>
                </c:pt>
                <c:pt idx="88">
                  <c:v>33.800000000000125</c:v>
                </c:pt>
                <c:pt idx="89">
                  <c:v>33.900000000000126</c:v>
                </c:pt>
                <c:pt idx="90">
                  <c:v>34.000000000000128</c:v>
                </c:pt>
                <c:pt idx="91">
                  <c:v>34.100000000000129</c:v>
                </c:pt>
                <c:pt idx="92">
                  <c:v>34.200000000000131</c:v>
                </c:pt>
                <c:pt idx="93">
                  <c:v>34.300000000000132</c:v>
                </c:pt>
                <c:pt idx="94">
                  <c:v>34.400000000000134</c:v>
                </c:pt>
                <c:pt idx="95">
                  <c:v>34.500000000000135</c:v>
                </c:pt>
                <c:pt idx="96">
                  <c:v>34.600000000000136</c:v>
                </c:pt>
                <c:pt idx="97">
                  <c:v>34.700000000000138</c:v>
                </c:pt>
                <c:pt idx="98">
                  <c:v>34.800000000000139</c:v>
                </c:pt>
                <c:pt idx="99">
                  <c:v>34.900000000000141</c:v>
                </c:pt>
                <c:pt idx="100">
                  <c:v>35.000000000000142</c:v>
                </c:pt>
                <c:pt idx="101">
                  <c:v>35.100000000000144</c:v>
                </c:pt>
                <c:pt idx="102">
                  <c:v>35.200000000000145</c:v>
                </c:pt>
                <c:pt idx="103">
                  <c:v>35.300000000000146</c:v>
                </c:pt>
                <c:pt idx="104">
                  <c:v>35.400000000000148</c:v>
                </c:pt>
                <c:pt idx="105">
                  <c:v>35.500000000000149</c:v>
                </c:pt>
                <c:pt idx="106">
                  <c:v>35.600000000000151</c:v>
                </c:pt>
                <c:pt idx="107">
                  <c:v>35.700000000000152</c:v>
                </c:pt>
                <c:pt idx="108">
                  <c:v>35.800000000000153</c:v>
                </c:pt>
                <c:pt idx="109">
                  <c:v>35.900000000000155</c:v>
                </c:pt>
                <c:pt idx="110">
                  <c:v>36.000000000000156</c:v>
                </c:pt>
                <c:pt idx="111">
                  <c:v>36.100000000000158</c:v>
                </c:pt>
                <c:pt idx="112">
                  <c:v>36.200000000000159</c:v>
                </c:pt>
                <c:pt idx="113">
                  <c:v>36.300000000000161</c:v>
                </c:pt>
                <c:pt idx="114">
                  <c:v>36.400000000000162</c:v>
                </c:pt>
                <c:pt idx="115">
                  <c:v>36.500000000000163</c:v>
                </c:pt>
                <c:pt idx="116">
                  <c:v>36.600000000000165</c:v>
                </c:pt>
                <c:pt idx="117">
                  <c:v>36.700000000000166</c:v>
                </c:pt>
                <c:pt idx="118">
                  <c:v>36.800000000000168</c:v>
                </c:pt>
                <c:pt idx="119">
                  <c:v>36.900000000000169</c:v>
                </c:pt>
                <c:pt idx="120">
                  <c:v>37.000000000000171</c:v>
                </c:pt>
                <c:pt idx="121">
                  <c:v>37.100000000000172</c:v>
                </c:pt>
                <c:pt idx="122">
                  <c:v>37.200000000000173</c:v>
                </c:pt>
                <c:pt idx="123">
                  <c:v>37.300000000000175</c:v>
                </c:pt>
                <c:pt idx="124">
                  <c:v>37.400000000000176</c:v>
                </c:pt>
                <c:pt idx="125">
                  <c:v>37.500000000000178</c:v>
                </c:pt>
                <c:pt idx="126">
                  <c:v>37.600000000000179</c:v>
                </c:pt>
                <c:pt idx="127">
                  <c:v>37.70000000000018</c:v>
                </c:pt>
                <c:pt idx="128">
                  <c:v>37.800000000000182</c:v>
                </c:pt>
                <c:pt idx="129">
                  <c:v>37.900000000000183</c:v>
                </c:pt>
                <c:pt idx="130">
                  <c:v>38.000000000000185</c:v>
                </c:pt>
                <c:pt idx="131">
                  <c:v>38.100000000000186</c:v>
                </c:pt>
                <c:pt idx="132">
                  <c:v>38.200000000000188</c:v>
                </c:pt>
                <c:pt idx="133">
                  <c:v>38.300000000000189</c:v>
                </c:pt>
                <c:pt idx="134">
                  <c:v>38.40000000000019</c:v>
                </c:pt>
                <c:pt idx="135">
                  <c:v>38.500000000000192</c:v>
                </c:pt>
                <c:pt idx="136">
                  <c:v>38.600000000000193</c:v>
                </c:pt>
                <c:pt idx="137">
                  <c:v>38.700000000000195</c:v>
                </c:pt>
                <c:pt idx="138">
                  <c:v>38.800000000000196</c:v>
                </c:pt>
                <c:pt idx="139">
                  <c:v>38.900000000000198</c:v>
                </c:pt>
                <c:pt idx="140">
                  <c:v>39.000000000000199</c:v>
                </c:pt>
                <c:pt idx="141">
                  <c:v>39.1000000000002</c:v>
                </c:pt>
                <c:pt idx="142">
                  <c:v>39.200000000000202</c:v>
                </c:pt>
                <c:pt idx="143">
                  <c:v>39.300000000000203</c:v>
                </c:pt>
                <c:pt idx="144">
                  <c:v>39.400000000000205</c:v>
                </c:pt>
                <c:pt idx="145">
                  <c:v>39.500000000000206</c:v>
                </c:pt>
                <c:pt idx="146">
                  <c:v>39.600000000000207</c:v>
                </c:pt>
                <c:pt idx="147">
                  <c:v>39.700000000000209</c:v>
                </c:pt>
                <c:pt idx="148">
                  <c:v>39.80000000000021</c:v>
                </c:pt>
                <c:pt idx="149">
                  <c:v>39.900000000000212</c:v>
                </c:pt>
                <c:pt idx="150">
                  <c:v>40.000000000000213</c:v>
                </c:pt>
                <c:pt idx="151">
                  <c:v>40.100000000000215</c:v>
                </c:pt>
                <c:pt idx="152">
                  <c:v>40.200000000000216</c:v>
                </c:pt>
                <c:pt idx="153">
                  <c:v>40.300000000000217</c:v>
                </c:pt>
                <c:pt idx="154">
                  <c:v>40.400000000000219</c:v>
                </c:pt>
                <c:pt idx="155">
                  <c:v>40.50000000000022</c:v>
                </c:pt>
                <c:pt idx="156">
                  <c:v>40.600000000000222</c:v>
                </c:pt>
                <c:pt idx="157">
                  <c:v>40.700000000000223</c:v>
                </c:pt>
                <c:pt idx="158">
                  <c:v>40.800000000000225</c:v>
                </c:pt>
                <c:pt idx="159">
                  <c:v>40.900000000000226</c:v>
                </c:pt>
                <c:pt idx="160">
                  <c:v>41.000000000000227</c:v>
                </c:pt>
                <c:pt idx="161">
                  <c:v>41.100000000000229</c:v>
                </c:pt>
                <c:pt idx="162">
                  <c:v>41.20000000000023</c:v>
                </c:pt>
                <c:pt idx="163">
                  <c:v>41.300000000000232</c:v>
                </c:pt>
                <c:pt idx="164">
                  <c:v>41.400000000000233</c:v>
                </c:pt>
                <c:pt idx="165">
                  <c:v>41.500000000000234</c:v>
                </c:pt>
                <c:pt idx="166">
                  <c:v>41.600000000000236</c:v>
                </c:pt>
                <c:pt idx="167">
                  <c:v>41.700000000000237</c:v>
                </c:pt>
                <c:pt idx="168">
                  <c:v>41.800000000000239</c:v>
                </c:pt>
                <c:pt idx="169">
                  <c:v>41.90000000000024</c:v>
                </c:pt>
                <c:pt idx="170">
                  <c:v>42.000000000000242</c:v>
                </c:pt>
                <c:pt idx="171">
                  <c:v>42.100000000000243</c:v>
                </c:pt>
                <c:pt idx="172">
                  <c:v>42.200000000000244</c:v>
                </c:pt>
                <c:pt idx="173">
                  <c:v>42.300000000000246</c:v>
                </c:pt>
                <c:pt idx="174">
                  <c:v>42.400000000000247</c:v>
                </c:pt>
                <c:pt idx="175">
                  <c:v>42.500000000000249</c:v>
                </c:pt>
                <c:pt idx="176">
                  <c:v>42.60000000000025</c:v>
                </c:pt>
                <c:pt idx="177">
                  <c:v>42.700000000000252</c:v>
                </c:pt>
                <c:pt idx="178">
                  <c:v>42.800000000000253</c:v>
                </c:pt>
                <c:pt idx="179">
                  <c:v>42.900000000000254</c:v>
                </c:pt>
                <c:pt idx="180">
                  <c:v>43.000000000000256</c:v>
                </c:pt>
                <c:pt idx="181">
                  <c:v>43.100000000000257</c:v>
                </c:pt>
                <c:pt idx="182">
                  <c:v>43.200000000000259</c:v>
                </c:pt>
                <c:pt idx="183">
                  <c:v>43.30000000000026</c:v>
                </c:pt>
                <c:pt idx="184">
                  <c:v>43.400000000000261</c:v>
                </c:pt>
                <c:pt idx="185">
                  <c:v>43.500000000000263</c:v>
                </c:pt>
                <c:pt idx="186">
                  <c:v>43.600000000000264</c:v>
                </c:pt>
                <c:pt idx="187">
                  <c:v>43.700000000000266</c:v>
                </c:pt>
                <c:pt idx="188">
                  <c:v>43.800000000000267</c:v>
                </c:pt>
                <c:pt idx="189">
                  <c:v>43.900000000000269</c:v>
                </c:pt>
                <c:pt idx="190">
                  <c:v>44.00000000000027</c:v>
                </c:pt>
                <c:pt idx="191">
                  <c:v>44.100000000000271</c:v>
                </c:pt>
                <c:pt idx="192">
                  <c:v>44.200000000000273</c:v>
                </c:pt>
                <c:pt idx="193">
                  <c:v>44.300000000000274</c:v>
                </c:pt>
                <c:pt idx="194">
                  <c:v>44.400000000000276</c:v>
                </c:pt>
                <c:pt idx="195">
                  <c:v>44.500000000000277</c:v>
                </c:pt>
                <c:pt idx="196">
                  <c:v>44.600000000000279</c:v>
                </c:pt>
                <c:pt idx="197">
                  <c:v>44.70000000000028</c:v>
                </c:pt>
                <c:pt idx="198">
                  <c:v>44.800000000000281</c:v>
                </c:pt>
                <c:pt idx="199">
                  <c:v>44.900000000000283</c:v>
                </c:pt>
                <c:pt idx="200">
                  <c:v>45.000000000000284</c:v>
                </c:pt>
                <c:pt idx="201">
                  <c:v>45.100000000000286</c:v>
                </c:pt>
                <c:pt idx="202">
                  <c:v>45.200000000000287</c:v>
                </c:pt>
                <c:pt idx="203">
                  <c:v>45.300000000000288</c:v>
                </c:pt>
                <c:pt idx="204">
                  <c:v>45.40000000000029</c:v>
                </c:pt>
                <c:pt idx="205">
                  <c:v>45.500000000000291</c:v>
                </c:pt>
                <c:pt idx="206">
                  <c:v>45.600000000000293</c:v>
                </c:pt>
                <c:pt idx="207">
                  <c:v>45.700000000000294</c:v>
                </c:pt>
                <c:pt idx="208">
                  <c:v>45.800000000000296</c:v>
                </c:pt>
                <c:pt idx="209">
                  <c:v>45.900000000000297</c:v>
                </c:pt>
                <c:pt idx="210">
                  <c:v>46.000000000000298</c:v>
                </c:pt>
                <c:pt idx="211">
                  <c:v>46.1000000000003</c:v>
                </c:pt>
                <c:pt idx="212">
                  <c:v>46.200000000000301</c:v>
                </c:pt>
                <c:pt idx="213">
                  <c:v>46.300000000000303</c:v>
                </c:pt>
                <c:pt idx="214">
                  <c:v>46.400000000000304</c:v>
                </c:pt>
                <c:pt idx="215">
                  <c:v>46.500000000000306</c:v>
                </c:pt>
                <c:pt idx="216">
                  <c:v>46.600000000000307</c:v>
                </c:pt>
                <c:pt idx="217">
                  <c:v>46.700000000000308</c:v>
                </c:pt>
                <c:pt idx="218">
                  <c:v>46.80000000000031</c:v>
                </c:pt>
                <c:pt idx="219">
                  <c:v>46.900000000000311</c:v>
                </c:pt>
                <c:pt idx="220">
                  <c:v>47.000000000000313</c:v>
                </c:pt>
                <c:pt idx="221">
                  <c:v>47.100000000000314</c:v>
                </c:pt>
                <c:pt idx="222">
                  <c:v>47.200000000000315</c:v>
                </c:pt>
                <c:pt idx="223">
                  <c:v>47.300000000000317</c:v>
                </c:pt>
                <c:pt idx="224">
                  <c:v>47.400000000000318</c:v>
                </c:pt>
                <c:pt idx="225">
                  <c:v>47.50000000000032</c:v>
                </c:pt>
                <c:pt idx="226">
                  <c:v>47.600000000000321</c:v>
                </c:pt>
                <c:pt idx="227">
                  <c:v>47.700000000000323</c:v>
                </c:pt>
                <c:pt idx="228">
                  <c:v>47.800000000000324</c:v>
                </c:pt>
                <c:pt idx="229">
                  <c:v>47.900000000000325</c:v>
                </c:pt>
                <c:pt idx="230">
                  <c:v>48.000000000000327</c:v>
                </c:pt>
                <c:pt idx="231">
                  <c:v>48.100000000000328</c:v>
                </c:pt>
                <c:pt idx="232">
                  <c:v>48.20000000000033</c:v>
                </c:pt>
                <c:pt idx="233">
                  <c:v>48.300000000000331</c:v>
                </c:pt>
                <c:pt idx="234">
                  <c:v>48.400000000000333</c:v>
                </c:pt>
                <c:pt idx="235">
                  <c:v>48.500000000000334</c:v>
                </c:pt>
                <c:pt idx="236">
                  <c:v>48.600000000000335</c:v>
                </c:pt>
                <c:pt idx="237">
                  <c:v>48.700000000000337</c:v>
                </c:pt>
                <c:pt idx="238">
                  <c:v>48.800000000000338</c:v>
                </c:pt>
                <c:pt idx="239">
                  <c:v>48.90000000000034</c:v>
                </c:pt>
                <c:pt idx="240">
                  <c:v>49.000000000000341</c:v>
                </c:pt>
                <c:pt idx="241">
                  <c:v>49.100000000000342</c:v>
                </c:pt>
                <c:pt idx="242">
                  <c:v>49.200000000000344</c:v>
                </c:pt>
                <c:pt idx="243">
                  <c:v>49.300000000000345</c:v>
                </c:pt>
                <c:pt idx="244">
                  <c:v>49.400000000000347</c:v>
                </c:pt>
                <c:pt idx="245">
                  <c:v>49.500000000000348</c:v>
                </c:pt>
                <c:pt idx="246">
                  <c:v>49.60000000000035</c:v>
                </c:pt>
                <c:pt idx="247">
                  <c:v>49.700000000000351</c:v>
                </c:pt>
                <c:pt idx="248">
                  <c:v>49.800000000000352</c:v>
                </c:pt>
                <c:pt idx="249">
                  <c:v>49.900000000000354</c:v>
                </c:pt>
                <c:pt idx="250">
                  <c:v>50.000000000000355</c:v>
                </c:pt>
                <c:pt idx="251">
                  <c:v>50.100000000000357</c:v>
                </c:pt>
                <c:pt idx="252">
                  <c:v>50.200000000000358</c:v>
                </c:pt>
                <c:pt idx="253">
                  <c:v>50.30000000000036</c:v>
                </c:pt>
                <c:pt idx="254">
                  <c:v>50.400000000000361</c:v>
                </c:pt>
                <c:pt idx="255">
                  <c:v>50.500000000000362</c:v>
                </c:pt>
                <c:pt idx="256">
                  <c:v>50.600000000000364</c:v>
                </c:pt>
                <c:pt idx="257">
                  <c:v>50.700000000000365</c:v>
                </c:pt>
                <c:pt idx="258">
                  <c:v>50.800000000000367</c:v>
                </c:pt>
                <c:pt idx="259">
                  <c:v>50.900000000000368</c:v>
                </c:pt>
                <c:pt idx="260">
                  <c:v>51.000000000000369</c:v>
                </c:pt>
                <c:pt idx="261">
                  <c:v>51.100000000000371</c:v>
                </c:pt>
                <c:pt idx="262">
                  <c:v>51.200000000000372</c:v>
                </c:pt>
                <c:pt idx="263">
                  <c:v>51.300000000000374</c:v>
                </c:pt>
                <c:pt idx="264">
                  <c:v>51.400000000000375</c:v>
                </c:pt>
                <c:pt idx="265">
                  <c:v>51.500000000000377</c:v>
                </c:pt>
                <c:pt idx="266">
                  <c:v>51.600000000000378</c:v>
                </c:pt>
                <c:pt idx="267">
                  <c:v>51.700000000000379</c:v>
                </c:pt>
                <c:pt idx="268">
                  <c:v>51.800000000000381</c:v>
                </c:pt>
                <c:pt idx="269">
                  <c:v>51.900000000000382</c:v>
                </c:pt>
                <c:pt idx="270">
                  <c:v>52.000000000000384</c:v>
                </c:pt>
                <c:pt idx="271">
                  <c:v>52.100000000000385</c:v>
                </c:pt>
                <c:pt idx="272">
                  <c:v>52.200000000000387</c:v>
                </c:pt>
                <c:pt idx="273">
                  <c:v>52.300000000000388</c:v>
                </c:pt>
                <c:pt idx="274">
                  <c:v>52.400000000000389</c:v>
                </c:pt>
                <c:pt idx="275">
                  <c:v>52.500000000000391</c:v>
                </c:pt>
                <c:pt idx="276">
                  <c:v>52.600000000000392</c:v>
                </c:pt>
                <c:pt idx="277">
                  <c:v>52.700000000000394</c:v>
                </c:pt>
                <c:pt idx="278">
                  <c:v>52.800000000000395</c:v>
                </c:pt>
                <c:pt idx="279">
                  <c:v>52.900000000000396</c:v>
                </c:pt>
                <c:pt idx="280">
                  <c:v>53.000000000000398</c:v>
                </c:pt>
                <c:pt idx="281">
                  <c:v>53.100000000000399</c:v>
                </c:pt>
                <c:pt idx="282">
                  <c:v>53.200000000000401</c:v>
                </c:pt>
                <c:pt idx="283">
                  <c:v>53.300000000000402</c:v>
                </c:pt>
                <c:pt idx="284">
                  <c:v>53.400000000000404</c:v>
                </c:pt>
                <c:pt idx="285">
                  <c:v>53.500000000000405</c:v>
                </c:pt>
                <c:pt idx="286">
                  <c:v>53.600000000000406</c:v>
                </c:pt>
                <c:pt idx="287">
                  <c:v>53.700000000000408</c:v>
                </c:pt>
                <c:pt idx="288">
                  <c:v>53.800000000000409</c:v>
                </c:pt>
                <c:pt idx="289">
                  <c:v>53.900000000000411</c:v>
                </c:pt>
                <c:pt idx="290">
                  <c:v>54.000000000000412</c:v>
                </c:pt>
                <c:pt idx="291">
                  <c:v>54.100000000000414</c:v>
                </c:pt>
                <c:pt idx="292">
                  <c:v>54.200000000000415</c:v>
                </c:pt>
                <c:pt idx="293">
                  <c:v>54.300000000000416</c:v>
                </c:pt>
                <c:pt idx="294">
                  <c:v>54.400000000000418</c:v>
                </c:pt>
                <c:pt idx="295">
                  <c:v>54.500000000000419</c:v>
                </c:pt>
                <c:pt idx="296">
                  <c:v>54.600000000000421</c:v>
                </c:pt>
                <c:pt idx="297">
                  <c:v>54.700000000000422</c:v>
                </c:pt>
                <c:pt idx="298">
                  <c:v>54.800000000000423</c:v>
                </c:pt>
                <c:pt idx="299">
                  <c:v>54.900000000000425</c:v>
                </c:pt>
                <c:pt idx="300">
                  <c:v>55.000000000000426</c:v>
                </c:pt>
                <c:pt idx="301">
                  <c:v>55.100000000000428</c:v>
                </c:pt>
                <c:pt idx="302">
                  <c:v>55.200000000000429</c:v>
                </c:pt>
                <c:pt idx="303">
                  <c:v>55.300000000000431</c:v>
                </c:pt>
                <c:pt idx="304">
                  <c:v>55.400000000000432</c:v>
                </c:pt>
                <c:pt idx="305">
                  <c:v>55.500000000000433</c:v>
                </c:pt>
                <c:pt idx="306">
                  <c:v>55.600000000000435</c:v>
                </c:pt>
                <c:pt idx="307">
                  <c:v>55.700000000000436</c:v>
                </c:pt>
                <c:pt idx="308">
                  <c:v>55.800000000000438</c:v>
                </c:pt>
                <c:pt idx="309">
                  <c:v>55.900000000000439</c:v>
                </c:pt>
                <c:pt idx="310">
                  <c:v>56.000000000000441</c:v>
                </c:pt>
                <c:pt idx="311">
                  <c:v>56.100000000000442</c:v>
                </c:pt>
                <c:pt idx="312">
                  <c:v>56.200000000000443</c:v>
                </c:pt>
                <c:pt idx="313">
                  <c:v>56.300000000000445</c:v>
                </c:pt>
                <c:pt idx="314">
                  <c:v>56.400000000000446</c:v>
                </c:pt>
                <c:pt idx="315">
                  <c:v>56.500000000000448</c:v>
                </c:pt>
                <c:pt idx="316">
                  <c:v>56.600000000000449</c:v>
                </c:pt>
                <c:pt idx="317">
                  <c:v>56.70000000000045</c:v>
                </c:pt>
                <c:pt idx="318">
                  <c:v>56.800000000000452</c:v>
                </c:pt>
                <c:pt idx="319">
                  <c:v>56.900000000000453</c:v>
                </c:pt>
                <c:pt idx="320">
                  <c:v>57.000000000000455</c:v>
                </c:pt>
                <c:pt idx="321">
                  <c:v>57.100000000000456</c:v>
                </c:pt>
                <c:pt idx="322">
                  <c:v>57.200000000000458</c:v>
                </c:pt>
                <c:pt idx="323">
                  <c:v>57.300000000000459</c:v>
                </c:pt>
                <c:pt idx="324">
                  <c:v>57.40000000000046</c:v>
                </c:pt>
                <c:pt idx="325">
                  <c:v>57.500000000000462</c:v>
                </c:pt>
                <c:pt idx="326">
                  <c:v>57.600000000000463</c:v>
                </c:pt>
                <c:pt idx="327">
                  <c:v>57.700000000000465</c:v>
                </c:pt>
                <c:pt idx="328">
                  <c:v>57.800000000000466</c:v>
                </c:pt>
                <c:pt idx="329">
                  <c:v>57.900000000000468</c:v>
                </c:pt>
                <c:pt idx="330">
                  <c:v>58.000000000000469</c:v>
                </c:pt>
                <c:pt idx="331">
                  <c:v>58.10000000000047</c:v>
                </c:pt>
                <c:pt idx="332">
                  <c:v>58.200000000000472</c:v>
                </c:pt>
                <c:pt idx="333">
                  <c:v>58.300000000000473</c:v>
                </c:pt>
                <c:pt idx="334">
                  <c:v>58.400000000000475</c:v>
                </c:pt>
                <c:pt idx="335">
                  <c:v>58.500000000000476</c:v>
                </c:pt>
                <c:pt idx="336">
                  <c:v>58.600000000000477</c:v>
                </c:pt>
                <c:pt idx="337">
                  <c:v>58.700000000000479</c:v>
                </c:pt>
                <c:pt idx="338">
                  <c:v>58.80000000000048</c:v>
                </c:pt>
                <c:pt idx="339">
                  <c:v>58.900000000000482</c:v>
                </c:pt>
                <c:pt idx="340">
                  <c:v>59.000000000000483</c:v>
                </c:pt>
                <c:pt idx="341">
                  <c:v>59.100000000000485</c:v>
                </c:pt>
                <c:pt idx="342">
                  <c:v>59.200000000000486</c:v>
                </c:pt>
                <c:pt idx="343">
                  <c:v>59.300000000000487</c:v>
                </c:pt>
                <c:pt idx="344">
                  <c:v>59.400000000000489</c:v>
                </c:pt>
                <c:pt idx="345">
                  <c:v>59.50000000000049</c:v>
                </c:pt>
                <c:pt idx="346">
                  <c:v>59.600000000000492</c:v>
                </c:pt>
                <c:pt idx="347">
                  <c:v>59.700000000000493</c:v>
                </c:pt>
                <c:pt idx="348">
                  <c:v>59.800000000000495</c:v>
                </c:pt>
                <c:pt idx="349">
                  <c:v>59.900000000000496</c:v>
                </c:pt>
                <c:pt idx="350">
                  <c:v>60.000000000000497</c:v>
                </c:pt>
                <c:pt idx="351">
                  <c:v>60.100000000000499</c:v>
                </c:pt>
                <c:pt idx="352">
                  <c:v>60.2000000000005</c:v>
                </c:pt>
                <c:pt idx="353">
                  <c:v>60.300000000000502</c:v>
                </c:pt>
                <c:pt idx="354">
                  <c:v>60.400000000000503</c:v>
                </c:pt>
                <c:pt idx="355">
                  <c:v>60.500000000000504</c:v>
                </c:pt>
                <c:pt idx="356">
                  <c:v>60.600000000000506</c:v>
                </c:pt>
                <c:pt idx="357">
                  <c:v>60.700000000000507</c:v>
                </c:pt>
                <c:pt idx="358">
                  <c:v>60.800000000000509</c:v>
                </c:pt>
                <c:pt idx="359">
                  <c:v>60.90000000000051</c:v>
                </c:pt>
                <c:pt idx="360">
                  <c:v>61.000000000000512</c:v>
                </c:pt>
                <c:pt idx="361">
                  <c:v>61.100000000000513</c:v>
                </c:pt>
                <c:pt idx="362">
                  <c:v>61.200000000000514</c:v>
                </c:pt>
                <c:pt idx="363">
                  <c:v>61.300000000000516</c:v>
                </c:pt>
                <c:pt idx="364">
                  <c:v>61.400000000000517</c:v>
                </c:pt>
                <c:pt idx="365">
                  <c:v>61.500000000000519</c:v>
                </c:pt>
                <c:pt idx="366">
                  <c:v>61.60000000000052</c:v>
                </c:pt>
                <c:pt idx="367">
                  <c:v>61.700000000000522</c:v>
                </c:pt>
                <c:pt idx="368">
                  <c:v>61.800000000000523</c:v>
                </c:pt>
                <c:pt idx="369">
                  <c:v>61.900000000000524</c:v>
                </c:pt>
                <c:pt idx="370">
                  <c:v>62.000000000000526</c:v>
                </c:pt>
                <c:pt idx="371">
                  <c:v>62.100000000000527</c:v>
                </c:pt>
                <c:pt idx="372">
                  <c:v>62.200000000000529</c:v>
                </c:pt>
                <c:pt idx="373">
                  <c:v>62.30000000000053</c:v>
                </c:pt>
                <c:pt idx="374">
                  <c:v>62.400000000000531</c:v>
                </c:pt>
                <c:pt idx="375">
                  <c:v>62.500000000000533</c:v>
                </c:pt>
                <c:pt idx="376">
                  <c:v>62.600000000000534</c:v>
                </c:pt>
                <c:pt idx="377">
                  <c:v>62.700000000000536</c:v>
                </c:pt>
                <c:pt idx="378">
                  <c:v>62.800000000000537</c:v>
                </c:pt>
                <c:pt idx="379">
                  <c:v>62.900000000000539</c:v>
                </c:pt>
                <c:pt idx="380">
                  <c:v>63.00000000000054</c:v>
                </c:pt>
                <c:pt idx="381">
                  <c:v>63.100000000000541</c:v>
                </c:pt>
                <c:pt idx="382">
                  <c:v>63.200000000000543</c:v>
                </c:pt>
                <c:pt idx="383">
                  <c:v>63.300000000000544</c:v>
                </c:pt>
                <c:pt idx="384">
                  <c:v>63.400000000000546</c:v>
                </c:pt>
                <c:pt idx="385">
                  <c:v>63.500000000000547</c:v>
                </c:pt>
                <c:pt idx="386">
                  <c:v>63.600000000000549</c:v>
                </c:pt>
                <c:pt idx="387">
                  <c:v>63.70000000000055</c:v>
                </c:pt>
                <c:pt idx="388">
                  <c:v>63.800000000000551</c:v>
                </c:pt>
                <c:pt idx="389">
                  <c:v>63.900000000000553</c:v>
                </c:pt>
                <c:pt idx="390">
                  <c:v>64.000000000000554</c:v>
                </c:pt>
                <c:pt idx="391">
                  <c:v>64.100000000000549</c:v>
                </c:pt>
                <c:pt idx="392">
                  <c:v>64.200000000000543</c:v>
                </c:pt>
                <c:pt idx="393">
                  <c:v>64.300000000000537</c:v>
                </c:pt>
                <c:pt idx="394">
                  <c:v>64.400000000000531</c:v>
                </c:pt>
                <c:pt idx="395">
                  <c:v>64.500000000000526</c:v>
                </c:pt>
                <c:pt idx="396">
                  <c:v>64.60000000000052</c:v>
                </c:pt>
                <c:pt idx="397">
                  <c:v>64.700000000000514</c:v>
                </c:pt>
                <c:pt idx="398">
                  <c:v>64.800000000000509</c:v>
                </c:pt>
                <c:pt idx="399">
                  <c:v>64.900000000000503</c:v>
                </c:pt>
                <c:pt idx="400">
                  <c:v>65.000000000000497</c:v>
                </c:pt>
                <c:pt idx="401">
                  <c:v>65.100000000000492</c:v>
                </c:pt>
                <c:pt idx="402">
                  <c:v>65.200000000000486</c:v>
                </c:pt>
                <c:pt idx="403">
                  <c:v>65.30000000000048</c:v>
                </c:pt>
                <c:pt idx="404">
                  <c:v>65.400000000000475</c:v>
                </c:pt>
                <c:pt idx="405">
                  <c:v>65.500000000000469</c:v>
                </c:pt>
                <c:pt idx="406">
                  <c:v>65.600000000000463</c:v>
                </c:pt>
                <c:pt idx="407">
                  <c:v>65.700000000000458</c:v>
                </c:pt>
                <c:pt idx="408">
                  <c:v>65.800000000000452</c:v>
                </c:pt>
                <c:pt idx="409">
                  <c:v>65.900000000000446</c:v>
                </c:pt>
                <c:pt idx="410">
                  <c:v>66.000000000000441</c:v>
                </c:pt>
                <c:pt idx="411">
                  <c:v>66.100000000000435</c:v>
                </c:pt>
                <c:pt idx="412">
                  <c:v>66.200000000000429</c:v>
                </c:pt>
                <c:pt idx="413">
                  <c:v>66.300000000000423</c:v>
                </c:pt>
                <c:pt idx="414">
                  <c:v>66.400000000000418</c:v>
                </c:pt>
                <c:pt idx="415">
                  <c:v>66.500000000000412</c:v>
                </c:pt>
                <c:pt idx="416">
                  <c:v>66.600000000000406</c:v>
                </c:pt>
                <c:pt idx="417">
                  <c:v>66.700000000000401</c:v>
                </c:pt>
                <c:pt idx="418">
                  <c:v>66.800000000000395</c:v>
                </c:pt>
                <c:pt idx="419">
                  <c:v>66.900000000000389</c:v>
                </c:pt>
                <c:pt idx="420">
                  <c:v>67.000000000000384</c:v>
                </c:pt>
                <c:pt idx="421">
                  <c:v>67.100000000000378</c:v>
                </c:pt>
                <c:pt idx="422">
                  <c:v>67.200000000000372</c:v>
                </c:pt>
                <c:pt idx="423">
                  <c:v>67.300000000000367</c:v>
                </c:pt>
                <c:pt idx="424">
                  <c:v>67.400000000000361</c:v>
                </c:pt>
                <c:pt idx="425">
                  <c:v>67.500000000000355</c:v>
                </c:pt>
                <c:pt idx="426">
                  <c:v>67.60000000000035</c:v>
                </c:pt>
                <c:pt idx="427">
                  <c:v>67.700000000000344</c:v>
                </c:pt>
                <c:pt idx="428">
                  <c:v>67.800000000000338</c:v>
                </c:pt>
                <c:pt idx="429">
                  <c:v>67.900000000000333</c:v>
                </c:pt>
                <c:pt idx="430">
                  <c:v>68.000000000000327</c:v>
                </c:pt>
                <c:pt idx="431">
                  <c:v>68.100000000000321</c:v>
                </c:pt>
                <c:pt idx="432">
                  <c:v>68.200000000000315</c:v>
                </c:pt>
                <c:pt idx="433">
                  <c:v>68.30000000000031</c:v>
                </c:pt>
                <c:pt idx="434">
                  <c:v>68.400000000000304</c:v>
                </c:pt>
                <c:pt idx="435">
                  <c:v>68.500000000000298</c:v>
                </c:pt>
                <c:pt idx="436">
                  <c:v>68.600000000000293</c:v>
                </c:pt>
                <c:pt idx="437">
                  <c:v>68.700000000000287</c:v>
                </c:pt>
                <c:pt idx="438">
                  <c:v>68.800000000000281</c:v>
                </c:pt>
                <c:pt idx="439">
                  <c:v>68.900000000000276</c:v>
                </c:pt>
                <c:pt idx="440">
                  <c:v>69.00000000000027</c:v>
                </c:pt>
                <c:pt idx="441">
                  <c:v>69.100000000000264</c:v>
                </c:pt>
                <c:pt idx="442">
                  <c:v>69.200000000000259</c:v>
                </c:pt>
                <c:pt idx="443">
                  <c:v>69.300000000000253</c:v>
                </c:pt>
                <c:pt idx="444">
                  <c:v>69.400000000000247</c:v>
                </c:pt>
                <c:pt idx="445">
                  <c:v>69.500000000000242</c:v>
                </c:pt>
                <c:pt idx="446">
                  <c:v>69.600000000000236</c:v>
                </c:pt>
                <c:pt idx="447">
                  <c:v>69.70000000000023</c:v>
                </c:pt>
                <c:pt idx="448">
                  <c:v>69.800000000000225</c:v>
                </c:pt>
                <c:pt idx="449">
                  <c:v>69.900000000000219</c:v>
                </c:pt>
                <c:pt idx="450">
                  <c:v>69.900000000000219</c:v>
                </c:pt>
                <c:pt idx="451">
                  <c:v>69.900000000000219</c:v>
                </c:pt>
                <c:pt idx="452">
                  <c:v>69.900000000000219</c:v>
                </c:pt>
                <c:pt idx="453">
                  <c:v>69.900000000000219</c:v>
                </c:pt>
                <c:pt idx="454">
                  <c:v>69.900000000000219</c:v>
                </c:pt>
                <c:pt idx="455">
                  <c:v>69.900000000000219</c:v>
                </c:pt>
                <c:pt idx="456">
                  <c:v>69.900000000000219</c:v>
                </c:pt>
                <c:pt idx="457">
                  <c:v>69.900000000000219</c:v>
                </c:pt>
                <c:pt idx="458">
                  <c:v>69.900000000000219</c:v>
                </c:pt>
                <c:pt idx="459">
                  <c:v>69.900000000000219</c:v>
                </c:pt>
                <c:pt idx="460">
                  <c:v>69.900000000000219</c:v>
                </c:pt>
                <c:pt idx="461">
                  <c:v>69.900000000000219</c:v>
                </c:pt>
                <c:pt idx="462">
                  <c:v>69.900000000000219</c:v>
                </c:pt>
                <c:pt idx="463">
                  <c:v>69.900000000000219</c:v>
                </c:pt>
                <c:pt idx="464">
                  <c:v>69.900000000000219</c:v>
                </c:pt>
                <c:pt idx="465">
                  <c:v>69.900000000000219</c:v>
                </c:pt>
                <c:pt idx="466">
                  <c:v>69.900000000000219</c:v>
                </c:pt>
                <c:pt idx="467">
                  <c:v>69.900000000000219</c:v>
                </c:pt>
                <c:pt idx="468">
                  <c:v>69.900000000000219</c:v>
                </c:pt>
                <c:pt idx="469">
                  <c:v>69.900000000000219</c:v>
                </c:pt>
                <c:pt idx="470">
                  <c:v>69.900000000000219</c:v>
                </c:pt>
                <c:pt idx="471">
                  <c:v>69.900000000000219</c:v>
                </c:pt>
                <c:pt idx="472">
                  <c:v>69.900000000000219</c:v>
                </c:pt>
                <c:pt idx="473">
                  <c:v>69.900000000000219</c:v>
                </c:pt>
                <c:pt idx="474">
                  <c:v>69.900000000000219</c:v>
                </c:pt>
                <c:pt idx="475">
                  <c:v>69.900000000000219</c:v>
                </c:pt>
                <c:pt idx="476">
                  <c:v>69.900000000000219</c:v>
                </c:pt>
                <c:pt idx="477">
                  <c:v>69.900000000000219</c:v>
                </c:pt>
                <c:pt idx="478">
                  <c:v>69.900000000000219</c:v>
                </c:pt>
                <c:pt idx="479">
                  <c:v>69.900000000000219</c:v>
                </c:pt>
                <c:pt idx="480">
                  <c:v>69.900000000000219</c:v>
                </c:pt>
                <c:pt idx="481">
                  <c:v>69.900000000000219</c:v>
                </c:pt>
                <c:pt idx="482">
                  <c:v>69.900000000000219</c:v>
                </c:pt>
                <c:pt idx="483">
                  <c:v>69.900000000000219</c:v>
                </c:pt>
                <c:pt idx="484">
                  <c:v>69.900000000000219</c:v>
                </c:pt>
                <c:pt idx="485">
                  <c:v>69.900000000000219</c:v>
                </c:pt>
                <c:pt idx="486">
                  <c:v>69.900000000000219</c:v>
                </c:pt>
                <c:pt idx="487">
                  <c:v>69.900000000000219</c:v>
                </c:pt>
                <c:pt idx="488">
                  <c:v>69.900000000000219</c:v>
                </c:pt>
                <c:pt idx="489">
                  <c:v>69.900000000000219</c:v>
                </c:pt>
                <c:pt idx="490">
                  <c:v>69.900000000000219</c:v>
                </c:pt>
                <c:pt idx="491">
                  <c:v>69.900000000000219</c:v>
                </c:pt>
                <c:pt idx="492">
                  <c:v>69.900000000000219</c:v>
                </c:pt>
                <c:pt idx="493">
                  <c:v>69.900000000000219</c:v>
                </c:pt>
                <c:pt idx="494">
                  <c:v>69.900000000000219</c:v>
                </c:pt>
                <c:pt idx="495">
                  <c:v>69.900000000000219</c:v>
                </c:pt>
                <c:pt idx="496">
                  <c:v>69.900000000000219</c:v>
                </c:pt>
                <c:pt idx="497">
                  <c:v>69.900000000000219</c:v>
                </c:pt>
                <c:pt idx="498">
                  <c:v>69.900000000000219</c:v>
                </c:pt>
                <c:pt idx="499">
                  <c:v>69.900000000000219</c:v>
                </c:pt>
                <c:pt idx="500">
                  <c:v>69.900000000000219</c:v>
                </c:pt>
                <c:pt idx="501">
                  <c:v>69.900000000000219</c:v>
                </c:pt>
                <c:pt idx="502">
                  <c:v>69.900000000000219</c:v>
                </c:pt>
                <c:pt idx="503">
                  <c:v>69.900000000000219</c:v>
                </c:pt>
                <c:pt idx="504">
                  <c:v>69.900000000000219</c:v>
                </c:pt>
                <c:pt idx="505">
                  <c:v>69.900000000000219</c:v>
                </c:pt>
                <c:pt idx="506">
                  <c:v>69.900000000000219</c:v>
                </c:pt>
                <c:pt idx="507">
                  <c:v>69.900000000000219</c:v>
                </c:pt>
                <c:pt idx="508">
                  <c:v>69.900000000000219</c:v>
                </c:pt>
                <c:pt idx="509">
                  <c:v>69.900000000000219</c:v>
                </c:pt>
                <c:pt idx="510">
                  <c:v>69.900000000000219</c:v>
                </c:pt>
              </c:numCache>
            </c:numRef>
          </c:xVal>
          <c:yVal>
            <c:numRef>
              <c:f>Curves!$BI$2:$BI$512</c:f>
              <c:numCache>
                <c:formatCode>General</c:formatCode>
                <c:ptCount val="511"/>
                <c:pt idx="0">
                  <c:v>0.98230699553477541</c:v>
                </c:pt>
                <c:pt idx="1">
                  <c:v>0.98305470426442154</c:v>
                </c:pt>
                <c:pt idx="2">
                  <c:v>0.98405876236808754</c:v>
                </c:pt>
                <c:pt idx="3">
                  <c:v>0.9849367299559858</c:v>
                </c:pt>
                <c:pt idx="4">
                  <c:v>0.98581609140314608</c:v>
                </c:pt>
                <c:pt idx="5">
                  <c:v>0.98669685003153673</c:v>
                </c:pt>
                <c:pt idx="6">
                  <c:v>0.98757900917369124</c:v>
                </c:pt>
                <c:pt idx="7">
                  <c:v>0.98846257217274902</c:v>
                </c:pt>
                <c:pt idx="8">
                  <c:v>0.98934754238249922</c:v>
                </c:pt>
                <c:pt idx="9">
                  <c:v>0.9902004242192548</c:v>
                </c:pt>
                <c:pt idx="10">
                  <c:v>0.99102114090218762</c:v>
                </c:pt>
                <c:pt idx="11">
                  <c:v>0.99180961540531243</c:v>
                </c:pt>
                <c:pt idx="12">
                  <c:v>0.99256577045650907</c:v>
                </c:pt>
                <c:pt idx="13">
                  <c:v>0.99328952853653707</c:v>
                </c:pt>
                <c:pt idx="14">
                  <c:v>0.99401444484719881</c:v>
                </c:pt>
                <c:pt idx="15">
                  <c:v>0.99474052217099718</c:v>
                </c:pt>
                <c:pt idx="16">
                  <c:v>0.99546776329935427</c:v>
                </c:pt>
                <c:pt idx="17">
                  <c:v>0.99619617103264824</c:v>
                </c:pt>
                <c:pt idx="18">
                  <c:v>0.99692574818024926</c:v>
                </c:pt>
                <c:pt idx="19">
                  <c:v>0.99761338939015731</c:v>
                </c:pt>
                <c:pt idx="20">
                  <c:v>0.99825899351158576</c:v>
                </c:pt>
                <c:pt idx="21">
                  <c:v>0.99886245906818083</c:v>
                </c:pt>
                <c:pt idx="22">
                  <c:v>0.99942368425671035</c:v>
                </c:pt>
                <c:pt idx="23">
                  <c:v>0.99994256694574857</c:v>
                </c:pt>
                <c:pt idx="24">
                  <c:v>1.0004622867009567</c:v>
                </c:pt>
                <c:pt idx="25">
                  <c:v>1.0009828455495138</c:v>
                </c:pt>
                <c:pt idx="26">
                  <c:v>1.0015042455251504</c:v>
                </c:pt>
                <c:pt idx="27">
                  <c:v>1.0020264886681742</c:v>
                </c:pt>
                <c:pt idx="28">
                  <c:v>1.0025495770254966</c:v>
                </c:pt>
                <c:pt idx="29">
                  <c:v>1.0030452654116226</c:v>
                </c:pt>
                <c:pt idx="30">
                  <c:v>1.0035134872012954</c:v>
                </c:pt>
                <c:pt idx="31">
                  <c:v>1.0039541755530752</c:v>
                </c:pt>
                <c:pt idx="32">
                  <c:v>1.004367263408465</c:v>
                </c:pt>
                <c:pt idx="33">
                  <c:v>1.0047526834910256</c:v>
                </c:pt>
                <c:pt idx="34">
                  <c:v>1.0051387303926425</c:v>
                </c:pt>
                <c:pt idx="35">
                  <c:v>1.0055254056436795</c:v>
                </c:pt>
                <c:pt idx="36">
                  <c:v>1.0059127107794856</c:v>
                </c:pt>
                <c:pt idx="37">
                  <c:v>1.0063006473404166</c:v>
                </c:pt>
                <c:pt idx="38">
                  <c:v>1.0066892168718544</c:v>
                </c:pt>
                <c:pt idx="39">
                  <c:v>1.0070630866849317</c:v>
                </c:pt>
                <c:pt idx="40">
                  <c:v>1.0074222207440091</c:v>
                </c:pt>
                <c:pt idx="41">
                  <c:v>1.007766582895566</c:v>
                </c:pt>
                <c:pt idx="42">
                  <c:v>1.0080961368677159</c:v>
                </c:pt>
                <c:pt idx="43">
                  <c:v>1.0084108462697228</c:v>
                </c:pt>
                <c:pt idx="44">
                  <c:v>1.0087260716881603</c:v>
                </c:pt>
                <c:pt idx="45">
                  <c:v>1.0090418143932061</c:v>
                </c:pt>
                <c:pt idx="46">
                  <c:v>1.0093580756592113</c:v>
                </c:pt>
                <c:pt idx="47">
                  <c:v>1.0096748567647162</c:v>
                </c:pt>
                <c:pt idx="48">
                  <c:v>1.0099921589924672</c:v>
                </c:pt>
                <c:pt idx="49">
                  <c:v>1.0103011490743274</c:v>
                </c:pt>
                <c:pt idx="50">
                  <c:v>1.0106018064655973</c:v>
                </c:pt>
                <c:pt idx="51">
                  <c:v>1.0108941105538163</c:v>
                </c:pt>
                <c:pt idx="52">
                  <c:v>1.0111780406584827</c:v>
                </c:pt>
                <c:pt idx="53">
                  <c:v>1.0114535760307726</c:v>
                </c:pt>
                <c:pt idx="54">
                  <c:v>1.0117295669218813</c:v>
                </c:pt>
                <c:pt idx="55">
                  <c:v>1.0120060144623486</c:v>
                </c:pt>
                <c:pt idx="56">
                  <c:v>1.012282919786458</c:v>
                </c:pt>
                <c:pt idx="57">
                  <c:v>1.012560284032253</c:v>
                </c:pt>
                <c:pt idx="58">
                  <c:v>1.0128381083415516</c:v>
                </c:pt>
                <c:pt idx="59">
                  <c:v>1.0130926394993882</c:v>
                </c:pt>
                <c:pt idx="60">
                  <c:v>1.0133238194550209</c:v>
                </c:pt>
                <c:pt idx="61">
                  <c:v>1.0135315899646495</c:v>
                </c:pt>
                <c:pt idx="62">
                  <c:v>1.0137158925906136</c:v>
                </c:pt>
                <c:pt idx="63">
                  <c:v>1.0138766687005836</c:v>
                </c:pt>
                <c:pt idx="64">
                  <c:v>1.0140377128232128</c:v>
                </c:pt>
                <c:pt idx="65">
                  <c:v>1.0141990256292226</c:v>
                </c:pt>
                <c:pt idx="66">
                  <c:v>1.0143606077915754</c:v>
                </c:pt>
                <c:pt idx="67">
                  <c:v>1.0145224599854823</c:v>
                </c:pt>
                <c:pt idx="68">
                  <c:v>1.0146845828884126</c:v>
                </c:pt>
                <c:pt idx="69">
                  <c:v>1.0148132930194262</c:v>
                </c:pt>
                <c:pt idx="70">
                  <c:v>1.0149085064103118</c:v>
                </c:pt>
                <c:pt idx="71">
                  <c:v>1.014970138811266</c:v>
                </c:pt>
                <c:pt idx="72">
                  <c:v>1.0149981056897119</c:v>
                </c:pt>
                <c:pt idx="73">
                  <c:v>1.0149923222291131</c:v>
                </c:pt>
                <c:pt idx="74">
                  <c:v>1.0149865290464928</c:v>
                </c:pt>
                <c:pt idx="75">
                  <c:v>1.0149807261173165</c:v>
                </c:pt>
                <c:pt idx="76">
                  <c:v>1.0149749134169668</c:v>
                </c:pt>
                <c:pt idx="77">
                  <c:v>1.0149690909207427</c:v>
                </c:pt>
                <c:pt idx="78">
                  <c:v>1.0149632586038613</c:v>
                </c:pt>
                <c:pt idx="79">
                  <c:v>1.0148736275449151</c:v>
                </c:pt>
                <c:pt idx="80">
                  <c:v>1.014699985373867</c:v>
                </c:pt>
                <c:pt idx="81">
                  <c:v>1.0144421190024648</c:v>
                </c:pt>
                <c:pt idx="82">
                  <c:v>1.0140998146212019</c:v>
                </c:pt>
                <c:pt idx="83">
                  <c:v>1.0136728576962635</c:v>
                </c:pt>
                <c:pt idx="84">
                  <c:v>1.0132451769714013</c:v>
                </c:pt>
                <c:pt idx="85">
                  <c:v>1.0128167706045175</c:v>
                </c:pt>
                <c:pt idx="86">
                  <c:v>1.0123876367472595</c:v>
                </c:pt>
                <c:pt idx="87">
                  <c:v>1.0119577735449905</c:v>
                </c:pt>
                <c:pt idx="88">
                  <c:v>1.0115271791367644</c:v>
                </c:pt>
                <c:pt idx="89">
                  <c:v>1.0109253248219827</c:v>
                </c:pt>
                <c:pt idx="90">
                  <c:v>1.010151772881255</c:v>
                </c:pt>
                <c:pt idx="91">
                  <c:v>1.009206084102243</c:v>
                </c:pt>
                <c:pt idx="92">
                  <c:v>1.0080878177732897</c:v>
                </c:pt>
                <c:pt idx="93">
                  <c:v>1.0067965316770153</c:v>
                </c:pt>
                <c:pt idx="94">
                  <c:v>1.0055030378107246</c:v>
                </c:pt>
                <c:pt idx="95">
                  <c:v>1.0042073305074872</c:v>
                </c:pt>
                <c:pt idx="96">
                  <c:v>1.002909404080961</c:v>
                </c:pt>
                <c:pt idx="97">
                  <c:v>1.0016092528253109</c:v>
                </c:pt>
                <c:pt idx="98">
                  <c:v>1.0003068710151226</c:v>
                </c:pt>
                <c:pt idx="99">
                  <c:v>0.99889629423927084</c:v>
                </c:pt>
                <c:pt idx="100">
                  <c:v>0.99737724358845326</c:v>
                </c:pt>
                <c:pt idx="101">
                  <c:v>0.99574943919389802</c:v>
                </c:pt>
                <c:pt idx="102">
                  <c:v>0.9940126002232349</c:v>
                </c:pt>
                <c:pt idx="103">
                  <c:v>0.99216644487634509</c:v>
                </c:pt>
                <c:pt idx="104">
                  <c:v>0.99031710585815025</c:v>
                </c:pt>
                <c:pt idx="105">
                  <c:v>0.98846457492624284</c:v>
                </c:pt>
                <c:pt idx="106">
                  <c:v>0.98660884380973846</c:v>
                </c:pt>
                <c:pt idx="107">
                  <c:v>0.9847499042091522</c:v>
                </c:pt>
                <c:pt idx="108">
                  <c:v>0.9828877477962753</c:v>
                </c:pt>
                <c:pt idx="109">
                  <c:v>0.98078150743283565</c:v>
                </c:pt>
                <c:pt idx="110">
                  <c:v>0.97843054845594857</c:v>
                </c:pt>
                <c:pt idx="111">
                  <c:v>0.97583423400050084</c:v>
                </c:pt>
                <c:pt idx="112">
                  <c:v>0.97299192498959197</c:v>
                </c:pt>
                <c:pt idx="113">
                  <c:v>0.96990298012492249</c:v>
                </c:pt>
                <c:pt idx="114">
                  <c:v>0.96680866208444038</c:v>
                </c:pt>
                <c:pt idx="115">
                  <c:v>0.96370895683609725</c:v>
                </c:pt>
                <c:pt idx="116">
                  <c:v>0.96060385029894124</c:v>
                </c:pt>
                <c:pt idx="117">
                  <c:v>0.9574933283429059</c:v>
                </c:pt>
                <c:pt idx="118">
                  <c:v>0.95437737678859469</c:v>
                </c:pt>
                <c:pt idx="119">
                  <c:v>0.95108176693558266</c:v>
                </c:pt>
                <c:pt idx="120">
                  <c:v>0.94760602755518641</c:v>
                </c:pt>
                <c:pt idx="121">
                  <c:v>0.9439496857692895</c:v>
                </c:pt>
                <c:pt idx="122">
                  <c:v>0.9401122670431189</c:v>
                </c:pt>
                <c:pt idx="123">
                  <c:v>0.93609329517798368</c:v>
                </c:pt>
                <c:pt idx="124">
                  <c:v>0.93206727103153342</c:v>
                </c:pt>
                <c:pt idx="125">
                  <c:v>0.92803417602500626</c:v>
                </c:pt>
                <c:pt idx="126">
                  <c:v>0.92399399151432426</c:v>
                </c:pt>
                <c:pt idx="127">
                  <c:v>0.91994669878980573</c:v>
                </c:pt>
                <c:pt idx="128">
                  <c:v>0.91589227907587589</c:v>
                </c:pt>
                <c:pt idx="129">
                  <c:v>0.91212704489480267</c:v>
                </c:pt>
                <c:pt idx="130">
                  <c:v>0.9086517614462204</c:v>
                </c:pt>
                <c:pt idx="131">
                  <c:v>0.90546719663182396</c:v>
                </c:pt>
                <c:pt idx="132">
                  <c:v>0.90257412106730472</c:v>
                </c:pt>
                <c:pt idx="133">
                  <c:v>0.89997330809435083</c:v>
                </c:pt>
                <c:pt idx="134">
                  <c:v>0.89736789095527492</c:v>
                </c:pt>
                <c:pt idx="135">
                  <c:v>0.89475785741325342</c:v>
                </c:pt>
                <c:pt idx="136">
                  <c:v>0.89214319518806084</c:v>
                </c:pt>
                <c:pt idx="137">
                  <c:v>0.88952389195587778</c:v>
                </c:pt>
                <c:pt idx="138">
                  <c:v>0.88689993534909684</c:v>
                </c:pt>
                <c:pt idx="139">
                  <c:v>0.88481205288930764</c:v>
                </c:pt>
                <c:pt idx="140">
                  <c:v>0.88326167567854363</c:v>
                </c:pt>
                <c:pt idx="141">
                  <c:v>0.88225023991733009</c:v>
                </c:pt>
                <c:pt idx="142">
                  <c:v>0.88177918692740898</c:v>
                </c:pt>
                <c:pt idx="143">
                  <c:v>0.88184996317458486</c:v>
                </c:pt>
                <c:pt idx="144">
                  <c:v>0.88192086583443585</c:v>
                </c:pt>
                <c:pt idx="145">
                  <c:v>0.88199189524593991</c:v>
                </c:pt>
                <c:pt idx="146">
                  <c:v>0.88206305174929067</c:v>
                </c:pt>
                <c:pt idx="147">
                  <c:v>0.88213433568589794</c:v>
                </c:pt>
                <c:pt idx="148">
                  <c:v>0.88220574739839952</c:v>
                </c:pt>
                <c:pt idx="149">
                  <c:v>0.8835659951312631</c:v>
                </c:pt>
                <c:pt idx="150">
                  <c:v>0.88621855044977005</c:v>
                </c:pt>
                <c:pt idx="151">
                  <c:v>0.89016689739826016</c:v>
                </c:pt>
                <c:pt idx="152">
                  <c:v>0.89541453255625691</c:v>
                </c:pt>
                <c:pt idx="153">
                  <c:v>0.90196496509488799</c:v>
                </c:pt>
                <c:pt idx="154">
                  <c:v>0.90852720271346499</c:v>
                </c:pt>
                <c:pt idx="155">
                  <c:v>0.9151012773531475</c:v>
                </c:pt>
                <c:pt idx="156">
                  <c:v>0.921687221070429</c:v>
                </c:pt>
                <c:pt idx="157">
                  <c:v>0.92828506603765926</c:v>
                </c:pt>
                <c:pt idx="158">
                  <c:v>0.93489484454356919</c:v>
                </c:pt>
                <c:pt idx="159">
                  <c:v>0.94116976892045534</c:v>
                </c:pt>
                <c:pt idx="160">
                  <c:v>0.94710892904492561</c:v>
                </c:pt>
                <c:pt idx="161">
                  <c:v>0.95271141149234628</c:v>
                </c:pt>
                <c:pt idx="162">
                  <c:v>0.95797629952186125</c:v>
                </c:pt>
                <c:pt idx="163">
                  <c:v>0.96290267306132726</c:v>
                </c:pt>
                <c:pt idx="164">
                  <c:v>0.96783800555718547</c:v>
                </c:pt>
                <c:pt idx="165">
                  <c:v>0.97278232147041555</c:v>
                </c:pt>
                <c:pt idx="166">
                  <c:v>0.97773564535112634</c:v>
                </c:pt>
                <c:pt idx="167">
                  <c:v>0.98269800183896427</c:v>
                </c:pt>
                <c:pt idx="168">
                  <c:v>0.98766941566351829</c:v>
                </c:pt>
                <c:pt idx="169">
                  <c:v>0.9917243513574685</c:v>
                </c:pt>
                <c:pt idx="170">
                  <c:v>0.99486029518680497</c:v>
                </c:pt>
                <c:pt idx="171">
                  <c:v>0.99707472421614829</c:v>
                </c:pt>
                <c:pt idx="172">
                  <c:v>0.99836510626660846</c:v>
                </c:pt>
                <c:pt idx="173">
                  <c:v>0.99872889987341407</c:v>
                </c:pt>
                <c:pt idx="174">
                  <c:v>0.99909336113534186</c:v>
                </c:pt>
                <c:pt idx="175">
                  <c:v>0.99945849189205838</c:v>
                </c:pt>
                <c:pt idx="176">
                  <c:v>0.99982429398999528</c:v>
                </c:pt>
                <c:pt idx="177">
                  <c:v>1.0001907692823824</c:v>
                </c:pt>
                <c:pt idx="178">
                  <c:v>1.0005579196292735</c:v>
                </c:pt>
                <c:pt idx="179">
                  <c:v>1.0008367071750723</c:v>
                </c:pt>
                <c:pt idx="180">
                  <c:v>1.0010268873202646</c:v>
                </c:pt>
                <c:pt idx="181">
                  <c:v>1.0011282145617262</c:v>
                </c:pt>
                <c:pt idx="182">
                  <c:v>1.0011404424885444</c:v>
                </c:pt>
                <c:pt idx="183">
                  <c:v>1.001063323777821</c:v>
                </c:pt>
                <c:pt idx="184">
                  <c:v>1.0009860622235949</c:v>
                </c:pt>
                <c:pt idx="185">
                  <c:v>1.0009086574286234</c:v>
                </c:pt>
                <c:pt idx="186">
                  <c:v>1.0008311089941919</c:v>
                </c:pt>
                <c:pt idx="187">
                  <c:v>1.0007534165201017</c:v>
                </c:pt>
                <c:pt idx="188">
                  <c:v>1.0006755796046685</c:v>
                </c:pt>
                <c:pt idx="189">
                  <c:v>1.0006204809461186</c:v>
                </c:pt>
                <c:pt idx="190">
                  <c:v>1.0005881840730337</c:v>
                </c:pt>
                <c:pt idx="191">
                  <c:v>1.0005787527508738</c:v>
                </c:pt>
                <c:pt idx="192">
                  <c:v>1.0005922509830818</c:v>
                </c:pt>
                <c:pt idx="193">
                  <c:v>1.0006287430121947</c:v>
                </c:pt>
                <c:pt idx="194">
                  <c:v>1.0006653032656889</c:v>
                </c:pt>
                <c:pt idx="195">
                  <c:v>1.0007019319350685</c:v>
                </c:pt>
                <c:pt idx="196">
                  <c:v>1.0007386292125555</c:v>
                </c:pt>
                <c:pt idx="197">
                  <c:v>1.0007753952910921</c:v>
                </c:pt>
                <c:pt idx="198">
                  <c:v>1.000812230364345</c:v>
                </c:pt>
                <c:pt idx="199">
                  <c:v>1.0008268765408554</c:v>
                </c:pt>
                <c:pt idx="200">
                  <c:v>1.0008192712441253</c:v>
                </c:pt>
                <c:pt idx="201">
                  <c:v>1.0007893516621351</c:v>
                </c:pt>
                <c:pt idx="202">
                  <c:v>1.0007370547462318</c:v>
                </c:pt>
                <c:pt idx="203">
                  <c:v>1.0006623172100142</c:v>
                </c:pt>
                <c:pt idx="204">
                  <c:v>1.0005874386283136</c:v>
                </c:pt>
                <c:pt idx="205">
                  <c:v>1.00051241860148</c:v>
                </c:pt>
                <c:pt idx="206">
                  <c:v>1.0004372567283497</c:v>
                </c:pt>
                <c:pt idx="207">
                  <c:v>1.0003619526062426</c:v>
                </c:pt>
                <c:pt idx="208">
                  <c:v>1.0002865058309529</c:v>
                </c:pt>
                <c:pt idx="209">
                  <c:v>1.0001748806316992</c:v>
                </c:pt>
                <c:pt idx="210">
                  <c:v>1.0000269740108807</c:v>
                </c:pt>
                <c:pt idx="211">
                  <c:v>0.99984268257955455</c:v>
                </c:pt>
                <c:pt idx="212">
                  <c:v>0.9996219025555767</c:v>
                </c:pt>
                <c:pt idx="213">
                  <c:v>0.99936452976173051</c:v>
                </c:pt>
                <c:pt idx="214">
                  <c:v>0.99910666662426872</c:v>
                </c:pt>
                <c:pt idx="215">
                  <c:v>0.9988483117405601</c:v>
                </c:pt>
                <c:pt idx="216">
                  <c:v>0.99858946370261781</c:v>
                </c:pt>
                <c:pt idx="217">
                  <c:v>0.99833012109707575</c:v>
                </c:pt>
                <c:pt idx="218">
                  <c:v>0.99807028250516139</c:v>
                </c:pt>
                <c:pt idx="219">
                  <c:v>0.99778897434205349</c:v>
                </c:pt>
                <c:pt idx="220">
                  <c:v>0.99748613489969484</c:v>
                </c:pt>
                <c:pt idx="221">
                  <c:v>0.9971617022333179</c:v>
                </c:pt>
                <c:pt idx="222">
                  <c:v>0.99681561416031106</c:v>
                </c:pt>
                <c:pt idx="223">
                  <c:v>0.99644780825907298</c:v>
                </c:pt>
                <c:pt idx="224">
                  <c:v>0.99607929487896174</c:v>
                </c:pt>
                <c:pt idx="225">
                  <c:v>0.99571007197674632</c:v>
                </c:pt>
                <c:pt idx="226">
                  <c:v>0.995340137501321</c:v>
                </c:pt>
                <c:pt idx="227">
                  <c:v>0.99496948939366581</c:v>
                </c:pt>
                <c:pt idx="228">
                  <c:v>0.99459812558680905</c:v>
                </c:pt>
                <c:pt idx="229">
                  <c:v>0.99420832628570677</c:v>
                </c:pt>
                <c:pt idx="230">
                  <c:v>0.99380003799030792</c:v>
                </c:pt>
                <c:pt idx="231">
                  <c:v>0.99337320699334986</c:v>
                </c:pt>
                <c:pt idx="232">
                  <c:v>0.99292777937935572</c:v>
                </c:pt>
                <c:pt idx="233">
                  <c:v>0.9924637010236238</c:v>
                </c:pt>
                <c:pt idx="234">
                  <c:v>0.99199872133926725</c:v>
                </c:pt>
                <c:pt idx="235">
                  <c:v>0.99153283769790579</c:v>
                </c:pt>
                <c:pt idx="236">
                  <c:v>0.99106604746092974</c:v>
                </c:pt>
                <c:pt idx="237">
                  <c:v>0.99059834797944957</c:v>
                </c:pt>
                <c:pt idx="238">
                  <c:v>0.99012973659424652</c:v>
                </c:pt>
                <c:pt idx="239">
                  <c:v>0.98960479336325669</c:v>
                </c:pt>
                <c:pt idx="240">
                  <c:v>0.98902335321389934</c:v>
                </c:pt>
                <c:pt idx="241">
                  <c:v>0.98838525042800141</c:v>
                </c:pt>
                <c:pt idx="242">
                  <c:v>0.98769031863863699</c:v>
                </c:pt>
                <c:pt idx="243">
                  <c:v>0.98693839082694956</c:v>
                </c:pt>
                <c:pt idx="244">
                  <c:v>0.98618498830730739</c:v>
                </c:pt>
                <c:pt idx="245">
                  <c:v>0.98543010673707743</c:v>
                </c:pt>
                <c:pt idx="246">
                  <c:v>0.98467374175655664</c:v>
                </c:pt>
                <c:pt idx="247">
                  <c:v>0.98391588898889359</c:v>
                </c:pt>
                <c:pt idx="248">
                  <c:v>0.98315654403999886</c:v>
                </c:pt>
                <c:pt idx="249">
                  <c:v>0.98229787674434466</c:v>
                </c:pt>
                <c:pt idx="250">
                  <c:v>0.98133959318072894</c:v>
                </c:pt>
                <c:pt idx="251">
                  <c:v>0.9802813982670846</c:v>
                </c:pt>
                <c:pt idx="252">
                  <c:v>0.97912299575473927</c:v>
                </c:pt>
                <c:pt idx="253">
                  <c:v>0.97786408822264859</c:v>
                </c:pt>
                <c:pt idx="254">
                  <c:v>0.97660268722430399</c:v>
                </c:pt>
                <c:pt idx="255">
                  <c:v>0.97533878534430296</c:v>
                </c:pt>
                <c:pt idx="256">
                  <c:v>0.97407237513780909</c:v>
                </c:pt>
                <c:pt idx="257">
                  <c:v>0.97280344913040873</c:v>
                </c:pt>
                <c:pt idx="258">
                  <c:v>0.9715319998179599</c:v>
                </c:pt>
                <c:pt idx="259">
                  <c:v>0.97011204581904753</c:v>
                </c:pt>
                <c:pt idx="260">
                  <c:v>0.96854314329070068</c:v>
                </c:pt>
                <c:pt idx="261">
                  <c:v>0.96682484661947288</c:v>
                </c:pt>
                <c:pt idx="262">
                  <c:v>0.96495670841260273</c:v>
                </c:pt>
                <c:pt idx="263">
                  <c:v>0.96293827948912847</c:v>
                </c:pt>
                <c:pt idx="264">
                  <c:v>0.9609158127591042</c:v>
                </c:pt>
                <c:pt idx="265">
                  <c:v>0.95888929609413143</c:v>
                </c:pt>
                <c:pt idx="266">
                  <c:v>0.95685871731719141</c:v>
                </c:pt>
                <c:pt idx="267">
                  <c:v>0.9548240642023974</c:v>
                </c:pt>
                <c:pt idx="268">
                  <c:v>0.95278532447475062</c:v>
                </c:pt>
                <c:pt idx="269">
                  <c:v>0.9504305216640998</c:v>
                </c:pt>
                <c:pt idx="270">
                  <c:v>0.94775870163218634</c:v>
                </c:pt>
                <c:pt idx="271">
                  <c:v>0.94476890639638467</c:v>
                </c:pt>
                <c:pt idx="272">
                  <c:v>0.9414601741103219</c:v>
                </c:pt>
                <c:pt idx="273">
                  <c:v>0.93783153904437955</c:v>
                </c:pt>
                <c:pt idx="274">
                  <c:v>0.93419557166237932</c:v>
                </c:pt>
                <c:pt idx="275">
                  <c:v>0.93055224971743067</c:v>
                </c:pt>
                <c:pt idx="276">
                  <c:v>0.92690155087255333</c:v>
                </c:pt>
                <c:pt idx="277">
                  <c:v>0.92324345270021912</c:v>
                </c:pt>
                <c:pt idx="278">
                  <c:v>0.91957793268189447</c:v>
                </c:pt>
                <c:pt idx="279">
                  <c:v>0.91558166270369612</c:v>
                </c:pt>
                <c:pt idx="280">
                  <c:v>0.91125363414076377</c:v>
                </c:pt>
                <c:pt idx="281">
                  <c:v>0.90659283426298587</c:v>
                </c:pt>
                <c:pt idx="282">
                  <c:v>0.90159824621408968</c:v>
                </c:pt>
                <c:pt idx="283">
                  <c:v>0.89626884899060699</c:v>
                </c:pt>
                <c:pt idx="284">
                  <c:v>0.89092857283803562</c:v>
                </c:pt>
                <c:pt idx="285">
                  <c:v>0.8855773844115119</c:v>
                </c:pt>
                <c:pt idx="286">
                  <c:v>0.88021525022975922</c:v>
                </c:pt>
                <c:pt idx="287">
                  <c:v>0.87484213667439004</c:v>
                </c:pt>
                <c:pt idx="288">
                  <c:v>0.86945800998920231</c:v>
                </c:pt>
                <c:pt idx="289">
                  <c:v>0.86372612176168428</c:v>
                </c:pt>
                <c:pt idx="290">
                  <c:v>0.85764540059927219</c:v>
                </c:pt>
                <c:pt idx="291">
                  <c:v>0.85121477070384888</c:v>
                </c:pt>
                <c:pt idx="292">
                  <c:v>0.84443315184907286</c:v>
                </c:pt>
                <c:pt idx="293">
                  <c:v>0.83729945935757311</c:v>
                </c:pt>
                <c:pt idx="294">
                  <c:v>0.83015105465814432</c:v>
                </c:pt>
                <c:pt idx="295">
                  <c:v>0.82298789219110835</c:v>
                </c:pt>
                <c:pt idx="296">
                  <c:v>0.81580992620847759</c:v>
                </c:pt>
                <c:pt idx="297">
                  <c:v>0.80861711077298293</c:v>
                </c:pt>
                <c:pt idx="298">
                  <c:v>0.80140939975709125</c:v>
                </c:pt>
                <c:pt idx="299">
                  <c:v>0.79411861321577548</c:v>
                </c:pt>
                <c:pt idx="300">
                  <c:v>0.78674449255221646</c:v>
                </c:pt>
                <c:pt idx="301">
                  <c:v>0.77928677809520086</c:v>
                </c:pt>
                <c:pt idx="302">
                  <c:v>0.77174520909353816</c:v>
                </c:pt>
                <c:pt idx="303">
                  <c:v>0.76411952371044034</c:v>
                </c:pt>
                <c:pt idx="304">
                  <c:v>0.75647794759361864</c:v>
                </c:pt>
                <c:pt idx="305">
                  <c:v>0.74882043102056639</c:v>
                </c:pt>
                <c:pt idx="306">
                  <c:v>0.74114692406111671</c:v>
                </c:pt>
                <c:pt idx="307">
                  <c:v>0.73345737657635701</c:v>
                </c:pt>
                <c:pt idx="308">
                  <c:v>0.72575173821753569</c:v>
                </c:pt>
                <c:pt idx="309">
                  <c:v>0.71791099788276713</c:v>
                </c:pt>
                <c:pt idx="310">
                  <c:v>0.70993473061841139</c:v>
                </c:pt>
                <c:pt idx="311">
                  <c:v>0.70182250968674187</c:v>
                </c:pt>
                <c:pt idx="312">
                  <c:v>0.69357390655657447</c:v>
                </c:pt>
                <c:pt idx="313">
                  <c:v>0.6851884908938356</c:v>
                </c:pt>
                <c:pt idx="314">
                  <c:v>0.67678541735727227</c:v>
                </c:pt>
                <c:pt idx="315">
                  <c:v>0.6683646301125965</c:v>
                </c:pt>
                <c:pt idx="316">
                  <c:v>0.65992607308987328</c:v>
                </c:pt>
                <c:pt idx="317">
                  <c:v>0.65146968998227694</c:v>
                </c:pt>
                <c:pt idx="318">
                  <c:v>0.64299542424483858</c:v>
                </c:pt>
                <c:pt idx="319">
                  <c:v>0.63448618008101731</c:v>
                </c:pt>
                <c:pt idx="320">
                  <c:v>0.6259418463028853</c:v>
                </c:pt>
                <c:pt idx="321">
                  <c:v>0.6173623112507628</c:v>
                </c:pt>
                <c:pt idx="322">
                  <c:v>0.60874746279071323</c:v>
                </c:pt>
                <c:pt idx="323">
                  <c:v>0.6000971883120223</c:v>
                </c:pt>
                <c:pt idx="324">
                  <c:v>0.59142850439253425</c:v>
                </c:pt>
                <c:pt idx="325">
                  <c:v>0.58274135220142398</c:v>
                </c:pt>
                <c:pt idx="326">
                  <c:v>0.57403567265692546</c:v>
                </c:pt>
                <c:pt idx="327">
                  <c:v>0.56531140642499267</c:v>
                </c:pt>
                <c:pt idx="328">
                  <c:v>0.55656849391795193</c:v>
                </c:pt>
                <c:pt idx="329">
                  <c:v>0.54777625966043431</c:v>
                </c:pt>
                <c:pt idx="330">
                  <c:v>0.53893454519153705</c:v>
                </c:pt>
                <c:pt idx="331">
                  <c:v>0.53004319137082667</c:v>
                </c:pt>
                <c:pt idx="332">
                  <c:v>0.5211020383746906</c:v>
                </c:pt>
                <c:pt idx="333">
                  <c:v>0.51211092569266792</c:v>
                </c:pt>
                <c:pt idx="334">
                  <c:v>0.50310047239823752</c:v>
                </c:pt>
                <c:pt idx="335">
                  <c:v>0.49407061601936997</c:v>
                </c:pt>
                <c:pt idx="336">
                  <c:v>0.48502129381469106</c:v>
                </c:pt>
                <c:pt idx="337">
                  <c:v>0.47595244277203053</c:v>
                </c:pt>
                <c:pt idx="338">
                  <c:v>0.46686399960695768</c:v>
                </c:pt>
                <c:pt idx="339">
                  <c:v>0.4578231131180216</c:v>
                </c:pt>
                <c:pt idx="340">
                  <c:v>0.44882993774928692</c:v>
                </c:pt>
                <c:pt idx="341">
                  <c:v>0.43988462861430289</c:v>
                </c:pt>
                <c:pt idx="342">
                  <c:v>0.43098734149973228</c:v>
                </c:pt>
                <c:pt idx="343">
                  <c:v>0.42213823286901031</c:v>
                </c:pt>
                <c:pt idx="344">
                  <c:v>0.41326988213144877</c:v>
                </c:pt>
                <c:pt idx="345">
                  <c:v>0.40438222645670741</c:v>
                </c:pt>
                <c:pt idx="346">
                  <c:v>0.3954752027406051</c:v>
                </c:pt>
                <c:pt idx="347">
                  <c:v>0.38654874760362645</c:v>
                </c:pt>
                <c:pt idx="348">
                  <c:v>0.37760279738941949</c:v>
                </c:pt>
                <c:pt idx="349">
                  <c:v>0.36870816823857122</c:v>
                </c:pt>
                <c:pt idx="350">
                  <c:v>0.35986502864427494</c:v>
                </c:pt>
                <c:pt idx="351">
                  <c:v>0.35107354783810896</c:v>
                </c:pt>
                <c:pt idx="352">
                  <c:v>0.34233389579408779</c:v>
                </c:pt>
                <c:pt idx="353">
                  <c:v>0.33364624323273562</c:v>
                </c:pt>
                <c:pt idx="354">
                  <c:v>0.32493949199835759</c:v>
                </c:pt>
                <c:pt idx="355">
                  <c:v>0.31621357904273384</c:v>
                </c:pt>
                <c:pt idx="356">
                  <c:v>0.30746844103982607</c:v>
                </c:pt>
                <c:pt idx="357">
                  <c:v>0.29870401438424687</c:v>
                </c:pt>
                <c:pt idx="358">
                  <c:v>0.28992023518971843</c:v>
                </c:pt>
                <c:pt idx="359">
                  <c:v>0.28125591817706541</c:v>
                </c:pt>
                <c:pt idx="360">
                  <c:v>0.27271145989464729</c:v>
                </c:pt>
                <c:pt idx="361">
                  <c:v>0.26428725864786173</c:v>
                </c:pt>
                <c:pt idx="362">
                  <c:v>0.25598371450888846</c:v>
                </c:pt>
                <c:pt idx="363">
                  <c:v>0.24780122932649495</c:v>
                </c:pt>
                <c:pt idx="364">
                  <c:v>0.2396005560955019</c:v>
                </c:pt>
                <c:pt idx="365">
                  <c:v>0.23138163410577628</c:v>
                </c:pt>
                <c:pt idx="366">
                  <c:v>0.22314440237668998</c:v>
                </c:pt>
                <c:pt idx="367">
                  <c:v>0.21488879965561236</c:v>
                </c:pt>
                <c:pt idx="368">
                  <c:v>0.20661476441639315</c:v>
                </c:pt>
                <c:pt idx="369">
                  <c:v>0.19857111260228166</c:v>
                </c:pt>
                <c:pt idx="370">
                  <c:v>0.19075861751525436</c:v>
                </c:pt>
                <c:pt idx="371">
                  <c:v>0.18317805592203718</c:v>
                </c:pt>
                <c:pt idx="372">
                  <c:v>0.175830208073533</c:v>
                </c:pt>
                <c:pt idx="373">
                  <c:v>0.16871585772437747</c:v>
                </c:pt>
                <c:pt idx="374">
                  <c:v>0.16158551584939174</c:v>
                </c:pt>
                <c:pt idx="375">
                  <c:v>0.1544391284696558</c:v>
                </c:pt>
                <c:pt idx="376">
                  <c:v>0.14727664136303686</c:v>
                </c:pt>
                <c:pt idx="377">
                  <c:v>0.1400980000628177</c:v>
                </c:pt>
                <c:pt idx="378">
                  <c:v>0.13290314985631912</c:v>
                </c:pt>
                <c:pt idx="379">
                  <c:v>0.12604885026626989</c:v>
                </c:pt>
                <c:pt idx="380">
                  <c:v>0.11953625731468676</c:v>
                </c:pt>
                <c:pt idx="381">
                  <c:v>0.11336653226177262</c:v>
                </c:pt>
                <c:pt idx="382">
                  <c:v>0.10754084163562039</c:v>
                </c:pt>
                <c:pt idx="383">
                  <c:v>0.10206035726211538</c:v>
                </c:pt>
                <c:pt idx="384">
                  <c:v>9.656741391583068E-2</c:v>
                </c:pt>
                <c:pt idx="385">
                  <c:v>9.1061969063305881E-2</c:v>
                </c:pt>
                <c:pt idx="386">
                  <c:v>8.554397997725427E-2</c:v>
                </c:pt>
                <c:pt idx="387">
                  <c:v>8.0013403735457622E-2</c:v>
                </c:pt>
                <c:pt idx="388">
                  <c:v>7.4470197219655421E-2</c:v>
                </c:pt>
                <c:pt idx="389">
                  <c:v>6.9303325501711366E-2</c:v>
                </c:pt>
                <c:pt idx="390">
                  <c:v>6.4514080696021825E-2</c:v>
                </c:pt>
                <c:pt idx="391">
                  <c:v>6.0103760838917997E-2</c:v>
                </c:pt>
                <c:pt idx="392">
                  <c:v>5.607366992263052E-2</c:v>
                </c:pt>
                <c:pt idx="393">
                  <c:v>5.2425117929487453E-2</c:v>
                </c:pt>
                <c:pt idx="394">
                  <c:v>4.876817619473639E-2</c:v>
                </c:pt>
                <c:pt idx="395">
                  <c:v>4.5102815747109948E-2</c:v>
                </c:pt>
                <c:pt idx="396">
                  <c:v>4.1429007481795566E-2</c:v>
                </c:pt>
                <c:pt idx="397">
                  <c:v>3.7746722159666679E-2</c:v>
                </c:pt>
                <c:pt idx="398">
                  <c:v>3.4055930406507784E-2</c:v>
                </c:pt>
                <c:pt idx="399">
                  <c:v>3.0705639638347937E-2</c:v>
                </c:pt>
                <c:pt idx="400">
                  <c:v>2.7697032471873606E-2</c:v>
                </c:pt>
                <c:pt idx="401">
                  <c:v>2.5031297006684716E-2</c:v>
                </c:pt>
                <c:pt idx="402">
                  <c:v>2.2709626857107978E-2</c:v>
                </c:pt>
                <c:pt idx="403">
                  <c:v>2.0733221184228823E-2</c:v>
                </c:pt>
                <c:pt idx="404">
                  <c:v>1.8752217963020512E-2</c:v>
                </c:pt>
                <c:pt idx="405">
                  <c:v>1.676660113245998E-2</c:v>
                </c:pt>
                <c:pt idx="406">
                  <c:v>1.4776354556627735E-2</c:v>
                </c:pt>
                <c:pt idx="407">
                  <c:v>1.2781462024269219E-2</c:v>
                </c:pt>
                <c:pt idx="408">
                  <c:v>1.0781907248357592E-2</c:v>
                </c:pt>
                <c:pt idx="409">
                  <c:v>9.0125642920371174E-3</c:v>
                </c:pt>
                <c:pt idx="410">
                  <c:v>7.4742420844889912E-3</c:v>
                </c:pt>
                <c:pt idx="411">
                  <c:v>6.1677533492768832E-3</c:v>
                </c:pt>
                <c:pt idx="412">
                  <c:v>5.093914626620899E-3</c:v>
                </c:pt>
                <c:pt idx="413">
                  <c:v>4.2535462958266379E-3</c:v>
                </c:pt>
                <c:pt idx="414">
                  <c:v>3.4112000810608833E-3</c:v>
                </c:pt>
                <c:pt idx="415">
                  <c:v>2.5668689914002396E-3</c:v>
                </c:pt>
                <c:pt idx="416">
                  <c:v>1.7205460029352526E-3</c:v>
                </c:pt>
                <c:pt idx="417">
                  <c:v>8.7222405857645402E-4</c:v>
                </c:pt>
                <c:pt idx="418">
                  <c:v>2.1896067859739077E-5</c:v>
                </c:pt>
                <c:pt idx="419">
                  <c:v>-6.98111592202455E-4</c:v>
                </c:pt>
                <c:pt idx="420">
                  <c:v>-1.2873355686962018E-3</c:v>
                </c:pt>
                <c:pt idx="421">
                  <c:v>-1.7453103095050881E-3</c:v>
                </c:pt>
                <c:pt idx="422">
                  <c:v>-2.0715680502452205E-3</c:v>
                </c:pt>
                <c:pt idx="423">
                  <c:v>-2.2656388011117468E-3</c:v>
                </c:pt>
                <c:pt idx="424">
                  <c:v>-2.4601717544765478E-3</c:v>
                </c:pt>
                <c:pt idx="425">
                  <c:v>-2.6551685634932376E-3</c:v>
                </c:pt>
                <c:pt idx="426">
                  <c:v>-2.8506308892086718E-3</c:v>
                </c:pt>
                <c:pt idx="427">
                  <c:v>-3.0465604006102431E-3</c:v>
                </c:pt>
                <c:pt idx="428">
                  <c:v>-3.2429587746722888E-3</c:v>
                </c:pt>
                <c:pt idx="429">
                  <c:v>-3.3830461339101614E-3</c:v>
                </c:pt>
                <c:pt idx="430">
                  <c:v>-3.4666198636355006E-3</c:v>
                </c:pt>
                <c:pt idx="431">
                  <c:v>-3.493476375946214E-3</c:v>
                </c:pt>
                <c:pt idx="432">
                  <c:v>-3.4634111038758242E-3</c:v>
                </c:pt>
                <c:pt idx="433">
                  <c:v>-3.3762184955004049E-3</c:v>
                </c:pt>
                <c:pt idx="434">
                  <c:v>-3.2888157249619798E-3</c:v>
                </c:pt>
                <c:pt idx="435">
                  <c:v>-3.2012020315062006E-3</c:v>
                </c:pt>
                <c:pt idx="436">
                  <c:v>-3.1133766507027705E-3</c:v>
                </c:pt>
                <c:pt idx="437">
                  <c:v>-3.0253388144225735E-3</c:v>
                </c:pt>
                <c:pt idx="438">
                  <c:v>-2.9370877508161364E-3</c:v>
                </c:pt>
                <c:pt idx="439">
                  <c:v>-2.8312732443127597E-3</c:v>
                </c:pt>
                <c:pt idx="440">
                  <c:v>-2.7078313320996195E-3</c:v>
                </c:pt>
                <c:pt idx="441">
                  <c:v>-2.5666977403999702E-3</c:v>
                </c:pt>
                <c:pt idx="442">
                  <c:v>-2.407807882579549E-3</c:v>
                </c:pt>
                <c:pt idx="443">
                  <c:v>-2.2310968572409884E-3</c:v>
                </c:pt>
                <c:pt idx="444">
                  <c:v>-2.0539547058706642E-3</c:v>
                </c:pt>
                <c:pt idx="445">
                  <c:v>-1.5131947002624546E-3</c:v>
                </c:pt>
                <c:pt idx="446">
                  <c:v>-9.711121631788E-4</c:v>
                </c:pt>
                <c:pt idx="447">
                  <c:v>-4.2770223692634168E-4</c:v>
                </c:pt>
                <c:pt idx="448">
                  <c:v>1.1703996000766992E-4</c:v>
                </c:pt>
                <c:pt idx="449">
                  <c:v>6.6311933310159166E-4</c:v>
                </c:pt>
                <c:pt idx="450">
                  <c:v>6.6311933310159166E-4</c:v>
                </c:pt>
                <c:pt idx="451">
                  <c:v>6.6311933310159166E-4</c:v>
                </c:pt>
                <c:pt idx="452">
                  <c:v>6.6311933310159166E-4</c:v>
                </c:pt>
                <c:pt idx="453">
                  <c:v>6.6311933310159166E-4</c:v>
                </c:pt>
                <c:pt idx="454">
                  <c:v>6.6311933310159166E-4</c:v>
                </c:pt>
                <c:pt idx="455">
                  <c:v>6.6311933310159166E-4</c:v>
                </c:pt>
                <c:pt idx="456">
                  <c:v>6.6311933310159166E-4</c:v>
                </c:pt>
                <c:pt idx="457">
                  <c:v>6.6311933310159166E-4</c:v>
                </c:pt>
                <c:pt idx="458">
                  <c:v>6.6311933310159166E-4</c:v>
                </c:pt>
                <c:pt idx="459">
                  <c:v>6.6311933310159166E-4</c:v>
                </c:pt>
                <c:pt idx="460">
                  <c:v>6.6311933310159166E-4</c:v>
                </c:pt>
                <c:pt idx="461">
                  <c:v>6.6311933310159166E-4</c:v>
                </c:pt>
                <c:pt idx="462">
                  <c:v>6.6311933310159166E-4</c:v>
                </c:pt>
                <c:pt idx="463">
                  <c:v>6.6311933310159166E-4</c:v>
                </c:pt>
                <c:pt idx="464">
                  <c:v>6.6311933310159166E-4</c:v>
                </c:pt>
                <c:pt idx="465">
                  <c:v>6.6311933310159166E-4</c:v>
                </c:pt>
                <c:pt idx="466">
                  <c:v>6.6311933310159166E-4</c:v>
                </c:pt>
                <c:pt idx="467">
                  <c:v>6.6311933310159166E-4</c:v>
                </c:pt>
                <c:pt idx="468">
                  <c:v>6.6311933310159166E-4</c:v>
                </c:pt>
                <c:pt idx="469">
                  <c:v>6.6311933310159166E-4</c:v>
                </c:pt>
                <c:pt idx="470">
                  <c:v>6.6311933310159166E-4</c:v>
                </c:pt>
                <c:pt idx="471">
                  <c:v>6.6311933310159166E-4</c:v>
                </c:pt>
                <c:pt idx="472">
                  <c:v>6.6311933310159166E-4</c:v>
                </c:pt>
                <c:pt idx="473">
                  <c:v>6.6311933310159166E-4</c:v>
                </c:pt>
                <c:pt idx="474">
                  <c:v>6.6311933310159166E-4</c:v>
                </c:pt>
                <c:pt idx="475">
                  <c:v>6.6311933310159166E-4</c:v>
                </c:pt>
                <c:pt idx="476">
                  <c:v>6.6311933310159166E-4</c:v>
                </c:pt>
                <c:pt idx="477">
                  <c:v>6.6311933310159166E-4</c:v>
                </c:pt>
                <c:pt idx="478">
                  <c:v>6.6311933310159166E-4</c:v>
                </c:pt>
                <c:pt idx="479">
                  <c:v>6.6311933310159166E-4</c:v>
                </c:pt>
                <c:pt idx="480">
                  <c:v>6.6311933310159166E-4</c:v>
                </c:pt>
                <c:pt idx="481">
                  <c:v>6.6311933310159166E-4</c:v>
                </c:pt>
                <c:pt idx="482">
                  <c:v>6.6311933310159166E-4</c:v>
                </c:pt>
                <c:pt idx="483">
                  <c:v>6.6311933310159166E-4</c:v>
                </c:pt>
                <c:pt idx="484">
                  <c:v>6.6311933310159166E-4</c:v>
                </c:pt>
                <c:pt idx="485">
                  <c:v>6.6311933310159166E-4</c:v>
                </c:pt>
                <c:pt idx="486">
                  <c:v>6.6311933310159166E-4</c:v>
                </c:pt>
                <c:pt idx="487">
                  <c:v>6.6311933310159166E-4</c:v>
                </c:pt>
                <c:pt idx="488">
                  <c:v>6.6311933310159166E-4</c:v>
                </c:pt>
                <c:pt idx="489">
                  <c:v>6.6311933310159166E-4</c:v>
                </c:pt>
                <c:pt idx="490">
                  <c:v>6.6311933310159166E-4</c:v>
                </c:pt>
                <c:pt idx="491">
                  <c:v>6.6311933310159166E-4</c:v>
                </c:pt>
                <c:pt idx="492">
                  <c:v>6.6311933310159166E-4</c:v>
                </c:pt>
                <c:pt idx="493">
                  <c:v>6.6311933310159166E-4</c:v>
                </c:pt>
                <c:pt idx="494">
                  <c:v>6.6311933310159166E-4</c:v>
                </c:pt>
                <c:pt idx="495">
                  <c:v>6.6311933310159166E-4</c:v>
                </c:pt>
                <c:pt idx="496">
                  <c:v>6.6311933310159166E-4</c:v>
                </c:pt>
                <c:pt idx="497">
                  <c:v>6.6311933310159166E-4</c:v>
                </c:pt>
                <c:pt idx="498">
                  <c:v>6.6311933310159166E-4</c:v>
                </c:pt>
                <c:pt idx="499">
                  <c:v>6.6311933310159166E-4</c:v>
                </c:pt>
                <c:pt idx="500">
                  <c:v>6.6311933310159166E-4</c:v>
                </c:pt>
                <c:pt idx="501">
                  <c:v>6.6311933310159166E-4</c:v>
                </c:pt>
                <c:pt idx="502">
                  <c:v>6.6311933310159166E-4</c:v>
                </c:pt>
                <c:pt idx="503">
                  <c:v>6.6311933310159166E-4</c:v>
                </c:pt>
                <c:pt idx="504">
                  <c:v>6.6311933310159166E-4</c:v>
                </c:pt>
                <c:pt idx="505">
                  <c:v>6.6311933310159166E-4</c:v>
                </c:pt>
                <c:pt idx="506">
                  <c:v>6.6311933310159166E-4</c:v>
                </c:pt>
                <c:pt idx="507">
                  <c:v>6.6311933310159166E-4</c:v>
                </c:pt>
                <c:pt idx="508">
                  <c:v>6.6311933310159166E-4</c:v>
                </c:pt>
                <c:pt idx="509">
                  <c:v>6.6311933310159166E-4</c:v>
                </c:pt>
                <c:pt idx="510">
                  <c:v>6.6311933310159166E-4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51-45FA-BEFB-B9CB69153FA9}"/>
            </c:ext>
          </c:extLst>
        </c:ser>
        <c:ser>
          <c:idx val="1"/>
          <c:order val="1"/>
          <c:tx>
            <c:v>Cooling Curve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Curves!$AK$2:$AK$512</c:f>
              <c:numCache>
                <c:formatCode>0.0</c:formatCode>
                <c:ptCount val="511"/>
                <c:pt idx="0">
                  <c:v>25</c:v>
                </c:pt>
                <c:pt idx="1">
                  <c:v>25.1</c:v>
                </c:pt>
                <c:pt idx="2">
                  <c:v>25.200000000000003</c:v>
                </c:pt>
                <c:pt idx="3">
                  <c:v>25.300000000000004</c:v>
                </c:pt>
                <c:pt idx="4">
                  <c:v>25.400000000000006</c:v>
                </c:pt>
                <c:pt idx="5">
                  <c:v>25.500000000000007</c:v>
                </c:pt>
                <c:pt idx="6">
                  <c:v>25.600000000000009</c:v>
                </c:pt>
                <c:pt idx="7">
                  <c:v>25.70000000000001</c:v>
                </c:pt>
                <c:pt idx="8">
                  <c:v>25.800000000000011</c:v>
                </c:pt>
                <c:pt idx="9">
                  <c:v>25.900000000000013</c:v>
                </c:pt>
                <c:pt idx="10">
                  <c:v>26.000000000000014</c:v>
                </c:pt>
                <c:pt idx="11">
                  <c:v>26.100000000000016</c:v>
                </c:pt>
                <c:pt idx="12">
                  <c:v>26.200000000000017</c:v>
                </c:pt>
                <c:pt idx="13">
                  <c:v>26.300000000000018</c:v>
                </c:pt>
                <c:pt idx="14">
                  <c:v>26.40000000000002</c:v>
                </c:pt>
                <c:pt idx="15">
                  <c:v>26.500000000000021</c:v>
                </c:pt>
                <c:pt idx="16">
                  <c:v>26.600000000000023</c:v>
                </c:pt>
                <c:pt idx="17">
                  <c:v>26.700000000000024</c:v>
                </c:pt>
                <c:pt idx="18">
                  <c:v>26.800000000000026</c:v>
                </c:pt>
                <c:pt idx="19">
                  <c:v>26.900000000000027</c:v>
                </c:pt>
                <c:pt idx="20">
                  <c:v>27.000000000000028</c:v>
                </c:pt>
                <c:pt idx="21">
                  <c:v>27.10000000000003</c:v>
                </c:pt>
                <c:pt idx="22">
                  <c:v>27.200000000000031</c:v>
                </c:pt>
                <c:pt idx="23">
                  <c:v>27.300000000000033</c:v>
                </c:pt>
                <c:pt idx="24">
                  <c:v>27.400000000000034</c:v>
                </c:pt>
                <c:pt idx="25">
                  <c:v>27.500000000000036</c:v>
                </c:pt>
                <c:pt idx="26">
                  <c:v>27.600000000000037</c:v>
                </c:pt>
                <c:pt idx="27">
                  <c:v>27.700000000000038</c:v>
                </c:pt>
                <c:pt idx="28">
                  <c:v>27.80000000000004</c:v>
                </c:pt>
                <c:pt idx="29">
                  <c:v>27.900000000000041</c:v>
                </c:pt>
                <c:pt idx="30">
                  <c:v>28.000000000000043</c:v>
                </c:pt>
                <c:pt idx="31">
                  <c:v>28.100000000000044</c:v>
                </c:pt>
                <c:pt idx="32">
                  <c:v>28.200000000000045</c:v>
                </c:pt>
                <c:pt idx="33">
                  <c:v>28.300000000000047</c:v>
                </c:pt>
                <c:pt idx="34">
                  <c:v>28.400000000000048</c:v>
                </c:pt>
                <c:pt idx="35">
                  <c:v>28.50000000000005</c:v>
                </c:pt>
                <c:pt idx="36">
                  <c:v>28.600000000000051</c:v>
                </c:pt>
                <c:pt idx="37">
                  <c:v>28.700000000000053</c:v>
                </c:pt>
                <c:pt idx="38">
                  <c:v>28.800000000000054</c:v>
                </c:pt>
                <c:pt idx="39">
                  <c:v>28.900000000000055</c:v>
                </c:pt>
                <c:pt idx="40">
                  <c:v>29.000000000000057</c:v>
                </c:pt>
                <c:pt idx="41">
                  <c:v>29.100000000000058</c:v>
                </c:pt>
                <c:pt idx="42">
                  <c:v>29.20000000000006</c:v>
                </c:pt>
                <c:pt idx="43">
                  <c:v>29.300000000000061</c:v>
                </c:pt>
                <c:pt idx="44">
                  <c:v>29.400000000000063</c:v>
                </c:pt>
                <c:pt idx="45">
                  <c:v>29.500000000000064</c:v>
                </c:pt>
                <c:pt idx="46">
                  <c:v>29.600000000000065</c:v>
                </c:pt>
                <c:pt idx="47">
                  <c:v>29.700000000000067</c:v>
                </c:pt>
                <c:pt idx="48">
                  <c:v>29.800000000000068</c:v>
                </c:pt>
                <c:pt idx="49">
                  <c:v>29.90000000000007</c:v>
                </c:pt>
                <c:pt idx="50">
                  <c:v>30.000000000000071</c:v>
                </c:pt>
                <c:pt idx="51">
                  <c:v>30.100000000000072</c:v>
                </c:pt>
                <c:pt idx="52">
                  <c:v>30.200000000000074</c:v>
                </c:pt>
                <c:pt idx="53">
                  <c:v>30.300000000000075</c:v>
                </c:pt>
                <c:pt idx="54">
                  <c:v>30.400000000000077</c:v>
                </c:pt>
                <c:pt idx="55">
                  <c:v>30.500000000000078</c:v>
                </c:pt>
                <c:pt idx="56">
                  <c:v>30.60000000000008</c:v>
                </c:pt>
                <c:pt idx="57">
                  <c:v>30.700000000000081</c:v>
                </c:pt>
                <c:pt idx="58">
                  <c:v>30.800000000000082</c:v>
                </c:pt>
                <c:pt idx="59">
                  <c:v>30.900000000000084</c:v>
                </c:pt>
                <c:pt idx="60">
                  <c:v>31.000000000000085</c:v>
                </c:pt>
                <c:pt idx="61">
                  <c:v>31.100000000000087</c:v>
                </c:pt>
                <c:pt idx="62">
                  <c:v>31.200000000000088</c:v>
                </c:pt>
                <c:pt idx="63">
                  <c:v>31.30000000000009</c:v>
                </c:pt>
                <c:pt idx="64">
                  <c:v>31.400000000000091</c:v>
                </c:pt>
                <c:pt idx="65">
                  <c:v>31.500000000000092</c:v>
                </c:pt>
                <c:pt idx="66">
                  <c:v>31.600000000000094</c:v>
                </c:pt>
                <c:pt idx="67">
                  <c:v>31.700000000000095</c:v>
                </c:pt>
                <c:pt idx="68">
                  <c:v>31.800000000000097</c:v>
                </c:pt>
                <c:pt idx="69">
                  <c:v>31.900000000000098</c:v>
                </c:pt>
                <c:pt idx="70">
                  <c:v>32.000000000000099</c:v>
                </c:pt>
                <c:pt idx="71">
                  <c:v>32.100000000000101</c:v>
                </c:pt>
                <c:pt idx="72">
                  <c:v>32.200000000000102</c:v>
                </c:pt>
                <c:pt idx="73">
                  <c:v>32.300000000000104</c:v>
                </c:pt>
                <c:pt idx="74">
                  <c:v>32.400000000000105</c:v>
                </c:pt>
                <c:pt idx="75">
                  <c:v>32.500000000000107</c:v>
                </c:pt>
                <c:pt idx="76">
                  <c:v>32.600000000000108</c:v>
                </c:pt>
                <c:pt idx="77">
                  <c:v>32.700000000000109</c:v>
                </c:pt>
                <c:pt idx="78">
                  <c:v>32.800000000000111</c:v>
                </c:pt>
                <c:pt idx="79">
                  <c:v>32.900000000000112</c:v>
                </c:pt>
                <c:pt idx="80">
                  <c:v>33.000000000000114</c:v>
                </c:pt>
                <c:pt idx="81">
                  <c:v>33.100000000000115</c:v>
                </c:pt>
                <c:pt idx="82">
                  <c:v>33.200000000000117</c:v>
                </c:pt>
                <c:pt idx="83">
                  <c:v>33.300000000000118</c:v>
                </c:pt>
                <c:pt idx="84">
                  <c:v>33.400000000000119</c:v>
                </c:pt>
                <c:pt idx="85">
                  <c:v>33.500000000000121</c:v>
                </c:pt>
                <c:pt idx="86">
                  <c:v>33.600000000000122</c:v>
                </c:pt>
                <c:pt idx="87">
                  <c:v>33.700000000000124</c:v>
                </c:pt>
                <c:pt idx="88">
                  <c:v>33.800000000000125</c:v>
                </c:pt>
                <c:pt idx="89">
                  <c:v>33.900000000000126</c:v>
                </c:pt>
                <c:pt idx="90">
                  <c:v>34.000000000000128</c:v>
                </c:pt>
                <c:pt idx="91">
                  <c:v>34.100000000000129</c:v>
                </c:pt>
                <c:pt idx="92">
                  <c:v>34.200000000000131</c:v>
                </c:pt>
                <c:pt idx="93">
                  <c:v>34.300000000000132</c:v>
                </c:pt>
                <c:pt idx="94">
                  <c:v>34.400000000000134</c:v>
                </c:pt>
                <c:pt idx="95">
                  <c:v>34.500000000000135</c:v>
                </c:pt>
                <c:pt idx="96">
                  <c:v>34.600000000000136</c:v>
                </c:pt>
                <c:pt idx="97">
                  <c:v>34.700000000000138</c:v>
                </c:pt>
                <c:pt idx="98">
                  <c:v>34.800000000000139</c:v>
                </c:pt>
                <c:pt idx="99">
                  <c:v>34.900000000000141</c:v>
                </c:pt>
                <c:pt idx="100">
                  <c:v>35.000000000000142</c:v>
                </c:pt>
                <c:pt idx="101">
                  <c:v>35.100000000000144</c:v>
                </c:pt>
                <c:pt idx="102">
                  <c:v>35.200000000000145</c:v>
                </c:pt>
                <c:pt idx="103">
                  <c:v>35.300000000000146</c:v>
                </c:pt>
                <c:pt idx="104">
                  <c:v>35.400000000000148</c:v>
                </c:pt>
                <c:pt idx="105">
                  <c:v>35.500000000000149</c:v>
                </c:pt>
                <c:pt idx="106">
                  <c:v>35.600000000000151</c:v>
                </c:pt>
                <c:pt idx="107">
                  <c:v>35.700000000000152</c:v>
                </c:pt>
                <c:pt idx="108">
                  <c:v>35.800000000000153</c:v>
                </c:pt>
                <c:pt idx="109">
                  <c:v>35.900000000000155</c:v>
                </c:pt>
                <c:pt idx="110">
                  <c:v>36.000000000000156</c:v>
                </c:pt>
                <c:pt idx="111">
                  <c:v>36.100000000000158</c:v>
                </c:pt>
                <c:pt idx="112">
                  <c:v>36.200000000000159</c:v>
                </c:pt>
                <c:pt idx="113">
                  <c:v>36.300000000000161</c:v>
                </c:pt>
                <c:pt idx="114">
                  <c:v>36.400000000000162</c:v>
                </c:pt>
                <c:pt idx="115">
                  <c:v>36.500000000000163</c:v>
                </c:pt>
                <c:pt idx="116">
                  <c:v>36.600000000000165</c:v>
                </c:pt>
                <c:pt idx="117">
                  <c:v>36.700000000000166</c:v>
                </c:pt>
                <c:pt idx="118">
                  <c:v>36.800000000000168</c:v>
                </c:pt>
                <c:pt idx="119">
                  <c:v>36.900000000000169</c:v>
                </c:pt>
                <c:pt idx="120">
                  <c:v>37.000000000000171</c:v>
                </c:pt>
                <c:pt idx="121">
                  <c:v>37.100000000000172</c:v>
                </c:pt>
                <c:pt idx="122">
                  <c:v>37.200000000000173</c:v>
                </c:pt>
                <c:pt idx="123">
                  <c:v>37.300000000000175</c:v>
                </c:pt>
                <c:pt idx="124">
                  <c:v>37.400000000000176</c:v>
                </c:pt>
                <c:pt idx="125">
                  <c:v>37.500000000000178</c:v>
                </c:pt>
                <c:pt idx="126">
                  <c:v>37.600000000000179</c:v>
                </c:pt>
                <c:pt idx="127">
                  <c:v>37.70000000000018</c:v>
                </c:pt>
                <c:pt idx="128">
                  <c:v>37.800000000000182</c:v>
                </c:pt>
                <c:pt idx="129">
                  <c:v>37.900000000000183</c:v>
                </c:pt>
                <c:pt idx="130">
                  <c:v>38.000000000000185</c:v>
                </c:pt>
                <c:pt idx="131">
                  <c:v>38.100000000000186</c:v>
                </c:pt>
                <c:pt idx="132">
                  <c:v>38.200000000000188</c:v>
                </c:pt>
                <c:pt idx="133">
                  <c:v>38.300000000000189</c:v>
                </c:pt>
                <c:pt idx="134">
                  <c:v>38.40000000000019</c:v>
                </c:pt>
                <c:pt idx="135">
                  <c:v>38.500000000000192</c:v>
                </c:pt>
                <c:pt idx="136">
                  <c:v>38.600000000000193</c:v>
                </c:pt>
                <c:pt idx="137">
                  <c:v>38.700000000000195</c:v>
                </c:pt>
                <c:pt idx="138">
                  <c:v>38.800000000000196</c:v>
                </c:pt>
                <c:pt idx="139">
                  <c:v>38.900000000000198</c:v>
                </c:pt>
                <c:pt idx="140">
                  <c:v>39.000000000000199</c:v>
                </c:pt>
                <c:pt idx="141">
                  <c:v>39.1000000000002</c:v>
                </c:pt>
                <c:pt idx="142">
                  <c:v>39.200000000000202</c:v>
                </c:pt>
                <c:pt idx="143">
                  <c:v>39.300000000000203</c:v>
                </c:pt>
                <c:pt idx="144">
                  <c:v>39.400000000000205</c:v>
                </c:pt>
                <c:pt idx="145">
                  <c:v>39.500000000000206</c:v>
                </c:pt>
                <c:pt idx="146">
                  <c:v>39.600000000000207</c:v>
                </c:pt>
                <c:pt idx="147">
                  <c:v>39.700000000000209</c:v>
                </c:pt>
                <c:pt idx="148">
                  <c:v>39.80000000000021</c:v>
                </c:pt>
                <c:pt idx="149">
                  <c:v>39.900000000000212</c:v>
                </c:pt>
                <c:pt idx="150">
                  <c:v>40.000000000000213</c:v>
                </c:pt>
                <c:pt idx="151">
                  <c:v>40.100000000000215</c:v>
                </c:pt>
                <c:pt idx="152">
                  <c:v>40.200000000000216</c:v>
                </c:pt>
                <c:pt idx="153">
                  <c:v>40.300000000000217</c:v>
                </c:pt>
                <c:pt idx="154">
                  <c:v>40.400000000000219</c:v>
                </c:pt>
                <c:pt idx="155">
                  <c:v>40.50000000000022</c:v>
                </c:pt>
                <c:pt idx="156">
                  <c:v>40.600000000000222</c:v>
                </c:pt>
                <c:pt idx="157">
                  <c:v>40.700000000000223</c:v>
                </c:pt>
                <c:pt idx="158">
                  <c:v>40.800000000000225</c:v>
                </c:pt>
                <c:pt idx="159">
                  <c:v>40.900000000000226</c:v>
                </c:pt>
                <c:pt idx="160">
                  <c:v>41.000000000000227</c:v>
                </c:pt>
                <c:pt idx="161">
                  <c:v>41.100000000000229</c:v>
                </c:pt>
                <c:pt idx="162">
                  <c:v>41.20000000000023</c:v>
                </c:pt>
                <c:pt idx="163">
                  <c:v>41.300000000000232</c:v>
                </c:pt>
                <c:pt idx="164">
                  <c:v>41.400000000000233</c:v>
                </c:pt>
                <c:pt idx="165">
                  <c:v>41.500000000000234</c:v>
                </c:pt>
                <c:pt idx="166">
                  <c:v>41.600000000000236</c:v>
                </c:pt>
                <c:pt idx="167">
                  <c:v>41.700000000000237</c:v>
                </c:pt>
                <c:pt idx="168">
                  <c:v>41.800000000000239</c:v>
                </c:pt>
                <c:pt idx="169">
                  <c:v>41.90000000000024</c:v>
                </c:pt>
                <c:pt idx="170">
                  <c:v>42.000000000000242</c:v>
                </c:pt>
                <c:pt idx="171">
                  <c:v>42.100000000000243</c:v>
                </c:pt>
                <c:pt idx="172">
                  <c:v>42.200000000000244</c:v>
                </c:pt>
                <c:pt idx="173">
                  <c:v>42.300000000000246</c:v>
                </c:pt>
                <c:pt idx="174">
                  <c:v>42.400000000000247</c:v>
                </c:pt>
                <c:pt idx="175">
                  <c:v>42.500000000000249</c:v>
                </c:pt>
                <c:pt idx="176">
                  <c:v>42.60000000000025</c:v>
                </c:pt>
                <c:pt idx="177">
                  <c:v>42.700000000000252</c:v>
                </c:pt>
                <c:pt idx="178">
                  <c:v>42.800000000000253</c:v>
                </c:pt>
                <c:pt idx="179">
                  <c:v>42.900000000000254</c:v>
                </c:pt>
                <c:pt idx="180">
                  <c:v>43.000000000000256</c:v>
                </c:pt>
                <c:pt idx="181">
                  <c:v>43.100000000000257</c:v>
                </c:pt>
                <c:pt idx="182">
                  <c:v>43.200000000000259</c:v>
                </c:pt>
                <c:pt idx="183">
                  <c:v>43.30000000000026</c:v>
                </c:pt>
                <c:pt idx="184">
                  <c:v>43.400000000000261</c:v>
                </c:pt>
                <c:pt idx="185">
                  <c:v>43.500000000000263</c:v>
                </c:pt>
                <c:pt idx="186">
                  <c:v>43.600000000000264</c:v>
                </c:pt>
                <c:pt idx="187">
                  <c:v>43.700000000000266</c:v>
                </c:pt>
                <c:pt idx="188">
                  <c:v>43.800000000000267</c:v>
                </c:pt>
                <c:pt idx="189">
                  <c:v>43.900000000000269</c:v>
                </c:pt>
                <c:pt idx="190">
                  <c:v>44.00000000000027</c:v>
                </c:pt>
                <c:pt idx="191">
                  <c:v>44.100000000000271</c:v>
                </c:pt>
                <c:pt idx="192">
                  <c:v>44.200000000000273</c:v>
                </c:pt>
                <c:pt idx="193">
                  <c:v>44.300000000000274</c:v>
                </c:pt>
                <c:pt idx="194">
                  <c:v>44.400000000000276</c:v>
                </c:pt>
                <c:pt idx="195">
                  <c:v>44.500000000000277</c:v>
                </c:pt>
                <c:pt idx="196">
                  <c:v>44.600000000000279</c:v>
                </c:pt>
                <c:pt idx="197">
                  <c:v>44.70000000000028</c:v>
                </c:pt>
                <c:pt idx="198">
                  <c:v>44.800000000000281</c:v>
                </c:pt>
                <c:pt idx="199">
                  <c:v>44.900000000000283</c:v>
                </c:pt>
                <c:pt idx="200">
                  <c:v>45.000000000000284</c:v>
                </c:pt>
                <c:pt idx="201">
                  <c:v>45.100000000000286</c:v>
                </c:pt>
                <c:pt idx="202">
                  <c:v>45.200000000000287</c:v>
                </c:pt>
                <c:pt idx="203">
                  <c:v>45.300000000000288</c:v>
                </c:pt>
                <c:pt idx="204">
                  <c:v>45.40000000000029</c:v>
                </c:pt>
                <c:pt idx="205">
                  <c:v>45.500000000000291</c:v>
                </c:pt>
                <c:pt idx="206">
                  <c:v>45.600000000000293</c:v>
                </c:pt>
                <c:pt idx="207">
                  <c:v>45.700000000000294</c:v>
                </c:pt>
                <c:pt idx="208">
                  <c:v>45.800000000000296</c:v>
                </c:pt>
                <c:pt idx="209">
                  <c:v>45.900000000000297</c:v>
                </c:pt>
                <c:pt idx="210">
                  <c:v>46.000000000000298</c:v>
                </c:pt>
                <c:pt idx="211">
                  <c:v>46.1000000000003</c:v>
                </c:pt>
                <c:pt idx="212">
                  <c:v>46.200000000000301</c:v>
                </c:pt>
                <c:pt idx="213">
                  <c:v>46.300000000000303</c:v>
                </c:pt>
                <c:pt idx="214">
                  <c:v>46.400000000000304</c:v>
                </c:pt>
                <c:pt idx="215">
                  <c:v>46.500000000000306</c:v>
                </c:pt>
                <c:pt idx="216">
                  <c:v>46.600000000000307</c:v>
                </c:pt>
                <c:pt idx="217">
                  <c:v>46.700000000000308</c:v>
                </c:pt>
                <c:pt idx="218">
                  <c:v>46.80000000000031</c:v>
                </c:pt>
                <c:pt idx="219">
                  <c:v>46.900000000000311</c:v>
                </c:pt>
                <c:pt idx="220">
                  <c:v>47.000000000000313</c:v>
                </c:pt>
                <c:pt idx="221">
                  <c:v>47.100000000000314</c:v>
                </c:pt>
                <c:pt idx="222">
                  <c:v>47.200000000000315</c:v>
                </c:pt>
                <c:pt idx="223">
                  <c:v>47.300000000000317</c:v>
                </c:pt>
                <c:pt idx="224">
                  <c:v>47.400000000000318</c:v>
                </c:pt>
                <c:pt idx="225">
                  <c:v>47.50000000000032</c:v>
                </c:pt>
                <c:pt idx="226">
                  <c:v>47.600000000000321</c:v>
                </c:pt>
                <c:pt idx="227">
                  <c:v>47.700000000000323</c:v>
                </c:pt>
                <c:pt idx="228">
                  <c:v>47.800000000000324</c:v>
                </c:pt>
                <c:pt idx="229">
                  <c:v>47.900000000000325</c:v>
                </c:pt>
                <c:pt idx="230">
                  <c:v>48.000000000000327</c:v>
                </c:pt>
                <c:pt idx="231">
                  <c:v>48.100000000000328</c:v>
                </c:pt>
                <c:pt idx="232">
                  <c:v>48.20000000000033</c:v>
                </c:pt>
                <c:pt idx="233">
                  <c:v>48.300000000000331</c:v>
                </c:pt>
                <c:pt idx="234">
                  <c:v>48.400000000000333</c:v>
                </c:pt>
                <c:pt idx="235">
                  <c:v>48.500000000000334</c:v>
                </c:pt>
                <c:pt idx="236">
                  <c:v>48.600000000000335</c:v>
                </c:pt>
                <c:pt idx="237">
                  <c:v>48.700000000000337</c:v>
                </c:pt>
                <c:pt idx="238">
                  <c:v>48.800000000000338</c:v>
                </c:pt>
                <c:pt idx="239">
                  <c:v>48.90000000000034</c:v>
                </c:pt>
                <c:pt idx="240">
                  <c:v>49.000000000000341</c:v>
                </c:pt>
                <c:pt idx="241">
                  <c:v>49.100000000000342</c:v>
                </c:pt>
                <c:pt idx="242">
                  <c:v>49.200000000000344</c:v>
                </c:pt>
                <c:pt idx="243">
                  <c:v>49.300000000000345</c:v>
                </c:pt>
                <c:pt idx="244">
                  <c:v>49.400000000000347</c:v>
                </c:pt>
                <c:pt idx="245">
                  <c:v>49.500000000000348</c:v>
                </c:pt>
                <c:pt idx="246">
                  <c:v>49.60000000000035</c:v>
                </c:pt>
                <c:pt idx="247">
                  <c:v>49.700000000000351</c:v>
                </c:pt>
                <c:pt idx="248">
                  <c:v>49.800000000000352</c:v>
                </c:pt>
                <c:pt idx="249">
                  <c:v>49.900000000000354</c:v>
                </c:pt>
                <c:pt idx="250">
                  <c:v>50.000000000000355</c:v>
                </c:pt>
                <c:pt idx="251">
                  <c:v>50.100000000000357</c:v>
                </c:pt>
                <c:pt idx="252">
                  <c:v>50.200000000000358</c:v>
                </c:pt>
                <c:pt idx="253">
                  <c:v>50.30000000000036</c:v>
                </c:pt>
                <c:pt idx="254">
                  <c:v>50.400000000000361</c:v>
                </c:pt>
                <c:pt idx="255">
                  <c:v>50.500000000000362</c:v>
                </c:pt>
                <c:pt idx="256">
                  <c:v>50.600000000000364</c:v>
                </c:pt>
                <c:pt idx="257">
                  <c:v>50.700000000000365</c:v>
                </c:pt>
                <c:pt idx="258">
                  <c:v>50.800000000000367</c:v>
                </c:pt>
                <c:pt idx="259">
                  <c:v>50.900000000000368</c:v>
                </c:pt>
                <c:pt idx="260">
                  <c:v>51.000000000000369</c:v>
                </c:pt>
                <c:pt idx="261">
                  <c:v>51.100000000000371</c:v>
                </c:pt>
                <c:pt idx="262">
                  <c:v>51.200000000000372</c:v>
                </c:pt>
                <c:pt idx="263">
                  <c:v>51.300000000000374</c:v>
                </c:pt>
                <c:pt idx="264">
                  <c:v>51.400000000000375</c:v>
                </c:pt>
                <c:pt idx="265">
                  <c:v>51.500000000000377</c:v>
                </c:pt>
                <c:pt idx="266">
                  <c:v>51.600000000000378</c:v>
                </c:pt>
                <c:pt idx="267">
                  <c:v>51.700000000000379</c:v>
                </c:pt>
                <c:pt idx="268">
                  <c:v>51.800000000000381</c:v>
                </c:pt>
                <c:pt idx="269">
                  <c:v>51.900000000000382</c:v>
                </c:pt>
                <c:pt idx="270">
                  <c:v>52.000000000000384</c:v>
                </c:pt>
                <c:pt idx="271">
                  <c:v>52.100000000000385</c:v>
                </c:pt>
                <c:pt idx="272">
                  <c:v>52.200000000000387</c:v>
                </c:pt>
                <c:pt idx="273">
                  <c:v>52.300000000000388</c:v>
                </c:pt>
                <c:pt idx="274">
                  <c:v>52.400000000000389</c:v>
                </c:pt>
                <c:pt idx="275">
                  <c:v>52.500000000000391</c:v>
                </c:pt>
                <c:pt idx="276">
                  <c:v>52.600000000000392</c:v>
                </c:pt>
                <c:pt idx="277">
                  <c:v>52.700000000000394</c:v>
                </c:pt>
                <c:pt idx="278">
                  <c:v>52.800000000000395</c:v>
                </c:pt>
                <c:pt idx="279">
                  <c:v>52.900000000000396</c:v>
                </c:pt>
                <c:pt idx="280">
                  <c:v>53.000000000000398</c:v>
                </c:pt>
                <c:pt idx="281">
                  <c:v>53.100000000000399</c:v>
                </c:pt>
                <c:pt idx="282">
                  <c:v>53.200000000000401</c:v>
                </c:pt>
                <c:pt idx="283">
                  <c:v>53.300000000000402</c:v>
                </c:pt>
                <c:pt idx="284">
                  <c:v>53.400000000000404</c:v>
                </c:pt>
                <c:pt idx="285">
                  <c:v>53.500000000000405</c:v>
                </c:pt>
                <c:pt idx="286">
                  <c:v>53.600000000000406</c:v>
                </c:pt>
                <c:pt idx="287">
                  <c:v>53.700000000000408</c:v>
                </c:pt>
                <c:pt idx="288">
                  <c:v>53.800000000000409</c:v>
                </c:pt>
                <c:pt idx="289">
                  <c:v>53.900000000000411</c:v>
                </c:pt>
                <c:pt idx="290">
                  <c:v>54.000000000000412</c:v>
                </c:pt>
                <c:pt idx="291">
                  <c:v>54.100000000000414</c:v>
                </c:pt>
                <c:pt idx="292">
                  <c:v>54.200000000000415</c:v>
                </c:pt>
                <c:pt idx="293">
                  <c:v>54.300000000000416</c:v>
                </c:pt>
                <c:pt idx="294">
                  <c:v>54.400000000000418</c:v>
                </c:pt>
                <c:pt idx="295">
                  <c:v>54.500000000000419</c:v>
                </c:pt>
                <c:pt idx="296">
                  <c:v>54.600000000000421</c:v>
                </c:pt>
                <c:pt idx="297">
                  <c:v>54.700000000000422</c:v>
                </c:pt>
                <c:pt idx="298">
                  <c:v>54.800000000000423</c:v>
                </c:pt>
                <c:pt idx="299">
                  <c:v>54.900000000000425</c:v>
                </c:pt>
                <c:pt idx="300">
                  <c:v>55.000000000000426</c:v>
                </c:pt>
                <c:pt idx="301">
                  <c:v>55.100000000000428</c:v>
                </c:pt>
                <c:pt idx="302">
                  <c:v>55.200000000000429</c:v>
                </c:pt>
                <c:pt idx="303">
                  <c:v>55.300000000000431</c:v>
                </c:pt>
                <c:pt idx="304">
                  <c:v>55.400000000000432</c:v>
                </c:pt>
                <c:pt idx="305">
                  <c:v>55.500000000000433</c:v>
                </c:pt>
                <c:pt idx="306">
                  <c:v>55.600000000000435</c:v>
                </c:pt>
                <c:pt idx="307">
                  <c:v>55.700000000000436</c:v>
                </c:pt>
                <c:pt idx="308">
                  <c:v>55.800000000000438</c:v>
                </c:pt>
                <c:pt idx="309">
                  <c:v>55.900000000000439</c:v>
                </c:pt>
                <c:pt idx="310">
                  <c:v>56.000000000000441</c:v>
                </c:pt>
                <c:pt idx="311">
                  <c:v>56.100000000000442</c:v>
                </c:pt>
                <c:pt idx="312">
                  <c:v>56.200000000000443</c:v>
                </c:pt>
                <c:pt idx="313">
                  <c:v>56.300000000000445</c:v>
                </c:pt>
                <c:pt idx="314">
                  <c:v>56.400000000000446</c:v>
                </c:pt>
                <c:pt idx="315">
                  <c:v>56.500000000000448</c:v>
                </c:pt>
                <c:pt idx="316">
                  <c:v>56.600000000000449</c:v>
                </c:pt>
                <c:pt idx="317">
                  <c:v>56.70000000000045</c:v>
                </c:pt>
                <c:pt idx="318">
                  <c:v>56.800000000000452</c:v>
                </c:pt>
                <c:pt idx="319">
                  <c:v>56.900000000000453</c:v>
                </c:pt>
                <c:pt idx="320">
                  <c:v>57.000000000000455</c:v>
                </c:pt>
                <c:pt idx="321">
                  <c:v>57.100000000000456</c:v>
                </c:pt>
                <c:pt idx="322">
                  <c:v>57.200000000000458</c:v>
                </c:pt>
                <c:pt idx="323">
                  <c:v>57.300000000000459</c:v>
                </c:pt>
                <c:pt idx="324">
                  <c:v>57.40000000000046</c:v>
                </c:pt>
                <c:pt idx="325">
                  <c:v>57.500000000000462</c:v>
                </c:pt>
                <c:pt idx="326">
                  <c:v>57.600000000000463</c:v>
                </c:pt>
                <c:pt idx="327">
                  <c:v>57.700000000000465</c:v>
                </c:pt>
                <c:pt idx="328">
                  <c:v>57.800000000000466</c:v>
                </c:pt>
                <c:pt idx="329">
                  <c:v>57.900000000000468</c:v>
                </c:pt>
                <c:pt idx="330">
                  <c:v>58.000000000000469</c:v>
                </c:pt>
                <c:pt idx="331">
                  <c:v>58.10000000000047</c:v>
                </c:pt>
                <c:pt idx="332">
                  <c:v>58.200000000000472</c:v>
                </c:pt>
                <c:pt idx="333">
                  <c:v>58.300000000000473</c:v>
                </c:pt>
                <c:pt idx="334">
                  <c:v>58.400000000000475</c:v>
                </c:pt>
                <c:pt idx="335">
                  <c:v>58.500000000000476</c:v>
                </c:pt>
                <c:pt idx="336">
                  <c:v>58.600000000000477</c:v>
                </c:pt>
                <c:pt idx="337">
                  <c:v>58.700000000000479</c:v>
                </c:pt>
                <c:pt idx="338">
                  <c:v>58.80000000000048</c:v>
                </c:pt>
                <c:pt idx="339">
                  <c:v>58.900000000000482</c:v>
                </c:pt>
                <c:pt idx="340">
                  <c:v>59.000000000000483</c:v>
                </c:pt>
                <c:pt idx="341">
                  <c:v>59.100000000000485</c:v>
                </c:pt>
                <c:pt idx="342">
                  <c:v>59.200000000000486</c:v>
                </c:pt>
                <c:pt idx="343">
                  <c:v>59.300000000000487</c:v>
                </c:pt>
                <c:pt idx="344">
                  <c:v>59.400000000000489</c:v>
                </c:pt>
                <c:pt idx="345">
                  <c:v>59.50000000000049</c:v>
                </c:pt>
                <c:pt idx="346">
                  <c:v>59.600000000000492</c:v>
                </c:pt>
                <c:pt idx="347">
                  <c:v>59.700000000000493</c:v>
                </c:pt>
                <c:pt idx="348">
                  <c:v>59.800000000000495</c:v>
                </c:pt>
                <c:pt idx="349">
                  <c:v>59.900000000000496</c:v>
                </c:pt>
                <c:pt idx="350">
                  <c:v>60.000000000000497</c:v>
                </c:pt>
                <c:pt idx="351">
                  <c:v>60.100000000000499</c:v>
                </c:pt>
                <c:pt idx="352">
                  <c:v>60.2000000000005</c:v>
                </c:pt>
                <c:pt idx="353">
                  <c:v>60.300000000000502</c:v>
                </c:pt>
                <c:pt idx="354">
                  <c:v>60.400000000000503</c:v>
                </c:pt>
                <c:pt idx="355">
                  <c:v>60.500000000000504</c:v>
                </c:pt>
                <c:pt idx="356">
                  <c:v>60.600000000000506</c:v>
                </c:pt>
                <c:pt idx="357">
                  <c:v>60.700000000000507</c:v>
                </c:pt>
                <c:pt idx="358">
                  <c:v>60.800000000000509</c:v>
                </c:pt>
                <c:pt idx="359">
                  <c:v>60.90000000000051</c:v>
                </c:pt>
                <c:pt idx="360">
                  <c:v>61.000000000000512</c:v>
                </c:pt>
                <c:pt idx="361">
                  <c:v>61.100000000000513</c:v>
                </c:pt>
                <c:pt idx="362">
                  <c:v>61.200000000000514</c:v>
                </c:pt>
                <c:pt idx="363">
                  <c:v>61.300000000000516</c:v>
                </c:pt>
                <c:pt idx="364">
                  <c:v>61.400000000000517</c:v>
                </c:pt>
                <c:pt idx="365">
                  <c:v>61.500000000000519</c:v>
                </c:pt>
                <c:pt idx="366">
                  <c:v>61.60000000000052</c:v>
                </c:pt>
                <c:pt idx="367">
                  <c:v>61.700000000000522</c:v>
                </c:pt>
                <c:pt idx="368">
                  <c:v>61.800000000000523</c:v>
                </c:pt>
                <c:pt idx="369">
                  <c:v>61.900000000000524</c:v>
                </c:pt>
                <c:pt idx="370">
                  <c:v>62.000000000000526</c:v>
                </c:pt>
                <c:pt idx="371">
                  <c:v>62.100000000000527</c:v>
                </c:pt>
                <c:pt idx="372">
                  <c:v>62.200000000000529</c:v>
                </c:pt>
                <c:pt idx="373">
                  <c:v>62.30000000000053</c:v>
                </c:pt>
                <c:pt idx="374">
                  <c:v>62.400000000000531</c:v>
                </c:pt>
                <c:pt idx="375">
                  <c:v>62.500000000000533</c:v>
                </c:pt>
                <c:pt idx="376">
                  <c:v>62.600000000000534</c:v>
                </c:pt>
                <c:pt idx="377">
                  <c:v>62.700000000000536</c:v>
                </c:pt>
                <c:pt idx="378">
                  <c:v>62.800000000000537</c:v>
                </c:pt>
                <c:pt idx="379">
                  <c:v>62.900000000000539</c:v>
                </c:pt>
                <c:pt idx="380">
                  <c:v>63.00000000000054</c:v>
                </c:pt>
                <c:pt idx="381">
                  <c:v>63.100000000000541</c:v>
                </c:pt>
                <c:pt idx="382">
                  <c:v>63.200000000000543</c:v>
                </c:pt>
                <c:pt idx="383">
                  <c:v>63.300000000000544</c:v>
                </c:pt>
                <c:pt idx="384">
                  <c:v>63.400000000000546</c:v>
                </c:pt>
                <c:pt idx="385">
                  <c:v>63.500000000000547</c:v>
                </c:pt>
                <c:pt idx="386">
                  <c:v>63.600000000000549</c:v>
                </c:pt>
                <c:pt idx="387">
                  <c:v>63.70000000000055</c:v>
                </c:pt>
                <c:pt idx="388">
                  <c:v>63.800000000000551</c:v>
                </c:pt>
                <c:pt idx="389">
                  <c:v>63.900000000000553</c:v>
                </c:pt>
                <c:pt idx="390">
                  <c:v>64.000000000000554</c:v>
                </c:pt>
                <c:pt idx="391">
                  <c:v>64.100000000000549</c:v>
                </c:pt>
                <c:pt idx="392">
                  <c:v>64.200000000000543</c:v>
                </c:pt>
                <c:pt idx="393">
                  <c:v>64.300000000000537</c:v>
                </c:pt>
                <c:pt idx="394">
                  <c:v>64.400000000000531</c:v>
                </c:pt>
                <c:pt idx="395">
                  <c:v>64.500000000000526</c:v>
                </c:pt>
                <c:pt idx="396">
                  <c:v>64.60000000000052</c:v>
                </c:pt>
                <c:pt idx="397">
                  <c:v>64.700000000000514</c:v>
                </c:pt>
                <c:pt idx="398">
                  <c:v>64.800000000000509</c:v>
                </c:pt>
                <c:pt idx="399">
                  <c:v>64.900000000000503</c:v>
                </c:pt>
                <c:pt idx="400">
                  <c:v>65.000000000000497</c:v>
                </c:pt>
                <c:pt idx="401">
                  <c:v>65.100000000000492</c:v>
                </c:pt>
                <c:pt idx="402">
                  <c:v>65.200000000000486</c:v>
                </c:pt>
                <c:pt idx="403">
                  <c:v>65.30000000000048</c:v>
                </c:pt>
                <c:pt idx="404">
                  <c:v>65.400000000000475</c:v>
                </c:pt>
                <c:pt idx="405">
                  <c:v>65.500000000000469</c:v>
                </c:pt>
                <c:pt idx="406">
                  <c:v>65.600000000000463</c:v>
                </c:pt>
                <c:pt idx="407">
                  <c:v>65.700000000000458</c:v>
                </c:pt>
                <c:pt idx="408">
                  <c:v>65.800000000000452</c:v>
                </c:pt>
                <c:pt idx="409">
                  <c:v>65.900000000000446</c:v>
                </c:pt>
                <c:pt idx="410">
                  <c:v>66.000000000000441</c:v>
                </c:pt>
                <c:pt idx="411">
                  <c:v>66.100000000000435</c:v>
                </c:pt>
                <c:pt idx="412">
                  <c:v>66.200000000000429</c:v>
                </c:pt>
                <c:pt idx="413">
                  <c:v>66.300000000000423</c:v>
                </c:pt>
                <c:pt idx="414">
                  <c:v>66.400000000000418</c:v>
                </c:pt>
                <c:pt idx="415">
                  <c:v>66.500000000000412</c:v>
                </c:pt>
                <c:pt idx="416">
                  <c:v>66.600000000000406</c:v>
                </c:pt>
                <c:pt idx="417">
                  <c:v>66.700000000000401</c:v>
                </c:pt>
                <c:pt idx="418">
                  <c:v>66.800000000000395</c:v>
                </c:pt>
                <c:pt idx="419">
                  <c:v>66.900000000000389</c:v>
                </c:pt>
                <c:pt idx="420">
                  <c:v>67.000000000000384</c:v>
                </c:pt>
                <c:pt idx="421">
                  <c:v>67.100000000000378</c:v>
                </c:pt>
                <c:pt idx="422">
                  <c:v>67.200000000000372</c:v>
                </c:pt>
                <c:pt idx="423">
                  <c:v>67.300000000000367</c:v>
                </c:pt>
                <c:pt idx="424">
                  <c:v>67.400000000000361</c:v>
                </c:pt>
                <c:pt idx="425">
                  <c:v>67.500000000000355</c:v>
                </c:pt>
                <c:pt idx="426">
                  <c:v>67.60000000000035</c:v>
                </c:pt>
                <c:pt idx="427">
                  <c:v>67.700000000000344</c:v>
                </c:pt>
                <c:pt idx="428">
                  <c:v>67.800000000000338</c:v>
                </c:pt>
                <c:pt idx="429">
                  <c:v>67.900000000000333</c:v>
                </c:pt>
                <c:pt idx="430">
                  <c:v>68.000000000000327</c:v>
                </c:pt>
                <c:pt idx="431">
                  <c:v>68.100000000000321</c:v>
                </c:pt>
                <c:pt idx="432">
                  <c:v>68.200000000000315</c:v>
                </c:pt>
                <c:pt idx="433">
                  <c:v>68.30000000000031</c:v>
                </c:pt>
                <c:pt idx="434">
                  <c:v>68.400000000000304</c:v>
                </c:pt>
                <c:pt idx="435">
                  <c:v>68.500000000000298</c:v>
                </c:pt>
                <c:pt idx="436">
                  <c:v>68.600000000000293</c:v>
                </c:pt>
                <c:pt idx="437">
                  <c:v>68.700000000000287</c:v>
                </c:pt>
                <c:pt idx="438">
                  <c:v>68.800000000000281</c:v>
                </c:pt>
                <c:pt idx="439">
                  <c:v>68.900000000000276</c:v>
                </c:pt>
                <c:pt idx="440">
                  <c:v>69.00000000000027</c:v>
                </c:pt>
                <c:pt idx="441">
                  <c:v>69.100000000000264</c:v>
                </c:pt>
                <c:pt idx="442">
                  <c:v>69.200000000000259</c:v>
                </c:pt>
                <c:pt idx="443">
                  <c:v>69.300000000000253</c:v>
                </c:pt>
                <c:pt idx="444">
                  <c:v>69.400000000000247</c:v>
                </c:pt>
                <c:pt idx="445">
                  <c:v>69.500000000000242</c:v>
                </c:pt>
                <c:pt idx="446">
                  <c:v>69.600000000000236</c:v>
                </c:pt>
                <c:pt idx="447">
                  <c:v>69.70000000000023</c:v>
                </c:pt>
                <c:pt idx="448">
                  <c:v>69.800000000000225</c:v>
                </c:pt>
                <c:pt idx="449">
                  <c:v>69.900000000000219</c:v>
                </c:pt>
                <c:pt idx="450">
                  <c:v>69.900000000000219</c:v>
                </c:pt>
                <c:pt idx="451">
                  <c:v>69.900000000000219</c:v>
                </c:pt>
                <c:pt idx="452">
                  <c:v>69.900000000000219</c:v>
                </c:pt>
                <c:pt idx="453">
                  <c:v>69.900000000000219</c:v>
                </c:pt>
                <c:pt idx="454">
                  <c:v>69.900000000000219</c:v>
                </c:pt>
                <c:pt idx="455">
                  <c:v>69.900000000000219</c:v>
                </c:pt>
                <c:pt idx="456">
                  <c:v>69.900000000000219</c:v>
                </c:pt>
                <c:pt idx="457">
                  <c:v>69.900000000000219</c:v>
                </c:pt>
                <c:pt idx="458">
                  <c:v>69.900000000000219</c:v>
                </c:pt>
                <c:pt idx="459">
                  <c:v>69.900000000000219</c:v>
                </c:pt>
                <c:pt idx="460">
                  <c:v>69.900000000000219</c:v>
                </c:pt>
                <c:pt idx="461">
                  <c:v>69.900000000000219</c:v>
                </c:pt>
                <c:pt idx="462">
                  <c:v>69.900000000000219</c:v>
                </c:pt>
                <c:pt idx="463">
                  <c:v>69.900000000000219</c:v>
                </c:pt>
                <c:pt idx="464">
                  <c:v>69.900000000000219</c:v>
                </c:pt>
                <c:pt idx="465">
                  <c:v>69.900000000000219</c:v>
                </c:pt>
                <c:pt idx="466">
                  <c:v>69.900000000000219</c:v>
                </c:pt>
                <c:pt idx="467">
                  <c:v>69.900000000000219</c:v>
                </c:pt>
                <c:pt idx="468">
                  <c:v>69.900000000000219</c:v>
                </c:pt>
                <c:pt idx="469">
                  <c:v>69.900000000000219</c:v>
                </c:pt>
                <c:pt idx="470">
                  <c:v>69.900000000000219</c:v>
                </c:pt>
                <c:pt idx="471">
                  <c:v>69.900000000000219</c:v>
                </c:pt>
                <c:pt idx="472">
                  <c:v>69.900000000000219</c:v>
                </c:pt>
                <c:pt idx="473">
                  <c:v>69.900000000000219</c:v>
                </c:pt>
                <c:pt idx="474">
                  <c:v>69.900000000000219</c:v>
                </c:pt>
                <c:pt idx="475">
                  <c:v>69.900000000000219</c:v>
                </c:pt>
                <c:pt idx="476">
                  <c:v>69.900000000000219</c:v>
                </c:pt>
                <c:pt idx="477">
                  <c:v>69.900000000000219</c:v>
                </c:pt>
                <c:pt idx="478">
                  <c:v>69.900000000000219</c:v>
                </c:pt>
                <c:pt idx="479">
                  <c:v>69.900000000000219</c:v>
                </c:pt>
                <c:pt idx="480">
                  <c:v>69.900000000000219</c:v>
                </c:pt>
                <c:pt idx="481">
                  <c:v>69.900000000000219</c:v>
                </c:pt>
                <c:pt idx="482">
                  <c:v>69.900000000000219</c:v>
                </c:pt>
                <c:pt idx="483">
                  <c:v>69.900000000000219</c:v>
                </c:pt>
                <c:pt idx="484">
                  <c:v>69.900000000000219</c:v>
                </c:pt>
                <c:pt idx="485">
                  <c:v>69.900000000000219</c:v>
                </c:pt>
                <c:pt idx="486">
                  <c:v>69.900000000000219</c:v>
                </c:pt>
                <c:pt idx="487">
                  <c:v>69.900000000000219</c:v>
                </c:pt>
                <c:pt idx="488">
                  <c:v>69.900000000000219</c:v>
                </c:pt>
                <c:pt idx="489">
                  <c:v>69.900000000000219</c:v>
                </c:pt>
                <c:pt idx="490">
                  <c:v>69.900000000000219</c:v>
                </c:pt>
                <c:pt idx="491">
                  <c:v>69.900000000000219</c:v>
                </c:pt>
                <c:pt idx="492">
                  <c:v>69.900000000000219</c:v>
                </c:pt>
                <c:pt idx="493">
                  <c:v>69.900000000000219</c:v>
                </c:pt>
                <c:pt idx="494">
                  <c:v>69.900000000000219</c:v>
                </c:pt>
                <c:pt idx="495">
                  <c:v>69.900000000000219</c:v>
                </c:pt>
                <c:pt idx="496">
                  <c:v>69.900000000000219</c:v>
                </c:pt>
                <c:pt idx="497">
                  <c:v>69.900000000000219</c:v>
                </c:pt>
                <c:pt idx="498">
                  <c:v>69.900000000000219</c:v>
                </c:pt>
                <c:pt idx="499">
                  <c:v>69.900000000000219</c:v>
                </c:pt>
                <c:pt idx="500">
                  <c:v>69.900000000000219</c:v>
                </c:pt>
                <c:pt idx="501">
                  <c:v>69.900000000000219</c:v>
                </c:pt>
                <c:pt idx="502">
                  <c:v>69.900000000000219</c:v>
                </c:pt>
                <c:pt idx="503">
                  <c:v>69.900000000000219</c:v>
                </c:pt>
                <c:pt idx="504">
                  <c:v>69.900000000000219</c:v>
                </c:pt>
                <c:pt idx="505">
                  <c:v>69.900000000000219</c:v>
                </c:pt>
                <c:pt idx="506">
                  <c:v>69.900000000000219</c:v>
                </c:pt>
                <c:pt idx="507">
                  <c:v>69.900000000000219</c:v>
                </c:pt>
                <c:pt idx="508">
                  <c:v>69.900000000000219</c:v>
                </c:pt>
                <c:pt idx="509">
                  <c:v>69.900000000000219</c:v>
                </c:pt>
                <c:pt idx="510">
                  <c:v>69.900000000000219</c:v>
                </c:pt>
              </c:numCache>
            </c:numRef>
          </c:xVal>
          <c:yVal>
            <c:numRef>
              <c:f>Curves!$BJ$2:$BJ$512</c:f>
              <c:numCache>
                <c:formatCode>General</c:formatCode>
                <c:ptCount val="511"/>
                <c:pt idx="0">
                  <c:v>1.0085575695609299</c:v>
                </c:pt>
                <c:pt idx="1">
                  <c:v>1.0081705904770015</c:v>
                </c:pt>
                <c:pt idx="2">
                  <c:v>1.0085336428964295</c:v>
                </c:pt>
                <c:pt idx="3">
                  <c:v>1.0085216552347971</c:v>
                </c:pt>
                <c:pt idx="4">
                  <c:v>1.0085096513095662</c:v>
                </c:pt>
                <c:pt idx="5">
                  <c:v>1.0084976310876177</c:v>
                </c:pt>
                <c:pt idx="6">
                  <c:v>1.0084855945357416</c:v>
                </c:pt>
                <c:pt idx="7">
                  <c:v>1.0084735416206378</c:v>
                </c:pt>
                <c:pt idx="8">
                  <c:v>1.0099687101919907</c:v>
                </c:pt>
                <c:pt idx="9">
                  <c:v>1.0099500994226998</c:v>
                </c:pt>
                <c:pt idx="10">
                  <c:v>1.009923907219999</c:v>
                </c:pt>
                <c:pt idx="11">
                  <c:v>1.0098901180817408</c:v>
                </c:pt>
                <c:pt idx="12">
                  <c:v>1.0098487164634844</c:v>
                </c:pt>
                <c:pt idx="13">
                  <c:v>1.0082873053386729</c:v>
                </c:pt>
                <c:pt idx="14">
                  <c:v>1.0082371757540545</c:v>
                </c:pt>
                <c:pt idx="15">
                  <c:v>1.0081869776475909</c:v>
                </c:pt>
                <c:pt idx="16">
                  <c:v>1.0081367108786932</c:v>
                </c:pt>
                <c:pt idx="17">
                  <c:v>1.0080863753063871</c:v>
                </c:pt>
                <c:pt idx="18">
                  <c:v>1.0096295058055891</c:v>
                </c:pt>
                <c:pt idx="19">
                  <c:v>1.0095717952270868</c:v>
                </c:pt>
                <c:pt idx="20">
                  <c:v>1.0095056707244172</c:v>
                </c:pt>
                <c:pt idx="21">
                  <c:v>1.0094311149751285</c:v>
                </c:pt>
                <c:pt idx="22">
                  <c:v>1.0093481106091842</c:v>
                </c:pt>
                <c:pt idx="23">
                  <c:v>1.0076576297702728</c:v>
                </c:pt>
                <c:pt idx="24">
                  <c:v>1.0075649339628574</c:v>
                </c:pt>
                <c:pt idx="25">
                  <c:v>1.0074721105781448</c:v>
                </c:pt>
                <c:pt idx="26">
                  <c:v>1.0073791593525765</c:v>
                </c:pt>
                <c:pt idx="27">
                  <c:v>1.0072860800218675</c:v>
                </c:pt>
                <c:pt idx="28">
                  <c:v>1.0088812034281731</c:v>
                </c:pt>
                <c:pt idx="29">
                  <c:v>1.0087890321238551</c:v>
                </c:pt>
                <c:pt idx="30">
                  <c:v>1.0086967335261281</c:v>
                </c:pt>
                <c:pt idx="31">
                  <c:v>1.0086043073711128</c:v>
                </c:pt>
                <c:pt idx="32">
                  <c:v>1.0085117533941981</c:v>
                </c:pt>
                <c:pt idx="33">
                  <c:v>1.0067248989375368</c:v>
                </c:pt>
                <c:pt idx="34">
                  <c:v>1.0066309154093138</c:v>
                </c:pt>
                <c:pt idx="35">
                  <c:v>1.0065368016352152</c:v>
                </c:pt>
                <c:pt idx="36">
                  <c:v>1.0064425573443037</c:v>
                </c:pt>
                <c:pt idx="37">
                  <c:v>1.0063481822648905</c:v>
                </c:pt>
                <c:pt idx="38">
                  <c:v>1.0062536761245315</c:v>
                </c:pt>
                <c:pt idx="39">
                  <c:v>1.0061602169949686</c:v>
                </c:pt>
                <c:pt idx="40">
                  <c:v>1.0060678070602487</c:v>
                </c:pt>
                <c:pt idx="41">
                  <c:v>1.0059764485104967</c:v>
                </c:pt>
                <c:pt idx="42">
                  <c:v>1.0058861435419384</c:v>
                </c:pt>
                <c:pt idx="43">
                  <c:v>1.0057968943569207</c:v>
                </c:pt>
                <c:pt idx="44">
                  <c:v>1.0057075207108839</c:v>
                </c:pt>
                <c:pt idx="45">
                  <c:v>1.0056180223432991</c:v>
                </c:pt>
                <c:pt idx="46">
                  <c:v>1.0055283989929094</c:v>
                </c:pt>
                <c:pt idx="47">
                  <c:v>1.0054386503977273</c:v>
                </c:pt>
                <c:pt idx="48">
                  <c:v>1.0053487762950335</c:v>
                </c:pt>
                <c:pt idx="49">
                  <c:v>1.0052510141457935</c:v>
                </c:pt>
                <c:pt idx="50">
                  <c:v>1.0051453473804641</c:v>
                </c:pt>
                <c:pt idx="51">
                  <c:v>1.0050317593830611</c:v>
                </c:pt>
                <c:pt idx="52">
                  <c:v>1.0049102334909981</c:v>
                </c:pt>
                <c:pt idx="53">
                  <c:v>1.0047807529949218</c:v>
                </c:pt>
                <c:pt idx="54">
                  <c:v>1.0046510906660375</c:v>
                </c:pt>
                <c:pt idx="55">
                  <c:v>1.0045212461210478</c:v>
                </c:pt>
                <c:pt idx="56">
                  <c:v>1.0043912189755757</c:v>
                </c:pt>
                <c:pt idx="57">
                  <c:v>1.0042610088441644</c:v>
                </c:pt>
                <c:pt idx="58">
                  <c:v>1.0041306153402698</c:v>
                </c:pt>
                <c:pt idx="59">
                  <c:v>1.0040070086240285</c:v>
                </c:pt>
                <c:pt idx="60">
                  <c:v>1.0038902030522174</c:v>
                </c:pt>
                <c:pt idx="61">
                  <c:v>1.0037802130221356</c:v>
                </c:pt>
                <c:pt idx="62">
                  <c:v>1.0036770529717478</c:v>
                </c:pt>
                <c:pt idx="63">
                  <c:v>1.0035807373798276</c:v>
                </c:pt>
                <c:pt idx="64">
                  <c:v>1.0034842855729811</c:v>
                </c:pt>
                <c:pt idx="65">
                  <c:v>1.0033876972620395</c:v>
                </c:pt>
                <c:pt idx="66">
                  <c:v>1.0032909721570151</c:v>
                </c:pt>
                <c:pt idx="67">
                  <c:v>1.0031941099670982</c:v>
                </c:pt>
                <c:pt idx="68">
                  <c:v>1.0030971104006539</c:v>
                </c:pt>
                <c:pt idx="69">
                  <c:v>1.0030006751665566</c:v>
                </c:pt>
                <c:pt idx="70">
                  <c:v>1.0029048054670731</c:v>
                </c:pt>
                <c:pt idx="71">
                  <c:v>1.0028095025078874</c:v>
                </c:pt>
                <c:pt idx="72">
                  <c:v>1.0027147674981134</c:v>
                </c:pt>
                <c:pt idx="73">
                  <c:v>1.0026206016503072</c:v>
                </c:pt>
                <c:pt idx="74">
                  <c:v>1.0025263016794421</c:v>
                </c:pt>
                <c:pt idx="75">
                  <c:v>1.0024318672987604</c:v>
                </c:pt>
                <c:pt idx="76">
                  <c:v>1.0023372982206875</c:v>
                </c:pt>
                <c:pt idx="77">
                  <c:v>1.0022425941568267</c:v>
                </c:pt>
                <c:pt idx="78">
                  <c:v>1.0021477548179589</c:v>
                </c:pt>
                <c:pt idx="79">
                  <c:v>1.0020662132674965</c:v>
                </c:pt>
                <c:pt idx="80">
                  <c:v>1.0019979980379774</c:v>
                </c:pt>
                <c:pt idx="81">
                  <c:v>1.0019431377436272</c:v>
                </c:pt>
                <c:pt idx="82">
                  <c:v>1.001901661080651</c:v>
                </c:pt>
                <c:pt idx="83">
                  <c:v>1.0018735968275261</c:v>
                </c:pt>
                <c:pt idx="84">
                  <c:v>1.0018454923149847</c:v>
                </c:pt>
                <c:pt idx="85">
                  <c:v>1.0018173474563343</c:v>
                </c:pt>
                <c:pt idx="86">
                  <c:v>1.001789162164632</c:v>
                </c:pt>
                <c:pt idx="87">
                  <c:v>1.0017609363526867</c:v>
                </c:pt>
                <c:pt idx="88">
                  <c:v>1.0017326699330547</c:v>
                </c:pt>
                <c:pt idx="89">
                  <c:v>1.0017000901694184</c:v>
                </c:pt>
                <c:pt idx="90">
                  <c:v>1.0016631877401372</c:v>
                </c:pt>
                <c:pt idx="91">
                  <c:v>1.0016219532966895</c:v>
                </c:pt>
                <c:pt idx="92">
                  <c:v>1.0015763774635766</c:v>
                </c:pt>
                <c:pt idx="93">
                  <c:v>1.0015264508382264</c:v>
                </c:pt>
                <c:pt idx="94">
                  <c:v>1.0014764520734818</c:v>
                </c:pt>
                <c:pt idx="95">
                  <c:v>1.0014263810128767</c:v>
                </c:pt>
                <c:pt idx="96">
                  <c:v>1.001376237499493</c:v>
                </c:pt>
                <c:pt idx="97">
                  <c:v>1.0013260213759587</c:v>
                </c:pt>
                <c:pt idx="98">
                  <c:v>1.0012757324844448</c:v>
                </c:pt>
                <c:pt idx="99">
                  <c:v>1.0012174806811613</c:v>
                </c:pt>
                <c:pt idx="100">
                  <c:v>1.0011512486324552</c:v>
                </c:pt>
                <c:pt idx="101">
                  <c:v>1.001077018954329</c:v>
                </c:pt>
                <c:pt idx="102">
                  <c:v>1.0009947742122554</c:v>
                </c:pt>
                <c:pt idx="103">
                  <c:v>1.0009044969209953</c:v>
                </c:pt>
                <c:pt idx="104">
                  <c:v>1.000814088238084</c:v>
                </c:pt>
                <c:pt idx="105">
                  <c:v>1.0007235478764669</c:v>
                </c:pt>
                <c:pt idx="106">
                  <c:v>1.0006328755482528</c:v>
                </c:pt>
                <c:pt idx="107">
                  <c:v>1.0005420709647102</c:v>
                </c:pt>
                <c:pt idx="108">
                  <c:v>1.0004511338362654</c:v>
                </c:pt>
                <c:pt idx="109">
                  <c:v>1.0003593413623606</c:v>
                </c:pt>
                <c:pt idx="110">
                  <c:v>1.0002666916674721</c:v>
                </c:pt>
                <c:pt idx="111">
                  <c:v>1.0001731828705898</c:v>
                </c:pt>
                <c:pt idx="112">
                  <c:v>1.0000788130851956</c:v>
                </c:pt>
                <c:pt idx="113">
                  <c:v>0.99998358041924351</c:v>
                </c:pt>
                <c:pt idx="114">
                  <c:v>0.99988820813344403</c:v>
                </c:pt>
                <c:pt idx="115">
                  <c:v>0.99979269592052877</c:v>
                </c:pt>
                <c:pt idx="116">
                  <c:v>0.99969704347232613</c:v>
                </c:pt>
                <c:pt idx="117">
                  <c:v>0.99960125047976034</c:v>
                </c:pt>
                <c:pt idx="118">
                  <c:v>0.99950531663284548</c:v>
                </c:pt>
                <c:pt idx="119">
                  <c:v>0.99941215292449592</c:v>
                </c:pt>
                <c:pt idx="120">
                  <c:v>0.99932176547354068</c:v>
                </c:pt>
                <c:pt idx="121">
                  <c:v>0.99923416041684299</c:v>
                </c:pt>
                <c:pt idx="122">
                  <c:v>0.99914934390936649</c:v>
                </c:pt>
                <c:pt idx="123">
                  <c:v>0.99906732212424265</c:v>
                </c:pt>
                <c:pt idx="124">
                  <c:v>0.99898517919962948</c:v>
                </c:pt>
                <c:pt idx="125">
                  <c:v>0.99890291486695881</c:v>
                </c:pt>
                <c:pt idx="126">
                  <c:v>0.99882052885686834</c:v>
                </c:pt>
                <c:pt idx="127">
                  <c:v>0.99873802089919805</c:v>
                </c:pt>
                <c:pt idx="128">
                  <c:v>0.9986553907229877</c:v>
                </c:pt>
                <c:pt idx="129">
                  <c:v>0.99863202892259129</c:v>
                </c:pt>
                <c:pt idx="130">
                  <c:v>0.99866806738420277</c:v>
                </c:pt>
                <c:pt idx="131">
                  <c:v>0.99876363838561044</c:v>
                </c:pt>
                <c:pt idx="132">
                  <c:v>0.99891887459765172</c:v>
                </c:pt>
                <c:pt idx="133">
                  <c:v>0.99913390908567379</c:v>
                </c:pt>
                <c:pt idx="134">
                  <c:v>0.9993492635248109</c:v>
                </c:pt>
                <c:pt idx="135">
                  <c:v>0.99956493862968121</c:v>
                </c:pt>
                <c:pt idx="136">
                  <c:v>0.99978093511703148</c:v>
                </c:pt>
                <c:pt idx="137">
                  <c:v>0.99999725370574677</c:v>
                </c:pt>
                <c:pt idx="138">
                  <c:v>1.0002138951168573</c:v>
                </c:pt>
                <c:pt idx="139">
                  <c:v>1.0004020509392058</c:v>
                </c:pt>
                <c:pt idx="140">
                  <c:v>1.0005616573119152</c:v>
                </c:pt>
                <c:pt idx="141">
                  <c:v>1.0006926501830762</c:v>
                </c:pt>
                <c:pt idx="142">
                  <c:v>1.0007949653090316</c:v>
                </c:pt>
                <c:pt idx="143">
                  <c:v>1.0008685382536591</c:v>
                </c:pt>
                <c:pt idx="144">
                  <c:v>1.0009422214884225</c:v>
                </c:pt>
                <c:pt idx="145">
                  <c:v>1.0010160152615049</c:v>
                </c:pt>
                <c:pt idx="146">
                  <c:v>1.0010899198218348</c:v>
                </c:pt>
                <c:pt idx="147">
                  <c:v>1.0011639354190884</c:v>
                </c:pt>
                <c:pt idx="148">
                  <c:v>1.0012380623036929</c:v>
                </c:pt>
                <c:pt idx="149">
                  <c:v>1.0012869961139386</c:v>
                </c:pt>
                <c:pt idx="150">
                  <c:v>1.0013106799450837</c:v>
                </c:pt>
                <c:pt idx="151">
                  <c:v>1.0013090567208773</c:v>
                </c:pt>
                <c:pt idx="152">
                  <c:v>1.001282069192917</c:v>
                </c:pt>
                <c:pt idx="153">
                  <c:v>1.0012296599399961</c:v>
                </c:pt>
                <c:pt idx="154">
                  <c:v>1.0011771715292361</c:v>
                </c:pt>
                <c:pt idx="155">
                  <c:v>1.0011246037811647</c:v>
                </c:pt>
                <c:pt idx="156">
                  <c:v>1.0010719565157657</c:v>
                </c:pt>
                <c:pt idx="157">
                  <c:v>1.0010192295524774</c:v>
                </c:pt>
                <c:pt idx="158">
                  <c:v>1.0009664227101924</c:v>
                </c:pt>
                <c:pt idx="159">
                  <c:v>1.0008302974459675</c:v>
                </c:pt>
                <c:pt idx="160">
                  <c:v>1.000610664136995</c:v>
                </c:pt>
                <c:pt idx="161">
                  <c:v>1.0003073325846179</c:v>
                </c:pt>
                <c:pt idx="162">
                  <c:v>0.99992011201214315</c:v>
                </c:pt>
                <c:pt idx="163">
                  <c:v>0.99944881106264405</c:v>
                </c:pt>
                <c:pt idx="164">
                  <c:v>0.99897679285338459</c:v>
                </c:pt>
                <c:pt idx="165">
                  <c:v>0.99850405574575107</c:v>
                </c:pt>
                <c:pt idx="166">
                  <c:v>0.99803059809613548</c:v>
                </c:pt>
                <c:pt idx="167">
                  <c:v>0.99755641825591479</c:v>
                </c:pt>
                <c:pt idx="168">
                  <c:v>0.99708151457143335</c:v>
                </c:pt>
                <c:pt idx="169">
                  <c:v>0.99659757352919576</c:v>
                </c:pt>
                <c:pt idx="170">
                  <c:v>0.99610457440402522</c:v>
                </c:pt>
                <c:pt idx="171">
                  <c:v>0.99560249640732412</c:v>
                </c:pt>
                <c:pt idx="172">
                  <c:v>0.99509131868683343</c:v>
                </c:pt>
                <c:pt idx="173">
                  <c:v>0.99457102032638645</c:v>
                </c:pt>
                <c:pt idx="174">
                  <c:v>0.99404992406688575</c:v>
                </c:pt>
                <c:pt idx="175">
                  <c:v>0.99352802807150542</c:v>
                </c:pt>
                <c:pt idx="176">
                  <c:v>0.99300533049777762</c:v>
                </c:pt>
                <c:pt idx="177">
                  <c:v>0.9924818294975718</c:v>
                </c:pt>
                <c:pt idx="178">
                  <c:v>0.99195752321706954</c:v>
                </c:pt>
                <c:pt idx="179">
                  <c:v>0.99141565813087562</c:v>
                </c:pt>
                <c:pt idx="180">
                  <c:v>0.99085619366157673</c:v>
                </c:pt>
                <c:pt idx="181">
                  <c:v>0.9902790891066332</c:v>
                </c:pt>
                <c:pt idx="182">
                  <c:v>0.98968430363789761</c:v>
                </c:pt>
                <c:pt idx="183">
                  <c:v>0.98907179630112818</c:v>
                </c:pt>
                <c:pt idx="184">
                  <c:v>0.98845834240105546</c:v>
                </c:pt>
                <c:pt idx="185">
                  <c:v>0.98784393974176787</c:v>
                </c:pt>
                <c:pt idx="186">
                  <c:v>0.98722858612055508</c:v>
                </c:pt>
                <c:pt idx="187">
                  <c:v>0.98661227932788309</c:v>
                </c:pt>
                <c:pt idx="188">
                  <c:v>0.98599501714736815</c:v>
                </c:pt>
                <c:pt idx="189">
                  <c:v>0.98535070759907206</c:v>
                </c:pt>
                <c:pt idx="190">
                  <c:v>0.98467928769282564</c:v>
                </c:pt>
                <c:pt idx="191">
                  <c:v>0.98398069424271029</c:v>
                </c:pt>
                <c:pt idx="192">
                  <c:v>0.9832548638663009</c:v>
                </c:pt>
                <c:pt idx="193">
                  <c:v>0.98250173298389765</c:v>
                </c:pt>
                <c:pt idx="194">
                  <c:v>0.9817474291565419</c:v>
                </c:pt>
                <c:pt idx="195">
                  <c:v>0.98099194964193837</c:v>
                </c:pt>
                <c:pt idx="196">
                  <c:v>0.9802352916892344</c:v>
                </c:pt>
                <c:pt idx="197">
                  <c:v>0.97947745253899032</c:v>
                </c:pt>
                <c:pt idx="198">
                  <c:v>0.97871842942314446</c:v>
                </c:pt>
                <c:pt idx="199">
                  <c:v>0.97791413892510382</c:v>
                </c:pt>
                <c:pt idx="200">
                  <c:v>0.97706447479761471</c:v>
                </c:pt>
                <c:pt idx="201">
                  <c:v>0.97616933046066678</c:v>
                </c:pt>
                <c:pt idx="202">
                  <c:v>0.97522859900018577</c:v>
                </c:pt>
                <c:pt idx="203">
                  <c:v>0.97424217316672734</c:v>
                </c:pt>
                <c:pt idx="204">
                  <c:v>0.97325419899177035</c:v>
                </c:pt>
                <c:pt idx="205">
                  <c:v>0.97226467282692497</c:v>
                </c:pt>
                <c:pt idx="206">
                  <c:v>0.97127359101232935</c:v>
                </c:pt>
                <c:pt idx="207">
                  <c:v>0.97028094987660496</c:v>
                </c:pt>
                <c:pt idx="208">
                  <c:v>0.96928674573681162</c:v>
                </c:pt>
                <c:pt idx="209">
                  <c:v>0.96822939930711438</c:v>
                </c:pt>
                <c:pt idx="210">
                  <c:v>0.96710876121736866</c:v>
                </c:pt>
                <c:pt idx="211">
                  <c:v>0.96592468162592249</c:v>
                </c:pt>
                <c:pt idx="212">
                  <c:v>0.96467701021775321</c:v>
                </c:pt>
                <c:pt idx="213">
                  <c:v>0.96336559620259954</c:v>
                </c:pt>
                <c:pt idx="214">
                  <c:v>0.96205210744577319</c:v>
                </c:pt>
                <c:pt idx="215">
                  <c:v>0.9607365390198126</c:v>
                </c:pt>
                <c:pt idx="216">
                  <c:v>0.95941888598164182</c:v>
                </c:pt>
                <c:pt idx="217">
                  <c:v>0.95809914337250646</c:v>
                </c:pt>
                <c:pt idx="218">
                  <c:v>0.9567773062179119</c:v>
                </c:pt>
                <c:pt idx="219">
                  <c:v>0.95538266301184471</c:v>
                </c:pt>
                <c:pt idx="220">
                  <c:v>0.95391504015455264</c:v>
                </c:pt>
                <c:pt idx="221">
                  <c:v>0.95237426349393395</c:v>
                </c:pt>
                <c:pt idx="222">
                  <c:v>0.95076015832333693</c:v>
                </c:pt>
                <c:pt idx="223">
                  <c:v>0.94907254937935248</c:v>
                </c:pt>
                <c:pt idx="224">
                  <c:v>0.94738224924080205</c:v>
                </c:pt>
                <c:pt idx="225">
                  <c:v>0.94568925146516158</c:v>
                </c:pt>
                <c:pt idx="226">
                  <c:v>0.94399354958932624</c:v>
                </c:pt>
                <c:pt idx="227">
                  <c:v>0.94229513712952995</c:v>
                </c:pt>
                <c:pt idx="228">
                  <c:v>0.94059400758125911</c:v>
                </c:pt>
                <c:pt idx="229">
                  <c:v>0.93879670819576</c:v>
                </c:pt>
                <c:pt idx="230">
                  <c:v>0.93690300782719138</c:v>
                </c:pt>
                <c:pt idx="231">
                  <c:v>0.93491267458836635</c:v>
                </c:pt>
                <c:pt idx="232">
                  <c:v>0.93282547584777942</c:v>
                </c:pt>
                <c:pt idx="233">
                  <c:v>0.93064117822661685</c:v>
                </c:pt>
                <c:pt idx="234">
                  <c:v>0.92845336935529421</c:v>
                </c:pt>
                <c:pt idx="235">
                  <c:v>0.92626204076051832</c:v>
                </c:pt>
                <c:pt idx="236">
                  <c:v>0.92406718394171206</c:v>
                </c:pt>
                <c:pt idx="237">
                  <c:v>0.92186879037090197</c:v>
                </c:pt>
                <c:pt idx="238">
                  <c:v>0.91966685149260818</c:v>
                </c:pt>
                <c:pt idx="239">
                  <c:v>0.9173487973169937</c:v>
                </c:pt>
                <c:pt idx="240">
                  <c:v>0.91491434650495307</c:v>
                </c:pt>
                <c:pt idx="241">
                  <c:v>0.91236321680775778</c:v>
                </c:pt>
                <c:pt idx="242">
                  <c:v>0.90969512506338168</c:v>
                </c:pt>
                <c:pt idx="243">
                  <c:v>0.90690978719280091</c:v>
                </c:pt>
                <c:pt idx="244">
                  <c:v>0.90411993562336357</c:v>
                </c:pt>
                <c:pt idx="245">
                  <c:v>0.90132555937435677</c:v>
                </c:pt>
                <c:pt idx="246">
                  <c:v>0.89852664742941935</c:v>
                </c:pt>
                <c:pt idx="247">
                  <c:v>0.89572318873639967</c:v>
                </c:pt>
                <c:pt idx="248">
                  <c:v>0.8929151722072084</c:v>
                </c:pt>
                <c:pt idx="249">
                  <c:v>0.88996496548421633</c:v>
                </c:pt>
                <c:pt idx="250">
                  <c:v>0.88687222124557774</c:v>
                </c:pt>
                <c:pt idx="251">
                  <c:v>0.8836365910373406</c:v>
                </c:pt>
                <c:pt idx="252">
                  <c:v>0.8802577252688305</c:v>
                </c:pt>
                <c:pt idx="253">
                  <c:v>0.87673527320801192</c:v>
                </c:pt>
                <c:pt idx="254">
                  <c:v>0.87320706631004574</c:v>
                </c:pt>
                <c:pt idx="255">
                  <c:v>0.86967309046037777</c:v>
                </c:pt>
                <c:pt idx="256">
                  <c:v>0.86613333149825933</c:v>
                </c:pt>
                <c:pt idx="257">
                  <c:v>0.86258777521655694</c:v>
                </c:pt>
                <c:pt idx="258">
                  <c:v>0.85903640736156306</c:v>
                </c:pt>
                <c:pt idx="259">
                  <c:v>0.855330726744158</c:v>
                </c:pt>
                <c:pt idx="260">
                  <c:v>0.85147035333696608</c:v>
                </c:pt>
                <c:pt idx="261">
                  <c:v>0.84745490586372374</c:v>
                </c:pt>
                <c:pt idx="262">
                  <c:v>0.84328400179414531</c:v>
                </c:pt>
                <c:pt idx="263">
                  <c:v>0.83895725733876481</c:v>
                </c:pt>
                <c:pt idx="264">
                  <c:v>0.83462338580681616</c:v>
                </c:pt>
                <c:pt idx="265">
                  <c:v>0.83028236957404655</c:v>
                </c:pt>
                <c:pt idx="266">
                  <c:v>0.82593419095804654</c:v>
                </c:pt>
                <c:pt idx="267">
                  <c:v>0.82157883221800831</c:v>
                </c:pt>
                <c:pt idx="268">
                  <c:v>0.81721627555448528</c:v>
                </c:pt>
                <c:pt idx="269">
                  <c:v>0.81266733610430064</c:v>
                </c:pt>
                <c:pt idx="270">
                  <c:v>0.80793155106176651</c:v>
                </c:pt>
                <c:pt idx="271">
                  <c:v>0.80300845608767424</c:v>
                </c:pt>
                <c:pt idx="272">
                  <c:v>0.79789758530293631</c:v>
                </c:pt>
                <c:pt idx="273">
                  <c:v>0.79259847128219751</c:v>
                </c:pt>
                <c:pt idx="274">
                  <c:v>0.78729055599569442</c:v>
                </c:pt>
                <c:pt idx="275">
                  <c:v>0.7819738174982509</c:v>
                </c:pt>
                <c:pt idx="276">
                  <c:v>0.77664823377167203</c:v>
                </c:pt>
                <c:pt idx="277">
                  <c:v>0.77131378272444084</c:v>
                </c:pt>
                <c:pt idx="278">
                  <c:v>0.76597044219141108</c:v>
                </c:pt>
                <c:pt idx="279">
                  <c:v>0.76043587896495979</c:v>
                </c:pt>
                <c:pt idx="280">
                  <c:v>0.75470961425855987</c:v>
                </c:pt>
                <c:pt idx="281">
                  <c:v>0.74879116768595666</c:v>
                </c:pt>
                <c:pt idx="282">
                  <c:v>0.74268005725448338</c:v>
                </c:pt>
                <c:pt idx="283">
                  <c:v>0.73637579935833908</c:v>
                </c:pt>
                <c:pt idx="284">
                  <c:v>0.73006098307739231</c:v>
                </c:pt>
                <c:pt idx="285">
                  <c:v>0.72373558186460407</c:v>
                </c:pt>
                <c:pt idx="286">
                  <c:v>0.71739956908386326</c:v>
                </c:pt>
                <c:pt idx="287">
                  <c:v>0.71105291800961479</c:v>
                </c:pt>
                <c:pt idx="288">
                  <c:v>0.70469560182648139</c:v>
                </c:pt>
                <c:pt idx="289">
                  <c:v>0.69815456392381392</c:v>
                </c:pt>
                <c:pt idx="290">
                  <c:v>0.6914293404246048</c:v>
                </c:pt>
                <c:pt idx="291">
                  <c:v>0.68451946588887891</c:v>
                </c:pt>
                <c:pt idx="292">
                  <c:v>0.67742447330710709</c:v>
                </c:pt>
                <c:pt idx="293">
                  <c:v>0.67014389409358477</c:v>
                </c:pt>
                <c:pt idx="294">
                  <c:v>0.66285101837916716</c:v>
                </c:pt>
                <c:pt idx="295">
                  <c:v>0.65554581498534692</c:v>
                </c:pt>
                <c:pt idx="296">
                  <c:v>0.64822825262812067</c:v>
                </c:pt>
                <c:pt idx="297">
                  <c:v>0.6408982999175421</c:v>
                </c:pt>
                <c:pt idx="298">
                  <c:v>0.63355592535727445</c:v>
                </c:pt>
                <c:pt idx="299">
                  <c:v>0.62608784202159939</c:v>
                </c:pt>
                <c:pt idx="300">
                  <c:v>0.6184937298157589</c:v>
                </c:pt>
                <c:pt idx="301">
                  <c:v>0.61077326755732064</c:v>
                </c:pt>
                <c:pt idx="302">
                  <c:v>0.6029261329715534</c:v>
                </c:pt>
                <c:pt idx="303">
                  <c:v>0.59495200268678061</c:v>
                </c:pt>
                <c:pt idx="304">
                  <c:v>0.58696428983009663</c:v>
                </c:pt>
                <c:pt idx="305">
                  <c:v>0.57896295966852596</c:v>
                </c:pt>
                <c:pt idx="306">
                  <c:v>0.57094797735056813</c:v>
                </c:pt>
                <c:pt idx="307">
                  <c:v>0.562919307905691</c:v>
                </c:pt>
                <c:pt idx="308">
                  <c:v>0.55487691624382207</c:v>
                </c:pt>
                <c:pt idx="309">
                  <c:v>0.54675984768646857</c:v>
                </c:pt>
                <c:pt idx="310">
                  <c:v>0.53856791045459507</c:v>
                </c:pt>
                <c:pt idx="311">
                  <c:v>0.53030091211192232</c:v>
                </c:pt>
                <c:pt idx="312">
                  <c:v>0.52195865956210952</c:v>
                </c:pt>
                <c:pt idx="313">
                  <c:v>0.51354095904592056</c:v>
                </c:pt>
                <c:pt idx="314">
                  <c:v>0.5051087972499011</c:v>
                </c:pt>
                <c:pt idx="315">
                  <c:v>0.49666213687614413</c:v>
                </c:pt>
                <c:pt idx="316">
                  <c:v>0.4882009404983696</c:v>
                </c:pt>
                <c:pt idx="317">
                  <c:v>0.47972517056137187</c:v>
                </c:pt>
                <c:pt idx="318">
                  <c:v>0.47123478938046282</c:v>
                </c:pt>
                <c:pt idx="319">
                  <c:v>0.46275024081152594</c:v>
                </c:pt>
                <c:pt idx="320">
                  <c:v>0.45427153996272507</c:v>
                </c:pt>
                <c:pt idx="321">
                  <c:v>0.44579870199444904</c:v>
                </c:pt>
                <c:pt idx="322">
                  <c:v>0.43733174211953674</c:v>
                </c:pt>
                <c:pt idx="323">
                  <c:v>0.42887067560350423</c:v>
                </c:pt>
                <c:pt idx="324">
                  <c:v>0.42039494736522853</c:v>
                </c:pt>
                <c:pt idx="325">
                  <c:v>0.41190451926190952</c:v>
                </c:pt>
                <c:pt idx="326">
                  <c:v>0.40339935301832663</c:v>
                </c:pt>
                <c:pt idx="327">
                  <c:v>0.39487941022626338</c:v>
                </c:pt>
                <c:pt idx="328">
                  <c:v>0.38634465234392978</c:v>
                </c:pt>
                <c:pt idx="329">
                  <c:v>0.37787509781017325</c:v>
                </c:pt>
                <c:pt idx="330">
                  <c:v>0.36947091699165902</c:v>
                </c:pt>
                <c:pt idx="331">
                  <c:v>0.3611322808490931</c:v>
                </c:pt>
                <c:pt idx="332">
                  <c:v>0.35285936093981451</c:v>
                </c:pt>
                <c:pt idx="333">
                  <c:v>0.34465232942039881</c:v>
                </c:pt>
                <c:pt idx="334">
                  <c:v>0.33643095208676854</c:v>
                </c:pt>
                <c:pt idx="335">
                  <c:v>0.32819519129149688</c:v>
                </c:pt>
                <c:pt idx="336">
                  <c:v>0.31994500925531155</c:v>
                </c:pt>
                <c:pt idx="337">
                  <c:v>0.31168036806651767</c:v>
                </c:pt>
                <c:pt idx="338">
                  <c:v>0.30340122968041749</c:v>
                </c:pt>
                <c:pt idx="339">
                  <c:v>0.29527254922460655</c:v>
                </c:pt>
                <c:pt idx="340">
                  <c:v>0.28729472327730909</c:v>
                </c:pt>
                <c:pt idx="341">
                  <c:v>0.27946814981171331</c:v>
                </c:pt>
                <c:pt idx="342">
                  <c:v>0.27179322820211116</c:v>
                </c:pt>
                <c:pt idx="343">
                  <c:v>0.26427035923006847</c:v>
                </c:pt>
                <c:pt idx="344">
                  <c:v>0.25673422441065008</c:v>
                </c:pt>
                <c:pt idx="345">
                  <c:v>0.24918478862334403</c:v>
                </c:pt>
                <c:pt idx="346">
                  <c:v>0.2416220166235562</c:v>
                </c:pt>
                <c:pt idx="347">
                  <c:v>0.23404587304206159</c:v>
                </c:pt>
                <c:pt idx="348">
                  <c:v>0.22645632238445501</c:v>
                </c:pt>
                <c:pt idx="349">
                  <c:v>0.21908548924834048</c:v>
                </c:pt>
                <c:pt idx="350">
                  <c:v>0.21193395524114078</c:v>
                </c:pt>
                <c:pt idx="351">
                  <c:v>0.20500230403423336</c:v>
                </c:pt>
                <c:pt idx="352">
                  <c:v>0.19829112137211369</c:v>
                </c:pt>
                <c:pt idx="353">
                  <c:v>0.1918009950816072</c:v>
                </c:pt>
                <c:pt idx="354">
                  <c:v>0.18529932227919632</c:v>
                </c:pt>
                <c:pt idx="355">
                  <c:v>0.1787860721240393</c:v>
                </c:pt>
                <c:pt idx="356">
                  <c:v>0.17226121366536185</c:v>
                </c:pt>
                <c:pt idx="357">
                  <c:v>0.16572471584196602</c:v>
                </c:pt>
                <c:pt idx="358">
                  <c:v>0.15917654748173993</c:v>
                </c:pt>
                <c:pt idx="359">
                  <c:v>0.15289952664450368</c:v>
                </c:pt>
                <c:pt idx="360">
                  <c:v>0.1468943808063301</c:v>
                </c:pt>
                <c:pt idx="361">
                  <c:v>0.14116184004800014</c:v>
                </c:pt>
                <c:pt idx="362">
                  <c:v>0.13570263706667185</c:v>
                </c:pt>
                <c:pt idx="363">
                  <c:v>0.13051750718760802</c:v>
                </c:pt>
                <c:pt idx="364">
                  <c:v>0.12532306970605944</c:v>
                </c:pt>
                <c:pt idx="365">
                  <c:v>0.12011929953799994</c:v>
                </c:pt>
                <c:pt idx="366">
                  <c:v>0.11490617150918736</c:v>
                </c:pt>
                <c:pt idx="367">
                  <c:v>0.10968366035475707</c:v>
                </c:pt>
                <c:pt idx="368">
                  <c:v>0.10445174071881524</c:v>
                </c:pt>
                <c:pt idx="369">
                  <c:v>9.9510056566454619E-2</c:v>
                </c:pt>
                <c:pt idx="370">
                  <c:v>9.4859393612638065E-2</c:v>
                </c:pt>
                <c:pt idx="371">
                  <c:v>9.0500540410968555E-2</c:v>
                </c:pt>
                <c:pt idx="372">
                  <c:v>8.643428836652034E-2</c:v>
                </c:pt>
                <c:pt idx="373">
                  <c:v>8.2661431748737524E-2</c:v>
                </c:pt>
                <c:pt idx="374">
                  <c:v>7.8881741303606367E-2</c:v>
                </c:pt>
                <c:pt idx="375">
                  <c:v>7.5095198446987088E-2</c:v>
                </c:pt>
                <c:pt idx="376">
                  <c:v>7.1301784527293965E-2</c:v>
                </c:pt>
                <c:pt idx="377">
                  <c:v>6.7501480825190252E-2</c:v>
                </c:pt>
                <c:pt idx="378">
                  <c:v>6.3694268553280198E-2</c:v>
                </c:pt>
                <c:pt idx="379">
                  <c:v>6.0140225187165552E-2</c:v>
                </c:pt>
                <c:pt idx="380">
                  <c:v>5.6840042337526486E-2</c:v>
                </c:pt>
                <c:pt idx="381">
                  <c:v>5.3794414136476343E-2</c:v>
                </c:pt>
                <c:pt idx="382">
                  <c:v>5.1004037249062217E-2</c:v>
                </c:pt>
                <c:pt idx="383">
                  <c:v>4.8469610884827929E-2</c:v>
                </c:pt>
                <c:pt idx="384">
                  <c:v>4.5930551923649143E-2</c:v>
                </c:pt>
                <c:pt idx="385">
                  <c:v>4.338684765224321E-2</c:v>
                </c:pt>
                <c:pt idx="386">
                  <c:v>4.0838485310765504E-2</c:v>
                </c:pt>
                <c:pt idx="387">
                  <c:v>3.8285452092596706E-2</c:v>
                </c:pt>
                <c:pt idx="388">
                  <c:v>3.5727735144129302E-2</c:v>
                </c:pt>
                <c:pt idx="389">
                  <c:v>3.3379668648408245E-2</c:v>
                </c:pt>
                <c:pt idx="390">
                  <c:v>3.1241830594941455E-2</c:v>
                </c:pt>
                <c:pt idx="391">
                  <c:v>2.9314801099819099E-2</c:v>
                </c:pt>
                <c:pt idx="392">
                  <c:v>2.7599162415502421E-2</c:v>
                </c:pt>
                <c:pt idx="393">
                  <c:v>2.6095498940666539E-2</c:v>
                </c:pt>
                <c:pt idx="394">
                  <c:v>2.4589061616271279E-2</c:v>
                </c:pt>
                <c:pt idx="395">
                  <c:v>2.3079842759734848E-2</c:v>
                </c:pt>
                <c:pt idx="396">
                  <c:v>2.1567834660079166E-2</c:v>
                </c:pt>
                <c:pt idx="397">
                  <c:v>2.0053029577797421E-2</c:v>
                </c:pt>
                <c:pt idx="398">
                  <c:v>1.8535419744723169E-2</c:v>
                </c:pt>
                <c:pt idx="399">
                  <c:v>1.7150664012096861E-2</c:v>
                </c:pt>
                <c:pt idx="400">
                  <c:v>1.5899132045158249E-2</c:v>
                </c:pt>
                <c:pt idx="401">
                  <c:v>1.4781194881873794E-2</c:v>
                </c:pt>
                <c:pt idx="402">
                  <c:v>1.3797224939314345E-2</c:v>
                </c:pt>
                <c:pt idx="403">
                  <c:v>1.2947596020067453E-2</c:v>
                </c:pt>
                <c:pt idx="404">
                  <c:v>1.2096385175773161E-2</c:v>
                </c:pt>
                <c:pt idx="405">
                  <c:v>1.1243587984232528E-2</c:v>
                </c:pt>
                <c:pt idx="406">
                  <c:v>1.0389200006748367E-2</c:v>
                </c:pt>
                <c:pt idx="407">
                  <c:v>9.5332167880487484E-3</c:v>
                </c:pt>
                <c:pt idx="408">
                  <c:v>8.6756338562092861E-3</c:v>
                </c:pt>
                <c:pt idx="409">
                  <c:v>7.9024940576728486E-3</c:v>
                </c:pt>
                <c:pt idx="410">
                  <c:v>7.2140345543034723E-3</c:v>
                </c:pt>
                <c:pt idx="411">
                  <c:v>6.6104933969022284E-3</c:v>
                </c:pt>
                <c:pt idx="412">
                  <c:v>6.0921095293758887E-3</c:v>
                </c:pt>
                <c:pt idx="413">
                  <c:v>5.6591227929284615E-3</c:v>
                </c:pt>
                <c:pt idx="414">
                  <c:v>5.2253223023369655E-3</c:v>
                </c:pt>
                <c:pt idx="415">
                  <c:v>4.7907057613925108E-3</c:v>
                </c:pt>
                <c:pt idx="416">
                  <c:v>4.3552708652392358E-3</c:v>
                </c:pt>
                <c:pt idx="417">
                  <c:v>3.9190153003327843E-3</c:v>
                </c:pt>
                <c:pt idx="418">
                  <c:v>3.481936744400338E-3</c:v>
                </c:pt>
                <c:pt idx="419">
                  <c:v>3.0879297231637404E-3</c:v>
                </c:pt>
                <c:pt idx="420">
                  <c:v>2.7371163479047445E-3</c:v>
                </c:pt>
                <c:pt idx="421">
                  <c:v>2.429619191935517E-3</c:v>
                </c:pt>
                <c:pt idx="422">
                  <c:v>2.1655612927866663E-3</c:v>
                </c:pt>
                <c:pt idx="423">
                  <c:v>1.9450661544053727E-3</c:v>
                </c:pt>
                <c:pt idx="424">
                  <c:v>1.7241526870033219E-3</c:v>
                </c:pt>
                <c:pt idx="425">
                  <c:v>1.5028196989532727E-3</c:v>
                </c:pt>
                <c:pt idx="426">
                  <c:v>1.2810659940979408E-3</c:v>
                </c:pt>
                <c:pt idx="427">
                  <c:v>1.0588903717281273E-3</c:v>
                </c:pt>
                <c:pt idx="428">
                  <c:v>8.3629162656173595E-4</c:v>
                </c:pt>
                <c:pt idx="429">
                  <c:v>6.42497757779803E-4</c:v>
                </c:pt>
                <c:pt idx="430">
                  <c:v>4.7759120864576676E-4</c:v>
                </c:pt>
                <c:pt idx="431">
                  <c:v>3.4165473734160123E-4</c:v>
                </c:pt>
                <c:pt idx="432">
                  <c:v>2.3477141847205729E-4</c:v>
                </c:pt>
                <c:pt idx="433">
                  <c:v>1.5702464457911791E-4</c:v>
                </c:pt>
                <c:pt idx="434">
                  <c:v>7.912895488215721E-5</c:v>
                </c:pt>
                <c:pt idx="435">
                  <c:v>1.0839211220803335E-6</c:v>
                </c:pt>
                <c:pt idx="436">
                  <c:v>-7.7110886604003781E-5</c:v>
                </c:pt>
                <c:pt idx="437">
                  <c:v>-1.554558998502209E-4</c:v>
                </c:pt>
                <c:pt idx="438">
                  <c:v>-2.339515518303692E-4</c:v>
                </c:pt>
                <c:pt idx="439">
                  <c:v>-2.9546315804274137E-4</c:v>
                </c:pt>
                <c:pt idx="440">
                  <c:v>-3.3994163972939084E-4</c:v>
                </c:pt>
                <c:pt idx="441">
                  <c:v>-3.6733772885377824E-4</c:v>
                </c:pt>
                <c:pt idx="442">
                  <c:v>-3.7760196718639172E-4</c:v>
                </c:pt>
                <c:pt idx="443">
                  <c:v>-3.7068470538681453E-4</c:v>
                </c:pt>
                <c:pt idx="444">
                  <c:v>-3.6375406618116557E-4</c:v>
                </c:pt>
                <c:pt idx="445">
                  <c:v>-2.84999055440327E-4</c:v>
                </c:pt>
                <c:pt idx="446">
                  <c:v>-2.0609144397920609E-4</c:v>
                </c:pt>
                <c:pt idx="447">
                  <c:v>-1.2703078783427024E-4</c:v>
                </c:pt>
                <c:pt idx="448">
                  <c:v>-4.7816641318476627E-5</c:v>
                </c:pt>
                <c:pt idx="449">
                  <c:v>3.1551442987831635E-5</c:v>
                </c:pt>
                <c:pt idx="450">
                  <c:v>3.1551442987831635E-5</c:v>
                </c:pt>
                <c:pt idx="451">
                  <c:v>3.1551442987831635E-5</c:v>
                </c:pt>
                <c:pt idx="452">
                  <c:v>3.1551442987831635E-5</c:v>
                </c:pt>
                <c:pt idx="453">
                  <c:v>3.1551442987831635E-5</c:v>
                </c:pt>
                <c:pt idx="454">
                  <c:v>3.1551442987831635E-5</c:v>
                </c:pt>
                <c:pt idx="455">
                  <c:v>3.1551442987831635E-5</c:v>
                </c:pt>
                <c:pt idx="456">
                  <c:v>3.1551442987831635E-5</c:v>
                </c:pt>
                <c:pt idx="457">
                  <c:v>3.1551442987831635E-5</c:v>
                </c:pt>
                <c:pt idx="458">
                  <c:v>3.1551442987831635E-5</c:v>
                </c:pt>
                <c:pt idx="459">
                  <c:v>3.1551442987831635E-5</c:v>
                </c:pt>
                <c:pt idx="460">
                  <c:v>3.1551442987831635E-5</c:v>
                </c:pt>
                <c:pt idx="461">
                  <c:v>3.1551442987831635E-5</c:v>
                </c:pt>
                <c:pt idx="462">
                  <c:v>3.1551442987831635E-5</c:v>
                </c:pt>
                <c:pt idx="463">
                  <c:v>3.1551442987831635E-5</c:v>
                </c:pt>
                <c:pt idx="464">
                  <c:v>3.1551442987831635E-5</c:v>
                </c:pt>
                <c:pt idx="465">
                  <c:v>3.1551442987831635E-5</c:v>
                </c:pt>
                <c:pt idx="466">
                  <c:v>3.1551442987831635E-5</c:v>
                </c:pt>
                <c:pt idx="467">
                  <c:v>3.1551442987831635E-5</c:v>
                </c:pt>
                <c:pt idx="468">
                  <c:v>3.1551442987831635E-5</c:v>
                </c:pt>
                <c:pt idx="469">
                  <c:v>3.1551442987831635E-5</c:v>
                </c:pt>
                <c:pt idx="470">
                  <c:v>3.1551442987831635E-5</c:v>
                </c:pt>
                <c:pt idx="471">
                  <c:v>3.1551442987831635E-5</c:v>
                </c:pt>
                <c:pt idx="472">
                  <c:v>3.1551442987831635E-5</c:v>
                </c:pt>
                <c:pt idx="473">
                  <c:v>3.1551442987831635E-5</c:v>
                </c:pt>
                <c:pt idx="474">
                  <c:v>3.1551442987831635E-5</c:v>
                </c:pt>
                <c:pt idx="475">
                  <c:v>3.1551442987831635E-5</c:v>
                </c:pt>
                <c:pt idx="476">
                  <c:v>3.1551442987831635E-5</c:v>
                </c:pt>
                <c:pt idx="477">
                  <c:v>3.1551442987831635E-5</c:v>
                </c:pt>
                <c:pt idx="478">
                  <c:v>3.1551442987831635E-5</c:v>
                </c:pt>
                <c:pt idx="479">
                  <c:v>3.1551442987831635E-5</c:v>
                </c:pt>
                <c:pt idx="480">
                  <c:v>3.1551442987831635E-5</c:v>
                </c:pt>
                <c:pt idx="481">
                  <c:v>3.1551442987831635E-5</c:v>
                </c:pt>
                <c:pt idx="482">
                  <c:v>3.1551442987831635E-5</c:v>
                </c:pt>
                <c:pt idx="483">
                  <c:v>3.1551442987831635E-5</c:v>
                </c:pt>
                <c:pt idx="484">
                  <c:v>3.1551442987831635E-5</c:v>
                </c:pt>
                <c:pt idx="485">
                  <c:v>3.1551442987831635E-5</c:v>
                </c:pt>
                <c:pt idx="486">
                  <c:v>3.1551442987831635E-5</c:v>
                </c:pt>
                <c:pt idx="487">
                  <c:v>3.1551442987831635E-5</c:v>
                </c:pt>
                <c:pt idx="488">
                  <c:v>3.1551442987831635E-5</c:v>
                </c:pt>
                <c:pt idx="489">
                  <c:v>3.1551442987831635E-5</c:v>
                </c:pt>
                <c:pt idx="490">
                  <c:v>3.1551442987831635E-5</c:v>
                </c:pt>
                <c:pt idx="491">
                  <c:v>3.1551442987831635E-5</c:v>
                </c:pt>
                <c:pt idx="492">
                  <c:v>3.1551442987831635E-5</c:v>
                </c:pt>
                <c:pt idx="493">
                  <c:v>3.1551442987831635E-5</c:v>
                </c:pt>
                <c:pt idx="494">
                  <c:v>3.1551442987831635E-5</c:v>
                </c:pt>
                <c:pt idx="495">
                  <c:v>3.1551442987831635E-5</c:v>
                </c:pt>
                <c:pt idx="496">
                  <c:v>3.1551442987831635E-5</c:v>
                </c:pt>
                <c:pt idx="497">
                  <c:v>3.1551442987831635E-5</c:v>
                </c:pt>
                <c:pt idx="498">
                  <c:v>3.1551442987831635E-5</c:v>
                </c:pt>
                <c:pt idx="499">
                  <c:v>3.1551442987831635E-5</c:v>
                </c:pt>
                <c:pt idx="500">
                  <c:v>3.1551442987831635E-5</c:v>
                </c:pt>
                <c:pt idx="501">
                  <c:v>3.1551442987831635E-5</c:v>
                </c:pt>
                <c:pt idx="502">
                  <c:v>3.1551442987831635E-5</c:v>
                </c:pt>
                <c:pt idx="503">
                  <c:v>3.1551442987831635E-5</c:v>
                </c:pt>
                <c:pt idx="504">
                  <c:v>3.1551442987831635E-5</c:v>
                </c:pt>
                <c:pt idx="505">
                  <c:v>3.1551442987831635E-5</c:v>
                </c:pt>
                <c:pt idx="506">
                  <c:v>3.1551442987831635E-5</c:v>
                </c:pt>
                <c:pt idx="507">
                  <c:v>3.1551442987831635E-5</c:v>
                </c:pt>
                <c:pt idx="508">
                  <c:v>3.1551442987831635E-5</c:v>
                </c:pt>
                <c:pt idx="509">
                  <c:v>3.1551442987831635E-5</c:v>
                </c:pt>
                <c:pt idx="510">
                  <c:v>3.1551442987831635E-5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51-45FA-BEFB-B9CB69153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1882287"/>
        <c:axId val="1"/>
      </c:scatterChart>
      <c:valAx>
        <c:axId val="1101882287"/>
        <c:scaling>
          <c:orientation val="minMax"/>
          <c:max val="80"/>
          <c:min val="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Temperature (</a:t>
                </a:r>
                <a:r>
                  <a:rPr lang="en-US">
                    <a:sym typeface="Symbol" panose="05050102010706020507" pitchFamily="18" charset="2"/>
                  </a:rPr>
                  <a:t>C)</a:t>
                </a:r>
                <a:endParaRPr lang="en-US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Fraction of Duplex</a:t>
                </a:r>
                <a:r>
                  <a:rPr lang="en-US" baseline="0"/>
                  <a:t> (Alpha)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1882287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024417314095451"/>
          <c:y val="5.5464926590538338E-2"/>
          <c:w val="0.16759156492785793"/>
          <c:h val="7.1778140293637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ln(k) vs. 1/T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169145145999929"/>
          <c:y val="3.2446132658259338E-2"/>
          <c:w val="0.83684794672586016"/>
          <c:h val="0.92985318107667214"/>
        </c:manualLayout>
      </c:layout>
      <c:scatterChart>
        <c:scatterStyle val="lineMarker"/>
        <c:varyColors val="0"/>
        <c:ser>
          <c:idx val="0"/>
          <c:order val="0"/>
          <c:tx>
            <c:v>ln(koff)</c:v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Curves!$BU$2:$BU$512</c:f>
              <c:numCache>
                <c:formatCode>General</c:formatCode>
                <c:ptCount val="5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3.0252609287551016E-3</c:v>
                </c:pt>
                <c:pt idx="325">
                  <c:v>3.0243459851807008E-3</c:v>
                </c:pt>
                <c:pt idx="326">
                  <c:v>3.023431594860162E-3</c:v>
                </c:pt>
                <c:pt idx="327">
                  <c:v>3.0225177572918201E-3</c:v>
                </c:pt>
                <c:pt idx="328">
                  <c:v>3.0216044719746146E-3</c:v>
                </c:pt>
                <c:pt idx="329">
                  <c:v>3.020691738408091E-3</c:v>
                </c:pt>
                <c:pt idx="330">
                  <c:v>3.0197795560924015E-3</c:v>
                </c:pt>
                <c:pt idx="331">
                  <c:v>3.0188679245282978E-3</c:v>
                </c:pt>
                <c:pt idx="332">
                  <c:v>3.0179568432171376E-3</c:v>
                </c:pt>
                <c:pt idx="333">
                  <c:v>3.0170463116608801E-3</c:v>
                </c:pt>
                <c:pt idx="334">
                  <c:v>3.0161363293620827E-3</c:v>
                </c:pt>
                <c:pt idx="335">
                  <c:v>3.015226895823907E-3</c:v>
                </c:pt>
                <c:pt idx="336">
                  <c:v>3.0143180105501087E-3</c:v>
                </c:pt>
                <c:pt idx="337">
                  <c:v>3.0134096730450462E-3</c:v>
                </c:pt>
                <c:pt idx="338">
                  <c:v>3.0125018828136728E-3</c:v>
                </c:pt>
                <c:pt idx="339">
                  <c:v>3.0115946393615379E-3</c:v>
                </c:pt>
                <c:pt idx="340">
                  <c:v>3.0106879421947876E-3</c:v>
                </c:pt>
                <c:pt idx="341">
                  <c:v>3.0097817908201615E-3</c:v>
                </c:pt>
                <c:pt idx="342">
                  <c:v>3.0088761847449933E-3</c:v>
                </c:pt>
                <c:pt idx="343">
                  <c:v>3.0079711234772106E-3</c:v>
                </c:pt>
                <c:pt idx="344">
                  <c:v>3.0070666065253305E-3</c:v>
                </c:pt>
                <c:pt idx="345">
                  <c:v>3.0061626333984623E-3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</c:numCache>
            </c:numRef>
          </c:xVal>
          <c:yVal>
            <c:numRef>
              <c:f>Curves!$BW$2:$BW$512</c:f>
              <c:numCache>
                <c:formatCode>General</c:formatCode>
                <c:ptCount val="5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-5.8750223059551772</c:v>
                </c:pt>
                <c:pt idx="325">
                  <c:v>-5.8499014942561836</c:v>
                </c:pt>
                <c:pt idx="326">
                  <c:v>-5.8249254561740988</c:v>
                </c:pt>
                <c:pt idx="327">
                  <c:v>-5.8000879902411846</c:v>
                </c:pt>
                <c:pt idx="328">
                  <c:v>-5.775806483269001</c:v>
                </c:pt>
                <c:pt idx="329">
                  <c:v>-5.7515565919751355</c:v>
                </c:pt>
                <c:pt idx="330">
                  <c:v>-5.726916963743621</c:v>
                </c:pt>
                <c:pt idx="331">
                  <c:v>-5.7018720103410558</c:v>
                </c:pt>
                <c:pt idx="332">
                  <c:v>-5.6764050891573925</c:v>
                </c:pt>
                <c:pt idx="333">
                  <c:v>-5.6499897606505147</c:v>
                </c:pt>
                <c:pt idx="334">
                  <c:v>-5.623140509147631</c:v>
                </c:pt>
                <c:pt idx="335">
                  <c:v>-5.5963436309725187</c:v>
                </c:pt>
                <c:pt idx="336">
                  <c:v>-5.5695943175992282</c:v>
                </c:pt>
                <c:pt idx="337">
                  <c:v>-5.5428878105866017</c:v>
                </c:pt>
                <c:pt idx="338">
                  <c:v>-5.522108864027965</c:v>
                </c:pt>
                <c:pt idx="339">
                  <c:v>-5.5070636379191589</c:v>
                </c:pt>
                <c:pt idx="340">
                  <c:v>-5.4918996453070648</c:v>
                </c:pt>
                <c:pt idx="341">
                  <c:v>-5.4765989315036121</c:v>
                </c:pt>
                <c:pt idx="342">
                  <c:v>-5.4611427595800892</c:v>
                </c:pt>
                <c:pt idx="343">
                  <c:v>-5.4392040643120341</c:v>
                </c:pt>
                <c:pt idx="344">
                  <c:v>-5.4109628010754758</c:v>
                </c:pt>
                <c:pt idx="345">
                  <c:v>-5.3826600962570703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15-4019-B60B-2306CEEE3A78}"/>
            </c:ext>
          </c:extLst>
        </c:ser>
        <c:ser>
          <c:idx val="1"/>
          <c:order val="1"/>
          <c:tx>
            <c:v>ln(kon)</c:v>
          </c:tx>
          <c:spPr>
            <a:ln w="19050">
              <a:noFill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Curves!$BU$2:$BU$512</c:f>
              <c:numCache>
                <c:formatCode>General</c:formatCode>
                <c:ptCount val="5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3.0252609287551016E-3</c:v>
                </c:pt>
                <c:pt idx="325">
                  <c:v>3.0243459851807008E-3</c:v>
                </c:pt>
                <c:pt idx="326">
                  <c:v>3.023431594860162E-3</c:v>
                </c:pt>
                <c:pt idx="327">
                  <c:v>3.0225177572918201E-3</c:v>
                </c:pt>
                <c:pt idx="328">
                  <c:v>3.0216044719746146E-3</c:v>
                </c:pt>
                <c:pt idx="329">
                  <c:v>3.020691738408091E-3</c:v>
                </c:pt>
                <c:pt idx="330">
                  <c:v>3.0197795560924015E-3</c:v>
                </c:pt>
                <c:pt idx="331">
                  <c:v>3.0188679245282978E-3</c:v>
                </c:pt>
                <c:pt idx="332">
                  <c:v>3.0179568432171376E-3</c:v>
                </c:pt>
                <c:pt idx="333">
                  <c:v>3.0170463116608801E-3</c:v>
                </c:pt>
                <c:pt idx="334">
                  <c:v>3.0161363293620827E-3</c:v>
                </c:pt>
                <c:pt idx="335">
                  <c:v>3.015226895823907E-3</c:v>
                </c:pt>
                <c:pt idx="336">
                  <c:v>3.0143180105501087E-3</c:v>
                </c:pt>
                <c:pt idx="337">
                  <c:v>3.0134096730450462E-3</c:v>
                </c:pt>
                <c:pt idx="338">
                  <c:v>3.0125018828136728E-3</c:v>
                </c:pt>
                <c:pt idx="339">
                  <c:v>3.0115946393615379E-3</c:v>
                </c:pt>
                <c:pt idx="340">
                  <c:v>3.0106879421947876E-3</c:v>
                </c:pt>
                <c:pt idx="341">
                  <c:v>3.0097817908201615E-3</c:v>
                </c:pt>
                <c:pt idx="342">
                  <c:v>3.0088761847449933E-3</c:v>
                </c:pt>
                <c:pt idx="343">
                  <c:v>3.0079711234772106E-3</c:v>
                </c:pt>
                <c:pt idx="344">
                  <c:v>3.0070666065253305E-3</c:v>
                </c:pt>
                <c:pt idx="345">
                  <c:v>3.0061626333984623E-3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</c:numCache>
            </c:numRef>
          </c:xVal>
          <c:yVal>
            <c:numRef>
              <c:f>Curves!$BV$2:$BV$512</c:f>
              <c:numCache>
                <c:formatCode>General</c:formatCode>
                <c:ptCount val="5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7.9407838143352141</c:v>
                </c:pt>
                <c:pt idx="325">
                  <c:v>7.9153003053505451</c:v>
                </c:pt>
                <c:pt idx="326">
                  <c:v>7.8898069037399603</c:v>
                </c:pt>
                <c:pt idx="327">
                  <c:v>7.8642837770874268</c:v>
                </c:pt>
                <c:pt idx="328">
                  <c:v>7.8366972767691196</c:v>
                </c:pt>
                <c:pt idx="329">
                  <c:v>7.8077388230337421</c:v>
                </c:pt>
                <c:pt idx="330">
                  <c:v>7.7793919429277816</c:v>
                </c:pt>
                <c:pt idx="331">
                  <c:v>7.7516427402491717</c:v>
                </c:pt>
                <c:pt idx="332">
                  <c:v>7.7244785540142793</c:v>
                </c:pt>
                <c:pt idx="333">
                  <c:v>7.6999813869654368</c:v>
                </c:pt>
                <c:pt idx="334">
                  <c:v>7.6774074616675074</c:v>
                </c:pt>
                <c:pt idx="335">
                  <c:v>7.6546549912398678</c:v>
                </c:pt>
                <c:pt idx="336">
                  <c:v>7.6316992825207564</c:v>
                </c:pt>
                <c:pt idx="337">
                  <c:v>7.6085144247097389</c:v>
                </c:pt>
                <c:pt idx="338">
                  <c:v>7.5776979217956075</c:v>
                </c:pt>
                <c:pt idx="339">
                  <c:v>7.5400722495102377</c:v>
                </c:pt>
                <c:pt idx="340">
                  <c:v>7.5029290012461454</c:v>
                </c:pt>
                <c:pt idx="341">
                  <c:v>7.4662580177089231</c:v>
                </c:pt>
                <c:pt idx="342">
                  <c:v>7.4300510425304109</c:v>
                </c:pt>
                <c:pt idx="343">
                  <c:v>7.4022885365358997</c:v>
                </c:pt>
                <c:pt idx="344">
                  <c:v>7.3820841967700481</c:v>
                </c:pt>
                <c:pt idx="345">
                  <c:v>7.3615009008194408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15-4019-B60B-2306CEEE3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4591727"/>
        <c:axId val="1"/>
      </c:scatterChart>
      <c:valAx>
        <c:axId val="1114591727"/>
        <c:scaling>
          <c:orientation val="minMax"/>
          <c:max val="3.0252609287551016E-3"/>
          <c:min val="3.0052592036063069E-3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1/T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7.9194164154439051"/>
          <c:min val="-5.9094041989632151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ln(k)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14591727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019977802441735"/>
          <c:y val="5.0570962479608482E-2"/>
          <c:w val="9.7669256381798006E-2"/>
          <c:h val="7.1778140293637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4"/>
  <sheetViews>
    <sheetView zoomScale="72" workbookViewId="0"/>
  </sheetViews>
  <pageMargins left="0.75" right="0.75" top="1" bottom="1" header="0.5" footer="0.5"/>
  <headerFooter alignWithMargins="0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Chart1"/>
  <sheetViews>
    <sheetView zoomScale="112" workbookViewId="0"/>
  </sheetViews>
  <pageMargins left="0.75" right="0.75" top="1" bottom="1" header="0.5" footer="0.5"/>
  <pageSetup orientation="landscape" r:id="rId1"/>
  <headerFooter alignWithMargins="0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2"/>
  <sheetViews>
    <sheetView zoomScale="68" workbookViewId="0"/>
  </sheetViews>
  <pageMargins left="0.75" right="0.75" top="1" bottom="1" header="0.5" footer="0.5"/>
  <headerFooter alignWithMargins="0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3"/>
  <sheetViews>
    <sheetView zoomScale="68" workbookViewId="0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ialog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700-000000000000}">
  <sheetViews>
    <sheetView showRowColHeaders="0" showZeros="0" showOutlineSymbols="0" workbookViewId="0"/>
  </sheetViews>
  <sheetFormatPr defaultColWidth="1" defaultRowHeight="5.25" customHeight="1" x14ac:dyDescent="0.25"/>
  <sheetProtection sheet="1"/>
  <pageMargins left="0.75" right="0.75" top="1" bottom="1" header="0.5" footer="0.5"/>
  <headerFooter alignWithMargins="0"/>
  <legacyDrawing r:id="rId1"/>
</dialogsheet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546100</xdr:colOff>
          <xdr:row>0</xdr:row>
          <xdr:rowOff>0</xdr:rowOff>
        </xdr:from>
        <xdr:to>
          <xdr:col>5</xdr:col>
          <xdr:colOff>317500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Compress Data by Temperature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2</xdr:row>
          <xdr:rowOff>38100</xdr:rowOff>
        </xdr:from>
        <xdr:to>
          <xdr:col>1</xdr:col>
          <xdr:colOff>850900</xdr:colOff>
          <xdr:row>3</xdr:row>
          <xdr:rowOff>184150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Analyze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457200</xdr:colOff>
      <xdr:row>0</xdr:row>
      <xdr:rowOff>19050</xdr:rowOff>
    </xdr:from>
    <xdr:to>
      <xdr:col>34</xdr:col>
      <xdr:colOff>381000</xdr:colOff>
      <xdr:row>0</xdr:row>
      <xdr:rowOff>219075</xdr:rowOff>
    </xdr:to>
    <xdr:sp macro="" textlink="">
      <xdr:nvSpPr>
        <xdr:cNvPr id="2070" name="Text Box 22">
          <a:extLst>
            <a:ext uri="{FF2B5EF4-FFF2-40B4-BE49-F238E27FC236}">
              <a16:creationId xmlns:a16="http://schemas.microsoft.com/office/drawing/2014/main" id="{00000000-0008-0000-0200-000016080000}"/>
            </a:ext>
          </a:extLst>
        </xdr:cNvPr>
        <xdr:cNvSpPr txBox="1">
          <a:spLocks noChangeArrowheads="1"/>
        </xdr:cNvSpPr>
      </xdr:nvSpPr>
      <xdr:spPr bwMode="auto">
        <a:xfrm>
          <a:off x="21145500" y="19050"/>
          <a:ext cx="11430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LOOKUP TABLE</a:t>
          </a:r>
        </a:p>
      </xdr:txBody>
    </xdr:sp>
    <xdr:clientData/>
  </xdr:twoCellAnchor>
  <xdr:twoCellAnchor>
    <xdr:from>
      <xdr:col>31</xdr:col>
      <xdr:colOff>0</xdr:colOff>
      <xdr:row>0</xdr:row>
      <xdr:rowOff>28575</xdr:rowOff>
    </xdr:from>
    <xdr:to>
      <xdr:col>31</xdr:col>
      <xdr:colOff>0</xdr:colOff>
      <xdr:row>0</xdr:row>
      <xdr:rowOff>228600</xdr:rowOff>
    </xdr:to>
    <xdr:sp macro="" textlink="">
      <xdr:nvSpPr>
        <xdr:cNvPr id="2075" name="Text Box 27">
          <a:extLst>
            <a:ext uri="{FF2B5EF4-FFF2-40B4-BE49-F238E27FC236}">
              <a16:creationId xmlns:a16="http://schemas.microsoft.com/office/drawing/2014/main" id="{00000000-0008-0000-0200-00001B080000}"/>
            </a:ext>
          </a:extLst>
        </xdr:cNvPr>
        <xdr:cNvSpPr txBox="1">
          <a:spLocks noChangeArrowheads="1"/>
        </xdr:cNvSpPr>
      </xdr:nvSpPr>
      <xdr:spPr bwMode="auto">
        <a:xfrm>
          <a:off x="20078700" y="28575"/>
          <a:ext cx="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PRE-LOOKUP TABLE</a:t>
          </a:r>
        </a:p>
      </xdr:txBody>
    </xdr:sp>
    <xdr:clientData/>
  </xdr:twoCellAnchor>
  <xdr:twoCellAnchor>
    <xdr:from>
      <xdr:col>43</xdr:col>
      <xdr:colOff>209550</xdr:colOff>
      <xdr:row>0</xdr:row>
      <xdr:rowOff>47625</xdr:rowOff>
    </xdr:from>
    <xdr:to>
      <xdr:col>44</xdr:col>
      <xdr:colOff>409575</xdr:colOff>
      <xdr:row>0</xdr:row>
      <xdr:rowOff>219075</xdr:rowOff>
    </xdr:to>
    <xdr:sp macro="" textlink="">
      <xdr:nvSpPr>
        <xdr:cNvPr id="2076" name="Text Box 28">
          <a:extLst>
            <a:ext uri="{FF2B5EF4-FFF2-40B4-BE49-F238E27FC236}">
              <a16:creationId xmlns:a16="http://schemas.microsoft.com/office/drawing/2014/main" id="{00000000-0008-0000-0200-00001C080000}"/>
            </a:ext>
          </a:extLst>
        </xdr:cNvPr>
        <xdr:cNvSpPr txBox="1">
          <a:spLocks noChangeArrowheads="1"/>
        </xdr:cNvSpPr>
      </xdr:nvSpPr>
      <xdr:spPr bwMode="auto">
        <a:xfrm>
          <a:off x="27603450" y="47625"/>
          <a:ext cx="10763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Smoothed Derivs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991042" cy="941916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572500" cy="58170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0.74878</cdr:x>
      <cdr:y>0.2265</cdr:y>
    </cdr:from>
    <cdr:to>
      <cdr:x>0.961</cdr:x>
      <cdr:y>0.2985</cdr:y>
    </cdr:to>
    <cdr:grpSp>
      <cdr:nvGrpSpPr>
        <cdr:cNvPr id="4102" name="Group 6">
          <a:extLst xmlns:a="http://schemas.openxmlformats.org/drawingml/2006/main">
            <a:ext uri="{FF2B5EF4-FFF2-40B4-BE49-F238E27FC236}">
              <a16:creationId xmlns:a16="http://schemas.microsoft.com/office/drawing/2014/main" id="{6D690EDC-69E2-4634-DA21-F0F7A8965C87}"/>
            </a:ext>
          </a:extLst>
        </cdr:cNvPr>
        <cdr:cNvGrpSpPr>
          <a:grpSpLocks xmlns:a="http://schemas.openxmlformats.org/drawingml/2006/main"/>
        </cdr:cNvGrpSpPr>
      </cdr:nvGrpSpPr>
      <cdr:grpSpPr bwMode="auto">
        <a:xfrm xmlns:a="http://schemas.openxmlformats.org/drawingml/2006/main">
          <a:off x="6418917" y="1317563"/>
          <a:ext cx="1819256" cy="418828"/>
          <a:chOff x="6818419" y="392661"/>
          <a:chExt cx="1398870" cy="417476"/>
        </a:xfrm>
      </cdr:grpSpPr>
      <cdr:sp macro="" textlink="">
        <cdr:nvSpPr>
          <cdr:cNvPr id="4097" name="Text Box 1">
            <a:extLst xmlns:a="http://schemas.openxmlformats.org/drawingml/2006/main">
              <a:ext uri="{FF2B5EF4-FFF2-40B4-BE49-F238E27FC236}">
                <a16:creationId xmlns:a16="http://schemas.microsoft.com/office/drawing/2014/main" id="{514D7779-1989-FC9A-D97C-281DAFE12207}"/>
              </a:ext>
            </a:extLst>
          </cdr:cNvPr>
          <cdr:cNvSpPr txBox="1">
            <a:spLocks xmlns:a="http://schemas.openxmlformats.org/drawingml/2006/main" noChangeArrowheads="1"/>
          </cdr:cNvSpPr>
        </cdr:nvSpPr>
        <cdr:spPr bwMode="auto">
          <a:xfrm xmlns:a="http://schemas.openxmlformats.org/drawingml/2006/main">
            <a:off x="6818419" y="392661"/>
            <a:ext cx="1398870" cy="417476"/>
          </a:xfrm>
          <a:prstGeom xmlns:a="http://schemas.openxmlformats.org/drawingml/2006/main" prst="rect">
            <a:avLst/>
          </a:prstGeom>
          <a:solidFill xmlns:a="http://schemas.openxmlformats.org/drawingml/2006/main">
            <a:srgbClr xmlns:mc="http://schemas.openxmlformats.org/markup-compatibility/2006" xmlns:a14="http://schemas.microsoft.com/office/drawing/2010/main" val="FFFFFF" mc:Ignorable="a14" a14:legacySpreadsheetColorIndex="65"/>
          </a:solidFill>
          <a:ln xmlns:a="http://schemas.openxmlformats.org/drawingml/2006/main"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cdr:spPr>
        <cdr:txBody>
          <a:bodyPr xmlns:a="http://schemas.openxmlformats.org/drawingml/2006/main" vertOverflow="clip" wrap="square" lIns="36576" tIns="22860" rIns="0" bIns="0" anchor="t" upright="1"/>
          <a:lstStyle xmlns:a="http://schemas.openxmlformats.org/drawingml/2006/main"/>
          <a:p xmlns:a="http://schemas.openxmlformats.org/drawingml/2006/main">
            <a:pPr algn="ctr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      </a:t>
            </a:r>
            <a:r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Heating Curve</a:t>
            </a:r>
          </a:p>
          <a:p xmlns:a="http://schemas.openxmlformats.org/drawingml/2006/main">
            <a:pPr algn="ctr" rtl="0">
              <a:defRPr sz="1000"/>
            </a:pPr>
            <a:r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           Cooling Curve</a:t>
            </a:r>
          </a:p>
        </cdr:txBody>
      </cdr:sp>
      <cdr:sp macro="" textlink="">
        <cdr:nvSpPr>
          <cdr:cNvPr id="4098" name="Line 2">
            <a:extLst xmlns:a="http://schemas.openxmlformats.org/drawingml/2006/main">
              <a:ext uri="{FF2B5EF4-FFF2-40B4-BE49-F238E27FC236}">
                <a16:creationId xmlns:a16="http://schemas.microsoft.com/office/drawing/2014/main" id="{53707484-125D-EA5E-8341-69AFE31AF81E}"/>
              </a:ext>
            </a:extLst>
          </cdr:cNvPr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6998641" y="700659"/>
            <a:ext cx="251025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9525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round/>
            <a:headEnd/>
            <a:tailEnd/>
          </a:ln>
          <a:extLst xmlns:a="http://schemas.openxmlformats.org/drawingml/2006/main">
            <a:ext uri="{909E8E84-426E-40DD-AFC4-6F175D3DCCD1}">
              <a14:hiddenFill xmlns:a14="http://schemas.microsoft.com/office/drawing/2010/main">
                <a:noFill/>
              </a14:hiddenFill>
            </a:ext>
          </a:extLst>
        </cdr:spPr>
      </cdr:sp>
      <cdr:sp macro="" textlink="">
        <cdr:nvSpPr>
          <cdr:cNvPr id="4101" name="Line 5">
            <a:extLst xmlns:a="http://schemas.openxmlformats.org/drawingml/2006/main">
              <a:ext uri="{FF2B5EF4-FFF2-40B4-BE49-F238E27FC236}">
                <a16:creationId xmlns:a16="http://schemas.microsoft.com/office/drawing/2014/main" id="{4EDA3A47-0A46-79DA-9EF8-60953854FAD8}"/>
              </a:ext>
            </a:extLst>
          </cdr:cNvPr>
          <cdr:cNvSpPr>
            <a:spLocks xmlns:a="http://schemas.openxmlformats.org/drawingml/2006/main" noChangeShapeType="1"/>
          </cdr:cNvSpPr>
        </cdr:nvSpPr>
        <cdr:spPr bwMode="auto">
          <a:xfrm xmlns:a="http://schemas.openxmlformats.org/drawingml/2006/main">
            <a:off x="6998641" y="502139"/>
            <a:ext cx="251025" cy="0"/>
          </a:xfrm>
          <a:prstGeom xmlns:a="http://schemas.openxmlformats.org/drawingml/2006/main" prst="line">
            <a:avLst/>
          </a:prstGeom>
          <a:noFill xmlns:a="http://schemas.openxmlformats.org/drawingml/2006/main"/>
          <a:ln xmlns:a="http://schemas.openxmlformats.org/drawingml/2006/main"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 xmlns:a="http://schemas.openxmlformats.org/drawingml/2006/main">
            <a:ext uri="{909E8E84-426E-40DD-AFC4-6F175D3DCCD1}">
              <a14:hiddenFill xmlns:a14="http://schemas.microsoft.com/office/drawing/2010/main">
                <a:noFill/>
              </a14:hiddenFill>
            </a:ext>
          </a:extLst>
        </cdr:spPr>
      </cdr:sp>
    </cdr:grp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5882" cy="629397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0.04516</cdr:x>
      <cdr:y>0.50334</cdr:y>
    </cdr:from>
    <cdr:to>
      <cdr:x>0.99194</cdr:x>
      <cdr:y>0.50334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2D3D0996-2185-FCE1-F054-F09456499D43}"/>
            </a:ext>
          </a:extLst>
        </cdr:cNvPr>
        <cdr:cNvCxnSpPr/>
      </cdr:nvCxnSpPr>
      <cdr:spPr bwMode="auto">
        <a:xfrm xmlns:a="http://schemas.openxmlformats.org/drawingml/2006/main">
          <a:off x="392206" y="3165662"/>
          <a:ext cx="8222316" cy="0"/>
        </a:xfrm>
        <a:prstGeom xmlns:a="http://schemas.openxmlformats.org/drawingml/2006/main" prst="lin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84559" cy="628930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24</xdr:row>
      <xdr:rowOff>0</xdr:rowOff>
    </xdr:from>
    <xdr:to>
      <xdr:col>3</xdr:col>
      <xdr:colOff>400050</xdr:colOff>
      <xdr:row>25</xdr:row>
      <xdr:rowOff>133350</xdr:rowOff>
    </xdr:to>
    <xdr:sp macro="" textlink="">
      <xdr:nvSpPr>
        <xdr:cNvPr id="5128" name="Text Box 8">
          <a:extLst>
            <a:ext uri="{FF2B5EF4-FFF2-40B4-BE49-F238E27FC236}">
              <a16:creationId xmlns:a16="http://schemas.microsoft.com/office/drawing/2014/main" id="{00000000-0008-0000-0700-000008140000}"/>
            </a:ext>
          </a:extLst>
        </xdr:cNvPr>
        <xdr:cNvSpPr txBox="1">
          <a:spLocks noChangeArrowheads="1"/>
        </xdr:cNvSpPr>
      </xdr:nvSpPr>
      <xdr:spPr bwMode="auto">
        <a:xfrm>
          <a:off x="200025" y="3886200"/>
          <a:ext cx="2028825" cy="3524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1" u="none" strike="noStrike" baseline="0">
              <a:solidFill>
                <a:srgbClr val="000000"/>
              </a:solidFill>
              <a:latin typeface="Symbol"/>
            </a:rPr>
            <a:t>D</a:t>
          </a:r>
          <a:r>
            <a:rPr lang="en-US" sz="1100" b="0" i="1" u="none" strike="noStrike" baseline="0">
              <a:solidFill>
                <a:srgbClr val="000000"/>
              </a:solidFill>
              <a:latin typeface="Arial"/>
              <a:cs typeface="Arial"/>
            </a:rPr>
            <a:t>Vt = (dT</a:t>
          </a:r>
          <a:r>
            <a:rPr lang="en-US" sz="1100" b="0" i="1" u="none" strike="noStrike" baseline="-25000">
              <a:solidFill>
                <a:srgbClr val="000000"/>
              </a:solidFill>
              <a:latin typeface="Arial"/>
              <a:cs typeface="Arial"/>
            </a:rPr>
            <a:t>M</a:t>
          </a:r>
          <a:r>
            <a:rPr lang="en-US" sz="1100" b="0" i="1" u="none" strike="noStrike" baseline="0">
              <a:solidFill>
                <a:srgbClr val="000000"/>
              </a:solidFill>
              <a:latin typeface="Arial"/>
              <a:cs typeface="Arial"/>
            </a:rPr>
            <a:t>/dP) </a:t>
          </a:r>
          <a:r>
            <a:rPr lang="en-US" sz="1100" b="0" i="1" u="none" strike="noStrike" baseline="0">
              <a:solidFill>
                <a:srgbClr val="000000"/>
              </a:solidFill>
              <a:latin typeface="Symbol"/>
              <a:cs typeface="Arial"/>
            </a:rPr>
            <a:t>D</a:t>
          </a:r>
          <a:r>
            <a:rPr lang="en-US" sz="1100" b="0" i="1" u="none" strike="noStrike" baseline="0">
              <a:solidFill>
                <a:srgbClr val="000000"/>
              </a:solidFill>
              <a:latin typeface="Arial"/>
              <a:cs typeface="Arial"/>
            </a:rPr>
            <a:t>Hcal / T</a:t>
          </a:r>
          <a:r>
            <a:rPr lang="en-US" sz="1100" b="0" i="1" u="none" strike="noStrike" baseline="-2500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8</xdr:col>
      <xdr:colOff>28575</xdr:colOff>
      <xdr:row>15</xdr:row>
      <xdr:rowOff>85725</xdr:rowOff>
    </xdr:from>
    <xdr:to>
      <xdr:col>11</xdr:col>
      <xdr:colOff>238125</xdr:colOff>
      <xdr:row>24</xdr:row>
      <xdr:rowOff>19050</xdr:rowOff>
    </xdr:to>
    <xdr:sp macro="" textlink="">
      <xdr:nvSpPr>
        <xdr:cNvPr id="5129" name="Text Box 9">
          <a:extLst>
            <a:ext uri="{FF2B5EF4-FFF2-40B4-BE49-F238E27FC236}">
              <a16:creationId xmlns:a16="http://schemas.microsoft.com/office/drawing/2014/main" id="{00000000-0008-0000-0700-000009140000}"/>
            </a:ext>
          </a:extLst>
        </xdr:cNvPr>
        <xdr:cNvSpPr txBox="1">
          <a:spLocks noChangeArrowheads="1"/>
        </xdr:cNvSpPr>
      </xdr:nvSpPr>
      <xdr:spPr bwMode="auto">
        <a:xfrm>
          <a:off x="4905375" y="2514600"/>
          <a:ext cx="2038350" cy="1390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Units:</a:t>
          </a:r>
        </a:p>
        <a:p>
          <a:pPr algn="l" rtl="0">
            <a:defRPr sz="1000"/>
          </a:pPr>
          <a:r>
            <a:rPr lang="en-US" sz="11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kon, kon_o: (uM s)</a:t>
          </a:r>
          <a:r>
            <a:rPr lang="en-US" sz="1100" b="0" i="1" u="none" strike="noStrike" baseline="30000">
              <a:solidFill>
                <a:srgbClr val="000000"/>
              </a:solidFill>
              <a:latin typeface="Times New Roman"/>
              <a:cs typeface="Times New Roman"/>
            </a:rPr>
            <a:t>-1</a:t>
          </a:r>
          <a:endParaRPr lang="en-US" sz="11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US" sz="11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koff, koff_o: s</a:t>
          </a:r>
          <a:r>
            <a:rPr lang="en-US" sz="1100" b="0" i="1" u="none" strike="noStrike" baseline="30000">
              <a:solidFill>
                <a:srgbClr val="000000"/>
              </a:solidFill>
              <a:latin typeface="Times New Roman"/>
              <a:cs typeface="Times New Roman"/>
            </a:rPr>
            <a:t>-1</a:t>
          </a:r>
          <a:endParaRPr lang="en-US" sz="11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US" sz="1100" b="0" i="1" u="none" strike="noStrike" baseline="0">
              <a:solidFill>
                <a:srgbClr val="000000"/>
              </a:solidFill>
              <a:latin typeface="Symbol"/>
            </a:rPr>
            <a:t>D</a:t>
          </a:r>
          <a:r>
            <a:rPr lang="en-US" sz="11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H</a:t>
          </a:r>
          <a:r>
            <a:rPr lang="en-US" sz="1100" b="0" i="1" u="none" strike="noStrike" baseline="30000">
              <a:solidFill>
                <a:srgbClr val="000000"/>
              </a:solidFill>
              <a:latin typeface="Times New Roman"/>
              <a:cs typeface="Times New Roman"/>
            </a:rPr>
            <a:t>o</a:t>
          </a:r>
          <a:r>
            <a:rPr lang="en-US" sz="11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: J/mol</a:t>
          </a:r>
        </a:p>
        <a:p>
          <a:pPr algn="l" rtl="0">
            <a:defRPr sz="1000"/>
          </a:pPr>
          <a:r>
            <a:rPr lang="en-US" sz="11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</a:t>
          </a:r>
          <a:r>
            <a:rPr lang="en-US" sz="1100" b="0" i="1" u="none" strike="noStrike" baseline="30000">
              <a:solidFill>
                <a:srgbClr val="000000"/>
              </a:solidFill>
              <a:latin typeface="Times New Roman"/>
              <a:cs typeface="Times New Roman"/>
            </a:rPr>
            <a:t>‡</a:t>
          </a:r>
          <a:r>
            <a:rPr lang="en-US" sz="11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on, E</a:t>
          </a:r>
          <a:r>
            <a:rPr lang="en-US" sz="1100" b="0" i="1" u="none" strike="noStrike" baseline="30000">
              <a:solidFill>
                <a:srgbClr val="000000"/>
              </a:solidFill>
              <a:latin typeface="Times New Roman"/>
              <a:cs typeface="Times New Roman"/>
            </a:rPr>
            <a:t>‡</a:t>
          </a:r>
          <a:r>
            <a:rPr lang="en-US" sz="11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off: J/mol</a:t>
          </a:r>
        </a:p>
        <a:p>
          <a:pPr algn="l" rtl="0">
            <a:defRPr sz="1000"/>
          </a:pPr>
          <a:r>
            <a:rPr lang="en-US" sz="1100" b="0" i="1" u="none" strike="noStrike" baseline="0">
              <a:solidFill>
                <a:srgbClr val="000000"/>
              </a:solidFill>
              <a:latin typeface="Symbol"/>
            </a:rPr>
            <a:t>D</a:t>
          </a:r>
          <a:r>
            <a:rPr lang="en-US" sz="11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V: mL/mol</a:t>
          </a:r>
        </a:p>
      </xdr:txBody>
    </xdr:sp>
    <xdr:clientData/>
  </xdr:twoCellAnchor>
  <xdr:twoCellAnchor>
    <xdr:from>
      <xdr:col>15</xdr:col>
      <xdr:colOff>168520</xdr:colOff>
      <xdr:row>9</xdr:row>
      <xdr:rowOff>87923</xdr:rowOff>
    </xdr:from>
    <xdr:to>
      <xdr:col>22</xdr:col>
      <xdr:colOff>520211</xdr:colOff>
      <xdr:row>22</xdr:row>
      <xdr:rowOff>102577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B324B13-B07C-3487-4981-3B10797A691E}"/>
            </a:ext>
          </a:extLst>
        </xdr:cNvPr>
        <xdr:cNvSpPr txBox="1"/>
      </xdr:nvSpPr>
      <xdr:spPr>
        <a:xfrm>
          <a:off x="9290539" y="1538654"/>
          <a:ext cx="4608634" cy="21101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CC_ode &lt;- function(t, state, parms){  </a:t>
          </a:r>
        </a:p>
        <a:p>
          <a:r>
            <a:rPr lang="en-CA" sz="1100" baseline="0"/>
            <a:t>    </a:t>
          </a:r>
          <a:r>
            <a:rPr lang="en-CA" sz="1100"/>
            <a:t>alpha &lt;- state[1] </a:t>
          </a:r>
        </a:p>
        <a:p>
          <a:r>
            <a:rPr lang="en-CA" sz="1100"/>
            <a:t>    kon &lt;- parms[1] </a:t>
          </a:r>
        </a:p>
        <a:p>
          <a:r>
            <a:rPr lang="en-CA" sz="1100"/>
            <a:t>    Temp &lt;- CC_Tfun(t)  </a:t>
          </a:r>
        </a:p>
        <a:p>
          <a:r>
            <a:rPr lang="en-CA" sz="1100"/>
            <a:t>    K &lt;- Kfun(Temp)      #this is "Kval" in the heating-curve convention </a:t>
          </a:r>
        </a:p>
        <a:p>
          <a:r>
            <a:rPr lang="en-CA" sz="1100"/>
            <a:t>    koff &lt;- 2*kon/K      #koff = kon/K_assoc, K_assoc = Kval/2 (see note above) </a:t>
          </a:r>
        </a:p>
        <a:p>
          <a:r>
            <a:rPr lang="en-CA" sz="1100" baseline="0"/>
            <a:t>    </a:t>
          </a:r>
          <a:r>
            <a:rPr lang="en-CA" sz="1100"/>
            <a:t>dalpha &lt;- kon*Ct*(1-alpha)^2 - koff*alpha </a:t>
          </a:r>
        </a:p>
        <a:p>
          <a:r>
            <a:rPr lang="en-CA" sz="1100"/>
            <a:t>    list(dalpha)</a:t>
          </a:r>
        </a:p>
        <a:p>
          <a:r>
            <a:rPr lang="en-CA" sz="1100"/>
            <a:t>}</a:t>
          </a:r>
        </a:p>
      </xdr:txBody>
    </xdr:sp>
    <xdr:clientData/>
  </xdr:twoCellAnchor>
  <xdr:twoCellAnchor editAs="oneCell">
    <xdr:from>
      <xdr:col>2</xdr:col>
      <xdr:colOff>488950</xdr:colOff>
      <xdr:row>0</xdr:row>
      <xdr:rowOff>88900</xdr:rowOff>
    </xdr:from>
    <xdr:to>
      <xdr:col>8</xdr:col>
      <xdr:colOff>3252</xdr:colOff>
      <xdr:row>17</xdr:row>
      <xdr:rowOff>103488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Object 2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 txBox="1"/>
          </xdr:nvSpPr>
          <xdr:spPr>
            <a:xfrm>
              <a:off x="1768719" y="88900"/>
              <a:ext cx="3353610" cy="2754857"/>
            </a:xfrm>
            <a:prstGeom prst="rect">
              <a:avLst/>
            </a:prstGeom>
            <a:solidFill>
              <a:schemeClr val="bg1"/>
            </a:solidFill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[</m:t>
                            </m:r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𝐷</m:t>
                            </m:r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]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𝑑𝑡</m:t>
                            </m:r>
                          </m:den>
                        </m:f>
                      </m:e>
                    </m:d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𝑜𝑛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[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𝑆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][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𝑆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]−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𝑜𝑓𝑓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[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]</m:t>
                    </m:r>
                  </m:oMath>
                  <m:oMath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𝛼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𝑑𝑡</m:t>
                            </m:r>
                          </m:den>
                        </m:f>
                      </m:e>
                    </m:d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𝑜𝑛</m:t>
                        </m:r>
                      </m:sub>
                    </m:sSub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(1−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𝛼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)(1−</m:t>
                    </m:r>
                    <m:f>
                      <m:f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𝜌</m:t>
                        </m:r>
                      </m:den>
                    </m:f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)−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𝑜𝑓𝑓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𝛼</m:t>
                    </m:r>
                  </m:oMath>
                  <m:oMath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𝛼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𝛼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𝑑𝑡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𝑑𝑡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</m:oMath>
                  <m:oMath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𝛼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𝑜𝑛</m:t>
                        </m:r>
                      </m:sub>
                    </m:sSub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(1−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𝛼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)</m:t>
                    </m:r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1−</m:t>
                        </m:r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𝛼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𝜌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𝑑𝑡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𝑜𝑓𝑓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𝛼</m:t>
                    </m:r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𝑑𝑡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</m:oMath>
                  <m:oMath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(1−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𝛼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)</m:t>
                    </m:r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1−</m:t>
                        </m:r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𝛼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𝜌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𝑑𝑡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</m:oMath>
                  <m:oMath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𝑏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=−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𝛼</m:t>
                    </m:r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𝑑𝑡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</m:oMath>
                  <m:oMath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𝛼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𝑜𝑛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−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𝑏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𝑜𝑓𝑓</m:t>
                        </m:r>
                      </m:sub>
                    </m:sSub>
                  </m:oMath>
                </m:oMathPara>
              </a14:m>
              <a:endParaRPr lang="en-CA"/>
            </a:p>
          </xdr:txBody>
        </xdr:sp>
      </mc:Choice>
      <mc:Fallback xmlns="">
        <xdr:sp macro="" textlink="">
          <xdr:nvSpPr>
            <xdr:cNvPr id="2" name="Object 2">
              <a:extLst>
                <a:ext uri="{63B3BB69-23CF-44E3-9099-C40C66FF867C}">
                  <a14:compatExt xmlns:a14="http://schemas.microsoft.com/office/drawing/2010/main"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 txBox="1"/>
          </xdr:nvSpPr>
          <xdr:spPr>
            <a:xfrm>
              <a:off x="1768719" y="88900"/>
              <a:ext cx="3353610" cy="2754857"/>
            </a:xfrm>
            <a:prstGeom prst="rect">
              <a:avLst/>
            </a:prstGeom>
            <a:solidFill>
              <a:schemeClr val="bg1"/>
            </a:solidFill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((𝑑[𝐷])/𝑑𝑡)=𝑘_𝑜𝑛 [𝑆𝑆_1][𝑆𝑆_2]−𝑘_𝑜𝑓𝑓 [𝐷]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(𝑑𝛼/𝑑𝑡)=𝑘_𝑜𝑛 𝑆_2𝑇 (1−𝛼)(1−𝛼/𝜌)−𝑘_𝑜𝑓𝑓 𝛼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(𝑑𝛼/𝑑𝑇)=(𝑑𝛼/𝑑𝑡)(𝑑𝑡/𝑑𝑇)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(𝑑𝛼/𝑑𝑇)=𝑘_𝑜𝑛 𝑆_2𝑇 (1−𝛼)(1−𝛼/𝜌)(𝑑𝑡/𝑑𝑇)−𝑘_𝑜𝑓𝑓 𝛼(𝑑𝑡/𝑑𝑇)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𝑎=𝑆_2𝑇 (1−𝛼)(1−𝛼/𝜌)(𝑑𝑡/𝑑𝑇)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𝑏=−𝛼(𝑑𝑡/𝑑𝑇)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(𝑑𝛼/𝑑𝑇)=𝑎*𝑘_𝑜𝑛−𝑏*𝑘_𝑜𝑓𝑓</a:t>
              </a:r>
              <a:endParaRPr lang="en-CA"/>
            </a:p>
          </xdr:txBody>
        </xdr:sp>
      </mc:Fallback>
    </mc:AlternateContent>
    <xdr:clientData/>
  </xdr:twoCellAnchor>
  <xdr:twoCellAnchor editAs="oneCell">
    <xdr:from>
      <xdr:col>0</xdr:col>
      <xdr:colOff>75223</xdr:colOff>
      <xdr:row>1</xdr:row>
      <xdr:rowOff>15631</xdr:rowOff>
    </xdr:from>
    <xdr:to>
      <xdr:col>2</xdr:col>
      <xdr:colOff>373673</xdr:colOff>
      <xdr:row>14</xdr:row>
      <xdr:rowOff>72781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Object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 txBox="1"/>
          </xdr:nvSpPr>
          <xdr:spPr>
            <a:xfrm>
              <a:off x="75223" y="176823"/>
              <a:ext cx="1578219" cy="2152650"/>
            </a:xfrm>
            <a:prstGeom prst="rect">
              <a:avLst/>
            </a:prstGeom>
            <a:solidFill>
              <a:schemeClr val="bg1"/>
            </a:solidFill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𝑆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𝑆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m>
                      <m:mPr>
                        <m:plcHide m:val="on"/>
                        <m:mcs>
                          <m:mc>
                            <m:mcPr>
                              <m:count m:val="1"/>
                              <m:mcJc m:val="center"/>
                            </m:mcPr>
                          </m:mc>
                        </m:mcs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mPr>
                      <m:mr>
                        <m:e>
                          <m:groupChr>
                            <m:groupChrPr>
                              <m:chr m:val="→"/>
                              <m:pos m:val="bot"/>
                              <m:vertJc m:val="bot"/>
                              <m:ctrlPr>
                                <a:rPr lang="en-CA" i="1">
                                  <a:solidFill>
                                    <a:srgbClr val="000000"/>
                                  </a:solidFill>
                                  <a:latin typeface="Cambria Math" panose="02040503050406030204" pitchFamily="18" charset="0"/>
                                </a:rPr>
                              </m:ctrlPr>
                            </m:groupChrPr>
                            <m:e>
                              <m:r>
                                <a:rPr lang="en-CA" i="1">
                                  <a:solidFill>
                                    <a:srgbClr val="000000"/>
                                  </a:solidFill>
                                  <a:latin typeface="Cambria Math" panose="02040503050406030204" pitchFamily="18" charset="0"/>
                                </a:rPr>
                                <m:t> </m:t>
                              </m:r>
                              <m:r>
                                <a:rPr lang="en-CA" i="1">
                                  <a:solidFill>
                                    <a:srgbClr val="000000"/>
                                  </a:solidFill>
                                  <a:latin typeface="Cambria Math" panose="02040503050406030204" pitchFamily="18" charset="0"/>
                                </a:rPr>
                                <m:t>𝑘𝑜𝑛</m:t>
                              </m:r>
                              <m:r>
                                <a:rPr lang="en-CA" i="1">
                                  <a:solidFill>
                                    <a:srgbClr val="000000"/>
                                  </a:solidFill>
                                  <a:latin typeface="Cambria Math" panose="02040503050406030204" pitchFamily="18" charset="0"/>
                                </a:rPr>
                                <m:t> </m:t>
                              </m:r>
                            </m:e>
                          </m:groupChr>
                        </m:e>
                      </m:mr>
                      <m:mr>
                        <m:e>
                          <m:groupChr>
                            <m:groupChrPr>
                              <m:chr m:val="←"/>
                              <m:pos m:val="top"/>
                              <m:vertJc m:val="top"/>
                              <m:ctrlPr>
                                <a:rPr lang="en-CA" i="1">
                                  <a:solidFill>
                                    <a:srgbClr val="000000"/>
                                  </a:solidFill>
                                  <a:latin typeface="Cambria Math" panose="02040503050406030204" pitchFamily="18" charset="0"/>
                                </a:rPr>
                              </m:ctrlPr>
                            </m:groupChrPr>
                            <m:e>
                              <m:r>
                                <a:rPr lang="en-CA" i="1">
                                  <a:solidFill>
                                    <a:srgbClr val="000000"/>
                                  </a:solidFill>
                                  <a:latin typeface="Cambria Math" panose="02040503050406030204" pitchFamily="18" charset="0"/>
                                </a:rPr>
                                <m:t> </m:t>
                              </m:r>
                              <m:r>
                                <a:rPr lang="en-CA" i="1">
                                  <a:solidFill>
                                    <a:srgbClr val="000000"/>
                                  </a:solidFill>
                                  <a:latin typeface="Cambria Math" panose="02040503050406030204" pitchFamily="18" charset="0"/>
                                </a:rPr>
                                <m:t>𝑘𝑜𝑓𝑓</m:t>
                              </m:r>
                              <m:r>
                                <a:rPr lang="en-CA" i="1">
                                  <a:solidFill>
                                    <a:srgbClr val="000000"/>
                                  </a:solidFill>
                                  <a:latin typeface="Cambria Math" panose="02040503050406030204" pitchFamily="18" charset="0"/>
                                </a:rPr>
                                <m:t> </m:t>
                              </m:r>
                            </m:e>
                          </m:groupChr>
                        </m:e>
                      </m:mr>
                    </m:m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𝐷</m:t>
                    </m:r>
                  </m:oMath>
                  <m:oMath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=[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𝑆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]+[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]</m:t>
                    </m:r>
                  </m:oMath>
                  <m:oMath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=[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𝑆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]+[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]</m:t>
                    </m:r>
                  </m:oMath>
                  <m:oMath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𝛼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[</m:t>
                        </m:r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]</m:t>
                        </m:r>
                      </m:num>
                      <m:den>
                        <m:sSub>
                          <m:sSub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1</m:t>
                            </m:r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</m:sub>
                        </m:sSub>
                      </m:den>
                    </m:f>
                  </m:oMath>
                  <m:oMath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𝜌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1</m:t>
                            </m:r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CA"/>
            </a:p>
          </xdr:txBody>
        </xdr:sp>
      </mc:Choice>
      <mc:Fallback xmlns="">
        <xdr:sp macro="" textlink="">
          <xdr:nvSpPr>
            <xdr:cNvPr id="4" name="Object 1">
              <a:extLst>
                <a:ext uri="{63B3BB69-23CF-44E3-9099-C40C66FF867C}">
                  <a14:compatExt xmlns:a14="http://schemas.microsoft.com/office/drawing/2010/main"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 txBox="1"/>
          </xdr:nvSpPr>
          <xdr:spPr>
            <a:xfrm>
              <a:off x="75223" y="176823"/>
              <a:ext cx="1578219" cy="2152650"/>
            </a:xfrm>
            <a:prstGeom prst="rect">
              <a:avLst/>
            </a:prstGeom>
            <a:solidFill>
              <a:schemeClr val="bg1"/>
            </a:solidFill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𝑆𝑆_1+𝑆𝑆_2 ■(→┴( 𝑘𝑜𝑛 )@←┬( 𝑘𝑜𝑓𝑓 ) )𝐷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𝑆_1𝑇=[𝑆𝑆_1]+[𝐷]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𝑆_2𝑇=[𝑆𝑆_2]+[𝐷]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𝛼=([𝐷])/𝑆_1𝑇 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𝜌=𝑆_2𝑇/𝑆_1𝑇 </a:t>
              </a:r>
              <a:endParaRPr lang="en-CA"/>
            </a:p>
          </xdr:txBody>
        </xdr:sp>
      </mc:Fallback>
    </mc:AlternateContent>
    <xdr:clientData/>
  </xdr:twoCellAnchor>
  <xdr:twoCellAnchor editAs="oneCell">
    <xdr:from>
      <xdr:col>8</xdr:col>
      <xdr:colOff>38100</xdr:colOff>
      <xdr:row>0</xdr:row>
      <xdr:rowOff>88900</xdr:rowOff>
    </xdr:from>
    <xdr:to>
      <xdr:col>11</xdr:col>
      <xdr:colOff>228600</xdr:colOff>
      <xdr:row>14</xdr:row>
      <xdr:rowOff>152400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Object 4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 txBox="1"/>
          </xdr:nvSpPr>
          <xdr:spPr>
            <a:xfrm>
              <a:off x="5157177" y="88900"/>
              <a:ext cx="2110154" cy="2320192"/>
            </a:xfrm>
            <a:prstGeom prst="rect">
              <a:avLst/>
            </a:prstGeom>
            <a:solidFill>
              <a:schemeClr val="bg1"/>
            </a:solidFill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sSub>
                              <m:sSubPr>
                                <m:ctrlP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𝛼</m:t>
                                </m:r>
                              </m:e>
                              <m:sub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𝑜𝑛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𝑜𝑓𝑓</m:t>
                        </m:r>
                      </m:sub>
                    </m:sSub>
                  </m:oMath>
                  <m:oMath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sSub>
                              <m:sSubPr>
                                <m:ctrlP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𝛼</m:t>
                                </m:r>
                              </m:e>
                              <m:sub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ℎ</m:t>
                                </m:r>
                              </m:sub>
                            </m:sSub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ℎ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𝑜𝑛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ℎ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𝑜𝑓𝑓</m:t>
                        </m:r>
                      </m:sub>
                    </m:sSub>
                  </m:oMath>
                  <m:oMath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𝑜𝑓𝑓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  <m:sSub>
                                  <m:sSubPr>
                                    <m:ctrlP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𝛼</m:t>
                                    </m:r>
                                  </m:e>
                                  <m:sub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𝑑𝑇</m:t>
                                </m:r>
                              </m:den>
                            </m:f>
                          </m:e>
                        </m:d>
                        <m:sSub>
                          <m:sSub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ℎ</m:t>
                            </m:r>
                          </m:sub>
                        </m:s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d>
                          <m:d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  <m:sSub>
                                  <m:sSubPr>
                                    <m:ctrlP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𝛼</m:t>
                                    </m:r>
                                  </m:e>
                                  <m:sub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𝑑𝑇</m:t>
                                </m:r>
                              </m:den>
                            </m:f>
                          </m:e>
                        </m:d>
                        <m:sSub>
                          <m:sSub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sSub>
                          <m:sSub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ℎ</m:t>
                            </m:r>
                          </m:sub>
                        </m:s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ℎ</m:t>
                            </m:r>
                          </m:sub>
                        </m:sSub>
                        <m:sSub>
                          <m:sSub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</m:oMath>
                  <m:oMath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𝑜𝑛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  <m:sSub>
                                  <m:sSubPr>
                                    <m:ctrlP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𝛼</m:t>
                                    </m:r>
                                  </m:e>
                                  <m:sub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𝑑𝑇</m:t>
                                </m:r>
                              </m:den>
                            </m:f>
                          </m:e>
                        </m:d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𝑜𝑓𝑓</m:t>
                            </m:r>
                          </m:sub>
                        </m:sSub>
                        <m:sSub>
                          <m:sSub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ℎ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ℎ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CA"/>
            </a:p>
          </xdr:txBody>
        </xdr:sp>
      </mc:Choice>
      <mc:Fallback xmlns="">
        <xdr:sp macro="" textlink="">
          <xdr:nvSpPr>
            <xdr:cNvPr id="5" name="Object 4">
              <a:extLst>
                <a:ext uri="{63B3BB69-23CF-44E3-9099-C40C66FF867C}">
                  <a14:compatExt xmlns:a14="http://schemas.microsoft.com/office/drawing/2010/main"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 txBox="1"/>
          </xdr:nvSpPr>
          <xdr:spPr>
            <a:xfrm>
              <a:off x="5157177" y="88900"/>
              <a:ext cx="2110154" cy="2320192"/>
            </a:xfrm>
            <a:prstGeom prst="rect">
              <a:avLst/>
            </a:prstGeom>
            <a:solidFill>
              <a:schemeClr val="bg1"/>
            </a:solidFill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((𝑑𝛼_𝑐)/𝑑𝑇)=𝑎_𝑐∗𝑘_𝑜𝑛−𝑏_𝑐∗𝑘_𝑜𝑓𝑓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((𝑑𝛼_ℎ)/𝑑𝑇)=𝑎_ℎ∗𝑘_𝑜𝑛−𝑏_ℎ∗𝑘_𝑜𝑓𝑓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𝑘_𝑜𝑓𝑓=(((𝑑𝛼_𝑐)/𝑑𝑇) 𝑎_ℎ−((𝑑𝛼_ℎ)/𝑑𝑇) 𝑎_𝑐)/(𝑏_𝑐 𝑎_ℎ−𝑏_ℎ 𝑎_𝑐 )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𝑘_𝑜𝑛=(((𝑑𝛼_ℎ)/𝑑𝑇)−𝑘_𝑜𝑓𝑓 𝑏_ℎ)/𝑎_ℎ </a:t>
              </a:r>
              <a:endParaRPr lang="en-CA"/>
            </a:p>
          </xdr:txBody>
        </xdr:sp>
      </mc:Fallback>
    </mc:AlternateContent>
    <xdr:clientData/>
  </xdr:twoCellAnchor>
  <xdr:twoCellAnchor editAs="oneCell">
    <xdr:from>
      <xdr:col>11</xdr:col>
      <xdr:colOff>304800</xdr:colOff>
      <xdr:row>0</xdr:row>
      <xdr:rowOff>82550</xdr:rowOff>
    </xdr:from>
    <xdr:to>
      <xdr:col>14</xdr:col>
      <xdr:colOff>124773</xdr:colOff>
      <xdr:row>20</xdr:row>
      <xdr:rowOff>86385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Object 5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 txBox="1"/>
          </xdr:nvSpPr>
          <xdr:spPr>
            <a:xfrm>
              <a:off x="7316665" y="82550"/>
              <a:ext cx="1732300" cy="3227681"/>
            </a:xfrm>
            <a:prstGeom prst="rect">
              <a:avLst/>
            </a:prstGeom>
            <a:solidFill>
              <a:schemeClr val="bg1"/>
            </a:solidFill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𝑘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(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)=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</m:t>
                        </m:r>
                      </m:sub>
                    </m:sSub>
                    <m:sSup>
                      <m:sSup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d>
                          <m:d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sSup>
                                  <m:sSupPr>
                                    <m:ctrlP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𝐸</m:t>
                                    </m:r>
                                  </m:e>
                                  <m:sup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‡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𝑅𝑇</m:t>
                                </m:r>
                              </m:den>
                            </m:f>
                          </m:e>
                        </m:d>
                      </m:sup>
                    </m:sSup>
                  </m:oMath>
                  <m:oMath>
                    <m:func>
                      <m:funcPr>
                        <m:ctrlPr>
                          <a:rPr lang="en-CA" i="0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CA" i="0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ln</m:t>
                        </m:r>
                      </m:fName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(</m:t>
                        </m:r>
                      </m:e>
                    </m:func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𝑘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)=−</m:t>
                    </m:r>
                    <m:f>
                      <m:f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𝐸</m:t>
                            </m:r>
                          </m:e>
                          <m:sup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‡</m:t>
                            </m:r>
                          </m:sup>
                        </m:sSup>
                      </m:num>
                      <m:den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𝑅𝑇</m:t>
                        </m:r>
                      </m:den>
                    </m:f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b="0" i="0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n-US" b="0" i="0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ln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⁡(</m:t>
                        </m:r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</m:t>
                        </m:r>
                      </m:sub>
                    </m:sSub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)</m:t>
                    </m:r>
                  </m:oMath>
                  <m:oMath>
                    <m:sSubSup>
                      <m:sSubSup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𝑜𝑛</m:t>
                        </m:r>
                      </m:sub>
                      <m:sup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‡</m:t>
                        </m:r>
                      </m:sup>
                    </m:sSubSup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=−</m:t>
                    </m:r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func>
                              <m:funcPr>
                                <m:ctrlPr>
                                  <a:rPr lang="en-CA" i="0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CA" i="0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ln</m:t>
                                </m:r>
                              </m:fName>
                              <m:e>
                                <m:sSub>
                                  <m:sSubPr>
                                    <m:ctrlP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𝑘</m:t>
                                    </m:r>
                                  </m:e>
                                  <m:sub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𝑜𝑛</m:t>
                                    </m:r>
                                  </m:sub>
                                </m:sSub>
                              </m:e>
                            </m:func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f>
                              <m:fPr>
                                <m:type m:val="skw"/>
                                <m:ctrlP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den>
                            </m:f>
                          </m:den>
                        </m:f>
                      </m:e>
                    </m:d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∗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𝑅</m:t>
                    </m:r>
                  </m:oMath>
                  <m:oMath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</m:t>
                        </m:r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𝑜𝑛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nor/>
                      </m:rPr>
                      <a:rPr lang="en-CA" i="0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intercept</m:t>
                    </m:r>
                  </m:oMath>
                  <m:oMath>
                    <m:sSubSup>
                      <m:sSubSup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𝑜𝑓𝑓</m:t>
                        </m:r>
                      </m:sub>
                      <m:sup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‡</m:t>
                        </m:r>
                      </m:sup>
                    </m:sSubSup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=−</m:t>
                    </m:r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func>
                              <m:funcPr>
                                <m:ctrlPr>
                                  <a:rPr lang="en-CA" i="0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CA" i="0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ln</m:t>
                                </m:r>
                              </m:fName>
                              <m:e>
                                <m:sSub>
                                  <m:sSubPr>
                                    <m:ctrlP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𝑘</m:t>
                                    </m:r>
                                  </m:e>
                                  <m:sub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𝑜𝑓𝑓</m:t>
                                    </m:r>
                                  </m:sub>
                                </m:sSub>
                              </m:e>
                            </m:func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f>
                              <m:fPr>
                                <m:type m:val="skw"/>
                                <m:ctrlP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den>
                            </m:f>
                          </m:den>
                        </m:f>
                      </m:e>
                    </m:d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∗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𝑅</m:t>
                    </m:r>
                  </m:oMath>
                  <m:oMath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</m:t>
                        </m:r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𝑜𝑓𝑓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nor/>
                      </m:rPr>
                      <a:rPr lang="en-CA" i="0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intercept</m:t>
                    </m:r>
                  </m:oMath>
                  <m:oMath>
                    <m:r>
                      <m:rPr>
                        <m:sty m:val="p"/>
                      </m:rP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Δ</m:t>
                    </m:r>
                    <m:sSup>
                      <m:sSup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p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</m:t>
                        </m:r>
                      </m:sup>
                    </m:sSup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Sup>
                      <m:sSubSup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𝑜𝑛</m:t>
                        </m:r>
                      </m:sub>
                      <m:sup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‡</m:t>
                        </m:r>
                      </m:sup>
                    </m:sSubSup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−</m:t>
                    </m:r>
                    <m:sSubSup>
                      <m:sSubSup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𝑜𝑓𝑓</m:t>
                        </m:r>
                      </m:sub>
                      <m:sup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‡</m:t>
                        </m:r>
                      </m:sup>
                    </m:sSubSup>
                  </m:oMath>
                  <m:oMath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𝑘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(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𝑃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)=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</m:t>
                        </m:r>
                      </m:sub>
                    </m:sSub>
                    <m:sSup>
                      <m:sSup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d>
                          <m:d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sSup>
                                  <m:sSupPr>
                                    <m:ctrlP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𝑉</m:t>
                                    </m:r>
                                  </m:e>
                                  <m:sup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‡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𝑅𝑇</m:t>
                                </m:r>
                              </m:den>
                            </m:f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</m:d>
                      </m:sup>
                    </m:sSup>
                  </m:oMath>
                  <m:oMath>
                    <m:r>
                      <m:rPr>
                        <m:sty m:val="p"/>
                      </m:rP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Δ</m:t>
                    </m:r>
                    <m:sSubSup>
                      <m:sSubSup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𝑜𝑛</m:t>
                        </m:r>
                      </m:sub>
                      <m:sup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‡</m:t>
                        </m:r>
                      </m:sup>
                    </m:sSubSup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=−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𝑅𝑇</m:t>
                    </m:r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func>
                              <m:funcPr>
                                <m:ctrlPr>
                                  <a:rPr lang="en-CA" i="0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CA" i="0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ln</m:t>
                                </m:r>
                              </m:fName>
                              <m:e>
                                <m:sSub>
                                  <m:sSubPr>
                                    <m:ctrlP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𝑘</m:t>
                                    </m:r>
                                  </m:e>
                                  <m:sub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𝑜𝑛</m:t>
                                    </m:r>
                                  </m:sub>
                                </m:sSub>
                              </m:e>
                            </m:func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𝑑𝑃</m:t>
                            </m:r>
                          </m:den>
                        </m:f>
                      </m:e>
                    </m:d>
                  </m:oMath>
                  <m:oMath>
                    <m:r>
                      <m:rPr>
                        <m:sty m:val="p"/>
                      </m:rP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Δ</m:t>
                    </m:r>
                    <m:sSubSup>
                      <m:sSubSup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𝑜𝑓𝑓</m:t>
                        </m:r>
                      </m:sub>
                      <m:sup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‡</m:t>
                        </m:r>
                      </m:sup>
                    </m:sSubSup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=−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𝑅𝑇</m:t>
                    </m:r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func>
                              <m:funcPr>
                                <m:ctrlPr>
                                  <a:rPr lang="en-CA" i="0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CA" i="0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ln</m:t>
                                </m:r>
                              </m:fName>
                              <m:e>
                                <m:sSub>
                                  <m:sSubPr>
                                    <m:ctrlP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𝑘</m:t>
                                    </m:r>
                                  </m:e>
                                  <m:sub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𝑜𝑓𝑓</m:t>
                                    </m:r>
                                  </m:sub>
                                </m:sSub>
                              </m:e>
                            </m:func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𝑑𝑃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CA"/>
            </a:p>
          </xdr:txBody>
        </xdr:sp>
      </mc:Choice>
      <mc:Fallback xmlns="">
        <xdr:sp macro="" textlink="">
          <xdr:nvSpPr>
            <xdr:cNvPr id="6" name="Object 5">
              <a:extLst>
                <a:ext uri="{63B3BB69-23CF-44E3-9099-C40C66FF867C}">
                  <a14:compatExt xmlns:a14="http://schemas.microsoft.com/office/drawing/2010/main"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 txBox="1"/>
          </xdr:nvSpPr>
          <xdr:spPr>
            <a:xfrm>
              <a:off x="7316665" y="82550"/>
              <a:ext cx="1732300" cy="3227681"/>
            </a:xfrm>
            <a:prstGeom prst="rect">
              <a:avLst/>
            </a:prstGeom>
            <a:solidFill>
              <a:schemeClr val="bg1"/>
            </a:solidFill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𝑘(𝑇)=𝑘_𝑜 𝑒^(((−𝐸^‡)/𝑅𝑇) )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ln⁡( 𝑘)=−𝐸^‡/𝑅𝑇+〖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ln⁡(</a:t>
              </a: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𝑘〗_𝑜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)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𝐸_𝑜𝑛^‡=−((𝑑 ln⁡〖𝑘_𝑜𝑛 〗)/(𝑑 1⁄𝑇))∗𝑅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𝑘_(𝑜_𝑜𝑛)="intercept"</a:t>
              </a:r>
              <a:b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𝐸_𝑜𝑓𝑓^‡=−((𝑑 ln⁡〖𝑘_𝑜𝑓𝑓 〗)/(𝑑 1⁄𝑇))∗𝑅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𝑘_(𝑜_𝑜𝑓𝑓)="intercept"</a:t>
              </a:r>
              <a:b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Δ𝐻^𝑜=𝐸_𝑜𝑛^‡−𝐸_𝑜𝑓𝑓^‡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𝑘(𝑃)=𝑘_𝑜 𝑒^(((−𝑉^‡)/𝑅𝑇 𝑃) )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Δ𝑉_𝑜𝑛^‡=−𝑅𝑇((𝑑 ln⁡〖𝑘_𝑜𝑛 〗)/𝑑𝑃)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Δ𝑉_𝑜𝑓𝑓^‡=−𝑅𝑇((𝑑 ln⁡〖𝑘_𝑜𝑓𝑓 〗)/𝑑𝑃)</a:t>
              </a:r>
              <a:endParaRPr lang="en-CA"/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87679</xdr:colOff>
      <xdr:row>33</xdr:row>
      <xdr:rowOff>0</xdr:rowOff>
    </xdr:from>
    <xdr:to>
      <xdr:col>3</xdr:col>
      <xdr:colOff>287704</xdr:colOff>
      <xdr:row>35</xdr:row>
      <xdr:rowOff>35658</xdr:rowOff>
    </xdr:to>
    <xdr:sp macro="" textlink="">
      <xdr:nvSpPr>
        <xdr:cNvPr id="2" name="Text Box 8">
          <a:extLst>
            <a:ext uri="{FF2B5EF4-FFF2-40B4-BE49-F238E27FC236}">
              <a16:creationId xmlns:a16="http://schemas.microsoft.com/office/drawing/2014/main" id="{F6E53884-E470-44D1-A0EF-5ADCCF9CB4B2}"/>
            </a:ext>
          </a:extLst>
        </xdr:cNvPr>
        <xdr:cNvSpPr txBox="1">
          <a:spLocks noChangeArrowheads="1"/>
        </xdr:cNvSpPr>
      </xdr:nvSpPr>
      <xdr:spPr bwMode="auto">
        <a:xfrm>
          <a:off x="87679" y="5382846"/>
          <a:ext cx="2119679" cy="35804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1" u="none" strike="noStrike" baseline="0">
              <a:solidFill>
                <a:srgbClr val="000000"/>
              </a:solidFill>
              <a:latin typeface="Symbol"/>
            </a:rPr>
            <a:t>D</a:t>
          </a:r>
          <a:r>
            <a:rPr lang="en-US" sz="1100" b="0" i="1" u="none" strike="noStrike" baseline="0">
              <a:solidFill>
                <a:srgbClr val="000000"/>
              </a:solidFill>
              <a:latin typeface="Arial"/>
              <a:cs typeface="Arial"/>
            </a:rPr>
            <a:t>Vt = (dT</a:t>
          </a:r>
          <a:r>
            <a:rPr lang="en-US" sz="1100" b="0" i="1" u="none" strike="noStrike" baseline="-25000">
              <a:solidFill>
                <a:srgbClr val="000000"/>
              </a:solidFill>
              <a:latin typeface="Arial"/>
              <a:cs typeface="Arial"/>
            </a:rPr>
            <a:t>M</a:t>
          </a:r>
          <a:r>
            <a:rPr lang="en-US" sz="1100" b="0" i="1" u="none" strike="noStrike" baseline="0">
              <a:solidFill>
                <a:srgbClr val="000000"/>
              </a:solidFill>
              <a:latin typeface="Arial"/>
              <a:cs typeface="Arial"/>
            </a:rPr>
            <a:t>/dP) </a:t>
          </a:r>
          <a:r>
            <a:rPr lang="en-US" sz="1100" b="0" i="1" u="none" strike="noStrike" baseline="0">
              <a:solidFill>
                <a:srgbClr val="000000"/>
              </a:solidFill>
              <a:latin typeface="Symbol"/>
              <a:cs typeface="Arial"/>
            </a:rPr>
            <a:t>D</a:t>
          </a:r>
          <a:r>
            <a:rPr lang="en-US" sz="1100" b="0" i="1" u="none" strike="noStrike" baseline="0">
              <a:solidFill>
                <a:srgbClr val="000000"/>
              </a:solidFill>
              <a:latin typeface="Arial"/>
              <a:cs typeface="Arial"/>
            </a:rPr>
            <a:t>Hcal / T</a:t>
          </a:r>
          <a:r>
            <a:rPr lang="en-US" sz="1100" b="0" i="1" u="none" strike="noStrike" baseline="-2500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8</xdr:col>
      <xdr:colOff>28575</xdr:colOff>
      <xdr:row>15</xdr:row>
      <xdr:rowOff>85725</xdr:rowOff>
    </xdr:from>
    <xdr:to>
      <xdr:col>11</xdr:col>
      <xdr:colOff>238125</xdr:colOff>
      <xdr:row>24</xdr:row>
      <xdr:rowOff>19050</xdr:rowOff>
    </xdr:to>
    <xdr:sp macro="" textlink="">
      <xdr:nvSpPr>
        <xdr:cNvPr id="3" name="Text Box 9">
          <a:extLst>
            <a:ext uri="{FF2B5EF4-FFF2-40B4-BE49-F238E27FC236}">
              <a16:creationId xmlns:a16="http://schemas.microsoft.com/office/drawing/2014/main" id="{80DD9815-F487-407D-9F8C-F34BA85B61BC}"/>
            </a:ext>
          </a:extLst>
        </xdr:cNvPr>
        <xdr:cNvSpPr txBox="1">
          <a:spLocks noChangeArrowheads="1"/>
        </xdr:cNvSpPr>
      </xdr:nvSpPr>
      <xdr:spPr bwMode="auto">
        <a:xfrm>
          <a:off x="5159375" y="2466975"/>
          <a:ext cx="2133600" cy="1362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1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Units:</a:t>
          </a:r>
        </a:p>
        <a:p>
          <a:pPr algn="l" rtl="0">
            <a:defRPr sz="1000"/>
          </a:pPr>
          <a:r>
            <a:rPr lang="en-US" sz="11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kon, kon_o: (uM s)</a:t>
          </a:r>
          <a:r>
            <a:rPr lang="en-US" sz="1100" b="0" i="1" u="none" strike="noStrike" baseline="30000">
              <a:solidFill>
                <a:srgbClr val="000000"/>
              </a:solidFill>
              <a:latin typeface="Times New Roman"/>
              <a:cs typeface="Times New Roman"/>
            </a:rPr>
            <a:t>-1</a:t>
          </a:r>
          <a:endParaRPr lang="en-US" sz="11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US" sz="11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koff, koff_o: s</a:t>
          </a:r>
          <a:r>
            <a:rPr lang="en-US" sz="1100" b="0" i="1" u="none" strike="noStrike" baseline="30000">
              <a:solidFill>
                <a:srgbClr val="000000"/>
              </a:solidFill>
              <a:latin typeface="Times New Roman"/>
              <a:cs typeface="Times New Roman"/>
            </a:rPr>
            <a:t>-1</a:t>
          </a:r>
          <a:endParaRPr lang="en-US" sz="11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US" sz="1100" b="0" i="1" u="none" strike="noStrike" baseline="0">
              <a:solidFill>
                <a:srgbClr val="000000"/>
              </a:solidFill>
              <a:latin typeface="Symbol"/>
            </a:rPr>
            <a:t>D</a:t>
          </a:r>
          <a:r>
            <a:rPr lang="en-US" sz="11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H</a:t>
          </a:r>
          <a:r>
            <a:rPr lang="en-US" sz="1100" b="0" i="1" u="none" strike="noStrike" baseline="30000">
              <a:solidFill>
                <a:srgbClr val="000000"/>
              </a:solidFill>
              <a:latin typeface="Times New Roman"/>
              <a:cs typeface="Times New Roman"/>
            </a:rPr>
            <a:t>o</a:t>
          </a:r>
          <a:r>
            <a:rPr lang="en-US" sz="11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: J/mol</a:t>
          </a:r>
        </a:p>
        <a:p>
          <a:pPr algn="l" rtl="0">
            <a:defRPr sz="1000"/>
          </a:pPr>
          <a:r>
            <a:rPr lang="en-US" sz="11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</a:t>
          </a:r>
          <a:r>
            <a:rPr lang="en-US" sz="1100" b="0" i="1" u="none" strike="noStrike" baseline="30000">
              <a:solidFill>
                <a:srgbClr val="000000"/>
              </a:solidFill>
              <a:latin typeface="Times New Roman"/>
              <a:cs typeface="Times New Roman"/>
            </a:rPr>
            <a:t>‡</a:t>
          </a:r>
          <a:r>
            <a:rPr lang="en-US" sz="11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on, E</a:t>
          </a:r>
          <a:r>
            <a:rPr lang="en-US" sz="1100" b="0" i="1" u="none" strike="noStrike" baseline="30000">
              <a:solidFill>
                <a:srgbClr val="000000"/>
              </a:solidFill>
              <a:latin typeface="Times New Roman"/>
              <a:cs typeface="Times New Roman"/>
            </a:rPr>
            <a:t>‡</a:t>
          </a:r>
          <a:r>
            <a:rPr lang="en-US" sz="11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off: J/mol</a:t>
          </a:r>
        </a:p>
        <a:p>
          <a:pPr algn="l" rtl="0">
            <a:defRPr sz="1000"/>
          </a:pPr>
          <a:r>
            <a:rPr lang="en-US" sz="1100" b="0" i="1" u="none" strike="noStrike" baseline="0">
              <a:solidFill>
                <a:srgbClr val="000000"/>
              </a:solidFill>
              <a:latin typeface="Symbol"/>
            </a:rPr>
            <a:t>D</a:t>
          </a:r>
          <a:r>
            <a:rPr lang="en-US" sz="11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V: mL/mol</a:t>
          </a:r>
        </a:p>
      </xdr:txBody>
    </xdr:sp>
    <xdr:clientData/>
  </xdr:twoCellAnchor>
  <xdr:twoCellAnchor>
    <xdr:from>
      <xdr:col>15</xdr:col>
      <xdr:colOff>168520</xdr:colOff>
      <xdr:row>9</xdr:row>
      <xdr:rowOff>87923</xdr:rowOff>
    </xdr:from>
    <xdr:to>
      <xdr:col>22</xdr:col>
      <xdr:colOff>520211</xdr:colOff>
      <xdr:row>22</xdr:row>
      <xdr:rowOff>102577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C939B71-107E-43E1-9690-687835AA7E4E}"/>
            </a:ext>
          </a:extLst>
        </xdr:cNvPr>
        <xdr:cNvSpPr txBox="1"/>
      </xdr:nvSpPr>
      <xdr:spPr>
        <a:xfrm>
          <a:off x="9788770" y="1516673"/>
          <a:ext cx="4841141" cy="20784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CC_ode &lt;- function(t, state, parms){  </a:t>
          </a:r>
        </a:p>
        <a:p>
          <a:r>
            <a:rPr lang="en-CA" sz="1100" baseline="0"/>
            <a:t>    </a:t>
          </a:r>
          <a:r>
            <a:rPr lang="en-CA" sz="1100"/>
            <a:t>alpha &lt;- state[1] </a:t>
          </a:r>
        </a:p>
        <a:p>
          <a:r>
            <a:rPr lang="en-CA" sz="1100"/>
            <a:t>    kon &lt;- parms[1] </a:t>
          </a:r>
        </a:p>
        <a:p>
          <a:r>
            <a:rPr lang="en-CA" sz="1100"/>
            <a:t>    Temp &lt;- CC_Tfun(t)  </a:t>
          </a:r>
        </a:p>
        <a:p>
          <a:r>
            <a:rPr lang="en-CA" sz="1100"/>
            <a:t>    K &lt;- Kfun(Temp)      #this is "Kval" in the heating-curve convention </a:t>
          </a:r>
        </a:p>
        <a:p>
          <a:r>
            <a:rPr lang="en-CA" sz="1100"/>
            <a:t>    koff &lt;- 2*kon/K      #koff = kon/K_assoc, K_assoc = Kval/2 (see note above) </a:t>
          </a:r>
        </a:p>
        <a:p>
          <a:r>
            <a:rPr lang="en-CA" sz="1100" baseline="0"/>
            <a:t>    </a:t>
          </a:r>
          <a:r>
            <a:rPr lang="en-CA" sz="1100"/>
            <a:t>dalpha &lt;- kon*Ct*(1-alpha)^2 - koff*alpha </a:t>
          </a:r>
        </a:p>
        <a:p>
          <a:r>
            <a:rPr lang="en-CA" sz="1100"/>
            <a:t>    list(dalpha)</a:t>
          </a:r>
        </a:p>
        <a:p>
          <a:r>
            <a:rPr lang="en-CA" sz="1100"/>
            <a:t>}</a:t>
          </a:r>
        </a:p>
      </xdr:txBody>
    </xdr:sp>
    <xdr:clientData/>
  </xdr:twoCellAnchor>
  <xdr:twoCellAnchor editAs="oneCell">
    <xdr:from>
      <xdr:col>3</xdr:col>
      <xdr:colOff>54220</xdr:colOff>
      <xdr:row>0</xdr:row>
      <xdr:rowOff>147516</xdr:rowOff>
    </xdr:from>
    <xdr:to>
      <xdr:col>7</xdr:col>
      <xdr:colOff>493346</xdr:colOff>
      <xdr:row>31</xdr:row>
      <xdr:rowOff>107462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Object 2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22F1C579-0224-49E5-B49E-43AA58AAD685}"/>
                </a:ext>
              </a:extLst>
            </xdr:cNvPr>
            <xdr:cNvSpPr txBox="1"/>
          </xdr:nvSpPr>
          <xdr:spPr>
            <a:xfrm>
              <a:off x="1973874" y="147516"/>
              <a:ext cx="2998664" cy="5020408"/>
            </a:xfrm>
            <a:prstGeom prst="rect">
              <a:avLst/>
            </a:prstGeom>
            <a:solidFill>
              <a:schemeClr val="bg1"/>
            </a:solidFill>
          </xdr:spPr>
          <xdr:txBody>
            <a:bodyPr vertOverflow="clip" horzOverflow="clip" wrap="none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[</m:t>
                            </m:r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𝐷</m:t>
                            </m:r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]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𝑑𝑡</m:t>
                            </m:r>
                          </m:den>
                        </m:f>
                      </m:e>
                    </m:d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𝑜𝑛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𝑆</m:t>
                        </m:r>
                        <m:sSub>
                          <m:sSub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  <m:d>
                      <m:dPr>
                        <m:begChr m:val="["/>
                        <m:endChr m:val="]"/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𝑆</m:t>
                        </m:r>
                        <m:sSub>
                          <m:sSub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𝑜𝑓𝑓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</m:d>
                  </m:oMath>
                </m:oMathPara>
              </a14:m>
              <a:endParaRPr lang="en-CA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d>
                      <m:dPr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[</m:t>
                            </m:r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]</m:t>
                            </m:r>
                          </m:num>
                          <m:den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𝑑𝑡</m:t>
                            </m:r>
                          </m:den>
                        </m:f>
                      </m:e>
                    </m:d>
                    <m:r>
                      <a:rPr lang="en-CA" sz="110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𝑜𝑛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[</m:t>
                        </m:r>
                        <m: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𝑆𝑆</m:t>
                        </m:r>
                        <m: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]</m:t>
                        </m:r>
                      </m:e>
                      <m:sup>
                        <m: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n-CA" sz="110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𝑜𝑓𝑓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</m:d>
                  </m:oMath>
                </m:oMathPara>
              </a14:m>
              <a:endParaRPr lang="en-CA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d>
                      <m:dPr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  <m:d>
                              <m:dPr>
                                <m:ctrlPr>
                                  <a:rPr lang="en-CA" sz="110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CA" sz="1100" i="1"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CA" sz="1100" i="1"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𝛼</m:t>
                                    </m:r>
                                    <m:sSub>
                                      <m:sSubPr>
                                        <m:ctrlPr>
                                          <a:rPr lang="en-CA" sz="1100" b="0" i="1"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CA" sz="1100" b="0" i="1"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𝐶</m:t>
                                        </m:r>
                                      </m:e>
                                      <m:sub>
                                        <m:r>
                                          <a:rPr lang="en-CA" sz="1100" b="0" i="1"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𝑇</m:t>
                                        </m:r>
                                      </m:sub>
                                    </m:sSub>
                                  </m:num>
                                  <m:den>
                                    <m:r>
                                      <a:rPr lang="en-CA" sz="1100" b="0" i="1"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den>
                                </m:f>
                              </m:e>
                            </m:d>
                          </m:num>
                          <m:den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𝑑𝑡</m:t>
                            </m:r>
                          </m:den>
                        </m:f>
                      </m:e>
                    </m:d>
                    <m:r>
                      <a:rPr lang="en-CA" sz="110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𝑜𝑛</m:t>
                        </m:r>
                      </m:sub>
                    </m:sSub>
                    <m:sSup>
                      <m:sSup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CA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CA" sz="1100" b="0" i="1"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sz="1100" b="0" i="1"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n-CA" sz="1100" b="0" i="1"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CA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d>
                              <m:dPr>
                                <m:ctrlPr>
                                  <a:rPr lang="en-CA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CA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1−</m:t>
                                </m:r>
                                <m:r>
                                  <a:rPr lang="en-CA" sz="110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𝛼</m:t>
                                </m:r>
                              </m:e>
                            </m:d>
                          </m:e>
                        </m:d>
                      </m:e>
                      <m:sup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n-CA" sz="110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𝑜𝑓𝑓</m:t>
                        </m:r>
                      </m:sub>
                    </m:sSub>
                    <m:f>
                      <m:fPr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𝛼</m:t>
                        </m:r>
                        <m:sSub>
                          <m:sSub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sub>
                        </m:sSub>
                      </m:num>
                      <m:den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en-CA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f>
                      <m:f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sub>
                        </m:sSub>
                      </m:num>
                      <m:den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d>
                      <m:dPr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𝛼</m:t>
                            </m:r>
                          </m:num>
                          <m:den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𝑑𝑡</m:t>
                            </m:r>
                          </m:den>
                        </m:f>
                      </m:e>
                    </m:d>
                    <m:r>
                      <a:rPr lang="en-CA" sz="110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𝑜𝑛</m:t>
                        </m:r>
                      </m:sub>
                    </m:sSub>
                    <m:sSup>
                      <m:sSup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CA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CA" sz="1100" b="0" i="1"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sz="1100" b="0" i="1"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n-CA" sz="1100" b="0" i="1"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CA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sSup>
                      <m:sSupPr>
                        <m:ctrlP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r>
                              <a:rPr lang="en-US" sz="1100" b="0" i="1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𝛼</m:t>
                            </m:r>
                          </m:e>
                        </m:d>
                      </m:e>
                      <m:sup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n-CA" sz="110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f>
                          <m:f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CA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CA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sub>
                            </m:sSub>
                          </m:num>
                          <m:den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𝑜𝑓𝑓</m:t>
                        </m:r>
                      </m:sub>
                    </m:sSub>
                    <m:r>
                      <a:rPr lang="en-CA" sz="1100" i="1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𝛼</m:t>
                    </m:r>
                  </m:oMath>
                </m:oMathPara>
              </a14:m>
              <a:endParaRPr lang="en-CA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endParaRPr lang="en-CA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d>
                      <m:dPr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𝛼</m:t>
                            </m:r>
                          </m:num>
                          <m:den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𝑑𝑡</m:t>
                            </m:r>
                          </m:den>
                        </m:f>
                      </m:e>
                    </m:d>
                    <m:r>
                      <a:rPr lang="en-CA" sz="110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𝑜𝑛</m:t>
                        </m:r>
                      </m:sub>
                    </m:sSub>
                    <m:f>
                      <m:f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sub>
                        </m:sSub>
                      </m:num>
                      <m:den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sSup>
                      <m:sSup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𝛼</m:t>
                            </m:r>
                          </m:e>
                        </m:d>
                      </m:e>
                      <m:sup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n-CA" sz="110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𝑜𝑓𝑓</m:t>
                        </m:r>
                      </m:sub>
                    </m:sSub>
                    <m:r>
                      <a:rPr lang="en-CA" sz="110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𝛼</m:t>
                    </m:r>
                  </m:oMath>
                  <m:oMath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𝛼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𝛼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𝑑𝑡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𝑑𝑡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</m:oMath>
                  <m:oMath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𝛼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𝑜𝑛</m:t>
                        </m:r>
                      </m:sub>
                    </m:sSub>
                    <m:f>
                      <m:f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sub>
                        </m:sSub>
                      </m:num>
                      <m:den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sSup>
                      <m:sSup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𝛼</m:t>
                            </m:r>
                          </m:e>
                        </m:d>
                      </m:e>
                      <m:sup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𝑑𝑡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𝑜𝑓𝑓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𝛼</m:t>
                    </m:r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𝑑𝑡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</m:oMath>
                  <m:oMath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sub>
                        </m:sSub>
                      </m:num>
                      <m:den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sSup>
                      <m:sSup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𝛼</m:t>
                            </m:r>
                          </m:e>
                        </m:d>
                      </m:e>
                      <m:sup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𝑑𝑡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</m:oMath>
                  <m:oMath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𝑏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=−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𝛼</m:t>
                    </m:r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𝑑𝑡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</m:oMath>
                  <m:oMath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𝛼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𝑜𝑛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−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𝑏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𝑜𝑓𝑓</m:t>
                        </m:r>
                      </m:sub>
                    </m:sSub>
                  </m:oMath>
                </m:oMathPara>
              </a14:m>
              <a:endParaRPr lang="en-CA"/>
            </a:p>
          </xdr:txBody>
        </xdr:sp>
      </mc:Choice>
      <mc:Fallback xmlns="">
        <xdr:sp macro="" textlink="">
          <xdr:nvSpPr>
            <xdr:cNvPr id="5" name="Object 2">
              <a:extLst>
                <a:ext uri="{63B3BB69-23CF-44E3-9099-C40C66FF867C}">
                  <a14:compatExt xmlns:a14="http://schemas.microsoft.com/office/drawing/2010/main" spid="_x0000_s5122"/>
                </a:ext>
                <a:ext uri="{FF2B5EF4-FFF2-40B4-BE49-F238E27FC236}">
                  <a16:creationId xmlns:a16="http://schemas.microsoft.com/office/drawing/2014/main" id="{22F1C579-0224-49E5-B49E-43AA58AAD685}"/>
                </a:ext>
              </a:extLst>
            </xdr:cNvPr>
            <xdr:cNvSpPr txBox="1"/>
          </xdr:nvSpPr>
          <xdr:spPr>
            <a:xfrm>
              <a:off x="1973874" y="147516"/>
              <a:ext cx="2998664" cy="5020408"/>
            </a:xfrm>
            <a:prstGeom prst="rect">
              <a:avLst/>
            </a:prstGeom>
            <a:solidFill>
              <a:schemeClr val="bg1"/>
            </a:solidFill>
          </xdr:spPr>
          <xdr:txBody>
            <a:bodyPr vertOverflow="clip" horzOverflow="clip" wrap="none">
              <a:noAutofit/>
            </a:bodyPr>
            <a:lstStyle/>
            <a:p>
              <a:pPr/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((𝑑[𝐷])/𝑑𝑡)=𝑘_𝑜𝑛 [𝑆𝑆_1 ][𝑆𝑆_2 ]−𝑘_𝑜𝑓𝑓 [𝐷]</a:t>
              </a:r>
              <a:endParaRPr lang="en-CA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/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((𝑑[𝐷])/𝑑𝑡)=𝑘_𝑜𝑛</a:t>
              </a:r>
              <a:r>
                <a:rPr lang="en-CA" sz="110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〖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[𝑆𝑆]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−𝑘_𝑜𝑓𝑓 [𝐷]</a:t>
              </a:r>
              <a:endParaRPr lang="en-CA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/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(𝑑</a:t>
              </a:r>
              <a:r>
                <a:rPr lang="en-CA" sz="110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𝛼</a:t>
              </a: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𝐶_𝑇)/2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𝑑𝑡)=𝑘_𝑜𝑛 </a:t>
              </a:r>
              <a:r>
                <a:rPr lang="en-CA" sz="110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𝐶_𝑇/2 (1−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𝛼)</a:t>
              </a:r>
              <a:r>
                <a:rPr lang="en-CA" sz="110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^</a:t>
              </a: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2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−𝑘_𝑜𝑓𝑓</a:t>
              </a: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𝛼</a:t>
              </a: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𝐶_𝑇)/2</a:t>
              </a:r>
              <a:endParaRPr lang="en-CA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/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𝐶_𝑇/2 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(𝑑𝛼/𝑑𝑡)=𝑘_𝑜𝑛</a:t>
              </a:r>
              <a:r>
                <a:rPr lang="en-CA" sz="110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𝐶_𝑇/2)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1−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𝛼</a:t>
              </a: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)^2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−〖</a:t>
              </a: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𝐶_𝑇/2 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𝑘〗_𝑜𝑓𝑓</a:t>
              </a:r>
              <a:r>
                <a:rPr lang="en-CA" sz="1100" i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𝛼</a:t>
              </a:r>
              <a:endParaRPr lang="en-CA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/>
              <a:endParaRPr lang="en-CA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(𝑑𝛼/𝑑𝑡)=𝑘_𝑜𝑛</a:t>
              </a: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𝐶_𝑇/2 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1−𝛼)^2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−𝑘_𝑜𝑓𝑓 𝛼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(𝑑𝛼/𝑑𝑇)=(𝑑𝛼/𝑑𝑡)(𝑑𝑡/𝑑𝑇)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(𝑑𝛼/𝑑𝑇)=𝑘_𝑜𝑛</a:t>
              </a:r>
              <a:r>
                <a:rPr lang="en-CA" sz="1100" b="0" i="0">
                  <a:solidFill>
                    <a:srgbClr val="000000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𝐶_𝑇/2 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1−𝛼)^2</a:t>
              </a:r>
              <a:r>
                <a:rPr lang="en-CA" sz="1100" b="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(𝑑𝑡/𝑑𝑇)−𝑘_𝑜𝑓𝑓 𝛼(𝑑𝑡/𝑑𝑇)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𝑎=</a:t>
              </a: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𝐶_𝑇/2 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1−𝛼)^2</a:t>
              </a:r>
              <a:r>
                <a:rPr lang="en-CA" sz="1100" b="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(𝑑𝑡/𝑑𝑇)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𝑏=−𝛼(𝑑𝑡/𝑑𝑇)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(𝑑𝛼/𝑑𝑇)=𝑎*𝑘_𝑜𝑛−𝑏*𝑘_𝑜𝑓𝑓</a:t>
              </a:r>
              <a:endParaRPr lang="en-CA"/>
            </a:p>
          </xdr:txBody>
        </xdr:sp>
      </mc:Fallback>
    </mc:AlternateContent>
    <xdr:clientData/>
  </xdr:twoCellAnchor>
  <xdr:twoCellAnchor editAs="oneCell">
    <xdr:from>
      <xdr:col>0</xdr:col>
      <xdr:colOff>75222</xdr:colOff>
      <xdr:row>1</xdr:row>
      <xdr:rowOff>15630</xdr:rowOff>
    </xdr:from>
    <xdr:to>
      <xdr:col>2</xdr:col>
      <xdr:colOff>639884</xdr:colOff>
      <xdr:row>31</xdr:row>
      <xdr:rowOff>107461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Object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A5A1EF34-6AE1-49F1-A353-C1FC2AC71494}"/>
                </a:ext>
              </a:extLst>
            </xdr:cNvPr>
            <xdr:cNvSpPr txBox="1"/>
          </xdr:nvSpPr>
          <xdr:spPr>
            <a:xfrm>
              <a:off x="75222" y="176822"/>
              <a:ext cx="1844431" cy="4991101"/>
            </a:xfrm>
            <a:prstGeom prst="rect">
              <a:avLst/>
            </a:prstGeom>
            <a:solidFill>
              <a:schemeClr val="bg1"/>
            </a:solidFill>
          </xdr:spPr>
          <xdr:txBody>
            <a:bodyPr vertOverflow="clip" horzOverflow="clip" wrap="none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𝑆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𝑆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m>
                      <m:mPr>
                        <m:plcHide m:val="on"/>
                        <m:mcs>
                          <m:mc>
                            <m:mcPr>
                              <m:count m:val="1"/>
                              <m:mcJc m:val="center"/>
                            </m:mcPr>
                          </m:mc>
                        </m:mcs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mPr>
                      <m:mr>
                        <m:e>
                          <m:groupChr>
                            <m:groupChrPr>
                              <m:chr m:val="→"/>
                              <m:pos m:val="bot"/>
                              <m:vertJc m:val="bot"/>
                              <m:ctrlPr>
                                <a:rPr lang="en-CA" i="1">
                                  <a:solidFill>
                                    <a:srgbClr val="000000"/>
                                  </a:solidFill>
                                  <a:latin typeface="Cambria Math" panose="02040503050406030204" pitchFamily="18" charset="0"/>
                                </a:rPr>
                              </m:ctrlPr>
                            </m:groupChrPr>
                            <m:e>
                              <m:r>
                                <a:rPr lang="en-CA" i="1">
                                  <a:solidFill>
                                    <a:srgbClr val="000000"/>
                                  </a:solidFill>
                                  <a:latin typeface="Cambria Math" panose="02040503050406030204" pitchFamily="18" charset="0"/>
                                </a:rPr>
                                <m:t> </m:t>
                              </m:r>
                              <m:r>
                                <a:rPr lang="en-CA" i="1">
                                  <a:solidFill>
                                    <a:srgbClr val="000000"/>
                                  </a:solidFill>
                                  <a:latin typeface="Cambria Math" panose="02040503050406030204" pitchFamily="18" charset="0"/>
                                </a:rPr>
                                <m:t>𝑘𝑜𝑛</m:t>
                              </m:r>
                              <m:r>
                                <a:rPr lang="en-CA" i="1">
                                  <a:solidFill>
                                    <a:srgbClr val="000000"/>
                                  </a:solidFill>
                                  <a:latin typeface="Cambria Math" panose="02040503050406030204" pitchFamily="18" charset="0"/>
                                </a:rPr>
                                <m:t> </m:t>
                              </m:r>
                            </m:e>
                          </m:groupChr>
                        </m:e>
                      </m:mr>
                      <m:mr>
                        <m:e>
                          <m:groupChr>
                            <m:groupChrPr>
                              <m:chr m:val="←"/>
                              <m:pos m:val="top"/>
                              <m:vertJc m:val="top"/>
                              <m:ctrlPr>
                                <a:rPr lang="en-CA" i="1">
                                  <a:solidFill>
                                    <a:srgbClr val="000000"/>
                                  </a:solidFill>
                                  <a:latin typeface="Cambria Math" panose="02040503050406030204" pitchFamily="18" charset="0"/>
                                </a:rPr>
                              </m:ctrlPr>
                            </m:groupChrPr>
                            <m:e>
                              <m:r>
                                <a:rPr lang="en-CA" i="1">
                                  <a:solidFill>
                                    <a:srgbClr val="000000"/>
                                  </a:solidFill>
                                  <a:latin typeface="Cambria Math" panose="02040503050406030204" pitchFamily="18" charset="0"/>
                                </a:rPr>
                                <m:t> </m:t>
                              </m:r>
                              <m:r>
                                <a:rPr lang="en-CA" i="1">
                                  <a:solidFill>
                                    <a:srgbClr val="000000"/>
                                  </a:solidFill>
                                  <a:latin typeface="Cambria Math" panose="02040503050406030204" pitchFamily="18" charset="0"/>
                                </a:rPr>
                                <m:t>𝑘𝑜𝑓𝑓</m:t>
                              </m:r>
                              <m:r>
                                <a:rPr lang="en-CA" i="1">
                                  <a:solidFill>
                                    <a:srgbClr val="000000"/>
                                  </a:solidFill>
                                  <a:latin typeface="Cambria Math" panose="02040503050406030204" pitchFamily="18" charset="0"/>
                                </a:rPr>
                                <m:t> </m:t>
                              </m:r>
                            </m:e>
                          </m:groupChr>
                        </m:e>
                      </m:mr>
                    </m:m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𝐷</m:t>
                    </m:r>
                  </m:oMath>
                </m:oMathPara>
              </a14:m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endParaRPr lang="en-US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r>
                <a:rPr lang="en-CA"/>
                <a:t>Using</a:t>
              </a:r>
              <a:r>
                <a:rPr lang="en-CA" baseline="0"/>
                <a:t> C</a:t>
              </a:r>
              <a:r>
                <a:rPr lang="en-CA" baseline="-25000"/>
                <a:t>T</a:t>
              </a:r>
              <a:r>
                <a:rPr lang="en-CA" baseline="0"/>
                <a:t>:</a:t>
              </a: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sSub>
                      <m:sSubPr>
                        <m:ctrlP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sub>
                    </m:sSub>
                    <m:r>
                      <a:rPr lang="en-CA" sz="110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  <m:sSub>
                          <m:sSubPr>
                            <m:ctrlP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e>
                    </m:d>
                    <m:r>
                      <a:rPr lang="en-CA" sz="110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d>
                      <m:dPr>
                        <m:begChr m:val="["/>
                        <m:endChr m:val="]"/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  <m:sSub>
                          <m:sSubPr>
                            <m:ctrlP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US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+2</m:t>
                    </m:r>
                    <m:r>
                      <a:rPr lang="en-CA" sz="110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[</m:t>
                    </m:r>
                    <m:r>
                      <a:rPr lang="en-CA" sz="110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</m:t>
                    </m:r>
                    <m:r>
                      <a:rPr lang="en-CA" sz="110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lang="en-CA"/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𝐼𝑓</m:t>
                    </m:r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d>
                      <m:dPr>
                        <m:begChr m:val="["/>
                        <m:endChr m:val="]"/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  <m:sSub>
                          <m:sSubPr>
                            <m:ctrlP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  <m:sSub>
                          <m:sSubPr>
                            <m:ctrlP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US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</m:e>
                    </m:d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=[</m:t>
                    </m:r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𝑆𝑆</m:t>
                    </m:r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]:</m:t>
                    </m:r>
                  </m:oMath>
                </m:oMathPara>
              </a14:m>
              <a:endParaRPr lang="en-US" sz="1100" b="0">
                <a:effectLst/>
                <a:ea typeface="+mn-ea"/>
                <a:cs typeface="+mn-cs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sSub>
                      <m:sSub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sub>
                    </m:sSub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=2</m:t>
                    </m:r>
                    <m:d>
                      <m:dPr>
                        <m:begChr m:val="["/>
                        <m:endChr m:val="]"/>
                        <m:ctrlP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𝑆𝑆</m:t>
                        </m:r>
                      </m:e>
                    </m:d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+2</m:t>
                    </m:r>
                    <m:d>
                      <m:dPr>
                        <m:begChr m:val="["/>
                        <m:endChr m:val="]"/>
                        <m:ctrlP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</m:d>
                  </m:oMath>
                </m:oMathPara>
              </a14:m>
              <a:endParaRPr lang="en-US" sz="1100" b="0" i="1"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sSub>
                      <m:sSubPr>
                        <m:ctrlP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sub>
                    </m:sSub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=2(</m:t>
                    </m:r>
                    <m:d>
                      <m:dPr>
                        <m:begChr m:val="["/>
                        <m:endChr m:val="]"/>
                        <m:ctrlP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𝑆𝑆</m:t>
                        </m:r>
                      </m:e>
                    </m:d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+[</m:t>
                    </m:r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</m:t>
                    </m:r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])</m:t>
                    </m:r>
                  </m:oMath>
                </m:oMathPara>
              </a14:m>
              <a:endParaRPr lang="en-CA"/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r>
                      <a:rPr lang="en-CA" sz="110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𝛼</m:t>
                    </m:r>
                    <m:r>
                      <a:rPr lang="en-CA" sz="110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[</m:t>
                        </m:r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]</m:t>
                        </m:r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CA"/>
            </a:p>
            <a:p>
              <a:r>
                <a:rPr lang="en-CA"/>
                <a:t>We use this as</a:t>
              </a:r>
              <a:r>
                <a:rPr lang="en-CA" baseline="0"/>
                <a:t> a conversion factor:</a:t>
              </a: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d>
                      <m:dPr>
                        <m:begChr m:val="["/>
                        <m:endChr m:val="]"/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</m:d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𝛼</m:t>
                        </m:r>
                        <m:sSub>
                          <m:sSub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sub>
                        </m:sSub>
                      </m:num>
                      <m:den>
                        <m: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en-CA"/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d>
                      <m:dPr>
                        <m:begChr m:val="["/>
                        <m:endChr m:val="]"/>
                        <m:ctrlP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𝑆𝑆</m:t>
                        </m:r>
                      </m:e>
                    </m:d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d>
                      <m:dPr>
                        <m:begChr m:val="["/>
                        <m:endChr m:val="]"/>
                        <m:ctrlP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</m:d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sub>
                        </m:sSub>
                      </m:num>
                      <m:den>
                        <m: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en-CA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d>
                      <m:dPr>
                        <m:begChr m:val="["/>
                        <m:endChr m:val="]"/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𝑆𝑆</m:t>
                        </m:r>
                      </m:e>
                    </m:d>
                    <m:r>
                      <a:rPr lang="en-CA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sub>
                        </m:sSub>
                      </m:num>
                      <m:den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−[</m:t>
                    </m:r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</m:t>
                    </m:r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lang="en-CA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d>
                      <m:dPr>
                        <m:begChr m:val="["/>
                        <m:endChr m:val="]"/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𝑆𝑆</m:t>
                        </m:r>
                      </m:e>
                    </m:d>
                    <m:r>
                      <a:rPr lang="en-CA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sub>
                        </m:sSub>
                      </m:num>
                      <m:den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r>
                      <a:rPr lang="en-CA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f>
                      <m:fPr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𝛼</m:t>
                        </m:r>
                        <m:sSub>
                          <m:sSub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sub>
                        </m:sSub>
                      </m:num>
                      <m:den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en-US" sz="1100" b="0">
                <a:effectLst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d>
                      <m:dPr>
                        <m:begChr m:val="["/>
                        <m:endChr m:val="]"/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𝑆𝑆</m:t>
                        </m:r>
                      </m:e>
                    </m:d>
                    <m:r>
                      <a:rPr lang="en-CA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sub>
                        </m:sSub>
                      </m:num>
                      <m:den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d>
                      <m:dPr>
                        <m:ctrlP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1−</m:t>
                        </m:r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𝛼</m:t>
                        </m:r>
                      </m:e>
                    </m:d>
                  </m:oMath>
                </m:oMathPara>
              </a14:m>
              <a:endParaRPr lang="en-CA">
                <a:effectLst/>
              </a:endParaRPr>
            </a:p>
            <a:p>
              <a:endParaRPr lang="en-CA"/>
            </a:p>
          </xdr:txBody>
        </xdr:sp>
      </mc:Choice>
      <mc:Fallback xmlns="">
        <xdr:sp macro="" textlink="">
          <xdr:nvSpPr>
            <xdr:cNvPr id="6" name="Object 1">
              <a:extLst>
                <a:ext uri="{63B3BB69-23CF-44E3-9099-C40C66FF867C}">
                  <a14:compatExt xmlns:a14="http://schemas.microsoft.com/office/drawing/2010/main" spid="_x0000_s5121"/>
                </a:ext>
                <a:ext uri="{FF2B5EF4-FFF2-40B4-BE49-F238E27FC236}">
                  <a16:creationId xmlns:a16="http://schemas.microsoft.com/office/drawing/2014/main" id="{A5A1EF34-6AE1-49F1-A353-C1FC2AC71494}"/>
                </a:ext>
              </a:extLst>
            </xdr:cNvPr>
            <xdr:cNvSpPr txBox="1"/>
          </xdr:nvSpPr>
          <xdr:spPr>
            <a:xfrm>
              <a:off x="75222" y="176822"/>
              <a:ext cx="1844431" cy="4991101"/>
            </a:xfrm>
            <a:prstGeom prst="rect">
              <a:avLst/>
            </a:prstGeom>
            <a:solidFill>
              <a:schemeClr val="bg1"/>
            </a:solidFill>
          </xdr:spPr>
          <xdr:txBody>
            <a:bodyPr vertOverflow="clip" horzOverflow="clip" wrap="none">
              <a:noAutofit/>
            </a:bodyPr>
            <a:lstStyle/>
            <a:p>
              <a:pPr/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𝑆𝑆_1+𝑆𝑆_2 ■(→┴( 𝑘𝑜𝑛 )@←┬( 𝑘𝑜𝑓𝑓 ) )𝐷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endParaRPr lang="en-US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/>
              <a:r>
                <a:rPr lang="en-CA"/>
                <a:t>Using</a:t>
              </a:r>
              <a:r>
                <a:rPr lang="en-CA" baseline="0"/>
                <a:t> C</a:t>
              </a:r>
              <a:r>
                <a:rPr lang="en-CA" baseline="-25000"/>
                <a:t>T</a:t>
              </a:r>
              <a:r>
                <a:rPr lang="en-CA" baseline="0"/>
                <a:t>:</a:t>
              </a:r>
            </a:p>
            <a:p>
              <a:pPr/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𝑇=</a:t>
              </a:r>
              <a:r>
                <a:rPr lang="en-CA" sz="110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[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𝑆𝑆_1</a:t>
              </a:r>
              <a:r>
                <a:rPr lang="en-CA" sz="110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]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+</a:t>
              </a:r>
              <a:r>
                <a:rPr lang="en-CA" sz="110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[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𝑆𝑆_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]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+2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[𝐷]</a:t>
              </a:r>
              <a:endParaRPr lang="en-CA"/>
            </a:p>
            <a:p>
              <a:pPr/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𝐼𝑓 </a:t>
              </a:r>
              <a:r>
                <a:rPr lang="en-CA" sz="110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[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𝑆𝑆_1</a:t>
              </a:r>
              <a:r>
                <a:rPr lang="en-CA" sz="110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]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[𝑆𝑆_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 ]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=[𝑆𝑆]:</a:t>
              </a:r>
              <a:endParaRPr lang="en-US" sz="1100" b="0">
                <a:effectLst/>
                <a:ea typeface="+mn-ea"/>
                <a:cs typeface="+mn-cs"/>
              </a:endParaRPr>
            </a:p>
            <a:p>
              <a:pPr/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𝐶_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𝑇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=2[𝑆𝑆]+2[𝐷]</a:t>
              </a:r>
              <a:endParaRPr lang="en-US" sz="1100" b="0" i="1"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/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𝐶_𝑇=2([𝑆𝑆]+[𝐷])</a:t>
              </a:r>
              <a:endParaRPr lang="en-CA"/>
            </a:p>
            <a:p>
              <a:pPr/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𝛼=(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[𝐷])/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</a:t>
              </a: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 </a:t>
              </a:r>
              <a:endParaRPr lang="en-CA"/>
            </a:p>
            <a:p>
              <a:pPr/>
              <a:r>
                <a:rPr lang="en-CA"/>
                <a:t>We use this as</a:t>
              </a:r>
              <a:r>
                <a:rPr lang="en-CA" baseline="0"/>
                <a:t> a conversion factor:</a:t>
              </a:r>
            </a:p>
            <a:p>
              <a:pPr/>
              <a:r>
                <a:rPr lang="en-CA" sz="110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[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𝐷</a:t>
              </a:r>
              <a:r>
                <a:rPr lang="en-CA" sz="110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]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𝛼</a:t>
              </a: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𝐶_𝑇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endParaRPr lang="en-CA"/>
            </a:p>
            <a:p>
              <a:pPr/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[𝑆𝑆]+[𝐷]=𝐶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endParaRPr lang="en-CA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[𝑆𝑆]=𝐶_𝑇/2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−[𝐷]</a:t>
              </a:r>
              <a:endParaRPr lang="en-CA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[𝑆𝑆]=𝐶_𝑇/2−(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𝛼</a:t>
              </a: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𝐶_𝑇)/2</a:t>
              </a:r>
              <a:endParaRPr lang="en-US" sz="1100" b="0">
                <a:effectLst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CA" sz="1100" b="0" i="0">
                  <a:effectLst/>
                  <a:latin typeface="+mn-lt"/>
                  <a:ea typeface="+mn-ea"/>
                  <a:cs typeface="+mn-cs"/>
                </a:rPr>
                <a:t>[𝑆𝑆]=𝐶_𝑇/2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1−</a:t>
              </a:r>
              <a:r>
                <a:rPr lang="en-CA" sz="1100" i="0">
                  <a:effectLst/>
                  <a:latin typeface="+mn-lt"/>
                  <a:ea typeface="+mn-ea"/>
                  <a:cs typeface="+mn-cs"/>
                </a:rPr>
                <a:t>𝛼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n-CA">
                <a:effectLst/>
              </a:endParaRPr>
            </a:p>
            <a:p>
              <a:pPr/>
              <a:endParaRPr lang="en-CA"/>
            </a:p>
          </xdr:txBody>
        </xdr:sp>
      </mc:Fallback>
    </mc:AlternateContent>
    <xdr:clientData/>
  </xdr:twoCellAnchor>
  <xdr:twoCellAnchor editAs="oneCell">
    <xdr:from>
      <xdr:col>8</xdr:col>
      <xdr:colOff>38100</xdr:colOff>
      <xdr:row>0</xdr:row>
      <xdr:rowOff>88900</xdr:rowOff>
    </xdr:from>
    <xdr:to>
      <xdr:col>11</xdr:col>
      <xdr:colOff>228600</xdr:colOff>
      <xdr:row>14</xdr:row>
      <xdr:rowOff>152400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Object 4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464F0419-DD23-4D0A-BB1C-40B9A1765D00}"/>
                </a:ext>
              </a:extLst>
            </xdr:cNvPr>
            <xdr:cNvSpPr txBox="1"/>
          </xdr:nvSpPr>
          <xdr:spPr>
            <a:xfrm>
              <a:off x="5168900" y="88900"/>
              <a:ext cx="2114550" cy="2286000"/>
            </a:xfrm>
            <a:prstGeom prst="rect">
              <a:avLst/>
            </a:prstGeom>
            <a:solidFill>
              <a:schemeClr val="bg1"/>
            </a:solidFill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sSub>
                              <m:sSubPr>
                                <m:ctrlP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𝛼</m:t>
                                </m:r>
                              </m:e>
                              <m:sub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𝑜𝑛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𝑜𝑓𝑓</m:t>
                        </m:r>
                      </m:sub>
                    </m:sSub>
                  </m:oMath>
                  <m:oMath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sSub>
                              <m:sSubPr>
                                <m:ctrlP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𝛼</m:t>
                                </m:r>
                              </m:e>
                              <m:sub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ℎ</m:t>
                                </m:r>
                              </m:sub>
                            </m:sSub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ℎ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𝑜𝑛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ℎ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𝑜𝑓𝑓</m:t>
                        </m:r>
                      </m:sub>
                    </m:sSub>
                  </m:oMath>
                  <m:oMath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𝑜𝑓𝑓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  <m:sSub>
                                  <m:sSubPr>
                                    <m:ctrlP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𝛼</m:t>
                                    </m:r>
                                  </m:e>
                                  <m:sub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𝑑𝑇</m:t>
                                </m:r>
                              </m:den>
                            </m:f>
                          </m:e>
                        </m:d>
                        <m:sSub>
                          <m:sSub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ℎ</m:t>
                            </m:r>
                          </m:sub>
                        </m:s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d>
                          <m:d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  <m:sSub>
                                  <m:sSubPr>
                                    <m:ctrlP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𝛼</m:t>
                                    </m:r>
                                  </m:e>
                                  <m:sub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𝑑𝑇</m:t>
                                </m:r>
                              </m:den>
                            </m:f>
                          </m:e>
                        </m:d>
                        <m:sSub>
                          <m:sSub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sSub>
                          <m:sSub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ℎ</m:t>
                            </m:r>
                          </m:sub>
                        </m:s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ℎ</m:t>
                            </m:r>
                          </m:sub>
                        </m:sSub>
                        <m:sSub>
                          <m:sSub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</m:oMath>
                  <m:oMath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𝑜𝑛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  <m:sSub>
                                  <m:sSubPr>
                                    <m:ctrlP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𝛼</m:t>
                                    </m:r>
                                  </m:e>
                                  <m:sub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𝑑𝑇</m:t>
                                </m:r>
                              </m:den>
                            </m:f>
                          </m:e>
                        </m:d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𝑜𝑓𝑓</m:t>
                            </m:r>
                          </m:sub>
                        </m:sSub>
                        <m:sSub>
                          <m:sSub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ℎ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b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ℎ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CA"/>
            </a:p>
          </xdr:txBody>
        </xdr:sp>
      </mc:Choice>
      <mc:Fallback xmlns="">
        <xdr:sp macro="" textlink="">
          <xdr:nvSpPr>
            <xdr:cNvPr id="7" name="Object 4">
              <a:extLst>
                <a:ext uri="{63B3BB69-23CF-44E3-9099-C40C66FF867C}">
                  <a14:compatExt xmlns:a14="http://schemas.microsoft.com/office/drawing/2010/main" spid="_x0000_s5124"/>
                </a:ext>
                <a:ext uri="{FF2B5EF4-FFF2-40B4-BE49-F238E27FC236}">
                  <a16:creationId xmlns:a16="http://schemas.microsoft.com/office/drawing/2014/main" id="{464F0419-DD23-4D0A-BB1C-40B9A1765D00}"/>
                </a:ext>
              </a:extLst>
            </xdr:cNvPr>
            <xdr:cNvSpPr txBox="1"/>
          </xdr:nvSpPr>
          <xdr:spPr>
            <a:xfrm>
              <a:off x="5168900" y="88900"/>
              <a:ext cx="2114550" cy="2286000"/>
            </a:xfrm>
            <a:prstGeom prst="rect">
              <a:avLst/>
            </a:prstGeom>
            <a:solidFill>
              <a:schemeClr val="bg1"/>
            </a:solidFill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((𝑑𝛼_𝑐)/𝑑𝑇)=𝑎_𝑐*𝑘_𝑜𝑛−𝑏_𝑐*𝑘_𝑜𝑓𝑓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((𝑑𝛼_ℎ)/𝑑𝑇)=𝑎_ℎ*𝑘_𝑜𝑛−𝑏_ℎ*𝑘_𝑜𝑓𝑓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𝑘_𝑜𝑓𝑓=(((𝑑𝛼_𝑐)/𝑑𝑇) 𝑎_ℎ−((𝑑𝛼_ℎ)/𝑑𝑇) 𝑎_𝑐)/(𝑏_𝑐 𝑎_ℎ−𝑏_ℎ 𝑎_𝑐 )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𝑘_𝑜𝑛=(((𝑑𝛼_ℎ)/𝑑𝑇)−𝑘_𝑜𝑓𝑓 𝑏_ℎ)/𝑎_ℎ </a:t>
              </a:r>
              <a:endParaRPr lang="en-CA"/>
            </a:p>
          </xdr:txBody>
        </xdr:sp>
      </mc:Fallback>
    </mc:AlternateContent>
    <xdr:clientData/>
  </xdr:twoCellAnchor>
  <xdr:twoCellAnchor editAs="oneCell">
    <xdr:from>
      <xdr:col>11</xdr:col>
      <xdr:colOff>304800</xdr:colOff>
      <xdr:row>0</xdr:row>
      <xdr:rowOff>85725</xdr:rowOff>
    </xdr:from>
    <xdr:to>
      <xdr:col>14</xdr:col>
      <xdr:colOff>127948</xdr:colOff>
      <xdr:row>20</xdr:row>
      <xdr:rowOff>83210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Object 5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ECBEF38D-2958-4B7D-B497-E83AB94EED58}"/>
                </a:ext>
              </a:extLst>
            </xdr:cNvPr>
            <xdr:cNvSpPr txBox="1"/>
          </xdr:nvSpPr>
          <xdr:spPr>
            <a:xfrm>
              <a:off x="7316665" y="85725"/>
              <a:ext cx="1735475" cy="3221331"/>
            </a:xfrm>
            <a:prstGeom prst="rect">
              <a:avLst/>
            </a:prstGeom>
            <a:solidFill>
              <a:schemeClr val="bg1"/>
            </a:solidFill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𝑘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(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)=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</m:t>
                        </m:r>
                      </m:sub>
                    </m:sSub>
                    <m:sSup>
                      <m:sSup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d>
                          <m:d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sSup>
                                  <m:sSupPr>
                                    <m:ctrlP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𝐸</m:t>
                                    </m:r>
                                  </m:e>
                                  <m:sup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‡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𝑅𝑇</m:t>
                                </m:r>
                              </m:den>
                            </m:f>
                          </m:e>
                        </m:d>
                      </m:sup>
                    </m:sSup>
                  </m:oMath>
                  <m:oMath>
                    <m:func>
                      <m:funcPr>
                        <m:ctrlPr>
                          <a:rPr lang="en-CA" i="0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CA" i="0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ln</m:t>
                        </m:r>
                      </m:fName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(</m:t>
                        </m:r>
                      </m:e>
                    </m:func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𝑘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)=−</m:t>
                    </m:r>
                    <m:f>
                      <m:f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𝐸</m:t>
                            </m:r>
                          </m:e>
                          <m:sup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‡</m:t>
                            </m:r>
                          </m:sup>
                        </m:sSup>
                      </m:num>
                      <m:den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𝑅𝑇</m:t>
                        </m:r>
                      </m:den>
                    </m:f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n-US" b="0" i="0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ln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⁡(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</m:t>
                        </m:r>
                      </m:sub>
                    </m:sSub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)</m:t>
                    </m:r>
                  </m:oMath>
                  <m:oMath>
                    <m:sSubSup>
                      <m:sSubSup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𝑜𝑛</m:t>
                        </m:r>
                      </m:sub>
                      <m:sup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‡</m:t>
                        </m:r>
                      </m:sup>
                    </m:sSubSup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=−</m:t>
                    </m:r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func>
                              <m:funcPr>
                                <m:ctrlPr>
                                  <a:rPr lang="en-CA" i="0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CA" i="0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ln</m:t>
                                </m:r>
                              </m:fName>
                              <m:e>
                                <m:sSub>
                                  <m:sSubPr>
                                    <m:ctrlP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𝑘</m:t>
                                    </m:r>
                                  </m:e>
                                  <m:sub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𝑜𝑛</m:t>
                                    </m:r>
                                  </m:sub>
                                </m:sSub>
                              </m:e>
                            </m:func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f>
                              <m:fPr>
                                <m:type m:val="skw"/>
                                <m:ctrlP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den>
                            </m:f>
                          </m:den>
                        </m:f>
                      </m:e>
                    </m:d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∗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𝑅</m:t>
                    </m:r>
                  </m:oMath>
                  <m:oMath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</m:t>
                        </m:r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𝑜𝑛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nor/>
                      </m:rPr>
                      <a:rPr lang="en-CA" i="0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intercept</m:t>
                    </m:r>
                  </m:oMath>
                  <m:oMath>
                    <m:sSubSup>
                      <m:sSubSup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𝑜𝑓𝑓</m:t>
                        </m:r>
                      </m:sub>
                      <m:sup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‡</m:t>
                        </m:r>
                      </m:sup>
                    </m:sSubSup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=−</m:t>
                    </m:r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func>
                              <m:funcPr>
                                <m:ctrlPr>
                                  <a:rPr lang="en-CA" i="0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CA" i="0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ln</m:t>
                                </m:r>
                              </m:fName>
                              <m:e>
                                <m:sSub>
                                  <m:sSubPr>
                                    <m:ctrlP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𝑘</m:t>
                                    </m:r>
                                  </m:e>
                                  <m:sub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𝑜𝑓𝑓</m:t>
                                    </m:r>
                                  </m:sub>
                                </m:sSub>
                              </m:e>
                            </m:func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f>
                              <m:fPr>
                                <m:type m:val="skw"/>
                                <m:ctrlP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den>
                            </m:f>
                          </m:den>
                        </m:f>
                      </m:e>
                    </m:d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∗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𝑅</m:t>
                    </m:r>
                  </m:oMath>
                  <m:oMath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</m:t>
                        </m:r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𝑜𝑓𝑓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nor/>
                      </m:rPr>
                      <a:rPr lang="en-CA" i="0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intercept</m:t>
                    </m:r>
                  </m:oMath>
                  <m:oMath>
                    <m:r>
                      <m:rPr>
                        <m:sty m:val="p"/>
                      </m:rP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Δ</m:t>
                    </m:r>
                    <m:sSup>
                      <m:sSup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p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</m:t>
                        </m:r>
                      </m:sup>
                    </m:sSup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Sup>
                      <m:sSubSup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𝑜𝑛</m:t>
                        </m:r>
                      </m:sub>
                      <m:sup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‡</m:t>
                        </m:r>
                      </m:sup>
                    </m:sSubSup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−</m:t>
                    </m:r>
                    <m:sSubSup>
                      <m:sSubSup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𝑜𝑓𝑓</m:t>
                        </m:r>
                      </m:sub>
                      <m:sup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‡</m:t>
                        </m:r>
                      </m:sup>
                    </m:sSubSup>
                  </m:oMath>
                  <m:oMath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𝑘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(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𝑃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)=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</m:t>
                        </m:r>
                      </m:sub>
                    </m:sSub>
                    <m:sSup>
                      <m:sSup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d>
                          <m:d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sSup>
                                  <m:sSupPr>
                                    <m:ctrlP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𝑉</m:t>
                                    </m:r>
                                  </m:e>
                                  <m:sup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‡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en-CA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𝑅𝑇</m:t>
                                </m:r>
                              </m:den>
                            </m:f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</m:d>
                      </m:sup>
                    </m:sSup>
                  </m:oMath>
                  <m:oMath>
                    <m:r>
                      <m:rPr>
                        <m:sty m:val="p"/>
                      </m:rP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Δ</m:t>
                    </m:r>
                    <m:sSubSup>
                      <m:sSubSup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𝑜𝑛</m:t>
                        </m:r>
                      </m:sub>
                      <m:sup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‡</m:t>
                        </m:r>
                      </m:sup>
                    </m:sSubSup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=−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𝑅𝑇</m:t>
                    </m:r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func>
                              <m:funcPr>
                                <m:ctrlPr>
                                  <a:rPr lang="en-CA" i="0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CA" i="0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ln</m:t>
                                </m:r>
                              </m:fName>
                              <m:e>
                                <m:sSub>
                                  <m:sSubPr>
                                    <m:ctrlP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𝑘</m:t>
                                    </m:r>
                                  </m:e>
                                  <m:sub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𝑜𝑛</m:t>
                                    </m:r>
                                  </m:sub>
                                </m:sSub>
                              </m:e>
                            </m:func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𝑑𝑃</m:t>
                            </m:r>
                          </m:den>
                        </m:f>
                      </m:e>
                    </m:d>
                  </m:oMath>
                  <m:oMath>
                    <m:r>
                      <m:rPr>
                        <m:sty m:val="p"/>
                      </m:rP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Δ</m:t>
                    </m:r>
                    <m:sSubSup>
                      <m:sSubSup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𝑜𝑓𝑓</m:t>
                        </m:r>
                      </m:sub>
                      <m:sup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‡</m:t>
                        </m:r>
                      </m:sup>
                    </m:sSubSup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=−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𝑅𝑇</m:t>
                    </m:r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func>
                              <m:funcPr>
                                <m:ctrlPr>
                                  <a:rPr lang="en-CA" i="0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CA" i="0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ln</m:t>
                                </m:r>
                              </m:fName>
                              <m:e>
                                <m:sSub>
                                  <m:sSubPr>
                                    <m:ctrlP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𝑘</m:t>
                                    </m:r>
                                  </m:e>
                                  <m:sub>
                                    <m:r>
                                      <a:rPr lang="en-CA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𝑜𝑓𝑓</m:t>
                                    </m:r>
                                  </m:sub>
                                </m:sSub>
                              </m:e>
                            </m:func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𝑑𝑃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CA"/>
            </a:p>
          </xdr:txBody>
        </xdr:sp>
      </mc:Choice>
      <mc:Fallback xmlns="">
        <xdr:sp macro="" textlink="">
          <xdr:nvSpPr>
            <xdr:cNvPr id="8" name="Object 5">
              <a:extLst>
                <a:ext uri="{63B3BB69-23CF-44E3-9099-C40C66FF867C}">
                  <a14:compatExt xmlns:a14="http://schemas.microsoft.com/office/drawing/2010/main" spid="_x0000_s5125"/>
                </a:ext>
                <a:ext uri="{FF2B5EF4-FFF2-40B4-BE49-F238E27FC236}">
                  <a16:creationId xmlns:a16="http://schemas.microsoft.com/office/drawing/2014/main" id="{ECBEF38D-2958-4B7D-B497-E83AB94EED58}"/>
                </a:ext>
              </a:extLst>
            </xdr:cNvPr>
            <xdr:cNvSpPr txBox="1"/>
          </xdr:nvSpPr>
          <xdr:spPr>
            <a:xfrm>
              <a:off x="7316665" y="85725"/>
              <a:ext cx="1735475" cy="3221331"/>
            </a:xfrm>
            <a:prstGeom prst="rect">
              <a:avLst/>
            </a:prstGeom>
            <a:solidFill>
              <a:schemeClr val="bg1"/>
            </a:solidFill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𝑘(𝑇)=𝑘_𝑜 𝑒^(((−𝐸^‡)/𝑅𝑇) )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ln⁡( 𝑘)=−𝐸^‡/𝑅𝑇+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ln⁡(</a:t>
              </a: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𝑘_𝑜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)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𝐸_𝑜𝑛^‡=−((𝑑 ln⁡〖𝑘_𝑜𝑛 〗)/(𝑑 1⁄𝑇))∗𝑅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𝑘_(𝑜_𝑜𝑛)="intercept"</a:t>
              </a:r>
              <a:b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𝐸_𝑜𝑓𝑓^‡=−((𝑑 ln⁡〖𝑘_𝑜𝑓𝑓 〗)/(𝑑 1⁄𝑇))∗𝑅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𝑘_(𝑜_𝑜𝑓𝑓)="intercept"</a:t>
              </a:r>
              <a:b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Δ𝐻^𝑜=𝐸_𝑜𝑛^‡−𝐸_𝑜𝑓𝑓^‡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𝑘(𝑃)=𝑘_𝑜 𝑒^(((−𝑉^‡)/𝑅𝑇 𝑃) )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Δ𝑉_𝑜𝑛^‡=−𝑅𝑇((𝑑 ln⁡〖𝑘_𝑜𝑛 〗)/𝑑𝑃)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Δ𝑉_𝑜𝑓𝑓^‡=−𝑅𝑇((𝑑 ln⁡〖𝑘_𝑜𝑓𝑓 〗)/𝑑𝑃)</a:t>
              </a:r>
              <a:endParaRPr lang="en-CA"/>
            </a:p>
          </xdr:txBody>
        </xdr:sp>
      </mc:Fallback>
    </mc:AlternateContent>
    <xdr:clientData/>
  </xdr:twoCellAnchor>
  <xdr:twoCellAnchor editAs="oneCell">
    <xdr:from>
      <xdr:col>3</xdr:col>
      <xdr:colOff>439615</xdr:colOff>
      <xdr:row>34</xdr:row>
      <xdr:rowOff>84748</xdr:rowOff>
    </xdr:from>
    <xdr:to>
      <xdr:col>8</xdr:col>
      <xdr:colOff>238124</xdr:colOff>
      <xdr:row>71</xdr:row>
      <xdr:rowOff>14654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9" name="Object 2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9A7EED87-A83C-4211-94E7-F7311F066DB8}"/>
                </a:ext>
              </a:extLst>
            </xdr:cNvPr>
            <xdr:cNvSpPr txBox="1"/>
          </xdr:nvSpPr>
          <xdr:spPr>
            <a:xfrm>
              <a:off x="2351942" y="5623902"/>
              <a:ext cx="2985720" cy="5894021"/>
            </a:xfrm>
            <a:prstGeom prst="rect">
              <a:avLst/>
            </a:prstGeom>
            <a:solidFill>
              <a:schemeClr val="bg1"/>
            </a:solidFill>
          </xdr:spPr>
          <xdr:txBody>
            <a:bodyPr vertOverflow="clip" horzOverflow="clip" wrap="none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d>
                      <m:dPr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𝛼</m:t>
                            </m:r>
                          </m:num>
                          <m:den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𝑑𝑡</m:t>
                            </m:r>
                          </m:den>
                        </m:f>
                      </m:e>
                    </m:d>
                    <m:r>
                      <a:rPr lang="en-CA" sz="110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𝑜𝑛</m:t>
                        </m:r>
                      </m:sub>
                    </m:sSub>
                    <m:f>
                      <m:f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sub>
                        </m:sSub>
                      </m:num>
                      <m:den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sSup>
                      <m:sSup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𝛼</m:t>
                            </m:r>
                          </m:e>
                        </m:d>
                      </m:e>
                      <m:sup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n-CA" sz="110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𝑜𝑓𝑓</m:t>
                        </m:r>
                      </m:sub>
                    </m:sSub>
                    <m:r>
                      <a:rPr lang="en-CA" sz="110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𝛼</m:t>
                    </m:r>
                  </m:oMath>
                </m:oMathPara>
              </a14:m>
              <a:endParaRPr lang="en-CA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CA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  <a:t>Since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𝐾</m:t>
                      </m:r>
                    </m:e>
                    <m:sub>
                      <m:r>
                        <a:rPr lang="en-US" sz="1100" b="0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𝑒𝑞</m:t>
                      </m:r>
                    </m:sub>
                  </m:sSub>
                  <m:d>
                    <m:dPr>
                      <m:ctrlPr>
                        <a:rPr lang="en-US" sz="1100" b="0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US" sz="1100" b="0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</m:t>
                      </m:r>
                    </m:e>
                  </m:d>
                  <m:r>
                    <a:rPr lang="en-US" sz="1100" b="0" i="1"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f>
                    <m:fPr>
                      <m:ctrlPr>
                        <a:rPr lang="en-US" sz="1100" b="0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lang="en-US" sz="1100" b="0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𝑘</m:t>
                          </m:r>
                        </m:e>
                        <m:sub>
                          <m:r>
                            <a:rPr lang="en-US" sz="1100" b="0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𝑜𝑛</m:t>
                          </m:r>
                        </m:sub>
                      </m:sSub>
                      <m:r>
                        <a:rPr lang="en-US" sz="1100" b="0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</m:t>
                      </m:r>
                      <m:r>
                        <a:rPr lang="en-US" sz="1100" b="0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</m:t>
                      </m:r>
                      <m:r>
                        <a:rPr lang="en-US" sz="1100" b="0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num>
                    <m:den>
                      <m:sSub>
                        <m:sSubPr>
                          <m:ctrlPr>
                            <a:rPr lang="en-US" sz="1100" b="0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𝑘</m:t>
                          </m:r>
                        </m:e>
                        <m:sub>
                          <m:r>
                            <a:rPr lang="en-US" sz="1100" b="0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𝑜𝑓𝑓</m:t>
                          </m:r>
                        </m:sub>
                      </m:sSub>
                      <m:r>
                        <a:rPr lang="en-US" sz="1100" b="0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</m:t>
                      </m:r>
                      <m:r>
                        <a:rPr lang="en-US" sz="1100" b="0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𝑇</m:t>
                      </m:r>
                      <m:r>
                        <a:rPr lang="en-US" sz="1100" b="0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den>
                  </m:f>
                  <m:r>
                    <a:rPr lang="en-US" sz="1100" b="0" i="1"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, </m:t>
                  </m:r>
                  <m:r>
                    <a:rPr lang="en-US" sz="1100" b="0" i="1"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𝑤𝑒</m:t>
                  </m:r>
                  <m:r>
                    <a:rPr lang="en-US" sz="1100" b="0" i="1"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100" b="0" i="1"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𝑐𝑎𝑛</m:t>
                  </m:r>
                  <m:r>
                    <a:rPr lang="en-US" sz="1100" b="0" i="1"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100" b="0" i="1"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𝑤𝑟𝑖𝑡𝑒</m:t>
                  </m:r>
                  <m:r>
                    <a:rPr lang="en-US" sz="1100" b="0" i="1"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:</m:t>
                  </m:r>
                </m:oMath>
              </a14:m>
              <a:endParaRPr lang="en-US" sz="1100" b="0" i="1"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sSub>
                      <m:sSubPr>
                        <m:ctrlP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𝑜𝑛</m:t>
                        </m:r>
                      </m:sub>
                    </m:sSub>
                    <m:d>
                      <m:d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e>
                    </m:d>
                    <m:r>
                      <a:rPr lang="en-CA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</m:e>
                      <m:sub>
                        <m: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𝑒𝑞</m:t>
                        </m:r>
                      </m:sub>
                    </m:sSub>
                    <m:r>
                      <a:rPr lang="en-CA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a:rPr lang="en-CA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𝑇</m:t>
                    </m:r>
                    <m:r>
                      <a:rPr lang="en-CA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  <m:sSub>
                      <m:sSub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×</m:t>
                        </m:r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𝑜𝑓𝑓</m:t>
                        </m:r>
                      </m:sub>
                    </m:sSub>
                    <m:r>
                      <a:rPr lang="en-CA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a:rPr lang="en-CA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𝑇</m:t>
                    </m:r>
                    <m:r>
                      <a:rPr lang="en-CA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n-CA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CA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d>
                      <m:dPr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𝛼</m:t>
                            </m:r>
                          </m:num>
                          <m:den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𝑑𝑡</m:t>
                            </m:r>
                          </m:den>
                        </m:f>
                      </m:e>
                    </m:d>
                    <m:r>
                      <a:rPr lang="en-CA" sz="110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</m:t>
                        </m:r>
                        <m: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𝑓𝑓</m:t>
                        </m:r>
                      </m:sub>
                    </m:sSub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𝑇</m:t>
                    </m:r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  <m:d>
                      <m:d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b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𝑒𝑞</m:t>
                            </m:r>
                          </m:sub>
                        </m:sSub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  <m:f>
                          <m:f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CA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CA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sub>
                            </m:sSub>
                          </m:num>
                          <m:den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  <m:sSup>
                          <m:sSup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CA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CA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1−</m:t>
                                </m:r>
                                <m:r>
                                  <a:rPr lang="en-CA" sz="1100" b="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𝛼</m:t>
                                </m:r>
                              </m:e>
                            </m:d>
                          </m:e>
                          <m:sup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𝛼</m:t>
                        </m:r>
                      </m:e>
                    </m:d>
                  </m:oMath>
                </m:oMathPara>
              </a14:m>
              <a:endParaRPr lang="en-CA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CA">
                  <a:effectLst/>
                </a:rPr>
                <a:t>At equilibrium,</a:t>
              </a:r>
              <a:r>
                <a:rPr lang="en-CA" baseline="0">
                  <a:effectLst/>
                </a:rPr>
                <a:t> </a:t>
              </a:r>
              <a14:m>
                <m:oMath xmlns:m="http://schemas.openxmlformats.org/officeDocument/2006/math">
                  <m:d>
                    <m:dPr>
                      <m:ctrlPr>
                        <a:rPr lang="en-CA" sz="1100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f>
                        <m:fPr>
                          <m:ctrlPr>
                            <a:rPr lang="en-CA" sz="1100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en-CA" sz="1100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𝑑</m:t>
                          </m:r>
                          <m:r>
                            <a:rPr lang="en-CA" sz="1100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𝛼</m:t>
                          </m:r>
                        </m:num>
                        <m:den>
                          <m:r>
                            <a:rPr lang="en-CA" sz="1100" i="1"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𝑑𝑡</m:t>
                          </m:r>
                        </m:den>
                      </m:f>
                    </m:e>
                  </m:d>
                  <m:r>
                    <a:rPr lang="en-US" sz="1100" b="0" i="1"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=0</m:t>
                  </m:r>
                </m:oMath>
              </a14:m>
              <a:r>
                <a:rPr lang="en-CA">
                  <a:effectLst/>
                </a:rPr>
                <a:t>, and this equation 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CA">
                  <a:effectLst/>
                </a:rPr>
                <a:t>collapses to the thermodynamic</a:t>
              </a:r>
              <a:r>
                <a:rPr lang="en-CA" baseline="0">
                  <a:effectLst/>
                </a:rPr>
                <a:t> equation:</a:t>
              </a:r>
              <a:endParaRPr lang="en-CA">
                <a:effectLst/>
              </a:endParaRP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r>
                      <a:rPr lang="en-CA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  <m:r>
                      <a:rPr lang="en-CA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𝛼</m:t>
                        </m:r>
                      </m:num>
                      <m:den>
                        <m:sSup>
                          <m:sSupPr>
                            <m:ctrlP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f>
                              <m:fPr>
                                <m:ctrlPr>
                                  <a:rPr lang="en-CA" sz="110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CA" sz="1100" i="1"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sz="1100" i="1"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CA" sz="110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d>
                              <m:dPr>
                                <m:ctrlPr>
                                  <a:rPr lang="en-CA" sz="110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CA" sz="110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1−</m:t>
                                </m:r>
                                <m:r>
                                  <a:rPr lang="en-CA" sz="1100" i="1"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𝛼</m:t>
                                </m:r>
                              </m:e>
                            </m:d>
                          </m:e>
                          <m:sup>
                            <m:r>
                              <a:rPr lang="en-CA" sz="110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CA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  <a:t>Arrhenius: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sSub>
                      <m:sSubPr>
                        <m:ctrlPr>
                          <a:rPr lang="en-CA" sz="105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CA" sz="105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CA" sz="105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</m:t>
                        </m:r>
                        <m:r>
                          <a:rPr lang="en-US" sz="105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𝑓𝑓</m:t>
                        </m:r>
                      </m:sub>
                    </m:sSub>
                    <m:d>
                      <m:dPr>
                        <m:ctrlPr>
                          <a:rPr lang="en-US" sz="105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05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e>
                    </m:d>
                    <m:r>
                      <a:rPr lang="en-US" sz="105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05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05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US" sz="105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0,</m:t>
                        </m:r>
                        <m:r>
                          <a:rPr lang="en-US" sz="105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𝑜𝑓𝑓</m:t>
                        </m:r>
                      </m:sub>
                    </m:sSub>
                    <m:r>
                      <m:rPr>
                        <m:sty m:val="p"/>
                      </m:rPr>
                      <a:rPr lang="en-US" sz="1050" b="0" i="0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exp</m:t>
                    </m:r>
                    <m:r>
                      <a:rPr lang="en-US" sz="105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⁡(−</m:t>
                    </m:r>
                    <m:f>
                      <m:fPr>
                        <m:ctrlPr>
                          <a:rPr lang="en-US" sz="105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US" sz="105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05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e>
                          <m:sub>
                            <m:r>
                              <a:rPr lang="en-US" sz="105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𝑜𝑓𝑓</m:t>
                            </m:r>
                          </m:sub>
                          <m:sup>
                            <m:r>
                              <m:rPr>
                                <m:nor/>
                              </m:rPr>
                              <a:rPr lang="en-CA" sz="1050" b="1" i="0" u="none" strike="noStrike"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‡</m:t>
                            </m:r>
                          </m:sup>
                        </m:sSubSup>
                      </m:num>
                      <m:den>
                        <m:r>
                          <a:rPr lang="en-US" sz="105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𝑅𝑇</m:t>
                        </m:r>
                      </m:den>
                    </m:f>
                    <m:r>
                      <a:rPr lang="en-US" sz="105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n-CA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sSub>
                      <m:sSubPr>
                        <m:ctrlP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CA" sz="110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</m:t>
                        </m:r>
                        <m: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d>
                      <m:d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e>
                    </m:d>
                    <m:r>
                      <a:rPr lang="en-CA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0,</m:t>
                        </m:r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𝑜𝑛</m:t>
                        </m:r>
                      </m:sub>
                    </m:sSub>
                    <m:r>
                      <m:rPr>
                        <m:sty m:val="p"/>
                      </m:rPr>
                      <a:rPr lang="en-CA" sz="1100" b="0" i="0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exp</m:t>
                    </m:r>
                    <m:r>
                      <a:rPr lang="en-CA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⁡(−</m:t>
                    </m:r>
                    <m:f>
                      <m:f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e>
                          <m:sub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𝑜</m:t>
                            </m:r>
                            <m:r>
                              <a:rPr lang="en-US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  <m:sup>
                            <m:r>
                              <m:rPr>
                                <m:nor/>
                              </m:rPr>
                              <a:rPr lang="en-CA" sz="1100" b="1" i="0"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‡</m:t>
                            </m:r>
                          </m:sup>
                        </m:sSubSup>
                      </m:num>
                      <m:den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𝑅𝑇</m:t>
                        </m:r>
                      </m:den>
                    </m:f>
                    <m:r>
                      <a:rPr lang="en-CA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n-CA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CA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sSubSup>
                      <m:sSubSup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</m:e>
                      <m:sub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</m:t>
                        </m:r>
                        <m:r>
                          <a:rPr lang="en-US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  <m:sup>
                        <m:r>
                          <m:rPr>
                            <m:nor/>
                          </m:rPr>
                          <a:rPr lang="en-CA" sz="1100" b="1" i="0">
                            <a:effectLst/>
                            <a:latin typeface="+mn-lt"/>
                            <a:ea typeface="+mn-ea"/>
                            <a:cs typeface="+mn-cs"/>
                          </a:rPr>
                          <m:t>‡</m:t>
                        </m:r>
                      </m:sup>
                    </m:sSubSup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Sup>
                      <m:sSubSup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</m:e>
                      <m:sub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𝑜𝑓𝑓</m:t>
                        </m:r>
                      </m:sub>
                      <m:sup>
                        <m:r>
                          <m:rPr>
                            <m:nor/>
                          </m:rPr>
                          <a:rPr lang="en-CA" sz="1100" b="1" i="0">
                            <a:effectLst/>
                            <a:latin typeface="+mn-lt"/>
                            <a:ea typeface="+mn-ea"/>
                            <a:cs typeface="+mn-cs"/>
                          </a:rPr>
                          <m:t>‡</m:t>
                        </m:r>
                      </m:sup>
                    </m:sSubSup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∆</m:t>
                    </m:r>
                    <m:r>
                      <a:rPr lang="en-US" sz="1100" b="0" i="1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𝐻</m:t>
                    </m:r>
                  </m:oMath>
                </m:oMathPara>
              </a14:m>
              <a:endParaRPr lang="en-CA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𝛼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𝛼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𝑑𝑡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𝑑𝑡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</m:oMath>
                  <m:oMath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𝛼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𝑜𝑛</m:t>
                        </m:r>
                      </m:sub>
                    </m:sSub>
                    <m:f>
                      <m:f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sub>
                        </m:sSub>
                      </m:num>
                      <m:den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sSup>
                      <m:sSup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𝛼</m:t>
                            </m:r>
                          </m:e>
                        </m:d>
                      </m:e>
                      <m:sup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𝑑𝑡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𝑜𝑓𝑓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𝛼</m:t>
                    </m:r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𝑑𝑡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</m:oMath>
                  <m:oMath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sub>
                        </m:sSub>
                      </m:num>
                      <m:den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sSup>
                      <m:sSupPr>
                        <m:ctrlP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r>
                              <a:rPr lang="en-CA" sz="1100" b="0" i="1"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𝛼</m:t>
                            </m:r>
                          </m:e>
                        </m:d>
                      </m:e>
                      <m:sup>
                        <m:r>
                          <a:rPr lang="en-CA" sz="1100" b="0" i="1"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𝑑𝑡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</m:oMath>
                  <m:oMath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𝑏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=−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𝛼</m:t>
                    </m:r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𝑑𝑡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</m:oMath>
                  <m:oMath>
                    <m:d>
                      <m:d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</m:t>
                            </m:r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𝛼</m:t>
                            </m:r>
                          </m:num>
                          <m:den>
                            <m:r>
                              <a:rPr lang="en-CA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𝑑𝑇</m:t>
                            </m:r>
                          </m:den>
                        </m:f>
                      </m:e>
                    </m:d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𝑎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𝑜𝑛</m:t>
                        </m:r>
                      </m:sub>
                    </m:sSub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−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𝑏</m:t>
                    </m:r>
                    <m:r>
                      <a:rPr lang="en-CA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∗</m:t>
                    </m:r>
                    <m:sSub>
                      <m:sSubPr>
                        <m:ctrlP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CA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𝑜𝑓𝑓</m:t>
                        </m:r>
                      </m:sub>
                    </m:sSub>
                  </m:oMath>
                </m:oMathPara>
              </a14:m>
              <a:endParaRPr lang="en-CA"/>
            </a:p>
          </xdr:txBody>
        </xdr:sp>
      </mc:Choice>
      <mc:Fallback>
        <xdr:sp macro="" textlink="">
          <xdr:nvSpPr>
            <xdr:cNvPr id="9" name="Object 2">
              <a:extLst>
                <a:ext uri="{63B3BB69-23CF-44E3-9099-C40C66FF867C}">
                  <a14:compatExt xmlns:a14="http://schemas.microsoft.com/office/drawing/2010/main" spid="_x0000_s5122"/>
                </a:ext>
                <a:ext uri="{FF2B5EF4-FFF2-40B4-BE49-F238E27FC236}">
                  <a16:creationId xmlns:a16="http://schemas.microsoft.com/office/drawing/2014/main" id="{9A7EED87-A83C-4211-94E7-F7311F066DB8}"/>
                </a:ext>
              </a:extLst>
            </xdr:cNvPr>
            <xdr:cNvSpPr txBox="1"/>
          </xdr:nvSpPr>
          <xdr:spPr>
            <a:xfrm>
              <a:off x="2351942" y="5623902"/>
              <a:ext cx="2985720" cy="5894021"/>
            </a:xfrm>
            <a:prstGeom prst="rect">
              <a:avLst/>
            </a:prstGeom>
            <a:solidFill>
              <a:schemeClr val="bg1"/>
            </a:solidFill>
          </xdr:spPr>
          <xdr:txBody>
            <a:bodyPr vertOverflow="clip" horzOverflow="clip" wrap="none">
              <a:no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CA" sz="110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(𝑑𝛼/𝑑𝑡)=𝑘_𝑜𝑛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𝐶_𝑇/2 (1−𝛼)^2</a:t>
              </a:r>
              <a:r>
                <a:rPr lang="en-CA" sz="110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−𝑘_𝑜𝑓𝑓 𝛼</a:t>
              </a:r>
              <a:endParaRPr lang="en-CA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CA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  <a:t>Since  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𝐾_𝑒𝑞 (𝑇)=(𝑘_𝑜𝑛 (𝑇))/(𝑘_𝑜𝑓𝑓 (𝑇)), 𝑤𝑒 𝑐𝑎𝑛 𝑤𝑟𝑖𝑡𝑒:</a:t>
              </a:r>
              <a:endParaRPr lang="en-US" sz="1100" b="0" i="1"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𝑘_𝑜𝑛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(𝑇)=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𝐾_𝑒𝑞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(𝑇)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〖×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𝑘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〗_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𝑜𝑓𝑓 (𝑇)</a:t>
              </a:r>
              <a:endParaRPr lang="en-CA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CA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CA" sz="110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(𝑑𝛼/𝑑𝑡)=𝑘_𝑜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𝑓𝑓 (𝑇)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(𝐾_𝑒𝑞 (𝑇)𝐶_𝑇/2 (1−𝛼)^2</a:t>
              </a:r>
              <a:r>
                <a:rPr lang="en-CA" sz="110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−𝛼)</a:t>
              </a:r>
              <a:endParaRPr lang="en-CA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CA">
                  <a:effectLst/>
                </a:rPr>
                <a:t>At equilibrium,</a:t>
              </a:r>
              <a:r>
                <a:rPr lang="en-CA" baseline="0">
                  <a:effectLst/>
                </a:rPr>
                <a:t> </a:t>
              </a:r>
              <a:r>
                <a:rPr lang="en-CA" sz="110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(𝑑𝛼/𝑑𝑡)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=0</a:t>
              </a:r>
              <a:r>
                <a:rPr lang="en-CA">
                  <a:effectLst/>
                </a:rPr>
                <a:t>, and this equation 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CA">
                  <a:effectLst/>
                </a:rPr>
                <a:t>collapses to the thermodynamic</a:t>
              </a:r>
              <a:r>
                <a:rPr lang="en-CA" baseline="0">
                  <a:effectLst/>
                </a:rPr>
                <a:t> equation:</a:t>
              </a:r>
              <a:endParaRPr lang="en-CA">
                <a:effectLst/>
              </a:endParaRPr>
            </a:p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𝐾=</a:t>
              </a:r>
              <a:r>
                <a:rPr lang="en-CA" sz="110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𝛼/〖𝐶_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CA" sz="110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(1−𝛼)〗^2 </a:t>
              </a:r>
              <a:endParaRPr lang="en-CA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  <a:t>Arrhenius: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CA" sz="105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𝑘_𝑜</a:t>
              </a:r>
              <a:r>
                <a:rPr lang="en-US" sz="105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𝑓𝑓 (𝑇)=𝑘_(0,𝑜𝑓𝑓) exp⁡(−(𝐸_𝑜𝑓𝑓^</a:t>
              </a:r>
              <a:r>
                <a:rPr lang="en-CA" sz="1050" b="1" i="0" u="none" strike="noStrike">
                  <a:effectLst/>
                  <a:latin typeface="+mn-lt"/>
                  <a:ea typeface="+mn-ea"/>
                  <a:cs typeface="+mn-cs"/>
                </a:rPr>
                <a:t>"‡</a:t>
              </a:r>
              <a:r>
                <a:rPr lang="en-CA" sz="1050" b="0" i="0" u="none" strike="noStrike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050" b="0" i="0" u="none" strike="noStrike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sz="105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𝑅𝑇)</a:t>
              </a:r>
              <a:endParaRPr lang="en-CA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CA" sz="110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𝑘_𝑜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(𝑇)=𝑘_(0,𝑜𝑛) exp⁡(−(𝐸_𝑜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𝑛^</a:t>
              </a:r>
              <a:r>
                <a:rPr lang="en-CA" sz="1100" b="1" i="0">
                  <a:effectLst/>
                  <a:latin typeface="+mn-lt"/>
                  <a:ea typeface="+mn-ea"/>
                  <a:cs typeface="+mn-cs"/>
                </a:rPr>
                <a:t>"‡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)/𝑅𝑇)</a:t>
              </a:r>
              <a:endParaRPr lang="en-CA">
                <a:effectLst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CA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𝐸_𝑜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𝑛^</a:t>
              </a:r>
              <a:r>
                <a:rPr lang="en-CA" sz="1100" b="1" i="0">
                  <a:effectLst/>
                  <a:latin typeface="+mn-lt"/>
                  <a:ea typeface="+mn-ea"/>
                  <a:cs typeface="+mn-cs"/>
                </a:rPr>
                <a:t>"‡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𝐸_𝑜𝑓𝑓^</a:t>
              </a:r>
              <a:r>
                <a:rPr lang="en-CA" sz="1100" b="1" i="0">
                  <a:effectLst/>
                  <a:latin typeface="+mn-lt"/>
                  <a:ea typeface="+mn-ea"/>
                  <a:cs typeface="+mn-cs"/>
                </a:rPr>
                <a:t>"‡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n-US" sz="1100" b="0" i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∆𝐻</a:t>
              </a:r>
              <a:endParaRPr lang="en-CA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(𝑑𝛼/𝑑𝑇)=(𝑑𝛼/𝑑𝑡)(𝑑𝑡/𝑑𝑇)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(𝑑𝛼/𝑑𝑇)=𝑘_𝑜𝑛</a:t>
              </a:r>
              <a:r>
                <a:rPr lang="en-CA" sz="1100" b="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𝐶_𝑇/2 (1−𝛼)^2</a:t>
              </a:r>
              <a:r>
                <a:rPr lang="en-CA" sz="1100" b="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(𝑑𝑡/𝑑𝑇)−𝑘_𝑜𝑓𝑓 𝛼(𝑑𝑡/𝑑𝑇)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𝑎=</a:t>
              </a:r>
              <a:r>
                <a:rPr lang="en-CA" sz="11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𝐶_𝑇/2 (1−𝛼)^2</a:t>
              </a:r>
              <a:r>
                <a:rPr lang="en-CA" sz="1100" b="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(𝑑𝑡/𝑑𝑇)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𝑏=−𝛼(𝑑𝑡/𝑑𝑇)</a:t>
              </a:r>
              <a:br>
                <a:rPr lang="en-CA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r>
                <a:rPr lang="en-CA" i="0">
                  <a:solidFill>
                    <a:srgbClr val="000000"/>
                  </a:solidFill>
                  <a:latin typeface="Cambria Math" panose="02040503050406030204" pitchFamily="18" charset="0"/>
                </a:rPr>
                <a:t>(𝑑𝛼/𝑑𝑇)=𝑎∗𝑘_𝑜𝑛−𝑏∗𝑘_𝑜𝑓𝑓</a:t>
              </a:r>
              <a:endParaRPr lang="en-CA"/>
            </a:p>
          </xdr:txBody>
        </xdr:sp>
      </mc:Fallback>
    </mc:AlternateContent>
    <xdr:clientData/>
  </xdr:twoCellAnchor>
  <xdr:twoCellAnchor editAs="oneCell">
    <xdr:from>
      <xdr:col>7</xdr:col>
      <xdr:colOff>12700</xdr:colOff>
      <xdr:row>49</xdr:row>
      <xdr:rowOff>1815</xdr:rowOff>
    </xdr:from>
    <xdr:to>
      <xdr:col>10</xdr:col>
      <xdr:colOff>12701</xdr:colOff>
      <xdr:row>52</xdr:row>
      <xdr:rowOff>79829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7FCF7CA-0D83-9842-3477-89953DBEBAE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3584" t="57246" r="16812" b="32718"/>
        <a:stretch>
          <a:fillRect/>
        </a:stretch>
      </xdr:blipFill>
      <xdr:spPr>
        <a:xfrm>
          <a:off x="4508500" y="7886701"/>
          <a:ext cx="1926772" cy="5569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893D7-8B2A-4FD6-91F2-84E52D0D88FF}">
  <sheetPr codeName="Sheet3"/>
  <dimension ref="B1:M123"/>
  <sheetViews>
    <sheetView zoomScale="112" workbookViewId="0">
      <selection activeCell="I3" sqref="I3:K123"/>
    </sheetView>
  </sheetViews>
  <sheetFormatPr defaultColWidth="8.81640625" defaultRowHeight="12.5" x14ac:dyDescent="0.25"/>
  <cols>
    <col min="5" max="5" width="13.81640625" customWidth="1"/>
  </cols>
  <sheetData>
    <row r="1" spans="2:13" ht="13" x14ac:dyDescent="0.3">
      <c r="I1" s="87">
        <v>0.5</v>
      </c>
      <c r="J1" s="91" t="s">
        <v>258</v>
      </c>
    </row>
    <row r="2" spans="2:13" ht="13" x14ac:dyDescent="0.3">
      <c r="B2" s="87" t="s">
        <v>152</v>
      </c>
      <c r="C2" s="87" t="s">
        <v>153</v>
      </c>
      <c r="I2" s="87" t="s">
        <v>259</v>
      </c>
      <c r="J2" s="87" t="s">
        <v>260</v>
      </c>
      <c r="K2" s="87" t="s">
        <v>261</v>
      </c>
      <c r="M2" s="91" t="s">
        <v>257</v>
      </c>
    </row>
    <row r="3" spans="2:13" ht="15.5" x14ac:dyDescent="0.35">
      <c r="B3" s="91">
        <v>1</v>
      </c>
      <c r="C3">
        <v>40</v>
      </c>
      <c r="E3" s="92" t="s">
        <v>163</v>
      </c>
      <c r="I3" s="91">
        <v>1</v>
      </c>
      <c r="J3">
        <v>25</v>
      </c>
      <c r="K3">
        <v>11900</v>
      </c>
    </row>
    <row r="4" spans="2:13" ht="15.5" x14ac:dyDescent="0.35">
      <c r="B4">
        <f>B3+30</f>
        <v>31</v>
      </c>
      <c r="C4">
        <v>40.5</v>
      </c>
      <c r="E4" s="92" t="s">
        <v>164</v>
      </c>
      <c r="I4">
        <f>IF(J4=J3,I3+60,I3+60*ABS(J4-J3)/$I$1)</f>
        <v>121</v>
      </c>
      <c r="J4">
        <v>26</v>
      </c>
      <c r="K4">
        <v>11882</v>
      </c>
      <c r="M4">
        <f>(J4-J3)/((I4-I3)/60)</f>
        <v>0.5</v>
      </c>
    </row>
    <row r="5" spans="2:13" ht="15.5" x14ac:dyDescent="0.35">
      <c r="B5">
        <f t="shared" ref="B5:B62" si="0">B4+15</f>
        <v>46</v>
      </c>
      <c r="C5">
        <v>41</v>
      </c>
      <c r="E5" s="92" t="s">
        <v>165</v>
      </c>
      <c r="I5">
        <f t="shared" ref="I5:I68" si="1">IF(J5=J4,I4+60,I4+60*ABS(J5-J4)/$I$1)</f>
        <v>241</v>
      </c>
      <c r="J5">
        <v>27</v>
      </c>
      <c r="K5">
        <v>11846</v>
      </c>
      <c r="M5">
        <f t="shared" ref="M5:M68" si="2">(J5-J4)/((I5-I4)/60)</f>
        <v>0.5</v>
      </c>
    </row>
    <row r="6" spans="2:13" ht="15.5" x14ac:dyDescent="0.35">
      <c r="B6">
        <f t="shared" si="0"/>
        <v>61</v>
      </c>
      <c r="C6">
        <v>41.5</v>
      </c>
      <c r="E6" s="92" t="s">
        <v>166</v>
      </c>
      <c r="I6">
        <f t="shared" si="1"/>
        <v>361</v>
      </c>
      <c r="J6">
        <v>28</v>
      </c>
      <c r="K6">
        <v>11781</v>
      </c>
      <c r="M6">
        <f t="shared" si="2"/>
        <v>0.5</v>
      </c>
    </row>
    <row r="7" spans="2:13" ht="15.5" x14ac:dyDescent="0.35">
      <c r="B7">
        <f t="shared" si="0"/>
        <v>76</v>
      </c>
      <c r="C7">
        <v>42</v>
      </c>
      <c r="E7" s="92" t="s">
        <v>167</v>
      </c>
      <c r="I7">
        <f t="shared" si="1"/>
        <v>481</v>
      </c>
      <c r="J7">
        <v>29</v>
      </c>
      <c r="K7">
        <v>11703</v>
      </c>
      <c r="M7">
        <f t="shared" si="2"/>
        <v>0.5</v>
      </c>
    </row>
    <row r="8" spans="2:13" ht="15.5" x14ac:dyDescent="0.35">
      <c r="B8">
        <f t="shared" si="0"/>
        <v>91</v>
      </c>
      <c r="C8">
        <v>42.5</v>
      </c>
      <c r="E8" s="92" t="s">
        <v>168</v>
      </c>
      <c r="I8">
        <f t="shared" si="1"/>
        <v>601</v>
      </c>
      <c r="J8">
        <v>30</v>
      </c>
      <c r="K8">
        <v>11628</v>
      </c>
      <c r="M8">
        <f t="shared" si="2"/>
        <v>0.5</v>
      </c>
    </row>
    <row r="9" spans="2:13" ht="15.5" x14ac:dyDescent="0.35">
      <c r="B9">
        <f t="shared" si="0"/>
        <v>106</v>
      </c>
      <c r="C9">
        <v>43</v>
      </c>
      <c r="E9" s="92" t="s">
        <v>169</v>
      </c>
      <c r="I9">
        <f t="shared" si="1"/>
        <v>721</v>
      </c>
      <c r="J9">
        <v>31</v>
      </c>
      <c r="K9">
        <v>11542</v>
      </c>
      <c r="M9">
        <f t="shared" si="2"/>
        <v>0.5</v>
      </c>
    </row>
    <row r="10" spans="2:13" ht="15.5" x14ac:dyDescent="0.35">
      <c r="B10">
        <f t="shared" si="0"/>
        <v>121</v>
      </c>
      <c r="C10">
        <v>43.5</v>
      </c>
      <c r="E10" s="92" t="s">
        <v>170</v>
      </c>
      <c r="I10">
        <f t="shared" si="1"/>
        <v>841</v>
      </c>
      <c r="J10">
        <v>32</v>
      </c>
      <c r="K10">
        <v>11452</v>
      </c>
      <c r="M10">
        <f t="shared" si="2"/>
        <v>0.5</v>
      </c>
    </row>
    <row r="11" spans="2:13" ht="15.5" x14ac:dyDescent="0.35">
      <c r="B11">
        <f t="shared" si="0"/>
        <v>136</v>
      </c>
      <c r="C11">
        <v>44</v>
      </c>
      <c r="E11" s="92" t="s">
        <v>171</v>
      </c>
      <c r="I11">
        <f t="shared" si="1"/>
        <v>961</v>
      </c>
      <c r="J11">
        <v>33</v>
      </c>
      <c r="K11">
        <v>11345</v>
      </c>
      <c r="M11">
        <f t="shared" si="2"/>
        <v>0.5</v>
      </c>
    </row>
    <row r="12" spans="2:13" ht="15.5" x14ac:dyDescent="0.35">
      <c r="B12">
        <f t="shared" si="0"/>
        <v>151</v>
      </c>
      <c r="C12">
        <v>44.5</v>
      </c>
      <c r="E12" s="92" t="s">
        <v>172</v>
      </c>
      <c r="I12">
        <f t="shared" si="1"/>
        <v>1081</v>
      </c>
      <c r="J12">
        <v>34</v>
      </c>
      <c r="K12">
        <v>11214</v>
      </c>
      <c r="M12">
        <f t="shared" si="2"/>
        <v>0.5</v>
      </c>
    </row>
    <row r="13" spans="2:13" ht="15.5" x14ac:dyDescent="0.35">
      <c r="B13">
        <f t="shared" si="0"/>
        <v>166</v>
      </c>
      <c r="C13">
        <v>45</v>
      </c>
      <c r="E13" s="92" t="s">
        <v>173</v>
      </c>
      <c r="I13">
        <f t="shared" si="1"/>
        <v>1201</v>
      </c>
      <c r="J13">
        <v>35</v>
      </c>
      <c r="K13">
        <v>11013</v>
      </c>
      <c r="M13">
        <f t="shared" si="2"/>
        <v>0.5</v>
      </c>
    </row>
    <row r="14" spans="2:13" ht="15.5" x14ac:dyDescent="0.35">
      <c r="B14">
        <f t="shared" si="0"/>
        <v>181</v>
      </c>
      <c r="C14">
        <v>45.5</v>
      </c>
      <c r="E14" s="92" t="s">
        <v>174</v>
      </c>
      <c r="I14">
        <f t="shared" si="1"/>
        <v>1321</v>
      </c>
      <c r="J14">
        <v>36</v>
      </c>
      <c r="K14">
        <v>10682</v>
      </c>
      <c r="M14">
        <f t="shared" si="2"/>
        <v>0.5</v>
      </c>
    </row>
    <row r="15" spans="2:13" ht="15.5" x14ac:dyDescent="0.35">
      <c r="B15">
        <f t="shared" si="0"/>
        <v>196</v>
      </c>
      <c r="C15">
        <v>46</v>
      </c>
      <c r="E15" s="92" t="s">
        <v>175</v>
      </c>
      <c r="I15">
        <f t="shared" si="1"/>
        <v>1441</v>
      </c>
      <c r="J15">
        <v>37</v>
      </c>
      <c r="K15">
        <v>10413</v>
      </c>
      <c r="M15">
        <f t="shared" si="2"/>
        <v>0.5</v>
      </c>
    </row>
    <row r="16" spans="2:13" ht="15.5" x14ac:dyDescent="0.35">
      <c r="B16">
        <f t="shared" si="0"/>
        <v>211</v>
      </c>
      <c r="C16">
        <v>46.5</v>
      </c>
      <c r="E16" s="92" t="s">
        <v>176</v>
      </c>
      <c r="I16">
        <f t="shared" si="1"/>
        <v>1561</v>
      </c>
      <c r="J16">
        <v>38</v>
      </c>
      <c r="K16">
        <v>9901</v>
      </c>
      <c r="M16">
        <f t="shared" si="2"/>
        <v>0.5</v>
      </c>
    </row>
    <row r="17" spans="2:13" ht="15.5" x14ac:dyDescent="0.35">
      <c r="B17">
        <f t="shared" si="0"/>
        <v>226</v>
      </c>
      <c r="C17">
        <v>47</v>
      </c>
      <c r="E17" s="92" t="s">
        <v>177</v>
      </c>
      <c r="I17">
        <f t="shared" si="1"/>
        <v>1681</v>
      </c>
      <c r="J17">
        <v>39</v>
      </c>
      <c r="K17">
        <v>9347</v>
      </c>
      <c r="M17">
        <f t="shared" si="2"/>
        <v>0.5</v>
      </c>
    </row>
    <row r="18" spans="2:13" ht="15.5" x14ac:dyDescent="0.35">
      <c r="B18">
        <f t="shared" si="0"/>
        <v>241</v>
      </c>
      <c r="C18">
        <v>47.5</v>
      </c>
      <c r="E18" s="92" t="s">
        <v>178</v>
      </c>
      <c r="I18">
        <f t="shared" si="1"/>
        <v>1801</v>
      </c>
      <c r="J18">
        <v>40</v>
      </c>
      <c r="K18">
        <v>9454</v>
      </c>
      <c r="M18">
        <f t="shared" si="2"/>
        <v>0.5</v>
      </c>
    </row>
    <row r="19" spans="2:13" ht="15.5" x14ac:dyDescent="0.35">
      <c r="B19">
        <f t="shared" si="0"/>
        <v>256</v>
      </c>
      <c r="C19">
        <v>48</v>
      </c>
      <c r="E19" s="92" t="s">
        <v>179</v>
      </c>
      <c r="I19">
        <f t="shared" si="1"/>
        <v>1861</v>
      </c>
      <c r="J19">
        <v>40.5</v>
      </c>
      <c r="K19">
        <v>9555</v>
      </c>
      <c r="M19">
        <f t="shared" si="2"/>
        <v>0.5</v>
      </c>
    </row>
    <row r="20" spans="2:13" ht="15.5" x14ac:dyDescent="0.35">
      <c r="B20">
        <f t="shared" si="0"/>
        <v>271</v>
      </c>
      <c r="C20">
        <v>48.5</v>
      </c>
      <c r="E20" s="92" t="s">
        <v>180</v>
      </c>
      <c r="I20">
        <f t="shared" si="1"/>
        <v>1921</v>
      </c>
      <c r="J20">
        <v>41</v>
      </c>
      <c r="K20">
        <v>9969</v>
      </c>
      <c r="M20">
        <f t="shared" si="2"/>
        <v>0.5</v>
      </c>
    </row>
    <row r="21" spans="2:13" ht="15.5" x14ac:dyDescent="0.35">
      <c r="B21">
        <f t="shared" si="0"/>
        <v>286</v>
      </c>
      <c r="C21">
        <v>49</v>
      </c>
      <c r="E21" s="92" t="s">
        <v>181</v>
      </c>
      <c r="I21">
        <f t="shared" si="1"/>
        <v>1981</v>
      </c>
      <c r="J21">
        <v>41.5</v>
      </c>
      <c r="K21">
        <v>10144</v>
      </c>
      <c r="M21">
        <f t="shared" si="2"/>
        <v>0.5</v>
      </c>
    </row>
    <row r="22" spans="2:13" ht="15.5" x14ac:dyDescent="0.35">
      <c r="B22">
        <f t="shared" si="0"/>
        <v>301</v>
      </c>
      <c r="C22">
        <v>49.5</v>
      </c>
      <c r="E22" s="92" t="s">
        <v>182</v>
      </c>
      <c r="I22">
        <f t="shared" si="1"/>
        <v>2041</v>
      </c>
      <c r="J22">
        <v>42</v>
      </c>
      <c r="K22">
        <v>10196</v>
      </c>
      <c r="M22">
        <f t="shared" si="2"/>
        <v>0.5</v>
      </c>
    </row>
    <row r="23" spans="2:13" ht="15.5" x14ac:dyDescent="0.35">
      <c r="B23">
        <f t="shared" si="0"/>
        <v>316</v>
      </c>
      <c r="C23">
        <v>50</v>
      </c>
      <c r="E23" s="92" t="s">
        <v>183</v>
      </c>
      <c r="I23">
        <f t="shared" si="1"/>
        <v>2101</v>
      </c>
      <c r="J23">
        <v>42.5</v>
      </c>
      <c r="K23">
        <v>10181</v>
      </c>
      <c r="M23">
        <f t="shared" si="2"/>
        <v>0.5</v>
      </c>
    </row>
    <row r="24" spans="2:13" ht="15.5" x14ac:dyDescent="0.35">
      <c r="B24">
        <f t="shared" si="0"/>
        <v>331</v>
      </c>
      <c r="C24">
        <v>50.5</v>
      </c>
      <c r="E24" s="92" t="s">
        <v>184</v>
      </c>
      <c r="I24">
        <f t="shared" si="1"/>
        <v>2161</v>
      </c>
      <c r="J24">
        <v>43</v>
      </c>
      <c r="K24">
        <v>10133</v>
      </c>
      <c r="M24">
        <f t="shared" si="2"/>
        <v>0.5</v>
      </c>
    </row>
    <row r="25" spans="2:13" ht="15.5" x14ac:dyDescent="0.35">
      <c r="B25">
        <f t="shared" si="0"/>
        <v>346</v>
      </c>
      <c r="C25">
        <v>51</v>
      </c>
      <c r="E25" s="92" t="s">
        <v>185</v>
      </c>
      <c r="I25">
        <f t="shared" si="1"/>
        <v>2221</v>
      </c>
      <c r="J25">
        <v>43.5</v>
      </c>
      <c r="K25">
        <v>10070</v>
      </c>
      <c r="M25">
        <f t="shared" si="2"/>
        <v>0.5</v>
      </c>
    </row>
    <row r="26" spans="2:13" ht="15.5" x14ac:dyDescent="0.35">
      <c r="B26">
        <f t="shared" si="0"/>
        <v>361</v>
      </c>
      <c r="C26">
        <v>51.5</v>
      </c>
      <c r="E26" s="92" t="s">
        <v>186</v>
      </c>
      <c r="I26">
        <f t="shared" si="1"/>
        <v>2281</v>
      </c>
      <c r="J26">
        <v>44</v>
      </c>
      <c r="K26">
        <v>10028</v>
      </c>
      <c r="M26">
        <f t="shared" si="2"/>
        <v>0.5</v>
      </c>
    </row>
    <row r="27" spans="2:13" ht="15.5" x14ac:dyDescent="0.35">
      <c r="B27">
        <f t="shared" si="0"/>
        <v>376</v>
      </c>
      <c r="C27">
        <v>52</v>
      </c>
      <c r="E27" s="92" t="s">
        <v>187</v>
      </c>
      <c r="I27">
        <f t="shared" si="1"/>
        <v>2341</v>
      </c>
      <c r="J27">
        <v>44.5</v>
      </c>
      <c r="K27">
        <v>9968</v>
      </c>
      <c r="M27">
        <f t="shared" si="2"/>
        <v>0.5</v>
      </c>
    </row>
    <row r="28" spans="2:13" ht="15.5" x14ac:dyDescent="0.35">
      <c r="B28">
        <f t="shared" si="0"/>
        <v>391</v>
      </c>
      <c r="C28">
        <v>52.5</v>
      </c>
      <c r="E28" s="92" t="s">
        <v>188</v>
      </c>
      <c r="I28">
        <f t="shared" si="1"/>
        <v>2401</v>
      </c>
      <c r="J28">
        <v>45</v>
      </c>
      <c r="K28">
        <v>9922</v>
      </c>
      <c r="M28">
        <f t="shared" si="2"/>
        <v>0.5</v>
      </c>
    </row>
    <row r="29" spans="2:13" ht="15.5" x14ac:dyDescent="0.35">
      <c r="B29">
        <f t="shared" si="0"/>
        <v>406</v>
      </c>
      <c r="C29">
        <v>53</v>
      </c>
      <c r="E29" s="92" t="s">
        <v>189</v>
      </c>
      <c r="I29">
        <f t="shared" si="1"/>
        <v>2461</v>
      </c>
      <c r="J29">
        <v>45.5</v>
      </c>
      <c r="K29">
        <v>9864</v>
      </c>
      <c r="M29">
        <f t="shared" si="2"/>
        <v>0.5</v>
      </c>
    </row>
    <row r="30" spans="2:13" ht="15.5" x14ac:dyDescent="0.35">
      <c r="B30">
        <f t="shared" si="0"/>
        <v>421</v>
      </c>
      <c r="C30">
        <v>53.5</v>
      </c>
      <c r="E30" s="92" t="s">
        <v>190</v>
      </c>
      <c r="I30">
        <f t="shared" si="1"/>
        <v>2521</v>
      </c>
      <c r="J30">
        <v>46</v>
      </c>
      <c r="K30">
        <v>9806</v>
      </c>
      <c r="M30">
        <f t="shared" si="2"/>
        <v>0.5</v>
      </c>
    </row>
    <row r="31" spans="2:13" ht="15.5" x14ac:dyDescent="0.35">
      <c r="B31">
        <f t="shared" si="0"/>
        <v>436</v>
      </c>
      <c r="C31">
        <v>54</v>
      </c>
      <c r="E31" s="92" t="s">
        <v>191</v>
      </c>
      <c r="I31">
        <f t="shared" si="1"/>
        <v>2581</v>
      </c>
      <c r="J31">
        <v>46.5</v>
      </c>
      <c r="K31">
        <v>9745</v>
      </c>
      <c r="M31">
        <f t="shared" si="2"/>
        <v>0.5</v>
      </c>
    </row>
    <row r="32" spans="2:13" ht="15.5" x14ac:dyDescent="0.35">
      <c r="B32">
        <f t="shared" si="0"/>
        <v>451</v>
      </c>
      <c r="C32">
        <v>54.5</v>
      </c>
      <c r="E32" s="92" t="s">
        <v>192</v>
      </c>
      <c r="I32">
        <f t="shared" si="1"/>
        <v>2641</v>
      </c>
      <c r="J32">
        <v>47</v>
      </c>
      <c r="K32">
        <v>9677</v>
      </c>
      <c r="M32">
        <f t="shared" si="2"/>
        <v>0.5</v>
      </c>
    </row>
    <row r="33" spans="2:13" ht="15.5" x14ac:dyDescent="0.35">
      <c r="B33">
        <f t="shared" si="0"/>
        <v>466</v>
      </c>
      <c r="C33">
        <v>55</v>
      </c>
      <c r="E33" s="92" t="s">
        <v>193</v>
      </c>
      <c r="I33">
        <f t="shared" si="1"/>
        <v>2701</v>
      </c>
      <c r="J33">
        <v>47.5</v>
      </c>
      <c r="K33">
        <v>9620</v>
      </c>
      <c r="M33">
        <f t="shared" si="2"/>
        <v>0.5</v>
      </c>
    </row>
    <row r="34" spans="2:13" ht="15.5" x14ac:dyDescent="0.35">
      <c r="B34">
        <f t="shared" si="0"/>
        <v>481</v>
      </c>
      <c r="C34">
        <v>55.5</v>
      </c>
      <c r="E34" s="92" t="s">
        <v>194</v>
      </c>
      <c r="I34">
        <f t="shared" si="1"/>
        <v>2761</v>
      </c>
      <c r="J34">
        <v>48</v>
      </c>
      <c r="K34">
        <v>9538</v>
      </c>
      <c r="M34">
        <f t="shared" si="2"/>
        <v>0.5</v>
      </c>
    </row>
    <row r="35" spans="2:13" ht="15.5" x14ac:dyDescent="0.35">
      <c r="B35">
        <f t="shared" si="0"/>
        <v>496</v>
      </c>
      <c r="C35">
        <v>56</v>
      </c>
      <c r="E35" s="92" t="s">
        <v>195</v>
      </c>
      <c r="I35">
        <f t="shared" si="1"/>
        <v>2821</v>
      </c>
      <c r="J35">
        <v>48.5</v>
      </c>
      <c r="K35">
        <v>9477</v>
      </c>
      <c r="M35">
        <f t="shared" si="2"/>
        <v>0.5</v>
      </c>
    </row>
    <row r="36" spans="2:13" ht="15.5" x14ac:dyDescent="0.35">
      <c r="B36">
        <f t="shared" si="0"/>
        <v>511</v>
      </c>
      <c r="C36">
        <v>56.5</v>
      </c>
      <c r="E36" s="92" t="s">
        <v>196</v>
      </c>
      <c r="I36">
        <f t="shared" si="1"/>
        <v>2881</v>
      </c>
      <c r="J36">
        <v>49</v>
      </c>
      <c r="K36">
        <v>9396</v>
      </c>
      <c r="M36">
        <f t="shared" si="2"/>
        <v>0.5</v>
      </c>
    </row>
    <row r="37" spans="2:13" ht="15.5" x14ac:dyDescent="0.35">
      <c r="B37">
        <f t="shared" si="0"/>
        <v>526</v>
      </c>
      <c r="C37">
        <v>57</v>
      </c>
      <c r="E37" s="92" t="s">
        <v>197</v>
      </c>
      <c r="I37">
        <f t="shared" si="1"/>
        <v>2941</v>
      </c>
      <c r="J37">
        <v>49.5</v>
      </c>
      <c r="K37">
        <v>9324</v>
      </c>
      <c r="M37">
        <f t="shared" si="2"/>
        <v>0.5</v>
      </c>
    </row>
    <row r="38" spans="2:13" ht="15.5" x14ac:dyDescent="0.35">
      <c r="B38">
        <f t="shared" si="0"/>
        <v>541</v>
      </c>
      <c r="C38">
        <v>57.5</v>
      </c>
      <c r="E38" s="92" t="s">
        <v>198</v>
      </c>
      <c r="I38">
        <f t="shared" si="1"/>
        <v>3001</v>
      </c>
      <c r="J38">
        <v>50</v>
      </c>
      <c r="K38">
        <v>9232</v>
      </c>
      <c r="M38">
        <f t="shared" si="2"/>
        <v>0.5</v>
      </c>
    </row>
    <row r="39" spans="2:13" ht="15.5" x14ac:dyDescent="0.35">
      <c r="B39">
        <f t="shared" si="0"/>
        <v>556</v>
      </c>
      <c r="C39">
        <v>58</v>
      </c>
      <c r="E39" s="92" t="s">
        <v>199</v>
      </c>
      <c r="I39">
        <f t="shared" si="1"/>
        <v>3061</v>
      </c>
      <c r="J39">
        <v>50.5</v>
      </c>
      <c r="K39">
        <v>9144</v>
      </c>
      <c r="M39">
        <f t="shared" si="2"/>
        <v>0.5</v>
      </c>
    </row>
    <row r="40" spans="2:13" ht="15.5" x14ac:dyDescent="0.35">
      <c r="B40">
        <f t="shared" si="0"/>
        <v>571</v>
      </c>
      <c r="C40">
        <v>58.5</v>
      </c>
      <c r="E40" s="92" t="s">
        <v>200</v>
      </c>
      <c r="I40">
        <f t="shared" si="1"/>
        <v>3121</v>
      </c>
      <c r="J40">
        <v>51</v>
      </c>
      <c r="K40">
        <v>9030</v>
      </c>
      <c r="M40">
        <f t="shared" si="2"/>
        <v>0.5</v>
      </c>
    </row>
    <row r="41" spans="2:13" ht="15.5" x14ac:dyDescent="0.35">
      <c r="B41">
        <f t="shared" si="0"/>
        <v>586</v>
      </c>
      <c r="C41">
        <v>59</v>
      </c>
      <c r="E41" s="92" t="s">
        <v>201</v>
      </c>
      <c r="I41">
        <f t="shared" si="1"/>
        <v>3181</v>
      </c>
      <c r="J41">
        <v>51.5</v>
      </c>
      <c r="K41">
        <v>8911</v>
      </c>
      <c r="M41">
        <f t="shared" si="2"/>
        <v>0.5</v>
      </c>
    </row>
    <row r="42" spans="2:13" ht="15.5" x14ac:dyDescent="0.35">
      <c r="B42">
        <f t="shared" si="0"/>
        <v>601</v>
      </c>
      <c r="C42">
        <v>59.5</v>
      </c>
      <c r="E42" s="92" t="s">
        <v>202</v>
      </c>
      <c r="I42">
        <f t="shared" si="1"/>
        <v>3241</v>
      </c>
      <c r="J42">
        <v>52</v>
      </c>
      <c r="K42">
        <v>8776</v>
      </c>
      <c r="M42">
        <f t="shared" si="2"/>
        <v>0.5</v>
      </c>
    </row>
    <row r="43" spans="2:13" ht="15.5" x14ac:dyDescent="0.35">
      <c r="B43">
        <f t="shared" si="0"/>
        <v>616</v>
      </c>
      <c r="C43">
        <v>60</v>
      </c>
      <c r="E43" s="92" t="s">
        <v>203</v>
      </c>
      <c r="I43">
        <f t="shared" si="1"/>
        <v>3301</v>
      </c>
      <c r="J43">
        <v>52.5</v>
      </c>
      <c r="K43">
        <v>8600</v>
      </c>
      <c r="M43">
        <f t="shared" si="2"/>
        <v>0.5</v>
      </c>
    </row>
    <row r="44" spans="2:13" ht="15.5" x14ac:dyDescent="0.35">
      <c r="B44">
        <f t="shared" si="0"/>
        <v>631</v>
      </c>
      <c r="C44">
        <v>60.5</v>
      </c>
      <c r="E44" s="92" t="s">
        <v>204</v>
      </c>
      <c r="I44">
        <f t="shared" si="1"/>
        <v>3361</v>
      </c>
      <c r="J44">
        <v>53</v>
      </c>
      <c r="K44">
        <v>8404</v>
      </c>
      <c r="M44">
        <f t="shared" si="2"/>
        <v>0.5</v>
      </c>
    </row>
    <row r="45" spans="2:13" ht="15.5" x14ac:dyDescent="0.35">
      <c r="B45">
        <f t="shared" si="0"/>
        <v>646</v>
      </c>
      <c r="C45">
        <v>61</v>
      </c>
      <c r="E45" s="92" t="s">
        <v>205</v>
      </c>
      <c r="I45">
        <f t="shared" si="1"/>
        <v>3421</v>
      </c>
      <c r="J45">
        <v>53.5</v>
      </c>
      <c r="K45">
        <v>8174</v>
      </c>
      <c r="M45">
        <f t="shared" si="2"/>
        <v>0.5</v>
      </c>
    </row>
    <row r="46" spans="2:13" ht="15.5" x14ac:dyDescent="0.35">
      <c r="B46">
        <f t="shared" si="0"/>
        <v>661</v>
      </c>
      <c r="C46">
        <v>61.5</v>
      </c>
      <c r="E46" s="92" t="s">
        <v>206</v>
      </c>
      <c r="I46">
        <f t="shared" si="1"/>
        <v>3481</v>
      </c>
      <c r="J46">
        <v>54</v>
      </c>
      <c r="K46">
        <v>7912</v>
      </c>
      <c r="M46">
        <f t="shared" si="2"/>
        <v>0.5</v>
      </c>
    </row>
    <row r="47" spans="2:13" ht="15.5" x14ac:dyDescent="0.35">
      <c r="B47">
        <f t="shared" si="0"/>
        <v>676</v>
      </c>
      <c r="C47">
        <v>62</v>
      </c>
      <c r="E47" s="92" t="s">
        <v>207</v>
      </c>
      <c r="I47">
        <f t="shared" si="1"/>
        <v>3541</v>
      </c>
      <c r="J47">
        <v>54.5</v>
      </c>
      <c r="K47">
        <v>7621</v>
      </c>
      <c r="M47">
        <f t="shared" si="2"/>
        <v>0.5</v>
      </c>
    </row>
    <row r="48" spans="2:13" ht="15.5" x14ac:dyDescent="0.35">
      <c r="B48">
        <f t="shared" si="0"/>
        <v>691</v>
      </c>
      <c r="C48">
        <v>62.5</v>
      </c>
      <c r="E48" s="92" t="s">
        <v>208</v>
      </c>
      <c r="I48">
        <f t="shared" si="1"/>
        <v>3601</v>
      </c>
      <c r="J48">
        <v>55</v>
      </c>
      <c r="K48">
        <v>7300</v>
      </c>
      <c r="M48">
        <f t="shared" si="2"/>
        <v>0.5</v>
      </c>
    </row>
    <row r="49" spans="2:13" ht="15.5" x14ac:dyDescent="0.35">
      <c r="B49">
        <f t="shared" si="0"/>
        <v>706</v>
      </c>
      <c r="C49">
        <v>63</v>
      </c>
      <c r="E49" s="92" t="s">
        <v>209</v>
      </c>
      <c r="I49">
        <f t="shared" si="1"/>
        <v>3661</v>
      </c>
      <c r="J49">
        <v>55.5</v>
      </c>
      <c r="K49">
        <v>6987</v>
      </c>
      <c r="M49">
        <f t="shared" si="2"/>
        <v>0.5</v>
      </c>
    </row>
    <row r="50" spans="2:13" ht="15.5" x14ac:dyDescent="0.35">
      <c r="B50">
        <f t="shared" si="0"/>
        <v>721</v>
      </c>
      <c r="C50">
        <v>63.5</v>
      </c>
      <c r="E50" s="92" t="s">
        <v>210</v>
      </c>
      <c r="I50">
        <f t="shared" si="1"/>
        <v>3721</v>
      </c>
      <c r="J50">
        <v>56</v>
      </c>
      <c r="K50">
        <v>6667</v>
      </c>
      <c r="M50">
        <f t="shared" si="2"/>
        <v>0.5</v>
      </c>
    </row>
    <row r="51" spans="2:13" ht="15.5" x14ac:dyDescent="0.35">
      <c r="B51">
        <f t="shared" si="0"/>
        <v>736</v>
      </c>
      <c r="C51">
        <v>64</v>
      </c>
      <c r="E51" s="92" t="s">
        <v>211</v>
      </c>
      <c r="I51">
        <f t="shared" si="1"/>
        <v>3781</v>
      </c>
      <c r="J51">
        <v>56.5</v>
      </c>
      <c r="K51">
        <v>6328</v>
      </c>
      <c r="M51">
        <f t="shared" si="2"/>
        <v>0.5</v>
      </c>
    </row>
    <row r="52" spans="2:13" ht="15.5" x14ac:dyDescent="0.35">
      <c r="B52">
        <f t="shared" si="0"/>
        <v>751</v>
      </c>
      <c r="C52">
        <v>64.5</v>
      </c>
      <c r="E52" s="92" t="s">
        <v>212</v>
      </c>
      <c r="I52">
        <f t="shared" si="1"/>
        <v>3841</v>
      </c>
      <c r="J52">
        <v>57</v>
      </c>
      <c r="K52">
        <v>5989</v>
      </c>
      <c r="M52">
        <f t="shared" si="2"/>
        <v>0.5</v>
      </c>
    </row>
    <row r="53" spans="2:13" ht="15.5" x14ac:dyDescent="0.35">
      <c r="B53">
        <f t="shared" si="0"/>
        <v>766</v>
      </c>
      <c r="C53">
        <v>65</v>
      </c>
      <c r="E53" s="92" t="s">
        <v>213</v>
      </c>
      <c r="I53">
        <f t="shared" si="1"/>
        <v>3901</v>
      </c>
      <c r="J53">
        <v>57.5</v>
      </c>
      <c r="K53">
        <v>5646</v>
      </c>
      <c r="M53">
        <f t="shared" si="2"/>
        <v>0.5</v>
      </c>
    </row>
    <row r="54" spans="2:13" ht="15.5" x14ac:dyDescent="0.35">
      <c r="B54">
        <f t="shared" si="0"/>
        <v>781</v>
      </c>
      <c r="C54">
        <v>65.5</v>
      </c>
      <c r="E54" s="92" t="s">
        <v>214</v>
      </c>
      <c r="I54">
        <f t="shared" si="1"/>
        <v>3961</v>
      </c>
      <c r="J54">
        <v>58</v>
      </c>
      <c r="K54">
        <v>5304</v>
      </c>
      <c r="M54">
        <f t="shared" si="2"/>
        <v>0.5</v>
      </c>
    </row>
    <row r="55" spans="2:13" ht="15.5" x14ac:dyDescent="0.35">
      <c r="B55">
        <f t="shared" si="0"/>
        <v>796</v>
      </c>
      <c r="C55">
        <v>66</v>
      </c>
      <c r="E55" s="92" t="s">
        <v>215</v>
      </c>
      <c r="I55">
        <f t="shared" si="1"/>
        <v>4021</v>
      </c>
      <c r="J55">
        <v>58.5</v>
      </c>
      <c r="K55">
        <v>4956</v>
      </c>
      <c r="M55">
        <f t="shared" si="2"/>
        <v>0.5</v>
      </c>
    </row>
    <row r="56" spans="2:13" ht="15.5" x14ac:dyDescent="0.35">
      <c r="B56">
        <f t="shared" si="0"/>
        <v>811</v>
      </c>
      <c r="C56">
        <v>66.5</v>
      </c>
      <c r="E56" s="92" t="s">
        <v>216</v>
      </c>
      <c r="I56">
        <f t="shared" si="1"/>
        <v>4081</v>
      </c>
      <c r="J56">
        <v>59</v>
      </c>
      <c r="K56">
        <v>4608</v>
      </c>
      <c r="M56">
        <f t="shared" si="2"/>
        <v>0.5</v>
      </c>
    </row>
    <row r="57" spans="2:13" ht="15.5" x14ac:dyDescent="0.35">
      <c r="B57">
        <f t="shared" si="0"/>
        <v>826</v>
      </c>
      <c r="C57">
        <v>67</v>
      </c>
      <c r="E57" s="92" t="s">
        <v>217</v>
      </c>
      <c r="I57">
        <f t="shared" si="1"/>
        <v>4141</v>
      </c>
      <c r="J57">
        <v>59.5</v>
      </c>
      <c r="K57">
        <v>4270</v>
      </c>
      <c r="M57">
        <f t="shared" si="2"/>
        <v>0.5</v>
      </c>
    </row>
    <row r="58" spans="2:13" ht="15.5" x14ac:dyDescent="0.35">
      <c r="B58">
        <f t="shared" si="0"/>
        <v>841</v>
      </c>
      <c r="C58">
        <v>67.5</v>
      </c>
      <c r="E58" s="92" t="s">
        <v>218</v>
      </c>
      <c r="I58">
        <f t="shared" si="1"/>
        <v>4201</v>
      </c>
      <c r="J58">
        <v>60</v>
      </c>
      <c r="K58">
        <v>3936</v>
      </c>
      <c r="M58">
        <f t="shared" si="2"/>
        <v>0.5</v>
      </c>
    </row>
    <row r="59" spans="2:13" ht="15.5" x14ac:dyDescent="0.35">
      <c r="B59">
        <f t="shared" si="0"/>
        <v>856</v>
      </c>
      <c r="C59">
        <v>68</v>
      </c>
      <c r="E59" s="92" t="s">
        <v>219</v>
      </c>
      <c r="I59">
        <f t="shared" si="1"/>
        <v>4261</v>
      </c>
      <c r="J59">
        <v>60.5</v>
      </c>
      <c r="K59">
        <v>3611</v>
      </c>
      <c r="M59">
        <f t="shared" si="2"/>
        <v>0.5</v>
      </c>
    </row>
    <row r="60" spans="2:13" ht="15.5" x14ac:dyDescent="0.35">
      <c r="B60">
        <f t="shared" si="0"/>
        <v>871</v>
      </c>
      <c r="C60">
        <v>68.5</v>
      </c>
      <c r="E60" s="92" t="s">
        <v>220</v>
      </c>
      <c r="I60">
        <f t="shared" si="1"/>
        <v>4321</v>
      </c>
      <c r="J60">
        <v>61</v>
      </c>
      <c r="K60">
        <v>3287</v>
      </c>
      <c r="M60">
        <f t="shared" si="2"/>
        <v>0.5</v>
      </c>
    </row>
    <row r="61" spans="2:13" ht="15.5" x14ac:dyDescent="0.35">
      <c r="B61">
        <f t="shared" si="0"/>
        <v>886</v>
      </c>
      <c r="C61">
        <v>69</v>
      </c>
      <c r="E61" s="92" t="s">
        <v>221</v>
      </c>
      <c r="I61">
        <f t="shared" si="1"/>
        <v>4381</v>
      </c>
      <c r="J61">
        <v>61.5</v>
      </c>
      <c r="K61">
        <v>2974</v>
      </c>
      <c r="M61">
        <f t="shared" si="2"/>
        <v>0.5</v>
      </c>
    </row>
    <row r="62" spans="2:13" ht="15.5" x14ac:dyDescent="0.35">
      <c r="B62">
        <f t="shared" si="0"/>
        <v>901</v>
      </c>
      <c r="C62">
        <v>69.5</v>
      </c>
      <c r="E62" s="92" t="s">
        <v>222</v>
      </c>
      <c r="I62">
        <f t="shared" si="1"/>
        <v>4441</v>
      </c>
      <c r="J62">
        <v>62</v>
      </c>
      <c r="K62">
        <v>2690</v>
      </c>
      <c r="M62">
        <f t="shared" si="2"/>
        <v>0.5</v>
      </c>
    </row>
    <row r="63" spans="2:13" ht="15.5" x14ac:dyDescent="0.35">
      <c r="B63">
        <f>B62+30</f>
        <v>931</v>
      </c>
      <c r="C63">
        <v>70</v>
      </c>
      <c r="D63" s="87"/>
      <c r="E63" s="92" t="s">
        <v>223</v>
      </c>
      <c r="I63">
        <f t="shared" si="1"/>
        <v>4501</v>
      </c>
      <c r="J63">
        <v>62.5</v>
      </c>
      <c r="K63">
        <v>2417</v>
      </c>
      <c r="M63">
        <f t="shared" si="2"/>
        <v>0.5</v>
      </c>
    </row>
    <row r="64" spans="2:13" ht="15.5" x14ac:dyDescent="0.35">
      <c r="B64">
        <f>B63+60</f>
        <v>991</v>
      </c>
      <c r="C64">
        <v>70</v>
      </c>
      <c r="E64" s="92" t="s">
        <v>224</v>
      </c>
      <c r="I64">
        <f t="shared" si="1"/>
        <v>4561</v>
      </c>
      <c r="J64">
        <v>63</v>
      </c>
      <c r="K64">
        <v>2171</v>
      </c>
      <c r="M64">
        <f t="shared" si="2"/>
        <v>0.5</v>
      </c>
    </row>
    <row r="65" spans="2:13" ht="15.5" x14ac:dyDescent="0.35">
      <c r="B65">
        <f>B64+60+19</f>
        <v>1070</v>
      </c>
      <c r="C65">
        <v>69</v>
      </c>
      <c r="E65" s="92" t="s">
        <v>225</v>
      </c>
      <c r="I65">
        <f t="shared" si="1"/>
        <v>4621</v>
      </c>
      <c r="J65">
        <v>63.5</v>
      </c>
      <c r="K65">
        <v>1957</v>
      </c>
      <c r="M65">
        <f t="shared" si="2"/>
        <v>0.5</v>
      </c>
    </row>
    <row r="66" spans="2:13" ht="15.5" x14ac:dyDescent="0.35">
      <c r="B66">
        <f>B65+60+18</f>
        <v>1148</v>
      </c>
      <c r="C66">
        <v>68</v>
      </c>
      <c r="E66" s="92" t="s">
        <v>226</v>
      </c>
      <c r="I66">
        <f t="shared" si="1"/>
        <v>4681</v>
      </c>
      <c r="J66">
        <v>64</v>
      </c>
      <c r="K66">
        <v>1770</v>
      </c>
      <c r="M66">
        <f t="shared" si="2"/>
        <v>0.5</v>
      </c>
    </row>
    <row r="67" spans="2:13" ht="15.5" x14ac:dyDescent="0.35">
      <c r="B67">
        <f>B66+60+18</f>
        <v>1226</v>
      </c>
      <c r="C67">
        <v>67</v>
      </c>
      <c r="E67" s="92" t="s">
        <v>227</v>
      </c>
      <c r="I67">
        <f t="shared" si="1"/>
        <v>4741</v>
      </c>
      <c r="J67">
        <v>64.5</v>
      </c>
      <c r="K67">
        <v>1619</v>
      </c>
      <c r="M67">
        <f t="shared" si="2"/>
        <v>0.5</v>
      </c>
    </row>
    <row r="68" spans="2:13" ht="15.5" x14ac:dyDescent="0.35">
      <c r="B68">
        <f>B67+60+18</f>
        <v>1304</v>
      </c>
      <c r="C68">
        <v>66</v>
      </c>
      <c r="E68" s="92" t="s">
        <v>228</v>
      </c>
      <c r="I68">
        <f t="shared" si="1"/>
        <v>4801</v>
      </c>
      <c r="J68">
        <v>65</v>
      </c>
      <c r="K68">
        <v>1496</v>
      </c>
      <c r="M68">
        <f t="shared" si="2"/>
        <v>0.5</v>
      </c>
    </row>
    <row r="69" spans="2:13" ht="15.5" x14ac:dyDescent="0.35">
      <c r="B69">
        <f>B68+60+17</f>
        <v>1381</v>
      </c>
      <c r="C69">
        <v>65</v>
      </c>
      <c r="E69" s="92" t="s">
        <v>229</v>
      </c>
      <c r="I69">
        <f t="shared" ref="I69:I123" si="3">IF(J69=J68,I68+60,I68+60*ABS(J69-J68)/$I$1)</f>
        <v>4861</v>
      </c>
      <c r="J69">
        <v>65.5</v>
      </c>
      <c r="K69">
        <v>1402</v>
      </c>
      <c r="M69">
        <f t="shared" ref="M69:M123" si="4">(J69-J68)/((I69-I68)/60)</f>
        <v>0.5</v>
      </c>
    </row>
    <row r="70" spans="2:13" ht="15.5" x14ac:dyDescent="0.35">
      <c r="B70">
        <f>B69+60+17</f>
        <v>1458</v>
      </c>
      <c r="C70">
        <v>64</v>
      </c>
      <c r="E70" s="92" t="s">
        <v>230</v>
      </c>
      <c r="I70">
        <f t="shared" si="3"/>
        <v>4921</v>
      </c>
      <c r="J70">
        <v>66</v>
      </c>
      <c r="K70">
        <v>1334</v>
      </c>
      <c r="M70">
        <f t="shared" si="4"/>
        <v>0.5</v>
      </c>
    </row>
    <row r="71" spans="2:13" ht="15.5" x14ac:dyDescent="0.35">
      <c r="B71">
        <f>B70+60+16</f>
        <v>1534</v>
      </c>
      <c r="C71">
        <v>63</v>
      </c>
      <c r="E71" s="92" t="s">
        <v>231</v>
      </c>
      <c r="I71">
        <f t="shared" si="3"/>
        <v>4981</v>
      </c>
      <c r="J71">
        <v>66.5</v>
      </c>
      <c r="K71">
        <v>1283</v>
      </c>
      <c r="M71">
        <f t="shared" si="4"/>
        <v>0.5</v>
      </c>
    </row>
    <row r="72" spans="2:13" ht="15.5" x14ac:dyDescent="0.35">
      <c r="B72">
        <f>B71+60+16</f>
        <v>1610</v>
      </c>
      <c r="C72">
        <v>62</v>
      </c>
      <c r="E72" s="92" t="s">
        <v>232</v>
      </c>
      <c r="I72">
        <f t="shared" si="3"/>
        <v>5041</v>
      </c>
      <c r="J72">
        <v>67</v>
      </c>
      <c r="K72">
        <v>1245</v>
      </c>
      <c r="M72">
        <f t="shared" si="4"/>
        <v>0.5</v>
      </c>
    </row>
    <row r="73" spans="2:13" ht="15.5" x14ac:dyDescent="0.35">
      <c r="B73">
        <f>B72+60+16</f>
        <v>1686</v>
      </c>
      <c r="C73">
        <v>61</v>
      </c>
      <c r="E73" s="92" t="s">
        <v>233</v>
      </c>
      <c r="I73">
        <f t="shared" si="3"/>
        <v>5101</v>
      </c>
      <c r="J73">
        <v>67.5</v>
      </c>
      <c r="K73">
        <v>1218</v>
      </c>
      <c r="M73">
        <f t="shared" si="4"/>
        <v>0.5</v>
      </c>
    </row>
    <row r="74" spans="2:13" ht="15.5" x14ac:dyDescent="0.35">
      <c r="B74">
        <f>B73+60+15</f>
        <v>1761</v>
      </c>
      <c r="C74">
        <v>60</v>
      </c>
      <c r="E74" s="92" t="s">
        <v>234</v>
      </c>
      <c r="I74">
        <f t="shared" si="3"/>
        <v>5161</v>
      </c>
      <c r="J74">
        <v>68</v>
      </c>
      <c r="K74">
        <v>1199</v>
      </c>
      <c r="M74">
        <f t="shared" si="4"/>
        <v>0.5</v>
      </c>
    </row>
    <row r="75" spans="2:13" ht="15.5" x14ac:dyDescent="0.35">
      <c r="B75">
        <f>B74+60+15</f>
        <v>1836</v>
      </c>
      <c r="C75">
        <v>59</v>
      </c>
      <c r="E75" s="92" t="s">
        <v>235</v>
      </c>
      <c r="I75">
        <f t="shared" si="3"/>
        <v>5221</v>
      </c>
      <c r="J75">
        <v>68.5</v>
      </c>
      <c r="K75">
        <v>1185</v>
      </c>
      <c r="M75">
        <f t="shared" si="4"/>
        <v>0.5</v>
      </c>
    </row>
    <row r="76" spans="2:13" ht="15.5" x14ac:dyDescent="0.35">
      <c r="B76">
        <f>B75+60+14</f>
        <v>1910</v>
      </c>
      <c r="C76">
        <v>58</v>
      </c>
      <c r="E76" s="92" t="s">
        <v>236</v>
      </c>
      <c r="I76">
        <f t="shared" si="3"/>
        <v>5281</v>
      </c>
      <c r="J76">
        <v>69</v>
      </c>
      <c r="K76">
        <v>1170</v>
      </c>
      <c r="M76">
        <f t="shared" si="4"/>
        <v>0.5</v>
      </c>
    </row>
    <row r="77" spans="2:13" ht="15.5" x14ac:dyDescent="0.35">
      <c r="B77">
        <f>B76+60+13</f>
        <v>1983</v>
      </c>
      <c r="C77">
        <v>57</v>
      </c>
      <c r="E77" s="92" t="s">
        <v>237</v>
      </c>
      <c r="I77">
        <f t="shared" si="3"/>
        <v>5341</v>
      </c>
      <c r="J77">
        <v>69.5</v>
      </c>
      <c r="K77">
        <v>1159</v>
      </c>
      <c r="M77">
        <f t="shared" si="4"/>
        <v>0.5</v>
      </c>
    </row>
    <row r="78" spans="2:13" ht="15.5" x14ac:dyDescent="0.35">
      <c r="B78">
        <f>B77+60+13</f>
        <v>2056</v>
      </c>
      <c r="C78">
        <v>56</v>
      </c>
      <c r="E78" s="92" t="s">
        <v>238</v>
      </c>
      <c r="I78">
        <f t="shared" si="3"/>
        <v>5401</v>
      </c>
      <c r="J78">
        <v>70</v>
      </c>
      <c r="K78">
        <v>1151</v>
      </c>
      <c r="M78">
        <f t="shared" si="4"/>
        <v>0.5</v>
      </c>
    </row>
    <row r="79" spans="2:13" ht="15.5" x14ac:dyDescent="0.35">
      <c r="B79">
        <f>B78+60+12</f>
        <v>2128</v>
      </c>
      <c r="C79">
        <v>55</v>
      </c>
      <c r="E79" s="92" t="s">
        <v>239</v>
      </c>
      <c r="I79">
        <f t="shared" si="3"/>
        <v>5461</v>
      </c>
      <c r="J79">
        <v>70</v>
      </c>
      <c r="K79">
        <v>1144</v>
      </c>
      <c r="M79">
        <f t="shared" si="4"/>
        <v>0</v>
      </c>
    </row>
    <row r="80" spans="2:13" ht="15.5" x14ac:dyDescent="0.35">
      <c r="B80">
        <f>B79+60+11</f>
        <v>2199</v>
      </c>
      <c r="C80">
        <v>54</v>
      </c>
      <c r="E80" s="92" t="s">
        <v>240</v>
      </c>
      <c r="I80">
        <f t="shared" si="3"/>
        <v>5581</v>
      </c>
      <c r="J80">
        <v>69</v>
      </c>
      <c r="K80">
        <v>1153</v>
      </c>
      <c r="M80">
        <f t="shared" si="4"/>
        <v>-0.5</v>
      </c>
    </row>
    <row r="81" spans="2:13" ht="15.5" x14ac:dyDescent="0.35">
      <c r="B81">
        <f>B80+60+10</f>
        <v>2269</v>
      </c>
      <c r="C81">
        <v>53</v>
      </c>
      <c r="E81" s="92" t="s">
        <v>241</v>
      </c>
      <c r="I81">
        <f t="shared" si="3"/>
        <v>5701</v>
      </c>
      <c r="J81">
        <v>68</v>
      </c>
      <c r="K81">
        <v>1164</v>
      </c>
      <c r="M81">
        <f t="shared" si="4"/>
        <v>-0.5</v>
      </c>
    </row>
    <row r="82" spans="2:13" ht="15.5" x14ac:dyDescent="0.35">
      <c r="B82">
        <f>B81+60+10</f>
        <v>2339</v>
      </c>
      <c r="C82">
        <v>52</v>
      </c>
      <c r="E82" s="92" t="s">
        <v>242</v>
      </c>
      <c r="I82">
        <f t="shared" si="3"/>
        <v>5821</v>
      </c>
      <c r="J82">
        <v>67</v>
      </c>
      <c r="K82">
        <v>1184</v>
      </c>
      <c r="M82">
        <f t="shared" si="4"/>
        <v>-0.5</v>
      </c>
    </row>
    <row r="83" spans="2:13" ht="15.5" x14ac:dyDescent="0.35">
      <c r="B83">
        <f>B82+60+9</f>
        <v>2408</v>
      </c>
      <c r="C83">
        <v>51</v>
      </c>
      <c r="E83" s="92" t="s">
        <v>243</v>
      </c>
      <c r="I83">
        <f t="shared" si="3"/>
        <v>5941</v>
      </c>
      <c r="J83">
        <v>66</v>
      </c>
      <c r="K83">
        <v>1217</v>
      </c>
      <c r="M83">
        <f t="shared" si="4"/>
        <v>-0.5</v>
      </c>
    </row>
    <row r="84" spans="2:13" ht="15.5" x14ac:dyDescent="0.35">
      <c r="B84">
        <f>B83+60+8</f>
        <v>2476</v>
      </c>
      <c r="C84">
        <v>50</v>
      </c>
      <c r="E84" s="92" t="s">
        <v>244</v>
      </c>
      <c r="I84">
        <f t="shared" si="3"/>
        <v>6061</v>
      </c>
      <c r="J84">
        <v>65</v>
      </c>
      <c r="K84">
        <v>1275</v>
      </c>
      <c r="M84">
        <f t="shared" si="4"/>
        <v>-0.5</v>
      </c>
    </row>
    <row r="85" spans="2:13" ht="15.5" x14ac:dyDescent="0.35">
      <c r="B85">
        <f>B84+60+8</f>
        <v>2544</v>
      </c>
      <c r="C85">
        <v>49</v>
      </c>
      <c r="E85" s="92" t="s">
        <v>245</v>
      </c>
      <c r="I85">
        <f t="shared" si="3"/>
        <v>6181</v>
      </c>
      <c r="J85">
        <v>64</v>
      </c>
      <c r="K85">
        <v>1388</v>
      </c>
      <c r="M85">
        <f t="shared" si="4"/>
        <v>-0.5</v>
      </c>
    </row>
    <row r="86" spans="2:13" ht="15.5" x14ac:dyDescent="0.35">
      <c r="B86">
        <f>B85+60+7</f>
        <v>2611</v>
      </c>
      <c r="C86">
        <v>48</v>
      </c>
      <c r="E86" s="92" t="s">
        <v>246</v>
      </c>
      <c r="I86">
        <f t="shared" si="3"/>
        <v>6301</v>
      </c>
      <c r="J86">
        <v>63</v>
      </c>
      <c r="K86">
        <v>1569</v>
      </c>
      <c r="M86">
        <f t="shared" si="4"/>
        <v>-0.5</v>
      </c>
    </row>
    <row r="87" spans="2:13" ht="15.5" x14ac:dyDescent="0.35">
      <c r="B87">
        <f>B86+60+8</f>
        <v>2679</v>
      </c>
      <c r="C87">
        <v>47</v>
      </c>
      <c r="E87" s="92" t="s">
        <v>247</v>
      </c>
      <c r="I87">
        <f t="shared" si="3"/>
        <v>6421</v>
      </c>
      <c r="J87">
        <v>62</v>
      </c>
      <c r="K87">
        <v>1863</v>
      </c>
      <c r="M87">
        <f t="shared" si="4"/>
        <v>-0.5</v>
      </c>
    </row>
    <row r="88" spans="2:13" ht="15.5" x14ac:dyDescent="0.35">
      <c r="B88">
        <f>B87+60+8</f>
        <v>2747</v>
      </c>
      <c r="C88">
        <v>46</v>
      </c>
      <c r="E88" s="92" t="s">
        <v>248</v>
      </c>
      <c r="I88">
        <f t="shared" si="3"/>
        <v>6541</v>
      </c>
      <c r="J88">
        <v>61</v>
      </c>
      <c r="K88">
        <v>2265</v>
      </c>
      <c r="M88">
        <f t="shared" si="4"/>
        <v>-0.5</v>
      </c>
    </row>
    <row r="89" spans="2:13" ht="15.5" x14ac:dyDescent="0.35">
      <c r="B89">
        <f t="shared" ref="B89:B94" si="5">B88+60+9</f>
        <v>2816</v>
      </c>
      <c r="C89">
        <v>45</v>
      </c>
      <c r="E89" s="92" t="s">
        <v>249</v>
      </c>
      <c r="I89">
        <f t="shared" si="3"/>
        <v>6661</v>
      </c>
      <c r="J89">
        <v>60</v>
      </c>
      <c r="K89">
        <v>2782</v>
      </c>
      <c r="M89">
        <f t="shared" si="4"/>
        <v>-0.5</v>
      </c>
    </row>
    <row r="90" spans="2:13" ht="15.5" x14ac:dyDescent="0.35">
      <c r="B90">
        <f t="shared" si="5"/>
        <v>2885</v>
      </c>
      <c r="C90">
        <v>44</v>
      </c>
      <c r="E90" s="92" t="s">
        <v>250</v>
      </c>
      <c r="I90">
        <f t="shared" si="3"/>
        <v>6781</v>
      </c>
      <c r="J90">
        <v>59</v>
      </c>
      <c r="K90">
        <v>3396</v>
      </c>
      <c r="M90">
        <f t="shared" si="4"/>
        <v>-0.5</v>
      </c>
    </row>
    <row r="91" spans="2:13" ht="15.5" x14ac:dyDescent="0.35">
      <c r="B91">
        <f t="shared" si="5"/>
        <v>2954</v>
      </c>
      <c r="C91">
        <v>43</v>
      </c>
      <c r="E91" s="92" t="s">
        <v>251</v>
      </c>
      <c r="I91">
        <f t="shared" si="3"/>
        <v>6901</v>
      </c>
      <c r="J91">
        <v>58</v>
      </c>
      <c r="K91">
        <v>4063</v>
      </c>
      <c r="M91">
        <f t="shared" si="4"/>
        <v>-0.5</v>
      </c>
    </row>
    <row r="92" spans="2:13" ht="15.5" x14ac:dyDescent="0.35">
      <c r="B92">
        <f t="shared" si="5"/>
        <v>3023</v>
      </c>
      <c r="C92">
        <v>42</v>
      </c>
      <c r="E92" s="92" t="s">
        <v>252</v>
      </c>
      <c r="I92">
        <f t="shared" si="3"/>
        <v>7021</v>
      </c>
      <c r="J92">
        <v>57</v>
      </c>
      <c r="K92">
        <v>4770</v>
      </c>
      <c r="M92">
        <f t="shared" si="4"/>
        <v>-0.5</v>
      </c>
    </row>
    <row r="93" spans="2:13" ht="15.5" x14ac:dyDescent="0.35">
      <c r="B93">
        <f t="shared" si="5"/>
        <v>3092</v>
      </c>
      <c r="C93">
        <v>41</v>
      </c>
      <c r="E93" s="92" t="s">
        <v>253</v>
      </c>
      <c r="I93">
        <f t="shared" si="3"/>
        <v>7141</v>
      </c>
      <c r="J93">
        <v>56</v>
      </c>
      <c r="K93">
        <v>5477</v>
      </c>
      <c r="M93">
        <f t="shared" si="4"/>
        <v>-0.5</v>
      </c>
    </row>
    <row r="94" spans="2:13" ht="15.5" x14ac:dyDescent="0.35">
      <c r="B94">
        <f t="shared" si="5"/>
        <v>3161</v>
      </c>
      <c r="C94">
        <v>40</v>
      </c>
      <c r="E94" s="92" t="s">
        <v>254</v>
      </c>
      <c r="I94">
        <f t="shared" si="3"/>
        <v>7261</v>
      </c>
      <c r="J94">
        <v>55</v>
      </c>
      <c r="K94">
        <v>6168</v>
      </c>
      <c r="M94">
        <f t="shared" si="4"/>
        <v>-0.5</v>
      </c>
    </row>
    <row r="95" spans="2:13" ht="15.5" x14ac:dyDescent="0.35">
      <c r="E95" s="92"/>
      <c r="I95">
        <f t="shared" si="3"/>
        <v>7381</v>
      </c>
      <c r="J95">
        <v>54</v>
      </c>
      <c r="K95">
        <v>6803</v>
      </c>
      <c r="M95">
        <f t="shared" si="4"/>
        <v>-0.5</v>
      </c>
    </row>
    <row r="96" spans="2:13" ht="15.5" x14ac:dyDescent="0.35">
      <c r="E96" s="92"/>
      <c r="I96">
        <f t="shared" si="3"/>
        <v>7501</v>
      </c>
      <c r="J96">
        <v>53</v>
      </c>
      <c r="K96">
        <v>7375</v>
      </c>
      <c r="M96">
        <f t="shared" si="4"/>
        <v>-0.5</v>
      </c>
    </row>
    <row r="97" spans="5:13" ht="15.5" x14ac:dyDescent="0.35">
      <c r="E97" s="92"/>
      <c r="I97">
        <f t="shared" si="3"/>
        <v>7621</v>
      </c>
      <c r="J97">
        <v>52</v>
      </c>
      <c r="K97">
        <v>7858</v>
      </c>
      <c r="M97">
        <f t="shared" si="4"/>
        <v>-0.5</v>
      </c>
    </row>
    <row r="98" spans="5:13" ht="15.5" x14ac:dyDescent="0.35">
      <c r="E98" s="92"/>
      <c r="I98">
        <f t="shared" si="3"/>
        <v>7741</v>
      </c>
      <c r="J98">
        <v>51</v>
      </c>
      <c r="K98">
        <v>8272</v>
      </c>
      <c r="M98">
        <f t="shared" si="4"/>
        <v>-0.5</v>
      </c>
    </row>
    <row r="99" spans="5:13" ht="15.5" x14ac:dyDescent="0.35">
      <c r="E99" s="92"/>
      <c r="I99">
        <f t="shared" si="3"/>
        <v>7861</v>
      </c>
      <c r="J99">
        <v>50</v>
      </c>
      <c r="K99">
        <v>8625</v>
      </c>
      <c r="M99">
        <f t="shared" si="4"/>
        <v>-0.5</v>
      </c>
    </row>
    <row r="100" spans="5:13" ht="15.5" x14ac:dyDescent="0.35">
      <c r="E100" s="92"/>
      <c r="I100">
        <f t="shared" si="3"/>
        <v>7981</v>
      </c>
      <c r="J100">
        <v>49</v>
      </c>
      <c r="K100">
        <v>8925</v>
      </c>
      <c r="M100">
        <f t="shared" si="4"/>
        <v>-0.5</v>
      </c>
    </row>
    <row r="101" spans="5:13" ht="15.5" x14ac:dyDescent="0.35">
      <c r="E101" s="92"/>
      <c r="I101">
        <f t="shared" si="3"/>
        <v>8101</v>
      </c>
      <c r="J101">
        <v>48</v>
      </c>
      <c r="K101">
        <v>9168</v>
      </c>
      <c r="M101">
        <f t="shared" si="4"/>
        <v>-0.5</v>
      </c>
    </row>
    <row r="102" spans="5:13" ht="15.5" x14ac:dyDescent="0.35">
      <c r="E102" s="92"/>
      <c r="I102">
        <f t="shared" si="3"/>
        <v>8221</v>
      </c>
      <c r="J102">
        <v>47</v>
      </c>
      <c r="K102">
        <v>9380</v>
      </c>
      <c r="M102">
        <f t="shared" si="4"/>
        <v>-0.5</v>
      </c>
    </row>
    <row r="103" spans="5:13" ht="15.5" x14ac:dyDescent="0.35">
      <c r="E103" s="92"/>
      <c r="I103">
        <f t="shared" si="3"/>
        <v>8341</v>
      </c>
      <c r="J103">
        <v>46</v>
      </c>
      <c r="K103">
        <v>9562</v>
      </c>
      <c r="M103">
        <f t="shared" si="4"/>
        <v>-0.5</v>
      </c>
    </row>
    <row r="104" spans="5:13" ht="15.5" x14ac:dyDescent="0.35">
      <c r="E104" s="92"/>
      <c r="I104">
        <f t="shared" si="3"/>
        <v>8461</v>
      </c>
      <c r="J104">
        <v>45</v>
      </c>
      <c r="K104">
        <v>9715</v>
      </c>
      <c r="M104">
        <f t="shared" si="4"/>
        <v>-0.5</v>
      </c>
    </row>
    <row r="105" spans="5:13" ht="15.5" x14ac:dyDescent="0.35">
      <c r="E105" s="92"/>
      <c r="I105">
        <f t="shared" si="3"/>
        <v>8581</v>
      </c>
      <c r="J105">
        <v>44</v>
      </c>
      <c r="K105">
        <v>9848</v>
      </c>
      <c r="M105">
        <f t="shared" si="4"/>
        <v>-0.5</v>
      </c>
    </row>
    <row r="106" spans="5:13" ht="15.5" x14ac:dyDescent="0.35">
      <c r="E106" s="92"/>
      <c r="I106">
        <f t="shared" si="3"/>
        <v>8701</v>
      </c>
      <c r="J106">
        <v>43</v>
      </c>
      <c r="K106">
        <v>9973</v>
      </c>
      <c r="M106">
        <f t="shared" si="4"/>
        <v>-0.5</v>
      </c>
    </row>
    <row r="107" spans="5:13" ht="15.5" x14ac:dyDescent="0.35">
      <c r="E107" s="92"/>
      <c r="I107">
        <f t="shared" si="3"/>
        <v>8821</v>
      </c>
      <c r="J107">
        <v>42</v>
      </c>
      <c r="K107">
        <v>10092</v>
      </c>
      <c r="M107">
        <f t="shared" si="4"/>
        <v>-0.5</v>
      </c>
    </row>
    <row r="108" spans="5:13" ht="15.5" x14ac:dyDescent="0.35">
      <c r="E108" s="92"/>
      <c r="I108">
        <f t="shared" si="3"/>
        <v>8941</v>
      </c>
      <c r="J108">
        <v>41</v>
      </c>
      <c r="K108">
        <v>10203</v>
      </c>
      <c r="M108">
        <f t="shared" si="4"/>
        <v>-0.5</v>
      </c>
    </row>
    <row r="109" spans="5:13" ht="15.5" x14ac:dyDescent="0.35">
      <c r="E109" s="92"/>
      <c r="I109">
        <f t="shared" si="3"/>
        <v>9061</v>
      </c>
      <c r="J109">
        <v>40</v>
      </c>
      <c r="K109">
        <v>10317</v>
      </c>
      <c r="M109">
        <f t="shared" si="4"/>
        <v>-0.5</v>
      </c>
    </row>
    <row r="110" spans="5:13" x14ac:dyDescent="0.25">
      <c r="I110">
        <f t="shared" si="3"/>
        <v>9181</v>
      </c>
      <c r="J110">
        <v>39</v>
      </c>
      <c r="K110">
        <v>10325</v>
      </c>
      <c r="M110">
        <f t="shared" si="4"/>
        <v>-0.5</v>
      </c>
    </row>
    <row r="111" spans="5:13" x14ac:dyDescent="0.25">
      <c r="I111">
        <f t="shared" si="3"/>
        <v>9301</v>
      </c>
      <c r="J111">
        <v>38</v>
      </c>
      <c r="K111">
        <v>10402</v>
      </c>
      <c r="M111">
        <f t="shared" si="4"/>
        <v>-0.5</v>
      </c>
    </row>
    <row r="112" spans="5:13" x14ac:dyDescent="0.25">
      <c r="I112">
        <f t="shared" si="3"/>
        <v>9421</v>
      </c>
      <c r="J112">
        <v>37</v>
      </c>
      <c r="K112">
        <v>10477</v>
      </c>
      <c r="M112">
        <f t="shared" si="4"/>
        <v>-0.5</v>
      </c>
    </row>
    <row r="113" spans="9:13" x14ac:dyDescent="0.25">
      <c r="I113">
        <f t="shared" si="3"/>
        <v>9541</v>
      </c>
      <c r="J113">
        <v>36</v>
      </c>
      <c r="K113">
        <v>10566</v>
      </c>
      <c r="M113">
        <f t="shared" si="4"/>
        <v>-0.5</v>
      </c>
    </row>
    <row r="114" spans="9:13" x14ac:dyDescent="0.25">
      <c r="I114">
        <f t="shared" si="3"/>
        <v>9661</v>
      </c>
      <c r="J114">
        <v>35</v>
      </c>
      <c r="K114">
        <v>10647</v>
      </c>
      <c r="M114">
        <f t="shared" si="4"/>
        <v>-0.5</v>
      </c>
    </row>
    <row r="115" spans="9:13" x14ac:dyDescent="0.25">
      <c r="I115">
        <f t="shared" si="3"/>
        <v>9781</v>
      </c>
      <c r="J115">
        <v>34</v>
      </c>
      <c r="K115">
        <v>10721</v>
      </c>
      <c r="M115">
        <f t="shared" si="4"/>
        <v>-0.5</v>
      </c>
    </row>
    <row r="116" spans="9:13" x14ac:dyDescent="0.25">
      <c r="I116">
        <f t="shared" si="3"/>
        <v>9901</v>
      </c>
      <c r="J116">
        <v>33</v>
      </c>
      <c r="K116">
        <v>10799</v>
      </c>
      <c r="M116">
        <f t="shared" si="4"/>
        <v>-0.5</v>
      </c>
    </row>
    <row r="117" spans="9:13" x14ac:dyDescent="0.25">
      <c r="I117">
        <f t="shared" si="3"/>
        <v>10021</v>
      </c>
      <c r="J117">
        <v>32</v>
      </c>
      <c r="K117">
        <v>10874</v>
      </c>
      <c r="M117">
        <f t="shared" si="4"/>
        <v>-0.5</v>
      </c>
    </row>
    <row r="118" spans="9:13" x14ac:dyDescent="0.25">
      <c r="I118">
        <f t="shared" si="3"/>
        <v>10141</v>
      </c>
      <c r="J118">
        <v>31</v>
      </c>
      <c r="K118">
        <v>10967</v>
      </c>
      <c r="M118">
        <f t="shared" si="4"/>
        <v>-0.5</v>
      </c>
    </row>
    <row r="119" spans="9:13" x14ac:dyDescent="0.25">
      <c r="I119">
        <f t="shared" si="3"/>
        <v>10261</v>
      </c>
      <c r="J119">
        <v>30</v>
      </c>
      <c r="K119">
        <v>11046</v>
      </c>
      <c r="M119">
        <f t="shared" si="4"/>
        <v>-0.5</v>
      </c>
    </row>
    <row r="120" spans="9:13" x14ac:dyDescent="0.25">
      <c r="I120">
        <f t="shared" si="3"/>
        <v>10381</v>
      </c>
      <c r="J120">
        <v>29</v>
      </c>
      <c r="K120">
        <v>11131</v>
      </c>
      <c r="M120">
        <f t="shared" si="4"/>
        <v>-0.5</v>
      </c>
    </row>
    <row r="121" spans="9:13" x14ac:dyDescent="0.25">
      <c r="I121">
        <f t="shared" si="3"/>
        <v>10621</v>
      </c>
      <c r="J121">
        <v>27</v>
      </c>
      <c r="K121">
        <v>11296</v>
      </c>
      <c r="M121">
        <f t="shared" si="4"/>
        <v>-0.5</v>
      </c>
    </row>
    <row r="122" spans="9:13" x14ac:dyDescent="0.25">
      <c r="I122">
        <f t="shared" si="3"/>
        <v>10741</v>
      </c>
      <c r="J122">
        <v>26</v>
      </c>
      <c r="K122">
        <v>11376</v>
      </c>
      <c r="M122">
        <f t="shared" si="4"/>
        <v>-0.5</v>
      </c>
    </row>
    <row r="123" spans="9:13" x14ac:dyDescent="0.25">
      <c r="I123">
        <f t="shared" si="3"/>
        <v>10861</v>
      </c>
      <c r="J123">
        <v>25</v>
      </c>
      <c r="K123">
        <v>11448</v>
      </c>
      <c r="M123">
        <f t="shared" si="4"/>
        <v>-0.5</v>
      </c>
    </row>
  </sheetData>
  <pageMargins left="0.7" right="0.7" top="0.75" bottom="0.75" header="0.3" footer="0.3"/>
  <ignoredErrors>
    <ignoredError sqref="B8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27"/>
  <sheetViews>
    <sheetView tabSelected="1" zoomScale="114" workbookViewId="0">
      <selection activeCell="A8" sqref="A8"/>
    </sheetView>
  </sheetViews>
  <sheetFormatPr defaultColWidth="9.1796875" defaultRowHeight="12.5" x14ac:dyDescent="0.25"/>
  <cols>
    <col min="1" max="1" width="10.453125" style="2" customWidth="1"/>
    <col min="2" max="2" width="14.453125" style="2" customWidth="1"/>
    <col min="3" max="3" width="9.1796875" style="2"/>
    <col min="4" max="4" width="17.453125" style="2" customWidth="1"/>
    <col min="5" max="5" width="12.81640625" style="2" customWidth="1"/>
    <col min="6" max="6" width="5.26953125" style="2" customWidth="1"/>
    <col min="7" max="7" width="23.7265625" style="2" customWidth="1"/>
    <col min="8" max="8" width="7.26953125" style="2" customWidth="1"/>
    <col min="9" max="9" width="12.453125" style="2" customWidth="1"/>
    <col min="10" max="16384" width="9.1796875" style="2"/>
  </cols>
  <sheetData>
    <row r="1" spans="1:10" ht="33.75" customHeight="1" x14ac:dyDescent="0.3">
      <c r="D1" s="2" t="s">
        <v>106</v>
      </c>
      <c r="E1" s="52" t="str" cm="1">
        <f t="array" aca="1" ref="E1" ca="1">MID(CELL("filename",A1),
    SEARCH("[",CELL("filename",A1))+1,
    SEARCH("]",CELL("filename",A1))-SEARCH("[",CELL("filename",A1))-1)</f>
        <v>Jsimple_v2.xlsm</v>
      </c>
      <c r="G1" s="2" t="s">
        <v>109</v>
      </c>
      <c r="H1" s="53">
        <v>260</v>
      </c>
      <c r="I1" s="2" t="s">
        <v>127</v>
      </c>
      <c r="J1" s="2">
        <f>COUNT(Curves!A:A)</f>
        <v>120</v>
      </c>
    </row>
    <row r="2" spans="1:10" ht="15" customHeight="1" x14ac:dyDescent="0.3">
      <c r="D2" s="2" t="s">
        <v>108</v>
      </c>
      <c r="E2" s="85" t="s">
        <v>255</v>
      </c>
      <c r="G2" s="2" t="s">
        <v>149</v>
      </c>
      <c r="H2" s="78">
        <v>1.9999999999999999E-6</v>
      </c>
      <c r="I2" s="2" t="s">
        <v>128</v>
      </c>
      <c r="J2" s="2">
        <f>COUNTIF(Curves!F:F,1)</f>
        <v>45</v>
      </c>
    </row>
    <row r="3" spans="1:10" ht="16.5" customHeight="1" thickBot="1" x14ac:dyDescent="0.35">
      <c r="D3" s="2" t="s">
        <v>105</v>
      </c>
      <c r="E3" s="54">
        <v>2</v>
      </c>
      <c r="G3" s="2" t="s">
        <v>146</v>
      </c>
      <c r="H3" s="55">
        <v>1</v>
      </c>
      <c r="I3" s="2" t="s">
        <v>147</v>
      </c>
    </row>
    <row r="4" spans="1:10" ht="16.5" customHeight="1" x14ac:dyDescent="0.3">
      <c r="D4" s="2" t="s">
        <v>38</v>
      </c>
      <c r="E4" s="54">
        <v>0.45</v>
      </c>
      <c r="G4" s="2" t="s">
        <v>107</v>
      </c>
      <c r="H4" s="62">
        <f>MAX($B:$B)</f>
        <v>70</v>
      </c>
    </row>
    <row r="5" spans="1:10" ht="16.5" customHeight="1" thickBot="1" x14ac:dyDescent="0.35">
      <c r="D5" s="2" t="s">
        <v>39</v>
      </c>
      <c r="E5" s="55">
        <v>0.55000000000000004</v>
      </c>
      <c r="G5" s="83" t="s">
        <v>262</v>
      </c>
    </row>
    <row r="6" spans="1:10" ht="16.5" customHeight="1" thickBot="1" x14ac:dyDescent="0.35">
      <c r="C6" s="56"/>
      <c r="D6" s="2" t="s">
        <v>150</v>
      </c>
      <c r="E6" s="56"/>
    </row>
    <row r="7" spans="1:10" ht="13" thickBot="1" x14ac:dyDescent="0.3">
      <c r="A7" s="60" t="s">
        <v>145</v>
      </c>
      <c r="B7" s="86" t="s">
        <v>151</v>
      </c>
      <c r="C7" s="82" t="s">
        <v>162</v>
      </c>
      <c r="D7" s="81"/>
      <c r="E7" s="81"/>
    </row>
    <row r="8" spans="1:10" ht="13" x14ac:dyDescent="0.3">
      <c r="A8" s="59">
        <v>1</v>
      </c>
      <c r="B8" s="2">
        <v>25</v>
      </c>
      <c r="C8" s="2">
        <v>11900</v>
      </c>
      <c r="D8" s="83" t="s">
        <v>148</v>
      </c>
    </row>
    <row r="9" spans="1:10" x14ac:dyDescent="0.25">
      <c r="A9" s="2">
        <v>121</v>
      </c>
      <c r="B9" s="2">
        <v>26</v>
      </c>
      <c r="C9" s="2">
        <v>11882</v>
      </c>
    </row>
    <row r="10" spans="1:10" x14ac:dyDescent="0.25">
      <c r="A10" s="2">
        <v>241</v>
      </c>
      <c r="B10" s="2">
        <v>27</v>
      </c>
      <c r="C10" s="2">
        <v>11846</v>
      </c>
    </row>
    <row r="11" spans="1:10" x14ac:dyDescent="0.25">
      <c r="A11" s="2">
        <v>361</v>
      </c>
      <c r="B11" s="2">
        <v>28</v>
      </c>
      <c r="C11" s="2">
        <v>11781</v>
      </c>
    </row>
    <row r="12" spans="1:10" x14ac:dyDescent="0.25">
      <c r="A12" s="2">
        <v>481</v>
      </c>
      <c r="B12" s="2">
        <v>29</v>
      </c>
      <c r="C12" s="2">
        <v>11703</v>
      </c>
    </row>
    <row r="13" spans="1:10" x14ac:dyDescent="0.25">
      <c r="A13" s="2">
        <v>601</v>
      </c>
      <c r="B13" s="2">
        <v>30</v>
      </c>
      <c r="C13" s="2">
        <v>11628</v>
      </c>
    </row>
    <row r="14" spans="1:10" x14ac:dyDescent="0.25">
      <c r="A14" s="2">
        <v>721</v>
      </c>
      <c r="B14" s="2">
        <v>31</v>
      </c>
      <c r="C14" s="2">
        <v>11542</v>
      </c>
    </row>
    <row r="15" spans="1:10" x14ac:dyDescent="0.25">
      <c r="A15" s="2">
        <v>841</v>
      </c>
      <c r="B15" s="2">
        <v>32</v>
      </c>
      <c r="C15" s="2">
        <v>11452</v>
      </c>
    </row>
    <row r="16" spans="1:10" x14ac:dyDescent="0.25">
      <c r="A16" s="2">
        <v>961</v>
      </c>
      <c r="B16" s="2">
        <v>33</v>
      </c>
      <c r="C16" s="2">
        <v>11345</v>
      </c>
    </row>
    <row r="17" spans="1:3" x14ac:dyDescent="0.25">
      <c r="A17" s="2">
        <v>1081</v>
      </c>
      <c r="B17" s="2">
        <v>34</v>
      </c>
      <c r="C17" s="2">
        <v>11214</v>
      </c>
    </row>
    <row r="18" spans="1:3" x14ac:dyDescent="0.25">
      <c r="A18" s="2">
        <v>1201</v>
      </c>
      <c r="B18" s="2">
        <v>35</v>
      </c>
      <c r="C18" s="2">
        <v>11013</v>
      </c>
    </row>
    <row r="19" spans="1:3" x14ac:dyDescent="0.25">
      <c r="A19" s="2">
        <v>1321</v>
      </c>
      <c r="B19" s="2">
        <v>36</v>
      </c>
      <c r="C19" s="2">
        <v>10682</v>
      </c>
    </row>
    <row r="20" spans="1:3" x14ac:dyDescent="0.25">
      <c r="A20" s="2">
        <v>1441</v>
      </c>
      <c r="B20" s="2">
        <v>37</v>
      </c>
      <c r="C20" s="2">
        <v>10413</v>
      </c>
    </row>
    <row r="21" spans="1:3" x14ac:dyDescent="0.25">
      <c r="A21" s="2">
        <v>1561</v>
      </c>
      <c r="B21" s="2">
        <v>38</v>
      </c>
      <c r="C21" s="2">
        <v>9901</v>
      </c>
    </row>
    <row r="22" spans="1:3" x14ac:dyDescent="0.25">
      <c r="A22" s="2">
        <v>1681</v>
      </c>
      <c r="B22" s="2">
        <v>39</v>
      </c>
      <c r="C22" s="2">
        <v>9347</v>
      </c>
    </row>
    <row r="23" spans="1:3" x14ac:dyDescent="0.25">
      <c r="A23" s="2">
        <v>1801</v>
      </c>
      <c r="B23" s="2">
        <v>40</v>
      </c>
      <c r="C23" s="2">
        <v>9454</v>
      </c>
    </row>
    <row r="24" spans="1:3" x14ac:dyDescent="0.25">
      <c r="A24" s="2">
        <v>1861</v>
      </c>
      <c r="B24" s="2">
        <v>40.5</v>
      </c>
      <c r="C24" s="2">
        <v>9555</v>
      </c>
    </row>
    <row r="25" spans="1:3" x14ac:dyDescent="0.25">
      <c r="A25" s="2">
        <v>1921</v>
      </c>
      <c r="B25" s="2">
        <v>41</v>
      </c>
      <c r="C25" s="2">
        <v>9969</v>
      </c>
    </row>
    <row r="26" spans="1:3" x14ac:dyDescent="0.25">
      <c r="A26" s="2">
        <v>1981</v>
      </c>
      <c r="B26" s="2">
        <v>41.5</v>
      </c>
      <c r="C26" s="2">
        <v>10144</v>
      </c>
    </row>
    <row r="27" spans="1:3" x14ac:dyDescent="0.25">
      <c r="A27" s="2">
        <v>2041</v>
      </c>
      <c r="B27" s="2">
        <v>42</v>
      </c>
      <c r="C27" s="2">
        <v>10196</v>
      </c>
    </row>
    <row r="28" spans="1:3" x14ac:dyDescent="0.25">
      <c r="A28" s="2">
        <v>2101</v>
      </c>
      <c r="B28" s="2">
        <v>42.5</v>
      </c>
      <c r="C28" s="2">
        <v>10181</v>
      </c>
    </row>
    <row r="29" spans="1:3" x14ac:dyDescent="0.25">
      <c r="A29" s="2">
        <v>2161</v>
      </c>
      <c r="B29" s="2">
        <v>43</v>
      </c>
      <c r="C29" s="2">
        <v>10133</v>
      </c>
    </row>
    <row r="30" spans="1:3" x14ac:dyDescent="0.25">
      <c r="A30" s="2">
        <v>2221</v>
      </c>
      <c r="B30" s="2">
        <v>43.5</v>
      </c>
      <c r="C30" s="2">
        <v>10070</v>
      </c>
    </row>
    <row r="31" spans="1:3" x14ac:dyDescent="0.25">
      <c r="A31" s="2">
        <v>2281</v>
      </c>
      <c r="B31" s="2">
        <v>44</v>
      </c>
      <c r="C31" s="2">
        <v>10028</v>
      </c>
    </row>
    <row r="32" spans="1:3" x14ac:dyDescent="0.25">
      <c r="A32" s="2">
        <v>2341</v>
      </c>
      <c r="B32" s="2">
        <v>44.5</v>
      </c>
      <c r="C32" s="2">
        <v>9968</v>
      </c>
    </row>
    <row r="33" spans="1:3" x14ac:dyDescent="0.25">
      <c r="A33" s="2">
        <v>2401</v>
      </c>
      <c r="B33" s="2">
        <v>45</v>
      </c>
      <c r="C33" s="2">
        <v>9922</v>
      </c>
    </row>
    <row r="34" spans="1:3" x14ac:dyDescent="0.25">
      <c r="A34" s="2">
        <v>2461</v>
      </c>
      <c r="B34" s="2">
        <v>45.5</v>
      </c>
      <c r="C34" s="2">
        <v>9864</v>
      </c>
    </row>
    <row r="35" spans="1:3" x14ac:dyDescent="0.25">
      <c r="A35" s="2">
        <v>2521</v>
      </c>
      <c r="B35" s="2">
        <v>46</v>
      </c>
      <c r="C35" s="2">
        <v>9806</v>
      </c>
    </row>
    <row r="36" spans="1:3" x14ac:dyDescent="0.25">
      <c r="A36" s="2">
        <v>2581</v>
      </c>
      <c r="B36" s="2">
        <v>46.5</v>
      </c>
      <c r="C36" s="2">
        <v>9745</v>
      </c>
    </row>
    <row r="37" spans="1:3" x14ac:dyDescent="0.25">
      <c r="A37" s="2">
        <v>2641</v>
      </c>
      <c r="B37" s="2">
        <v>47</v>
      </c>
      <c r="C37" s="2">
        <v>9677</v>
      </c>
    </row>
    <row r="38" spans="1:3" x14ac:dyDescent="0.25">
      <c r="A38" s="2">
        <v>2701</v>
      </c>
      <c r="B38" s="2">
        <v>47.5</v>
      </c>
      <c r="C38" s="2">
        <v>9620</v>
      </c>
    </row>
    <row r="39" spans="1:3" x14ac:dyDescent="0.25">
      <c r="A39" s="2">
        <v>2761</v>
      </c>
      <c r="B39" s="2">
        <v>48</v>
      </c>
      <c r="C39" s="2">
        <v>9538</v>
      </c>
    </row>
    <row r="40" spans="1:3" x14ac:dyDescent="0.25">
      <c r="A40" s="2">
        <v>2821</v>
      </c>
      <c r="B40" s="2">
        <v>48.5</v>
      </c>
      <c r="C40" s="2">
        <v>9477</v>
      </c>
    </row>
    <row r="41" spans="1:3" x14ac:dyDescent="0.25">
      <c r="A41" s="2">
        <v>2881</v>
      </c>
      <c r="B41" s="2">
        <v>49</v>
      </c>
      <c r="C41" s="2">
        <v>9396</v>
      </c>
    </row>
    <row r="42" spans="1:3" x14ac:dyDescent="0.25">
      <c r="A42" s="2">
        <v>2941</v>
      </c>
      <c r="B42" s="2">
        <v>49.5</v>
      </c>
      <c r="C42" s="2">
        <v>9324</v>
      </c>
    </row>
    <row r="43" spans="1:3" x14ac:dyDescent="0.25">
      <c r="A43" s="2">
        <v>3001</v>
      </c>
      <c r="B43" s="2">
        <v>50</v>
      </c>
      <c r="C43" s="2">
        <v>9232</v>
      </c>
    </row>
    <row r="44" spans="1:3" x14ac:dyDescent="0.25">
      <c r="A44" s="2">
        <v>3061</v>
      </c>
      <c r="B44" s="2">
        <v>50.5</v>
      </c>
      <c r="C44" s="2">
        <v>9144</v>
      </c>
    </row>
    <row r="45" spans="1:3" x14ac:dyDescent="0.25">
      <c r="A45" s="2">
        <v>3121</v>
      </c>
      <c r="B45" s="2">
        <v>51</v>
      </c>
      <c r="C45" s="2">
        <v>9030</v>
      </c>
    </row>
    <row r="46" spans="1:3" x14ac:dyDescent="0.25">
      <c r="A46" s="2">
        <v>3181</v>
      </c>
      <c r="B46" s="2">
        <v>51.5</v>
      </c>
      <c r="C46" s="2">
        <v>8911</v>
      </c>
    </row>
    <row r="47" spans="1:3" x14ac:dyDescent="0.25">
      <c r="A47" s="2">
        <v>3241</v>
      </c>
      <c r="B47" s="2">
        <v>52</v>
      </c>
      <c r="C47" s="2">
        <v>8776</v>
      </c>
    </row>
    <row r="48" spans="1:3" x14ac:dyDescent="0.25">
      <c r="A48" s="2">
        <v>3301</v>
      </c>
      <c r="B48" s="2">
        <v>52.5</v>
      </c>
      <c r="C48" s="2">
        <v>8600</v>
      </c>
    </row>
    <row r="49" spans="1:3" x14ac:dyDescent="0.25">
      <c r="A49" s="2">
        <v>3361</v>
      </c>
      <c r="B49" s="2">
        <v>53</v>
      </c>
      <c r="C49" s="2">
        <v>8404</v>
      </c>
    </row>
    <row r="50" spans="1:3" x14ac:dyDescent="0.25">
      <c r="A50" s="2">
        <v>3421</v>
      </c>
      <c r="B50" s="2">
        <v>53.5</v>
      </c>
      <c r="C50" s="2">
        <v>8174</v>
      </c>
    </row>
    <row r="51" spans="1:3" x14ac:dyDescent="0.25">
      <c r="A51" s="2">
        <v>3481</v>
      </c>
      <c r="B51" s="2">
        <v>54</v>
      </c>
      <c r="C51" s="2">
        <v>7912</v>
      </c>
    </row>
    <row r="52" spans="1:3" x14ac:dyDescent="0.25">
      <c r="A52" s="2">
        <v>3541</v>
      </c>
      <c r="B52" s="2">
        <v>54.5</v>
      </c>
      <c r="C52" s="2">
        <v>7621</v>
      </c>
    </row>
    <row r="53" spans="1:3" x14ac:dyDescent="0.25">
      <c r="A53" s="2">
        <v>3601</v>
      </c>
      <c r="B53" s="2">
        <v>55</v>
      </c>
      <c r="C53" s="2">
        <v>7300</v>
      </c>
    </row>
    <row r="54" spans="1:3" x14ac:dyDescent="0.25">
      <c r="A54" s="2">
        <v>3661</v>
      </c>
      <c r="B54" s="2">
        <v>55.5</v>
      </c>
      <c r="C54" s="2">
        <v>6987</v>
      </c>
    </row>
    <row r="55" spans="1:3" x14ac:dyDescent="0.25">
      <c r="A55" s="2">
        <v>3721</v>
      </c>
      <c r="B55" s="2">
        <v>56</v>
      </c>
      <c r="C55" s="2">
        <v>6667</v>
      </c>
    </row>
    <row r="56" spans="1:3" x14ac:dyDescent="0.25">
      <c r="A56" s="2">
        <v>3781</v>
      </c>
      <c r="B56" s="2">
        <v>56.5</v>
      </c>
      <c r="C56" s="2">
        <v>6328</v>
      </c>
    </row>
    <row r="57" spans="1:3" x14ac:dyDescent="0.25">
      <c r="A57" s="2">
        <v>3841</v>
      </c>
      <c r="B57" s="2">
        <v>57</v>
      </c>
      <c r="C57" s="2">
        <v>5989</v>
      </c>
    </row>
    <row r="58" spans="1:3" x14ac:dyDescent="0.25">
      <c r="A58" s="2">
        <v>3901</v>
      </c>
      <c r="B58" s="2">
        <v>57.5</v>
      </c>
      <c r="C58" s="2">
        <v>5646</v>
      </c>
    </row>
    <row r="59" spans="1:3" x14ac:dyDescent="0.25">
      <c r="A59" s="2">
        <v>3961</v>
      </c>
      <c r="B59" s="2">
        <v>58</v>
      </c>
      <c r="C59" s="2">
        <v>5304</v>
      </c>
    </row>
    <row r="60" spans="1:3" x14ac:dyDescent="0.25">
      <c r="A60" s="2">
        <v>4021</v>
      </c>
      <c r="B60" s="2">
        <v>58.5</v>
      </c>
      <c r="C60" s="2">
        <v>4956</v>
      </c>
    </row>
    <row r="61" spans="1:3" x14ac:dyDescent="0.25">
      <c r="A61" s="2">
        <v>4081</v>
      </c>
      <c r="B61" s="2">
        <v>59</v>
      </c>
      <c r="C61" s="2">
        <v>4608</v>
      </c>
    </row>
    <row r="62" spans="1:3" x14ac:dyDescent="0.25">
      <c r="A62" s="2">
        <v>4141</v>
      </c>
      <c r="B62" s="2">
        <v>59.5</v>
      </c>
      <c r="C62" s="2">
        <v>4270</v>
      </c>
    </row>
    <row r="63" spans="1:3" x14ac:dyDescent="0.25">
      <c r="A63" s="2">
        <v>4201</v>
      </c>
      <c r="B63" s="2">
        <v>60</v>
      </c>
      <c r="C63" s="2">
        <v>3936</v>
      </c>
    </row>
    <row r="64" spans="1:3" x14ac:dyDescent="0.25">
      <c r="A64" s="2">
        <v>4261</v>
      </c>
      <c r="B64" s="2">
        <v>60.5</v>
      </c>
      <c r="C64" s="2">
        <v>3611</v>
      </c>
    </row>
    <row r="65" spans="1:3" x14ac:dyDescent="0.25">
      <c r="A65" s="2">
        <v>4321</v>
      </c>
      <c r="B65" s="2">
        <v>61</v>
      </c>
      <c r="C65" s="2">
        <v>3287</v>
      </c>
    </row>
    <row r="66" spans="1:3" x14ac:dyDescent="0.25">
      <c r="A66" s="2">
        <v>4381</v>
      </c>
      <c r="B66" s="2">
        <v>61.5</v>
      </c>
      <c r="C66" s="2">
        <v>2974</v>
      </c>
    </row>
    <row r="67" spans="1:3" x14ac:dyDescent="0.25">
      <c r="A67" s="2">
        <v>4441</v>
      </c>
      <c r="B67" s="2">
        <v>62</v>
      </c>
      <c r="C67" s="2">
        <v>2690</v>
      </c>
    </row>
    <row r="68" spans="1:3" x14ac:dyDescent="0.25">
      <c r="A68" s="2">
        <v>4501</v>
      </c>
      <c r="B68" s="2">
        <v>62.5</v>
      </c>
      <c r="C68" s="2">
        <v>2417</v>
      </c>
    </row>
    <row r="69" spans="1:3" x14ac:dyDescent="0.25">
      <c r="A69" s="2">
        <v>4561</v>
      </c>
      <c r="B69" s="2">
        <v>63</v>
      </c>
      <c r="C69" s="2">
        <v>2171</v>
      </c>
    </row>
    <row r="70" spans="1:3" x14ac:dyDescent="0.25">
      <c r="A70" s="2">
        <v>4621</v>
      </c>
      <c r="B70" s="2">
        <v>63.5</v>
      </c>
      <c r="C70" s="2">
        <v>1957</v>
      </c>
    </row>
    <row r="71" spans="1:3" x14ac:dyDescent="0.25">
      <c r="A71" s="2">
        <v>4681</v>
      </c>
      <c r="B71" s="2">
        <v>64</v>
      </c>
      <c r="C71" s="2">
        <v>1770</v>
      </c>
    </row>
    <row r="72" spans="1:3" x14ac:dyDescent="0.25">
      <c r="A72" s="2">
        <v>4741</v>
      </c>
      <c r="B72" s="2">
        <v>64.5</v>
      </c>
      <c r="C72" s="2">
        <v>1619</v>
      </c>
    </row>
    <row r="73" spans="1:3" x14ac:dyDescent="0.25">
      <c r="A73" s="2">
        <v>4801</v>
      </c>
      <c r="B73" s="2">
        <v>65</v>
      </c>
      <c r="C73" s="2">
        <v>1496</v>
      </c>
    </row>
    <row r="74" spans="1:3" x14ac:dyDescent="0.25">
      <c r="A74" s="2">
        <v>4861</v>
      </c>
      <c r="B74" s="2">
        <v>65.5</v>
      </c>
      <c r="C74" s="2">
        <v>1402</v>
      </c>
    </row>
    <row r="75" spans="1:3" x14ac:dyDescent="0.25">
      <c r="A75" s="2">
        <v>4921</v>
      </c>
      <c r="B75" s="2">
        <v>66</v>
      </c>
      <c r="C75" s="2">
        <v>1334</v>
      </c>
    </row>
    <row r="76" spans="1:3" x14ac:dyDescent="0.25">
      <c r="A76" s="2">
        <v>4981</v>
      </c>
      <c r="B76" s="2">
        <v>66.5</v>
      </c>
      <c r="C76" s="2">
        <v>1283</v>
      </c>
    </row>
    <row r="77" spans="1:3" x14ac:dyDescent="0.25">
      <c r="A77" s="2">
        <v>5041</v>
      </c>
      <c r="B77" s="2">
        <v>67</v>
      </c>
      <c r="C77" s="2">
        <v>1245</v>
      </c>
    </row>
    <row r="78" spans="1:3" x14ac:dyDescent="0.25">
      <c r="A78" s="2">
        <v>5101</v>
      </c>
      <c r="B78" s="2">
        <v>67.5</v>
      </c>
      <c r="C78" s="2">
        <v>1218</v>
      </c>
    </row>
    <row r="79" spans="1:3" x14ac:dyDescent="0.25">
      <c r="A79" s="2">
        <v>5161</v>
      </c>
      <c r="B79" s="2">
        <v>68</v>
      </c>
      <c r="C79" s="2">
        <v>1199</v>
      </c>
    </row>
    <row r="80" spans="1:3" x14ac:dyDescent="0.25">
      <c r="A80" s="2">
        <v>5221</v>
      </c>
      <c r="B80" s="2">
        <v>68.5</v>
      </c>
      <c r="C80" s="2">
        <v>1185</v>
      </c>
    </row>
    <row r="81" spans="1:3" x14ac:dyDescent="0.25">
      <c r="A81" s="2">
        <v>5281</v>
      </c>
      <c r="B81" s="2">
        <v>69</v>
      </c>
      <c r="C81" s="2">
        <v>1170</v>
      </c>
    </row>
    <row r="82" spans="1:3" x14ac:dyDescent="0.25">
      <c r="A82" s="2">
        <v>5341</v>
      </c>
      <c r="B82" s="2">
        <v>69.5</v>
      </c>
      <c r="C82" s="2">
        <v>1159</v>
      </c>
    </row>
    <row r="83" spans="1:3" x14ac:dyDescent="0.25">
      <c r="A83" s="2">
        <v>5401</v>
      </c>
      <c r="B83" s="2">
        <v>70</v>
      </c>
      <c r="C83" s="2">
        <v>1151</v>
      </c>
    </row>
    <row r="84" spans="1:3" x14ac:dyDescent="0.25">
      <c r="A84" s="2">
        <v>5581</v>
      </c>
      <c r="B84" s="2">
        <v>69</v>
      </c>
      <c r="C84" s="2">
        <v>1153</v>
      </c>
    </row>
    <row r="85" spans="1:3" x14ac:dyDescent="0.25">
      <c r="A85" s="2">
        <v>5701</v>
      </c>
      <c r="B85" s="2">
        <v>68</v>
      </c>
      <c r="C85" s="2">
        <v>1164</v>
      </c>
    </row>
    <row r="86" spans="1:3" x14ac:dyDescent="0.25">
      <c r="A86" s="2">
        <v>5821</v>
      </c>
      <c r="B86" s="2">
        <v>67</v>
      </c>
      <c r="C86" s="2">
        <v>1184</v>
      </c>
    </row>
    <row r="87" spans="1:3" x14ac:dyDescent="0.25">
      <c r="A87" s="2">
        <v>5941</v>
      </c>
      <c r="B87" s="2">
        <v>66</v>
      </c>
      <c r="C87" s="2">
        <v>1217</v>
      </c>
    </row>
    <row r="88" spans="1:3" x14ac:dyDescent="0.25">
      <c r="A88" s="2">
        <v>6061</v>
      </c>
      <c r="B88" s="2">
        <v>65</v>
      </c>
      <c r="C88" s="2">
        <v>1275</v>
      </c>
    </row>
    <row r="89" spans="1:3" x14ac:dyDescent="0.25">
      <c r="A89" s="2">
        <v>6181</v>
      </c>
      <c r="B89" s="2">
        <v>64</v>
      </c>
      <c r="C89" s="2">
        <v>1388</v>
      </c>
    </row>
    <row r="90" spans="1:3" x14ac:dyDescent="0.25">
      <c r="A90" s="2">
        <v>6301</v>
      </c>
      <c r="B90" s="2">
        <v>63</v>
      </c>
      <c r="C90" s="2">
        <v>1569</v>
      </c>
    </row>
    <row r="91" spans="1:3" x14ac:dyDescent="0.25">
      <c r="A91" s="2">
        <v>6421</v>
      </c>
      <c r="B91" s="2">
        <v>62</v>
      </c>
      <c r="C91" s="2">
        <v>1863</v>
      </c>
    </row>
    <row r="92" spans="1:3" x14ac:dyDescent="0.25">
      <c r="A92" s="2">
        <v>6541</v>
      </c>
      <c r="B92" s="2">
        <v>61</v>
      </c>
      <c r="C92" s="2">
        <v>2265</v>
      </c>
    </row>
    <row r="93" spans="1:3" x14ac:dyDescent="0.25">
      <c r="A93" s="2">
        <v>6661</v>
      </c>
      <c r="B93" s="2">
        <v>60</v>
      </c>
      <c r="C93" s="2">
        <v>2782</v>
      </c>
    </row>
    <row r="94" spans="1:3" x14ac:dyDescent="0.25">
      <c r="A94" s="2">
        <v>6781</v>
      </c>
      <c r="B94" s="2">
        <v>59</v>
      </c>
      <c r="C94" s="2">
        <v>3396</v>
      </c>
    </row>
    <row r="95" spans="1:3" x14ac:dyDescent="0.25">
      <c r="A95" s="2">
        <v>6901</v>
      </c>
      <c r="B95" s="2">
        <v>58</v>
      </c>
      <c r="C95" s="2">
        <v>4063</v>
      </c>
    </row>
    <row r="96" spans="1:3" x14ac:dyDescent="0.25">
      <c r="A96" s="2">
        <v>7021</v>
      </c>
      <c r="B96" s="2">
        <v>57</v>
      </c>
      <c r="C96" s="2">
        <v>4770</v>
      </c>
    </row>
    <row r="97" spans="1:3" x14ac:dyDescent="0.25">
      <c r="A97" s="2">
        <v>7141</v>
      </c>
      <c r="B97" s="2">
        <v>56</v>
      </c>
      <c r="C97" s="2">
        <v>5477</v>
      </c>
    </row>
    <row r="98" spans="1:3" x14ac:dyDescent="0.25">
      <c r="A98" s="2">
        <v>7261</v>
      </c>
      <c r="B98" s="2">
        <v>55</v>
      </c>
      <c r="C98" s="2">
        <v>6168</v>
      </c>
    </row>
    <row r="99" spans="1:3" x14ac:dyDescent="0.25">
      <c r="A99" s="2">
        <v>7381</v>
      </c>
      <c r="B99" s="2">
        <v>54</v>
      </c>
      <c r="C99" s="2">
        <v>6803</v>
      </c>
    </row>
    <row r="100" spans="1:3" x14ac:dyDescent="0.25">
      <c r="A100" s="2">
        <v>7501</v>
      </c>
      <c r="B100" s="2">
        <v>53</v>
      </c>
      <c r="C100" s="2">
        <v>7375</v>
      </c>
    </row>
    <row r="101" spans="1:3" x14ac:dyDescent="0.25">
      <c r="A101" s="2">
        <v>7621</v>
      </c>
      <c r="B101" s="2">
        <v>52</v>
      </c>
      <c r="C101" s="2">
        <v>7858</v>
      </c>
    </row>
    <row r="102" spans="1:3" x14ac:dyDescent="0.25">
      <c r="A102" s="2">
        <v>7741</v>
      </c>
      <c r="B102" s="2">
        <v>51</v>
      </c>
      <c r="C102" s="2">
        <v>8272</v>
      </c>
    </row>
    <row r="103" spans="1:3" x14ac:dyDescent="0.25">
      <c r="A103" s="2">
        <v>7861</v>
      </c>
      <c r="B103" s="2">
        <v>50</v>
      </c>
      <c r="C103" s="2">
        <v>8625</v>
      </c>
    </row>
    <row r="104" spans="1:3" x14ac:dyDescent="0.25">
      <c r="A104" s="2">
        <v>7981</v>
      </c>
      <c r="B104" s="2">
        <v>49</v>
      </c>
      <c r="C104" s="2">
        <v>8925</v>
      </c>
    </row>
    <row r="105" spans="1:3" x14ac:dyDescent="0.25">
      <c r="A105" s="2">
        <v>8101</v>
      </c>
      <c r="B105" s="2">
        <v>48</v>
      </c>
      <c r="C105" s="2">
        <v>9168</v>
      </c>
    </row>
    <row r="106" spans="1:3" x14ac:dyDescent="0.25">
      <c r="A106" s="2">
        <v>8221</v>
      </c>
      <c r="B106" s="2">
        <v>47</v>
      </c>
      <c r="C106" s="2">
        <v>9380</v>
      </c>
    </row>
    <row r="107" spans="1:3" x14ac:dyDescent="0.25">
      <c r="A107" s="2">
        <v>8341</v>
      </c>
      <c r="B107" s="2">
        <v>46</v>
      </c>
      <c r="C107" s="2">
        <v>9562</v>
      </c>
    </row>
    <row r="108" spans="1:3" x14ac:dyDescent="0.25">
      <c r="A108" s="2">
        <v>8461</v>
      </c>
      <c r="B108" s="2">
        <v>45</v>
      </c>
      <c r="C108" s="2">
        <v>9715</v>
      </c>
    </row>
    <row r="109" spans="1:3" x14ac:dyDescent="0.25">
      <c r="A109" s="2">
        <v>8581</v>
      </c>
      <c r="B109" s="2">
        <v>44</v>
      </c>
      <c r="C109" s="2">
        <v>9848</v>
      </c>
    </row>
    <row r="110" spans="1:3" x14ac:dyDescent="0.25">
      <c r="A110" s="2">
        <v>8701</v>
      </c>
      <c r="B110" s="2">
        <v>43</v>
      </c>
      <c r="C110" s="2">
        <v>9973</v>
      </c>
    </row>
    <row r="111" spans="1:3" x14ac:dyDescent="0.25">
      <c r="A111" s="2">
        <v>8821</v>
      </c>
      <c r="B111" s="2">
        <v>42</v>
      </c>
      <c r="C111" s="2">
        <v>10092</v>
      </c>
    </row>
    <row r="112" spans="1:3" x14ac:dyDescent="0.25">
      <c r="A112" s="2">
        <v>8941</v>
      </c>
      <c r="B112" s="2">
        <v>41</v>
      </c>
      <c r="C112" s="2">
        <v>10203</v>
      </c>
    </row>
    <row r="113" spans="1:3" x14ac:dyDescent="0.25">
      <c r="A113" s="2">
        <v>9061</v>
      </c>
      <c r="B113" s="2">
        <v>40</v>
      </c>
      <c r="C113" s="2">
        <v>10317</v>
      </c>
    </row>
    <row r="114" spans="1:3" x14ac:dyDescent="0.25">
      <c r="A114" s="2">
        <v>9181</v>
      </c>
      <c r="B114" s="2">
        <v>39</v>
      </c>
      <c r="C114" s="2">
        <v>10325</v>
      </c>
    </row>
    <row r="115" spans="1:3" x14ac:dyDescent="0.25">
      <c r="A115" s="2">
        <v>9301</v>
      </c>
      <c r="B115" s="2">
        <v>38</v>
      </c>
      <c r="C115" s="2">
        <v>10402</v>
      </c>
    </row>
    <row r="116" spans="1:3" x14ac:dyDescent="0.25">
      <c r="A116" s="2">
        <v>9421</v>
      </c>
      <c r="B116" s="2">
        <v>37</v>
      </c>
      <c r="C116" s="2">
        <v>10477</v>
      </c>
    </row>
    <row r="117" spans="1:3" x14ac:dyDescent="0.25">
      <c r="A117" s="2">
        <v>9541</v>
      </c>
      <c r="B117" s="2">
        <v>36</v>
      </c>
      <c r="C117" s="2">
        <v>10566</v>
      </c>
    </row>
    <row r="118" spans="1:3" x14ac:dyDescent="0.25">
      <c r="A118" s="2">
        <v>9661</v>
      </c>
      <c r="B118" s="2">
        <v>35</v>
      </c>
      <c r="C118" s="2">
        <v>10647</v>
      </c>
    </row>
    <row r="119" spans="1:3" x14ac:dyDescent="0.25">
      <c r="A119" s="2">
        <v>9781</v>
      </c>
      <c r="B119" s="2">
        <v>34</v>
      </c>
      <c r="C119" s="2">
        <v>10721</v>
      </c>
    </row>
    <row r="120" spans="1:3" x14ac:dyDescent="0.25">
      <c r="A120" s="2">
        <v>9901</v>
      </c>
      <c r="B120" s="2">
        <v>33</v>
      </c>
      <c r="C120" s="2">
        <v>10799</v>
      </c>
    </row>
    <row r="121" spans="1:3" x14ac:dyDescent="0.25">
      <c r="A121" s="2">
        <v>10021</v>
      </c>
      <c r="B121" s="2">
        <v>32</v>
      </c>
      <c r="C121" s="2">
        <v>10874</v>
      </c>
    </row>
    <row r="122" spans="1:3" x14ac:dyDescent="0.25">
      <c r="A122" s="2">
        <v>10141</v>
      </c>
      <c r="B122" s="2">
        <v>31</v>
      </c>
      <c r="C122" s="2">
        <v>10967</v>
      </c>
    </row>
    <row r="123" spans="1:3" x14ac:dyDescent="0.25">
      <c r="A123" s="2">
        <v>10261</v>
      </c>
      <c r="B123" s="2">
        <v>30</v>
      </c>
      <c r="C123" s="2">
        <v>11046</v>
      </c>
    </row>
    <row r="124" spans="1:3" x14ac:dyDescent="0.25">
      <c r="A124" s="2">
        <v>10381</v>
      </c>
      <c r="B124" s="2">
        <v>29</v>
      </c>
      <c r="C124" s="2">
        <v>11131</v>
      </c>
    </row>
    <row r="125" spans="1:3" x14ac:dyDescent="0.25">
      <c r="A125" s="2">
        <v>10621</v>
      </c>
      <c r="B125" s="2">
        <v>27</v>
      </c>
      <c r="C125" s="2">
        <v>11296</v>
      </c>
    </row>
    <row r="126" spans="1:3" x14ac:dyDescent="0.25">
      <c r="A126" s="2">
        <v>10741</v>
      </c>
      <c r="B126" s="2">
        <v>26</v>
      </c>
      <c r="C126" s="2">
        <v>11376</v>
      </c>
    </row>
    <row r="127" spans="1:3" x14ac:dyDescent="0.25">
      <c r="A127" s="2">
        <v>10861</v>
      </c>
      <c r="B127" s="2">
        <v>25</v>
      </c>
      <c r="C127" s="2">
        <v>11448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mpress_data">
                <anchor moveWithCells="1" sizeWithCells="1">
                  <from>
                    <xdr:col>3</xdr:col>
                    <xdr:colOff>546100</xdr:colOff>
                    <xdr:row>0</xdr:row>
                    <xdr:rowOff>0</xdr:rowOff>
                  </from>
                  <to>
                    <xdr:col>5</xdr:col>
                    <xdr:colOff>317500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mpress_data">
                <anchor moveWithCells="1" sizeWithCells="1">
                  <from>
                    <xdr:col>0</xdr:col>
                    <xdr:colOff>584200</xdr:colOff>
                    <xdr:row>2</xdr:row>
                    <xdr:rowOff>38100</xdr:rowOff>
                  </from>
                  <to>
                    <xdr:col>1</xdr:col>
                    <xdr:colOff>850900</xdr:colOff>
                    <xdr:row>3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F1010"/>
  <sheetViews>
    <sheetView topLeftCell="BJ308" workbookViewId="0">
      <selection activeCell="CD326" sqref="CD326"/>
    </sheetView>
  </sheetViews>
  <sheetFormatPr defaultColWidth="8.81640625" defaultRowHeight="12.5" x14ac:dyDescent="0.25"/>
  <cols>
    <col min="1" max="1" width="12" bestFit="1" customWidth="1"/>
    <col min="2" max="2" width="14.453125" bestFit="1" customWidth="1"/>
    <col min="3" max="3" width="12" bestFit="1" customWidth="1"/>
    <col min="4" max="5" width="12.453125" style="3" bestFit="1" customWidth="1"/>
    <col min="44" max="44" width="13.1796875" bestFit="1" customWidth="1"/>
    <col min="63" max="64" width="13.1796875" bestFit="1" customWidth="1"/>
    <col min="69" max="69" width="13.1796875" bestFit="1" customWidth="1"/>
    <col min="72" max="72" width="13.1796875" bestFit="1" customWidth="1"/>
  </cols>
  <sheetData>
    <row r="1" spans="1:84" ht="30.75" customHeight="1" thickBot="1" x14ac:dyDescent="0.3">
      <c r="A1" s="1" t="s">
        <v>145</v>
      </c>
      <c r="B1" s="1" t="s">
        <v>151</v>
      </c>
      <c r="C1" s="1" t="s">
        <v>162</v>
      </c>
      <c r="D1" s="1" t="s">
        <v>7</v>
      </c>
      <c r="E1" s="1" t="s">
        <v>8</v>
      </c>
      <c r="F1" s="1">
        <f>+Data!$J$1</f>
        <v>120</v>
      </c>
      <c r="G1" s="1" t="s">
        <v>0</v>
      </c>
      <c r="H1" s="1" t="s">
        <v>1</v>
      </c>
      <c r="I1" s="1" t="s">
        <v>2</v>
      </c>
      <c r="J1" s="1" t="s">
        <v>3</v>
      </c>
      <c r="K1" s="1" t="s">
        <v>4</v>
      </c>
      <c r="L1" s="1" t="s">
        <v>129</v>
      </c>
      <c r="M1" s="1" t="s">
        <v>5</v>
      </c>
      <c r="N1" s="1" t="s">
        <v>6</v>
      </c>
      <c r="O1" s="1" t="s">
        <v>7</v>
      </c>
      <c r="P1" s="1" t="s">
        <v>8</v>
      </c>
      <c r="Q1" s="93" t="s">
        <v>256</v>
      </c>
      <c r="R1" s="1" t="s">
        <v>12</v>
      </c>
      <c r="S1" s="1" t="s">
        <v>26</v>
      </c>
      <c r="T1" s="1" t="s">
        <v>24</v>
      </c>
      <c r="U1" s="1" t="s">
        <v>13</v>
      </c>
      <c r="V1" s="1" t="s">
        <v>27</v>
      </c>
      <c r="W1" s="1" t="s">
        <v>25</v>
      </c>
      <c r="X1" s="1" t="s">
        <v>121</v>
      </c>
      <c r="Y1" s="1" t="s">
        <v>119</v>
      </c>
      <c r="Z1" s="1" t="s">
        <v>120</v>
      </c>
      <c r="AA1" s="1" t="s">
        <v>125</v>
      </c>
      <c r="AB1" s="1" t="s">
        <v>122</v>
      </c>
      <c r="AC1" s="1" t="s">
        <v>123</v>
      </c>
      <c r="AD1" s="1" t="s">
        <v>124</v>
      </c>
      <c r="AE1" s="1" t="s">
        <v>126</v>
      </c>
      <c r="AF1" s="73">
        <v>1</v>
      </c>
      <c r="AG1" s="74" t="s">
        <v>22</v>
      </c>
      <c r="AH1" s="74" t="s">
        <v>10</v>
      </c>
      <c r="AI1" s="74" t="s">
        <v>23</v>
      </c>
      <c r="AJ1" s="75" t="s">
        <v>11</v>
      </c>
      <c r="AK1">
        <v>0.1</v>
      </c>
      <c r="AL1" s="1" t="s">
        <v>22</v>
      </c>
      <c r="AM1" s="1" t="s">
        <v>10</v>
      </c>
      <c r="AN1" s="1" t="s">
        <v>32</v>
      </c>
      <c r="AO1" s="1" t="s">
        <v>23</v>
      </c>
      <c r="AP1" s="1" t="s">
        <v>11</v>
      </c>
      <c r="AQ1" s="1" t="s">
        <v>33</v>
      </c>
      <c r="AR1" s="1" t="s">
        <v>4</v>
      </c>
      <c r="AS1" s="1" t="s">
        <v>8</v>
      </c>
      <c r="AT1" s="1" t="s">
        <v>138</v>
      </c>
      <c r="AU1" s="1" t="s">
        <v>141</v>
      </c>
      <c r="AV1" s="1" t="s">
        <v>140</v>
      </c>
      <c r="AW1" s="1" t="s">
        <v>131</v>
      </c>
      <c r="AX1" s="1" t="s">
        <v>140</v>
      </c>
      <c r="AY1" s="1" t="s">
        <v>132</v>
      </c>
      <c r="AZ1" s="1" t="s">
        <v>140</v>
      </c>
      <c r="BA1" s="1" t="s">
        <v>133</v>
      </c>
      <c r="BB1" s="1" t="s">
        <v>140</v>
      </c>
      <c r="BC1" s="1" t="s">
        <v>134</v>
      </c>
      <c r="BD1" s="1" t="s">
        <v>16</v>
      </c>
      <c r="BE1" s="1" t="s">
        <v>17</v>
      </c>
      <c r="BF1" s="1" t="s">
        <v>18</v>
      </c>
      <c r="BG1" s="1" t="s">
        <v>19</v>
      </c>
      <c r="BH1" s="1" t="s">
        <v>20</v>
      </c>
      <c r="BI1" s="1" t="s">
        <v>14</v>
      </c>
      <c r="BJ1" s="1" t="s">
        <v>15</v>
      </c>
      <c r="BK1" s="1" t="s">
        <v>28</v>
      </c>
      <c r="BL1" s="1" t="s">
        <v>29</v>
      </c>
      <c r="BM1" t="s">
        <v>34</v>
      </c>
      <c r="BN1" t="s">
        <v>35</v>
      </c>
      <c r="BO1" s="1" t="s">
        <v>54</v>
      </c>
      <c r="BP1" s="1" t="s">
        <v>51</v>
      </c>
      <c r="BQ1" s="1" t="s">
        <v>52</v>
      </c>
      <c r="BR1" s="1" t="s">
        <v>53</v>
      </c>
      <c r="BS1" s="1" t="s">
        <v>36</v>
      </c>
      <c r="BT1" s="1" t="s">
        <v>37</v>
      </c>
      <c r="BU1" s="1" t="s">
        <v>30</v>
      </c>
      <c r="BV1" s="1" t="s">
        <v>40</v>
      </c>
      <c r="BW1" s="1" t="s">
        <v>41</v>
      </c>
      <c r="BX1" s="1" t="s">
        <v>30</v>
      </c>
      <c r="BY1" s="7" t="s">
        <v>49</v>
      </c>
      <c r="BZ1" s="1" t="s">
        <v>40</v>
      </c>
      <c r="CA1" s="1" t="s">
        <v>41</v>
      </c>
    </row>
    <row r="2" spans="1:84" x14ac:dyDescent="0.25">
      <c r="A2">
        <v>1</v>
      </c>
      <c r="B2">
        <v>25</v>
      </c>
      <c r="C2">
        <v>11900</v>
      </c>
      <c r="D2" s="3">
        <f>SLOPE(B1:B3,$A1:$A3)</f>
        <v>8.3333333333333332E-3</v>
      </c>
      <c r="E2" s="3">
        <f>SLOPE(C1:C3,$A1:$A3)</f>
        <v>-0.15</v>
      </c>
      <c r="F2">
        <f>IF(A2&gt;0,IF(F1=1,1,IF(B2=Data!$H$4,1,0)),"")</f>
        <v>0</v>
      </c>
      <c r="G2">
        <v>1</v>
      </c>
      <c r="H2">
        <v>25</v>
      </c>
      <c r="I2">
        <v>11900</v>
      </c>
      <c r="J2" s="3">
        <v>8.3333333333333332E-3</v>
      </c>
      <c r="K2" s="3">
        <v>-0.15</v>
      </c>
      <c r="L2">
        <v>10861</v>
      </c>
      <c r="M2">
        <v>25</v>
      </c>
      <c r="N2">
        <v>11448</v>
      </c>
      <c r="O2" s="3">
        <v>-8.3333333333333332E-3</v>
      </c>
      <c r="P2" s="3">
        <v>0.6333333333333333</v>
      </c>
      <c r="Q2" t="str">
        <f>IF(MAX(ABS(MIN($K:$K)),ABS(MAX($K:$K)))=ABS(K2),H2,"")</f>
        <v/>
      </c>
      <c r="R2" s="4">
        <f>IF(H2=0,"",ROUND(H2,0))</f>
        <v>25</v>
      </c>
      <c r="S2">
        <f>INTERCEPT($G1:$G3,$H1:$H3)+SLOPE($G1:$G3,$H1:$H3)*$R2</f>
        <v>1</v>
      </c>
      <c r="T2">
        <f>INTERCEPT($I1:$I3,$H1:$H3)+SLOPE($I1:$I3,$H1:$H3)*$R2</f>
        <v>11900</v>
      </c>
      <c r="U2" s="4">
        <f>ROUND(M2,0)</f>
        <v>25</v>
      </c>
      <c r="V2">
        <f>INTERCEPT($L1:$L3,$M1:$M3)+SLOPE($L1:$L3,$M1:$M3)*$U2</f>
        <v>10861</v>
      </c>
      <c r="W2">
        <f>INTERCEPT($N1:$N3,$M1:$M3)+SLOPE($N1:$N3,$M1:$M3)*$U2</f>
        <v>11448</v>
      </c>
      <c r="AF2" s="76">
        <f>CEILING(MAX(M2,R2),1)</f>
        <v>25</v>
      </c>
      <c r="AG2" s="64">
        <f>IF(MATCH(AF2,$AA$3:$AA$1010,0)&lt;898,AG3,VLOOKUP(AF2,$R$2:$T$301,2,FALSE))</f>
        <v>1</v>
      </c>
      <c r="AH2" s="64">
        <f>IF(MATCH(AF2,$AA$3:$AA$1010,0)&lt;898,AH3,VLOOKUP(AF2,$R$2:$T$301,3,FALSE))</f>
        <v>11900</v>
      </c>
      <c r="AI2" s="64">
        <f>IF(MATCH(AF2,$AE$3:$AE$1010,0)&lt;898,AI3,VLOOKUP(AF2,$U$2:$W$301,2,FALSE))</f>
        <v>10861</v>
      </c>
      <c r="AJ2" s="65">
        <f>IF(MATCH(AF2,$AE$3:$AE$1010,0)&lt;898,AJ3,VLOOKUP(AF2,$U$2:$W$301,3,FALSE))</f>
        <v>11448</v>
      </c>
      <c r="AK2" s="4">
        <f>AF2</f>
        <v>25</v>
      </c>
      <c r="AL2">
        <f>IF($AK2=ROUND($AK2,0),VLOOKUP($AK2,$AF$2:$AJ$112,2),($AK2-FLOOR($AK2,1))/(CEILING($AK2,1)-FLOOR($AK2,1))*(VLOOKUP(CEILING($AK2,1),$AF$2:$AJ$112,2,FALSE)-VLOOKUP(FLOOR($AK2,1),$AF$2:$AJ$112,2,FALSE))+VLOOKUP(FLOOR($AK2,1),$AF$2:$AJ$112,2,FALSE))</f>
        <v>1</v>
      </c>
      <c r="AM2">
        <f>IF($AK2=ROUND($AK2,0),VLOOKUP($AK2,$AF$2:$AJ$112,3),($AK2-FLOOR($AK2,1))/(CEILING($AK2,1)-FLOOR($AK2,1))*(VLOOKUP(CEILING($AK2,1),$AF$2:$AJ$112,3,FALSE)-VLOOKUP(FLOOR($AK2,1),$AF$2:$AJ$112,3,FALSE))+VLOOKUP(FLOOR($AK2,1),$AF$2:$AJ$112,3,FALSE))</f>
        <v>11900</v>
      </c>
      <c r="AN2">
        <f>AM2</f>
        <v>11900</v>
      </c>
      <c r="AO2">
        <f>IF($AK2=ROUND($AK2,0),VLOOKUP($AK2,$AF$2:$AJ$112,4),($AK2-FLOOR($AK2,1))/(CEILING($AK2,1)-FLOOR($AK2,1))*(VLOOKUP(CEILING($AK2,1),$AF$2:$AJ$112,4,FALSE)-VLOOKUP(FLOOR($AK2,1),$AF$2:$AJ$112,4,FALSE))+VLOOKUP(FLOOR($AK2,1),$AF$2:$AJ$112,4,FALSE))</f>
        <v>10861</v>
      </c>
      <c r="AP2">
        <f>+AJ2</f>
        <v>11448</v>
      </c>
      <c r="AQ2">
        <f>AP2</f>
        <v>11448</v>
      </c>
      <c r="AR2">
        <f>SLOPE($AN1:$AN3,$AK1:$AK3)</f>
        <v>-35.999999999984936</v>
      </c>
      <c r="AS2">
        <f>SLOPE($AQ1:$AQ3,$AK1:$AK3)</f>
        <v>-112.00000000000568</v>
      </c>
      <c r="AT2" t="str">
        <f>IF(AND($AK2&gt;=Results!$G$13,$AK2&lt;=Results!$G$14),Curves!AR2,"")</f>
        <v/>
      </c>
      <c r="AU2" t="str">
        <f>IF(AND($AK2&gt;=Results!$G$13,$AK2&lt;=Results!$G$14),Curves!AS2,"")</f>
        <v/>
      </c>
      <c r="AV2" t="str">
        <f>IF(AW2="","",$AK2)</f>
        <v/>
      </c>
      <c r="AW2" t="str">
        <f>IF(AND($AK2&lt;=Results!$I$21,$AK2&gt;=Results!$I$20,$AK2&lt;=Results!$F$4),$AN2,"")</f>
        <v/>
      </c>
      <c r="AX2" t="str">
        <f>IF(AY2="","",$AK2)</f>
        <v/>
      </c>
      <c r="AY2" t="str">
        <f>IF(AND($AK2&lt;=Results!$I$23,$AK2&gt;=Results!$I$22,$AK2&gt;=Results!$F$4),$AN2,"")</f>
        <v/>
      </c>
      <c r="AZ2" t="str">
        <f t="shared" ref="AZ2:AZ65" si="0">IF(BA2="","",$AK2)</f>
        <v/>
      </c>
      <c r="BA2" t="str">
        <f>IF(AND($AK2&lt;=Results!$I$27,$AK2&gt;=Results!$I$26,$AK2&lt;=Results!$F$4),$AQ2,"")</f>
        <v/>
      </c>
      <c r="BB2" t="str">
        <f t="shared" ref="BB2:BB65" si="1">IF(BC2="","",$AK2)</f>
        <v/>
      </c>
      <c r="BC2" t="str">
        <f>IF(AND($AK2&lt;=Results!$I$29,$AK2&gt;=Results!$I$28,$AK2&gt;=Results!$F$4),$AQ2,"")</f>
        <v/>
      </c>
      <c r="BD2">
        <f t="shared" ref="BD2:BD65" si="2">IF($AV$513&gt;0,INTERCEPT($AW$2:$AW$512,$AV$2:$AV$512)+$AK2*SLOPE($AW$2:$AW$512,$AV$2:$AV$512),INTERCEPT($AN$2:$AN$30,$AK$2:$AK$30)+$AK2*SLOPE($AN$2:$AN$30,$AK$2:$AK$30))</f>
        <v>12066.679021528686</v>
      </c>
      <c r="BE2">
        <f t="shared" ref="BE2:BE65" si="3">IF($AX$513&gt;0,INTERCEPT($AY$2:$AY$512,$AX$2:$AX$512)+$AK2*SLOPE($AY$2:$AY$512,$AX$2:$AX$512),INTERCEPT($AN$460:$AN$512,$AK$460:$AK$512)+$AK2*SLOPE($AN$460:$AN$512,$AK$460:$AK$512))</f>
        <v>2646.061858610341</v>
      </c>
      <c r="BF2">
        <f>IF($AZ$513&gt;0,INTERCEPT($BA$2:$BA$512,$AZ$2:$AZ$512)+$AK2*SLOPE($BA$2:$BA$512,$AZ$2:$AZ$512),INTERCEPT($AQ$2:$AQ$30,$AK$2:$AK$30)+$AK2*SLOPE($AQ$2:$AQ$30,$AK$2:$AK$30))</f>
        <v>11362.752387995184</v>
      </c>
      <c r="BG2">
        <f t="shared" ref="BG2:BG65" si="4">IF($BB$513&gt;0,INTERCEPT($BC$2:$BC$512,$BB$2:$BB$512)+$AK2*SLOPE($BC$2:$BC$512,$BB$2:$BB$512),INTERCEPT($AQ$460:$AQ$512,$AK$460:$AK$512)+$AK2*SLOPE($AQ$460:$AQ$512,$AK$460:$AK$512))</f>
        <v>1401.0907973002654</v>
      </c>
      <c r="BH2">
        <f t="shared" ref="BH2:BH65" si="5">IF(OR(BJ2=0.5,AND(BJ2&gt;0.5,BJ3&lt;0.5)),$AK$1*(0.5-BJ2)/(BJ3-BJ2)+AK2,0)</f>
        <v>0</v>
      </c>
      <c r="BI2">
        <f t="shared" ref="BI2:BI65" si="6">1-(AN2-BD2)/(BE2-BD2)</f>
        <v>0.98230699553477541</v>
      </c>
      <c r="BJ2">
        <f t="shared" ref="BJ2:BJ65" si="7">1-(AQ2-BF2)/(BG2-BF2)</f>
        <v>1.0085575695609299</v>
      </c>
      <c r="BK2">
        <f t="shared" ref="BK2:BK65" si="8">SLOPE($BI1:$BI3,$AK1:$AK3)</f>
        <v>7.4770872964612422E-3</v>
      </c>
      <c r="BL2">
        <f t="shared" ref="BL2:BL65" si="9">SLOPE($BJ1:$BJ3,$AK1:$AK3)</f>
        <v>-3.8697908392836826E-3</v>
      </c>
      <c r="BM2">
        <f>SLOPE(AL1:AL3,AK1:AK3)</f>
        <v>120</v>
      </c>
      <c r="BN2">
        <f>SLOPE(AO1:AO3,AK1:AK3)</f>
        <v>-119.99999999999829</v>
      </c>
      <c r="BO2">
        <f>Data!$H$2*(1-BI2)*(1-BI2/Data!$H$3)*BM2</f>
        <v>7.513017768154978E-8</v>
      </c>
      <c r="BP2">
        <f t="shared" ref="BP2:BP65" si="10">-BI2*BM2</f>
        <v>-117.87683946417305</v>
      </c>
      <c r="BQ2">
        <f>Data!$H$2*(1-BJ2)*(1-BJ2/Data!$H$3)*BN2</f>
        <v>-1.7575679229636702E-8</v>
      </c>
      <c r="BR2">
        <f t="shared" ref="BR2:BR65" si="11">-BJ2*BN2</f>
        <v>121.02690834730987</v>
      </c>
      <c r="BS2">
        <f>IF(AND(BI2&gt;0.4,BI2&lt;0.6),(BL2-BT2*BR2)/BQ2,0)</f>
        <v>0</v>
      </c>
      <c r="BT2">
        <f t="shared" ref="BT2:BT65" si="12">IF(AND(BI2&gt;0.4,BI2&lt;0.6),(BQ2*BK2-BO2*BL2)/(BQ2*BP2-BO2*BR2),0)</f>
        <v>0</v>
      </c>
      <c r="BU2">
        <f t="shared" ref="BU2:BU65" si="13">IF(AND(BI2&gt;0.4,BI2&lt;0.6),1/(273.15+AK2),0)</f>
        <v>0</v>
      </c>
      <c r="BV2">
        <f t="shared" ref="BV2:BV65" si="14">IF(BS2&lt;=0,0,LN(BS2))</f>
        <v>0</v>
      </c>
      <c r="BW2">
        <f>IF(BT2&lt;=0,0,LN(BT2))</f>
        <v>0</v>
      </c>
      <c r="BX2" t="str">
        <f>IF(BU2=0,"",BU2)</f>
        <v/>
      </c>
      <c r="BY2" s="63" t="str">
        <f t="shared" ref="BY2:BY65" si="15">IF(BU2=0,"",BI2)</f>
        <v/>
      </c>
      <c r="BZ2" s="64" t="str">
        <f t="shared" ref="BZ2:BZ65" si="16">IF(BU2=0,"",BV2)</f>
        <v/>
      </c>
      <c r="CA2" s="65" t="str">
        <f t="shared" ref="CA2:CA65" si="17">IF(BU2=0,"",BW2)</f>
        <v/>
      </c>
    </row>
    <row r="3" spans="1:84" x14ac:dyDescent="0.25">
      <c r="A3">
        <v>121</v>
      </c>
      <c r="B3">
        <v>26</v>
      </c>
      <c r="C3">
        <v>11882</v>
      </c>
      <c r="D3" s="3">
        <f>SLOPE(B2:B4,$A2:$A4)</f>
        <v>8.3333333333333332E-3</v>
      </c>
      <c r="E3" s="3">
        <f>SLOPE(C2:C4,$A2:$A4)</f>
        <v>-0.22500000000000001</v>
      </c>
      <c r="F3">
        <f>IF(A3&gt;0,IF(F2=1,1,IF(B3=Data!$H$4,1,0)),"")</f>
        <v>0</v>
      </c>
      <c r="G3">
        <v>121</v>
      </c>
      <c r="H3">
        <v>26</v>
      </c>
      <c r="I3">
        <v>11882</v>
      </c>
      <c r="J3" s="3">
        <v>8.3333333333333332E-3</v>
      </c>
      <c r="K3" s="3">
        <v>-0.22500000000000001</v>
      </c>
      <c r="L3">
        <v>10741</v>
      </c>
      <c r="M3">
        <v>26</v>
      </c>
      <c r="N3">
        <v>11376</v>
      </c>
      <c r="O3" s="3">
        <v>-8.3333333333333332E-3</v>
      </c>
      <c r="P3" s="3">
        <v>0.664047619047619</v>
      </c>
      <c r="Q3" t="str">
        <f t="shared" ref="Q3:Q66" si="18">IF(MAX(ABS(MIN($K:$K)),ABS(MAX($K:$K)))=ABS(K3),H3,"")</f>
        <v/>
      </c>
      <c r="R3" s="4">
        <f t="shared" ref="R3:R66" si="19">IF(H3=0,"",ROUND(H3,0))</f>
        <v>26</v>
      </c>
      <c r="S3">
        <f>INTERCEPT($G2:$G4,$H2:$H4)+SLOPE($G2:$G4,$H2:$H4)*$R3</f>
        <v>121</v>
      </c>
      <c r="T3">
        <f>INTERCEPT($I2:$I4,$H2:$H4)+SLOPE($I2:$I4,$H2:$H4)*$R3</f>
        <v>11876</v>
      </c>
      <c r="U3" s="4">
        <f t="shared" ref="U3:U66" si="20">ROUND(M3,0)</f>
        <v>26</v>
      </c>
      <c r="V3">
        <f>INTERCEPT($L2:$L4,$M2:$M4)+SLOPE($L2:$L4,$M2:$M4)*$U3</f>
        <v>10741</v>
      </c>
      <c r="W3">
        <f>INTERCEPT($N2:$N4,$M2:$M4)+SLOPE($N2:$N4,$M2:$M4)*$U3</f>
        <v>11373.333333333334</v>
      </c>
      <c r="X3" t="str">
        <f>IF($R3-$R2&gt;1,$R2+1,"")</f>
        <v/>
      </c>
      <c r="Y3" t="str">
        <f>IF($R3-$R2&gt;2,$R2+2,"")</f>
        <v/>
      </c>
      <c r="Z3" t="str">
        <f>IF($R3-$R2&gt;3,$R2+3,"")</f>
        <v/>
      </c>
      <c r="AA3" t="str">
        <f t="shared" ref="AA3:AA66" si="21">X3</f>
        <v/>
      </c>
      <c r="AB3" t="str">
        <f>IF($U3-$U2&gt;1,$U2+1,"")</f>
        <v/>
      </c>
      <c r="AC3" t="str">
        <f>IF($U3-$U2&gt;2,$U2+2,"")</f>
        <v/>
      </c>
      <c r="AD3" t="str">
        <f>IF($U3-$U2&gt;3,$U2+3,"")</f>
        <v/>
      </c>
      <c r="AE3" t="str">
        <f>AB3</f>
        <v/>
      </c>
      <c r="AF3" s="72">
        <f>IF(AF2+$AF$1&gt;ROUND(Data!$H$4,0),AF2,AF2+$AF$1)</f>
        <v>26</v>
      </c>
      <c r="AG3">
        <f t="shared" ref="AG3:AG48" si="22">IF(MATCH(AF3,$AA$3:$AA$1010,0)&lt;898,AVERAGE(AG2,AG4),VLOOKUP(AF3,$R$2:$T$301,2,FALSE))</f>
        <v>121</v>
      </c>
      <c r="AH3">
        <f t="shared" ref="AH3:AH48" si="23">IF(MATCH(AF3,$AA$3:$AA$1010,0)&lt;898,AVERAGE(AH2,AH4),VLOOKUP(AF3,$R$2:$T$301,3,FALSE))</f>
        <v>11876</v>
      </c>
      <c r="AI3">
        <f t="shared" ref="AI3:AI48" si="24">IF(MATCH(AF3,$AE$3:$AE$1010,0)&lt;898,AVERAGE(AI2,AI4),VLOOKUP(AF3,$U$2:$W$301,2,FALSE))</f>
        <v>10741</v>
      </c>
      <c r="AJ3" s="67">
        <f t="shared" ref="AJ3:AJ48" si="25">IF(MATCH(AF3,$AE$3:$AE$1010,0)&lt;898,AVERAGE(AJ2,AJ4),VLOOKUP(AF3,$U$2:$W$301,3,FALSE))</f>
        <v>11373.333333333334</v>
      </c>
      <c r="AK3" s="4">
        <f>IF($AK2+$AK$1&lt;=MAX($AF$2:$AF$113),AK2+$AK$1,AK2)</f>
        <v>25.1</v>
      </c>
      <c r="AL3">
        <f t="shared" ref="AL3:AL66" si="26">IF($AK3=ROUND($AK3,0),VLOOKUP($AK3,$AF$2:$AJ$112,2),($AK3-FLOOR($AK3,1))/(CEILING($AK3,1)-FLOOR($AK3,1))*(VLOOKUP(CEILING($AK3,1),$AF$2:$AJ$112,2,FALSE)-VLOOKUP(FLOOR($AK3,1),$AF$2:$AJ$112,2,FALSE))+VLOOKUP(FLOOR($AK3,1),$AF$2:$AJ$112,2,FALSE))</f>
        <v>13.000000000000171</v>
      </c>
      <c r="AM3">
        <f t="shared" ref="AM3:AM66" si="27">IF($AK3=ROUND($AK3,0),VLOOKUP($AK3,$AF$2:$AJ$112,3),($AK3-FLOOR($AK3,1))/(CEILING($AK3,1)-FLOOR($AK3,1))*(VLOOKUP(CEILING($AK3,1),$AF$2:$AJ$112,3,FALSE)-VLOOKUP(FLOOR($AK3,1),$AF$2:$AJ$112,3,FALSE))+VLOOKUP(FLOOR($AK3,1),$AF$2:$AJ$112,3,FALSE))</f>
        <v>11897.6</v>
      </c>
      <c r="AN3">
        <f>IF($AK2+$AK$1&lt;=Data!$H$4-0.5,AVERAGE(AM1:AM5),AN2)</f>
        <v>11896.400000000001</v>
      </c>
      <c r="AO3">
        <f t="shared" ref="AO3:AO66" si="28">IF($AK3=ROUND($AK3,0),VLOOKUP($AK3,$AF$2:$AJ$112,4),($AK3-FLOOR($AK3,1))/(CEILING($AK3,1)-FLOOR($AK3,1))*(VLOOKUP(CEILING($AK3,1),$AF$2:$AJ$112,4,FALSE)-VLOOKUP(FLOOR($AK3,1),$AF$2:$AJ$112,4,FALSE))+VLOOKUP(FLOOR($AK3,1),$AF$2:$AJ$112,4,FALSE))</f>
        <v>10849</v>
      </c>
      <c r="AP3">
        <f>IF($AK3=ROUND($AK2,0),VLOOKUP($AK2,$AF$2:$AJ$112,5),($AK3-FLOOR($AK3,1))/(CEILING($AK3,1)-FLOOR($AK3,1))*(VLOOKUP(CEILING($AK3,1),$AF$2:$AJ$112,5,FALSE)-VLOOKUP(FLOOR($AK3,1),$AF$2:$AJ$112,5,FALSE))+VLOOKUP(FLOOR($AK3,1),$AF$2:$AJ$112,5,FALSE))</f>
        <v>11440.533333333333</v>
      </c>
      <c r="AQ3">
        <f>IF($AK2+$AK$1&lt;=Data!$H$4-0.5,AVERAGE(AP1:AP5),AQ2)</f>
        <v>11436.8</v>
      </c>
      <c r="AR3">
        <f>IF($AK2+$AK$1&lt;=Data!$H$4-0.5,SLOPE($AN2:$AN4,$AK2:$AK4),AR2)</f>
        <v>-23.999999999996025</v>
      </c>
      <c r="AS3">
        <f>IF($AK2+$AK$1&lt;=Data!$H$4-0.5,SLOPE($AQ2:$AQ4,$AK2:$AK4),AS2)</f>
        <v>-74.666666666670466</v>
      </c>
      <c r="AT3" t="str">
        <f>IF(AND($AK3&gt;=Results!$G$13,$AK3&lt;=Results!$G$14),Curves!AR3,"")</f>
        <v/>
      </c>
      <c r="AU3" t="str">
        <f>IF(AND($AK3&gt;=Results!$G$13,$AK3&lt;=Results!$G$14),Curves!AS3,"")</f>
        <v/>
      </c>
      <c r="AV3" t="str">
        <f t="shared" ref="AV3:AX66" si="29">IF(AW3="","",$AK3)</f>
        <v/>
      </c>
      <c r="AW3" t="str">
        <f>IF(AND($AK3&lt;=Results!$I$21,$AK3&gt;=Results!$I$20,$AK3&lt;=Results!$F$4),$AN3,"")</f>
        <v/>
      </c>
      <c r="AX3" t="str">
        <f t="shared" si="29"/>
        <v/>
      </c>
      <c r="AY3" t="str">
        <f>IF(AND($AK3&lt;=Results!$I$23,$AK3&gt;=Results!$I$22,$AK3&gt;=Results!$F$4),$AN3,"")</f>
        <v/>
      </c>
      <c r="AZ3" t="str">
        <f t="shared" si="0"/>
        <v/>
      </c>
      <c r="BA3" t="str">
        <f>IF(AND($AK3&lt;=Results!$I$27,$AK3&gt;=Results!$I$26,$AK3&lt;=Results!$F$4),$AQ3,"")</f>
        <v/>
      </c>
      <c r="BB3" t="str">
        <f t="shared" si="1"/>
        <v/>
      </c>
      <c r="BC3" t="str">
        <f>IF(AND($AK3&lt;=Results!$I$29,$AK3&gt;=Results!$I$28,$AK3&gt;=Results!$F$4),$AQ3,"")</f>
        <v/>
      </c>
      <c r="BD3">
        <f t="shared" si="2"/>
        <v>12055.908826730765</v>
      </c>
      <c r="BE3">
        <f t="shared" si="3"/>
        <v>2642.7460693610201</v>
      </c>
      <c r="BF3">
        <f t="shared" ref="BF3:BF65" si="30">IF($AZ$513&gt;0,INTERCEPT($BA$2:$BA$512,$AZ$2:$AZ$512)+$AK3*SLOPE($BA$2:$BA$512,$AZ$2:$AZ$512),INTERCEPT($AQ$2:$AQ$30,$AK$2:$AK$30)+$AK3*SLOPE($AQ$2:$AQ$30,$AK$2:$AK$30))</f>
        <v>11355.462405762291</v>
      </c>
      <c r="BG3">
        <f t="shared" si="4"/>
        <v>1400.5399963407403</v>
      </c>
      <c r="BH3">
        <f t="shared" si="5"/>
        <v>0</v>
      </c>
      <c r="BI3">
        <f t="shared" si="6"/>
        <v>0.98305470426442154</v>
      </c>
      <c r="BJ3">
        <f t="shared" si="7"/>
        <v>1.0081705904770015</v>
      </c>
      <c r="BK3">
        <f t="shared" si="8"/>
        <v>8.7588341665605241E-3</v>
      </c>
      <c r="BL3">
        <f t="shared" si="9"/>
        <v>-1.1963332250175375E-4</v>
      </c>
      <c r="BM3">
        <f t="shared" ref="BM3:BM66" si="31">SLOPE(AL2:AL4,AK2:AK4)</f>
        <v>120.00000000000001</v>
      </c>
      <c r="BN3">
        <f t="shared" ref="BN3:BN66" si="32">SLOPE(AO2:AO4,AK2:AK4)</f>
        <v>-119.99999999999831</v>
      </c>
      <c r="BO3">
        <f>Data!$H$2*(1-BI3)*(1-BI3/Data!$H$3)*BM3</f>
        <v>6.8914331415891245E-8</v>
      </c>
      <c r="BP3">
        <f t="shared" si="10"/>
        <v>-117.9665645117306</v>
      </c>
      <c r="BQ3">
        <f>Data!$H$2*(1-BJ3)*(1-BJ3/Data!$H$3)*BN3</f>
        <v>-1.6022051698288101E-8</v>
      </c>
      <c r="BR3">
        <f t="shared" si="11"/>
        <v>120.98047085723847</v>
      </c>
      <c r="BS3">
        <f t="shared" ref="BS3:BS65" si="33">IF(AND(BI3&gt;0.4,BI3&lt;0.6),(BL3-BT3*BR3)/BQ3,0)</f>
        <v>0</v>
      </c>
      <c r="BT3">
        <f t="shared" si="12"/>
        <v>0</v>
      </c>
      <c r="BU3">
        <f t="shared" si="13"/>
        <v>0</v>
      </c>
      <c r="BV3">
        <f t="shared" si="14"/>
        <v>0</v>
      </c>
      <c r="BW3">
        <f t="shared" ref="BW3:BW66" si="34">IF(BT3&lt;=0,0,LN(BT3))</f>
        <v>0</v>
      </c>
      <c r="BX3" t="str">
        <f t="shared" ref="BX3:BX66" si="35">IF(BU3=0,"",BU3)</f>
        <v/>
      </c>
      <c r="BY3" s="66" t="str">
        <f t="shared" si="15"/>
        <v/>
      </c>
      <c r="BZ3" t="str">
        <f t="shared" si="16"/>
        <v/>
      </c>
      <c r="CA3" s="67" t="str">
        <f t="shared" si="17"/>
        <v/>
      </c>
      <c r="CE3">
        <v>1</v>
      </c>
      <c r="CF3" t="s">
        <v>130</v>
      </c>
    </row>
    <row r="4" spans="1:84" x14ac:dyDescent="0.25">
      <c r="A4">
        <v>241</v>
      </c>
      <c r="B4">
        <v>27</v>
      </c>
      <c r="C4">
        <v>11846</v>
      </c>
      <c r="D4" s="3">
        <f>SLOPE(B2:B6,$A2:$A6)</f>
        <v>8.3333333333333332E-3</v>
      </c>
      <c r="E4" s="3">
        <f>SLOPE(C2:C6,$A2:$A6)</f>
        <v>-0.41249999999999998</v>
      </c>
      <c r="F4">
        <f>IF(A4&gt;0,IF(F3=1,1,IF(B4=Data!$H$4,1,0)),"")</f>
        <v>0</v>
      </c>
      <c r="G4">
        <v>241</v>
      </c>
      <c r="H4">
        <v>27</v>
      </c>
      <c r="I4">
        <v>11846</v>
      </c>
      <c r="J4" s="3">
        <v>8.3333333333333332E-3</v>
      </c>
      <c r="K4" s="3">
        <v>-0.41249999999999998</v>
      </c>
      <c r="L4">
        <v>10621</v>
      </c>
      <c r="M4">
        <v>27</v>
      </c>
      <c r="N4">
        <v>11296</v>
      </c>
      <c r="O4" s="3">
        <v>-8.3333333333333332E-3</v>
      </c>
      <c r="P4" s="3">
        <v>0.6738372093023256</v>
      </c>
      <c r="Q4" t="str">
        <f t="shared" si="18"/>
        <v/>
      </c>
      <c r="R4" s="4">
        <f t="shared" si="19"/>
        <v>27</v>
      </c>
      <c r="S4">
        <f t="shared" ref="S4:S67" si="36">INTERCEPT($G3:$G5,$H3:$H5)+SLOPE($G3:$G5,$H3:$H5)*$R4</f>
        <v>241</v>
      </c>
      <c r="T4">
        <f>INTERCEPT($I3:$I5,$H3:$H5)+SLOPE($I3:$I5,$H3:$H5)*$R4</f>
        <v>11836.333333333334</v>
      </c>
      <c r="U4" s="4">
        <f t="shared" si="20"/>
        <v>27</v>
      </c>
      <c r="V4">
        <f t="shared" ref="V4:V67" si="37">INTERCEPT($L3:$L5,$M3:$M5)+SLOPE($L3:$L5,$M3:$M5)*$U4</f>
        <v>10621</v>
      </c>
      <c r="W4">
        <f t="shared" ref="W4:W67" si="38">INTERCEPT($N3:$N5,$M3:$M5)+SLOPE($N3:$N5,$M3:$M5)*$U4</f>
        <v>11294.928571428571</v>
      </c>
      <c r="X4" t="str">
        <f t="shared" ref="X4:X67" si="39">IF($R4-$R3&gt;1,$R3+1,"")</f>
        <v/>
      </c>
      <c r="Y4" t="str">
        <f t="shared" ref="Y4:Y67" si="40">IF($R4-$R3&gt;2,$R3+2,"")</f>
        <v/>
      </c>
      <c r="Z4" t="str">
        <f t="shared" ref="Z4:Z67" si="41">IF($R4-$R3&gt;3,$R3+3,"")</f>
        <v/>
      </c>
      <c r="AA4" t="str">
        <f t="shared" si="21"/>
        <v/>
      </c>
      <c r="AB4" t="str">
        <f t="shared" ref="AB4:AB67" si="42">IF($U4-$U3&gt;1,$U3+1,"")</f>
        <v/>
      </c>
      <c r="AC4" t="str">
        <f t="shared" ref="AC4:AC67" si="43">IF($U4-$U3&gt;2,$U3+2,"")</f>
        <v/>
      </c>
      <c r="AD4" t="str">
        <f t="shared" ref="AD4:AD67" si="44">IF($U4-$U3&gt;3,$U3+3,"")</f>
        <v/>
      </c>
      <c r="AE4" t="str">
        <f t="shared" ref="AE4:AE67" si="45">AB4</f>
        <v/>
      </c>
      <c r="AF4" s="72">
        <f>IF(AF3+$AF$1&gt;ROUND(Data!$H$4,0),AF3,AF3+$AF$1)</f>
        <v>27</v>
      </c>
      <c r="AG4">
        <f t="shared" si="22"/>
        <v>241</v>
      </c>
      <c r="AH4">
        <f t="shared" si="23"/>
        <v>11836.333333333334</v>
      </c>
      <c r="AI4">
        <f t="shared" si="24"/>
        <v>10621</v>
      </c>
      <c r="AJ4" s="67">
        <f t="shared" si="25"/>
        <v>11294.928571428571</v>
      </c>
      <c r="AK4" s="4">
        <f t="shared" ref="AK4:AK67" si="46">IF($AK3+$AK$1&lt;=MAX($AF$2:$AF$113),AK3+$AK$1,AK3)</f>
        <v>25.200000000000003</v>
      </c>
      <c r="AL4">
        <f t="shared" si="26"/>
        <v>25.000000000000341</v>
      </c>
      <c r="AM4">
        <f t="shared" si="27"/>
        <v>11895.2</v>
      </c>
      <c r="AN4">
        <f>IF($AK3+$AK$1&lt;=Data!$H$4-0.5,AVERAGE(AM2:AM6),AN3)</f>
        <v>11895.2</v>
      </c>
      <c r="AO4">
        <f t="shared" si="28"/>
        <v>10837</v>
      </c>
      <c r="AP4">
        <f t="shared" ref="AP4:AP67" si="47">IF($AK4=ROUND($AK3,0),VLOOKUP($AK3,$AF$2:$AJ$112,5),($AK4-FLOOR($AK4,1))/(CEILING($AK4,1)-FLOOR($AK4,1))*(VLOOKUP(CEILING($AK4,1),$AF$2:$AJ$112,5,FALSE)-VLOOKUP(FLOOR($AK4,1),$AF$2:$AJ$112,5,FALSE))+VLOOKUP(FLOOR($AK4,1),$AF$2:$AJ$112,5,FALSE))</f>
        <v>11433.066666666666</v>
      </c>
      <c r="AQ4">
        <f>IF($AK3+$AK$1&lt;=Data!$H$4-0.5,AVERAGE(AP2:AP6),AQ3)</f>
        <v>11433.066666666666</v>
      </c>
      <c r="AR4">
        <f>IF($AK3+$AK$1&lt;=Data!$H$4-0.5,SLOPE($AN3:$AN5,$AK3:$AK5),AR3)</f>
        <v>-18.000000000001563</v>
      </c>
      <c r="AS4">
        <f>IF($AK3+$AK$1&lt;=Data!$H$4-0.5,SLOPE($AQ3:$AQ5,$AK3:$AK5),AS3)</f>
        <v>-56.000000000002842</v>
      </c>
      <c r="AT4" t="str">
        <f>IF(AND($AK4&gt;=Results!$G$13,$AK4&lt;=Results!$G$14),Curves!AR4,"")</f>
        <v/>
      </c>
      <c r="AU4" t="str">
        <f>IF(AND($AK4&gt;=Results!$G$13,$AK4&lt;=Results!$G$14),Curves!AS4,"")</f>
        <v/>
      </c>
      <c r="AV4" t="str">
        <f t="shared" si="29"/>
        <v/>
      </c>
      <c r="AW4" t="str">
        <f>IF(AND($AK4&lt;=Results!$I$21,$AK4&gt;=Results!$I$20,$AK4&lt;=Results!$F$4),$AN4,"")</f>
        <v/>
      </c>
      <c r="AX4" t="str">
        <f t="shared" si="29"/>
        <v/>
      </c>
      <c r="AY4" t="str">
        <f>IF(AND($AK4&lt;=Results!$I$23,$AK4&gt;=Results!$I$22,$AK4&gt;=Results!$F$4),$AN4,"")</f>
        <v/>
      </c>
      <c r="AZ4" t="str">
        <f t="shared" si="0"/>
        <v/>
      </c>
      <c r="BA4" t="str">
        <f>IF(AND($AK4&lt;=Results!$I$27,$AK4&gt;=Results!$I$26,$AK4&lt;=Results!$F$4),$AQ4,"")</f>
        <v/>
      </c>
      <c r="BB4" t="str">
        <f t="shared" si="1"/>
        <v/>
      </c>
      <c r="BC4" t="str">
        <f>IF(AND($AK4&lt;=Results!$I$29,$AK4&gt;=Results!$I$28,$AK4&gt;=Results!$F$4),$AQ4,"")</f>
        <v/>
      </c>
      <c r="BD4">
        <f t="shared" si="2"/>
        <v>12045.138631932845</v>
      </c>
      <c r="BE4">
        <f t="shared" si="3"/>
        <v>2639.4302801116992</v>
      </c>
      <c r="BF4">
        <f t="shared" si="30"/>
        <v>11348.172423529399</v>
      </c>
      <c r="BG4">
        <f t="shared" si="4"/>
        <v>1399.9891953812155</v>
      </c>
      <c r="BH4">
        <f t="shared" si="5"/>
        <v>0</v>
      </c>
      <c r="BI4">
        <f t="shared" si="6"/>
        <v>0.98405876236808754</v>
      </c>
      <c r="BJ4">
        <f t="shared" si="7"/>
        <v>1.0085336428964295</v>
      </c>
      <c r="BK4">
        <f t="shared" si="8"/>
        <v>9.4101284578211632E-3</v>
      </c>
      <c r="BL4">
        <f t="shared" si="9"/>
        <v>1.7553237889777777E-3</v>
      </c>
      <c r="BM4">
        <f t="shared" si="31"/>
        <v>120</v>
      </c>
      <c r="BN4">
        <f t="shared" si="32"/>
        <v>-119.99999999999829</v>
      </c>
      <c r="BO4">
        <f>Data!$H$2*(1-BI4)*(1-BI4/Data!$H$3)*BM4</f>
        <v>6.0989533736904495E-8</v>
      </c>
      <c r="BP4">
        <f t="shared" si="10"/>
        <v>-118.0870514841705</v>
      </c>
      <c r="BQ4">
        <f>Data!$H$2*(1-BJ4)*(1-BJ4/Data!$H$3)*BN4</f>
        <v>-1.7477534660107552E-8</v>
      </c>
      <c r="BR4">
        <f t="shared" si="11"/>
        <v>121.02403714756983</v>
      </c>
      <c r="BS4">
        <f t="shared" si="33"/>
        <v>0</v>
      </c>
      <c r="BT4">
        <f t="shared" si="12"/>
        <v>0</v>
      </c>
      <c r="BU4">
        <f t="shared" si="13"/>
        <v>0</v>
      </c>
      <c r="BV4">
        <f t="shared" si="14"/>
        <v>0</v>
      </c>
      <c r="BW4">
        <f t="shared" si="34"/>
        <v>0</v>
      </c>
      <c r="BX4" t="str">
        <f t="shared" si="35"/>
        <v/>
      </c>
      <c r="BY4" s="66" t="str">
        <f t="shared" si="15"/>
        <v/>
      </c>
      <c r="BZ4" t="str">
        <f t="shared" si="16"/>
        <v/>
      </c>
      <c r="CA4" s="67" t="str">
        <f t="shared" si="17"/>
        <v/>
      </c>
      <c r="CE4">
        <f>CE3/60</f>
        <v>1.6666666666666666E-2</v>
      </c>
    </row>
    <row r="5" spans="1:84" x14ac:dyDescent="0.25">
      <c r="A5">
        <v>361</v>
      </c>
      <c r="B5">
        <v>28</v>
      </c>
      <c r="C5">
        <v>11781</v>
      </c>
      <c r="D5" s="3">
        <f t="shared" ref="D5:E68" si="48">SLOPE(B3:B7,$A3:$A7)</f>
        <v>8.3333333333333332E-3</v>
      </c>
      <c r="E5" s="3">
        <f t="shared" si="48"/>
        <v>-0.54249999999999998</v>
      </c>
      <c r="F5">
        <f>IF(A5&gt;0,IF(F4=1,1,IF(B5=Data!$H$4,1,0)),"")</f>
        <v>0</v>
      </c>
      <c r="G5">
        <v>361</v>
      </c>
      <c r="H5">
        <v>28</v>
      </c>
      <c r="I5">
        <v>11781</v>
      </c>
      <c r="J5" s="3">
        <v>8.3333333333333332E-3</v>
      </c>
      <c r="K5" s="3">
        <v>-0.54249999999999998</v>
      </c>
      <c r="L5">
        <v>10381</v>
      </c>
      <c r="M5">
        <v>29</v>
      </c>
      <c r="N5">
        <v>11131</v>
      </c>
      <c r="O5" s="3">
        <v>-8.3333333333333332E-3</v>
      </c>
      <c r="P5" s="3">
        <v>0.68488372093023253</v>
      </c>
      <c r="Q5" t="str">
        <f t="shared" si="18"/>
        <v/>
      </c>
      <c r="R5" s="4">
        <f t="shared" si="19"/>
        <v>28</v>
      </c>
      <c r="S5">
        <f t="shared" si="36"/>
        <v>361</v>
      </c>
      <c r="T5">
        <f t="shared" ref="T5:T68" si="49">INTERCEPT($I4:$I6,$H4:$H6)+SLOPE($I4:$I6,$H4:$H6)*$R5</f>
        <v>11776.666666666666</v>
      </c>
      <c r="U5" s="4">
        <f t="shared" si="20"/>
        <v>29</v>
      </c>
      <c r="V5">
        <f t="shared" si="37"/>
        <v>10381</v>
      </c>
      <c r="W5">
        <f t="shared" si="38"/>
        <v>11129.928571428571</v>
      </c>
      <c r="X5" t="str">
        <f t="shared" si="39"/>
        <v/>
      </c>
      <c r="Y5" t="str">
        <f t="shared" si="40"/>
        <v/>
      </c>
      <c r="Z5" t="str">
        <f t="shared" si="41"/>
        <v/>
      </c>
      <c r="AA5" t="str">
        <f t="shared" si="21"/>
        <v/>
      </c>
      <c r="AB5">
        <f t="shared" si="42"/>
        <v>28</v>
      </c>
      <c r="AC5" t="str">
        <f t="shared" si="43"/>
        <v/>
      </c>
      <c r="AD5" t="str">
        <f t="shared" si="44"/>
        <v/>
      </c>
      <c r="AE5">
        <f t="shared" si="45"/>
        <v>28</v>
      </c>
      <c r="AF5" s="72">
        <f>IF(AF4+$AF$1&gt;ROUND(Data!$H$4,0),AF4,AF4+$AF$1)</f>
        <v>28</v>
      </c>
      <c r="AG5">
        <f t="shared" si="22"/>
        <v>361</v>
      </c>
      <c r="AH5">
        <f t="shared" si="23"/>
        <v>11776.666666666666</v>
      </c>
      <c r="AI5">
        <f t="shared" si="24"/>
        <v>10501</v>
      </c>
      <c r="AJ5" s="67">
        <f t="shared" si="25"/>
        <v>11212.428571428571</v>
      </c>
      <c r="AK5" s="4">
        <f t="shared" si="46"/>
        <v>25.300000000000004</v>
      </c>
      <c r="AL5">
        <f t="shared" si="26"/>
        <v>37.000000000000512</v>
      </c>
      <c r="AM5">
        <f t="shared" si="27"/>
        <v>11892.8</v>
      </c>
      <c r="AN5">
        <f>IF($AK4+$AK$1&lt;=Data!$H$4-0.5,AVERAGE(AM3:AM7),AN4)</f>
        <v>11892.800000000001</v>
      </c>
      <c r="AO5">
        <f t="shared" si="28"/>
        <v>10825</v>
      </c>
      <c r="AP5">
        <f t="shared" si="47"/>
        <v>11425.6</v>
      </c>
      <c r="AQ5">
        <f>IF($AK4+$AK$1&lt;=Data!$H$4-0.5,AVERAGE(AP3:AP7),AQ4)</f>
        <v>11425.599999999999</v>
      </c>
      <c r="AR5">
        <f>IF($AK4+$AK$1&lt;=Data!$H$4-0.5,SLOPE($AN1:$AN9,$AK1:$AK9),AR4)</f>
        <v>-23.285714285716598</v>
      </c>
      <c r="AS5">
        <f>IF($AK4+$AK$1&lt;=Data!$H$4-0.5,SLOPE($AQ1:$AQ9,$AK1:$AK9),AS4)</f>
        <v>-72.444444444442283</v>
      </c>
      <c r="AT5" t="str">
        <f>IF(AND($AK5&gt;=Results!$G$13,$AK5&lt;=Results!$G$14),Curves!AR5,"")</f>
        <v/>
      </c>
      <c r="AU5" t="str">
        <f>IF(AND($AK5&gt;=Results!$G$13,$AK5&lt;=Results!$G$14),Curves!AS5,"")</f>
        <v/>
      </c>
      <c r="AV5" t="str">
        <f t="shared" si="29"/>
        <v/>
      </c>
      <c r="AW5" t="str">
        <f>IF(AND($AK5&lt;=Results!$I$21,$AK5&gt;=Results!$I$20,$AK5&lt;=Results!$F$4),$AN5,"")</f>
        <v/>
      </c>
      <c r="AX5" t="str">
        <f t="shared" si="29"/>
        <v/>
      </c>
      <c r="AY5" t="str">
        <f>IF(AND($AK5&lt;=Results!$I$23,$AK5&gt;=Results!$I$22,$AK5&gt;=Results!$F$4),$AN5,"")</f>
        <v/>
      </c>
      <c r="AZ5" t="str">
        <f t="shared" si="0"/>
        <v/>
      </c>
      <c r="BA5" t="str">
        <f>IF(AND($AK5&lt;=Results!$I$27,$AK5&gt;=Results!$I$26,$AK5&lt;=Results!$F$4),$AQ5,"")</f>
        <v/>
      </c>
      <c r="BB5" t="str">
        <f t="shared" si="1"/>
        <v/>
      </c>
      <c r="BC5" t="str">
        <f>IF(AND($AK5&lt;=Results!$I$29,$AK5&gt;=Results!$I$28,$AK5&gt;=Results!$F$4),$AQ5,"")</f>
        <v/>
      </c>
      <c r="BD5">
        <f t="shared" si="2"/>
        <v>12034.368437134926</v>
      </c>
      <c r="BE5">
        <f t="shared" si="3"/>
        <v>2636.1144908623783</v>
      </c>
      <c r="BF5">
        <f t="shared" si="30"/>
        <v>11340.882441296506</v>
      </c>
      <c r="BG5">
        <f t="shared" si="4"/>
        <v>1399.4383944216904</v>
      </c>
      <c r="BH5">
        <f t="shared" si="5"/>
        <v>0</v>
      </c>
      <c r="BI5">
        <f t="shared" si="6"/>
        <v>0.9849367299559858</v>
      </c>
      <c r="BJ5">
        <f t="shared" si="7"/>
        <v>1.0085216552347971</v>
      </c>
      <c r="BK5">
        <f t="shared" si="8"/>
        <v>8.7866451752925817E-3</v>
      </c>
      <c r="BL5">
        <f t="shared" si="9"/>
        <v>-1.1995793431695931E-4</v>
      </c>
      <c r="BM5">
        <f t="shared" si="31"/>
        <v>120.00000000000001</v>
      </c>
      <c r="BN5">
        <f t="shared" si="32"/>
        <v>-119.99999999999831</v>
      </c>
      <c r="BO5">
        <f>Data!$H$2*(1-BI5)*(1-BI5/Data!$H$3)*BM5</f>
        <v>5.445650506053493E-8</v>
      </c>
      <c r="BP5">
        <f t="shared" si="10"/>
        <v>-118.1924075947183</v>
      </c>
      <c r="BQ5">
        <f>Data!$H$2*(1-BJ5)*(1-BJ5/Data!$H$3)*BN5</f>
        <v>-1.7428465905778459E-8</v>
      </c>
      <c r="BR5">
        <f t="shared" si="11"/>
        <v>121.02259862817394</v>
      </c>
      <c r="BS5">
        <f t="shared" si="33"/>
        <v>0</v>
      </c>
      <c r="BT5">
        <f t="shared" si="12"/>
        <v>0</v>
      </c>
      <c r="BU5">
        <f t="shared" si="13"/>
        <v>0</v>
      </c>
      <c r="BV5">
        <f t="shared" si="14"/>
        <v>0</v>
      </c>
      <c r="BW5">
        <f t="shared" si="34"/>
        <v>0</v>
      </c>
      <c r="BX5" t="str">
        <f t="shared" si="35"/>
        <v/>
      </c>
      <c r="BY5" s="66" t="str">
        <f t="shared" si="15"/>
        <v/>
      </c>
      <c r="BZ5" t="str">
        <f t="shared" si="16"/>
        <v/>
      </c>
      <c r="CA5" s="67" t="str">
        <f t="shared" si="17"/>
        <v/>
      </c>
    </row>
    <row r="6" spans="1:84" x14ac:dyDescent="0.25">
      <c r="A6">
        <v>481</v>
      </c>
      <c r="B6">
        <v>29</v>
      </c>
      <c r="C6">
        <v>11703</v>
      </c>
      <c r="D6" s="3">
        <f t="shared" si="48"/>
        <v>8.3333333333333332E-3</v>
      </c>
      <c r="E6" s="3">
        <f t="shared" si="48"/>
        <v>-0.63416666666666666</v>
      </c>
      <c r="F6">
        <f>IF(A6&gt;0,IF(F5=1,1,IF(B6=Data!$H$4,1,0)),"")</f>
        <v>0</v>
      </c>
      <c r="G6">
        <v>481</v>
      </c>
      <c r="H6">
        <v>29</v>
      </c>
      <c r="I6">
        <v>11703</v>
      </c>
      <c r="J6" s="3">
        <v>8.3333333333333332E-3</v>
      </c>
      <c r="K6" s="3">
        <v>-0.63416666666666666</v>
      </c>
      <c r="L6">
        <v>10261</v>
      </c>
      <c r="M6">
        <v>30</v>
      </c>
      <c r="N6">
        <v>11046</v>
      </c>
      <c r="O6" s="3">
        <v>-8.3333333333333332E-3</v>
      </c>
      <c r="P6" s="3">
        <v>0.6988738738738739</v>
      </c>
      <c r="Q6" t="str">
        <f t="shared" si="18"/>
        <v/>
      </c>
      <c r="R6" s="4">
        <f t="shared" si="19"/>
        <v>29</v>
      </c>
      <c r="S6">
        <f t="shared" si="36"/>
        <v>481</v>
      </c>
      <c r="T6">
        <f t="shared" si="49"/>
        <v>11704</v>
      </c>
      <c r="U6" s="4">
        <f t="shared" si="20"/>
        <v>30</v>
      </c>
      <c r="V6">
        <f t="shared" si="37"/>
        <v>10261</v>
      </c>
      <c r="W6">
        <f t="shared" si="38"/>
        <v>11048</v>
      </c>
      <c r="X6" t="str">
        <f t="shared" si="39"/>
        <v/>
      </c>
      <c r="Y6" t="str">
        <f t="shared" si="40"/>
        <v/>
      </c>
      <c r="Z6" t="str">
        <f t="shared" si="41"/>
        <v/>
      </c>
      <c r="AA6" t="str">
        <f t="shared" si="21"/>
        <v/>
      </c>
      <c r="AB6" t="str">
        <f t="shared" si="42"/>
        <v/>
      </c>
      <c r="AC6" t="str">
        <f t="shared" si="43"/>
        <v/>
      </c>
      <c r="AD6" t="str">
        <f t="shared" si="44"/>
        <v/>
      </c>
      <c r="AE6" t="str">
        <f t="shared" si="45"/>
        <v/>
      </c>
      <c r="AF6" s="72">
        <f>IF(AF5+$AF$1&gt;ROUND(Data!$H$4,0),AF5,AF5+$AF$1)</f>
        <v>29</v>
      </c>
      <c r="AG6">
        <f t="shared" si="22"/>
        <v>481</v>
      </c>
      <c r="AH6">
        <f t="shared" si="23"/>
        <v>11704</v>
      </c>
      <c r="AI6">
        <f t="shared" si="24"/>
        <v>10381</v>
      </c>
      <c r="AJ6" s="67">
        <f t="shared" si="25"/>
        <v>11129.928571428571</v>
      </c>
      <c r="AK6" s="4">
        <f t="shared" si="46"/>
        <v>25.400000000000006</v>
      </c>
      <c r="AL6">
        <f t="shared" si="26"/>
        <v>49.000000000000682</v>
      </c>
      <c r="AM6">
        <f t="shared" si="27"/>
        <v>11890.4</v>
      </c>
      <c r="AN6">
        <f>IF($AK5+$AK$1&lt;=Data!$H$4-0.5,AVERAGE(AM4:AM8),AN5)</f>
        <v>11890.4</v>
      </c>
      <c r="AO6">
        <f t="shared" si="28"/>
        <v>10813</v>
      </c>
      <c r="AP6">
        <f t="shared" si="47"/>
        <v>11418.133333333333</v>
      </c>
      <c r="AQ6">
        <f>IF($AK5+$AK$1&lt;=Data!$H$4-0.5,AVERAGE(AP4:AP8),AQ5)</f>
        <v>11418.133333333331</v>
      </c>
      <c r="AR6">
        <f>IF($AK5+$AK$1&lt;=Data!$H$4-0.5,SLOPE($AN2:$AN10,$AK2:$AK10),AR5)</f>
        <v>-23.400000000002034</v>
      </c>
      <c r="AS6">
        <f>IF($AK5+$AK$1&lt;=Data!$H$4-0.5,SLOPE($AQ2:$AQ10,$AK2:$AK10),AS5)</f>
        <v>-62.844444444441869</v>
      </c>
      <c r="AT6" t="str">
        <f>IF(AND($AK6&gt;=Results!$G$13,$AK6&lt;=Results!$G$14),Curves!AR6,"")</f>
        <v/>
      </c>
      <c r="AU6" t="str">
        <f>IF(AND($AK6&gt;=Results!$G$13,$AK6&lt;=Results!$G$14),Curves!AS6,"")</f>
        <v/>
      </c>
      <c r="AV6" t="str">
        <f t="shared" si="29"/>
        <v/>
      </c>
      <c r="AW6" t="str">
        <f>IF(AND($AK6&lt;=Results!$I$21,$AK6&gt;=Results!$I$20,$AK6&lt;=Results!$F$4),$AN6,"")</f>
        <v/>
      </c>
      <c r="AX6" t="str">
        <f t="shared" si="29"/>
        <v/>
      </c>
      <c r="AY6" t="str">
        <f>IF(AND($AK6&lt;=Results!$I$23,$AK6&gt;=Results!$I$22,$AK6&gt;=Results!$F$4),$AN6,"")</f>
        <v/>
      </c>
      <c r="AZ6" t="str">
        <f t="shared" si="0"/>
        <v/>
      </c>
      <c r="BA6" t="str">
        <f>IF(AND($AK6&lt;=Results!$I$27,$AK6&gt;=Results!$I$26,$AK6&lt;=Results!$F$4),$AQ6,"")</f>
        <v/>
      </c>
      <c r="BB6" t="str">
        <f t="shared" si="1"/>
        <v/>
      </c>
      <c r="BC6" t="str">
        <f>IF(AND($AK6&lt;=Results!$I$29,$AK6&gt;=Results!$I$28,$AK6&gt;=Results!$F$4),$AQ6,"")</f>
        <v/>
      </c>
      <c r="BD6">
        <f t="shared" si="2"/>
        <v>12023.598242337006</v>
      </c>
      <c r="BE6">
        <f t="shared" si="3"/>
        <v>2632.7987016130573</v>
      </c>
      <c r="BF6">
        <f t="shared" si="30"/>
        <v>11333.592459063613</v>
      </c>
      <c r="BG6">
        <f t="shared" si="4"/>
        <v>1398.8875934621656</v>
      </c>
      <c r="BH6">
        <f t="shared" si="5"/>
        <v>0</v>
      </c>
      <c r="BI6">
        <f t="shared" si="6"/>
        <v>0.98581609140314608</v>
      </c>
      <c r="BJ6">
        <f t="shared" si="7"/>
        <v>1.0085096513095662</v>
      </c>
      <c r="BK6">
        <f t="shared" si="8"/>
        <v>8.8006003777545277E-3</v>
      </c>
      <c r="BL6">
        <f t="shared" si="9"/>
        <v>-1.201207358969541E-4</v>
      </c>
      <c r="BM6">
        <f t="shared" si="31"/>
        <v>120</v>
      </c>
      <c r="BN6">
        <f t="shared" si="32"/>
        <v>-119.99999999999829</v>
      </c>
      <c r="BO6">
        <f>Data!$H$2*(1-BI6)*(1-BI6/Data!$H$3)*BM6</f>
        <v>4.828398314013758E-8</v>
      </c>
      <c r="BP6">
        <f t="shared" si="10"/>
        <v>-118.29793096837753</v>
      </c>
      <c r="BQ6">
        <f>Data!$H$2*(1-BJ6)*(1-BJ6/Data!$H$3)*BN6</f>
        <v>-1.7379399698495997E-8</v>
      </c>
      <c r="BR6">
        <f t="shared" si="11"/>
        <v>121.02115815714622</v>
      </c>
      <c r="BS6">
        <f t="shared" si="33"/>
        <v>0</v>
      </c>
      <c r="BT6">
        <f t="shared" si="12"/>
        <v>0</v>
      </c>
      <c r="BU6">
        <f t="shared" si="13"/>
        <v>0</v>
      </c>
      <c r="BV6">
        <f t="shared" si="14"/>
        <v>0</v>
      </c>
      <c r="BW6">
        <f t="shared" si="34"/>
        <v>0</v>
      </c>
      <c r="BX6" t="str">
        <f t="shared" si="35"/>
        <v/>
      </c>
      <c r="BY6" s="66" t="str">
        <f t="shared" si="15"/>
        <v/>
      </c>
      <c r="BZ6" t="str">
        <f t="shared" si="16"/>
        <v/>
      </c>
      <c r="CA6" s="67" t="str">
        <f t="shared" si="17"/>
        <v/>
      </c>
    </row>
    <row r="7" spans="1:84" x14ac:dyDescent="0.25">
      <c r="A7">
        <v>601</v>
      </c>
      <c r="B7">
        <v>30</v>
      </c>
      <c r="C7">
        <v>11628</v>
      </c>
      <c r="D7" s="3">
        <f t="shared" si="48"/>
        <v>8.3333333333333332E-3</v>
      </c>
      <c r="E7" s="3">
        <f t="shared" si="48"/>
        <v>-0.6825</v>
      </c>
      <c r="F7">
        <f>IF(A7&gt;0,IF(F6=1,1,IF(B7=Data!$H$4,1,0)),"")</f>
        <v>0</v>
      </c>
      <c r="G7">
        <v>601</v>
      </c>
      <c r="H7">
        <v>30</v>
      </c>
      <c r="I7">
        <v>11628</v>
      </c>
      <c r="J7" s="3">
        <v>8.3333333333333332E-3</v>
      </c>
      <c r="K7" s="3">
        <v>-0.6825</v>
      </c>
      <c r="L7">
        <v>10141</v>
      </c>
      <c r="M7">
        <v>31</v>
      </c>
      <c r="N7">
        <v>10967</v>
      </c>
      <c r="O7" s="3">
        <v>-8.3333333333333332E-3</v>
      </c>
      <c r="P7" s="3">
        <v>0.69666666666666666</v>
      </c>
      <c r="Q7" t="str">
        <f t="shared" si="18"/>
        <v/>
      </c>
      <c r="R7" s="4">
        <f t="shared" si="19"/>
        <v>30</v>
      </c>
      <c r="S7">
        <f t="shared" si="36"/>
        <v>601</v>
      </c>
      <c r="T7">
        <f t="shared" si="49"/>
        <v>11624.333333333334</v>
      </c>
      <c r="U7" s="4">
        <f t="shared" si="20"/>
        <v>31</v>
      </c>
      <c r="V7">
        <f t="shared" si="37"/>
        <v>10141</v>
      </c>
      <c r="W7">
        <f t="shared" si="38"/>
        <v>10962.333333333334</v>
      </c>
      <c r="X7" t="str">
        <f t="shared" si="39"/>
        <v/>
      </c>
      <c r="Y7" t="str">
        <f t="shared" si="40"/>
        <v/>
      </c>
      <c r="Z7" t="str">
        <f t="shared" si="41"/>
        <v/>
      </c>
      <c r="AA7" t="str">
        <f t="shared" si="21"/>
        <v/>
      </c>
      <c r="AB7" t="str">
        <f t="shared" si="42"/>
        <v/>
      </c>
      <c r="AC7" t="str">
        <f t="shared" si="43"/>
        <v/>
      </c>
      <c r="AD7" t="str">
        <f t="shared" si="44"/>
        <v/>
      </c>
      <c r="AE7" t="str">
        <f t="shared" si="45"/>
        <v/>
      </c>
      <c r="AF7" s="72">
        <f>IF(AF6+$AF$1&gt;ROUND(Data!$H$4,0),AF6,AF6+$AF$1)</f>
        <v>30</v>
      </c>
      <c r="AG7">
        <f t="shared" si="22"/>
        <v>601</v>
      </c>
      <c r="AH7">
        <f t="shared" si="23"/>
        <v>11624.333333333334</v>
      </c>
      <c r="AI7">
        <f t="shared" si="24"/>
        <v>10261</v>
      </c>
      <c r="AJ7" s="67">
        <f t="shared" si="25"/>
        <v>11048</v>
      </c>
      <c r="AK7" s="4">
        <f t="shared" si="46"/>
        <v>25.500000000000007</v>
      </c>
      <c r="AL7">
        <f t="shared" si="26"/>
        <v>61.000000000000853</v>
      </c>
      <c r="AM7">
        <f t="shared" si="27"/>
        <v>11888</v>
      </c>
      <c r="AN7">
        <f>IF($AK6+$AK$1&lt;=Data!$H$4-0.5,AVERAGE(AM5:AM9),AN6)</f>
        <v>11887.999999999998</v>
      </c>
      <c r="AO7">
        <f t="shared" si="28"/>
        <v>10801</v>
      </c>
      <c r="AP7">
        <f t="shared" si="47"/>
        <v>11410.666666666666</v>
      </c>
      <c r="AQ7">
        <f>IF($AK6+$AK$1&lt;=Data!$H$4-0.5,AVERAGE(AP5:AP9),AQ6)</f>
        <v>11410.666666666666</v>
      </c>
      <c r="AR7">
        <f>IF($AK6+$AK$1&lt;=Data!$H$4-0.5,SLOPE($AN3:$AN11,$AK3:$AK11),AR6)</f>
        <v>-23.408888888891216</v>
      </c>
      <c r="AS7">
        <f>IF($AK6+$AK$1&lt;=Data!$H$4-0.5,SLOPE($AQ3:$AQ11,$AK3:$AK11),AS6)</f>
        <v>-54.805396825393295</v>
      </c>
      <c r="AT7" t="str">
        <f>IF(AND($AK7&gt;=Results!$G$13,$AK7&lt;=Results!$G$14),Curves!AR7,"")</f>
        <v/>
      </c>
      <c r="AU7" t="str">
        <f>IF(AND($AK7&gt;=Results!$G$13,$AK7&lt;=Results!$G$14),Curves!AS7,"")</f>
        <v/>
      </c>
      <c r="AV7" t="str">
        <f t="shared" si="29"/>
        <v/>
      </c>
      <c r="AW7" t="str">
        <f>IF(AND($AK7&lt;=Results!$I$21,$AK7&gt;=Results!$I$20,$AK7&lt;=Results!$F$4),$AN7,"")</f>
        <v/>
      </c>
      <c r="AX7" t="str">
        <f t="shared" si="29"/>
        <v/>
      </c>
      <c r="AY7" t="str">
        <f>IF(AND($AK7&lt;=Results!$I$23,$AK7&gt;=Results!$I$22,$AK7&gt;=Results!$F$4),$AN7,"")</f>
        <v/>
      </c>
      <c r="AZ7" t="str">
        <f t="shared" si="0"/>
        <v/>
      </c>
      <c r="BA7" t="str">
        <f>IF(AND($AK7&lt;=Results!$I$27,$AK7&gt;=Results!$I$26,$AK7&lt;=Results!$F$4),$AQ7,"")</f>
        <v/>
      </c>
      <c r="BB7" t="str">
        <f t="shared" si="1"/>
        <v/>
      </c>
      <c r="BC7" t="str">
        <f>IF(AND($AK7&lt;=Results!$I$29,$AK7&gt;=Results!$I$28,$AK7&gt;=Results!$F$4),$AQ7,"")</f>
        <v/>
      </c>
      <c r="BD7">
        <f t="shared" si="2"/>
        <v>12012.828047539086</v>
      </c>
      <c r="BE7">
        <f t="shared" si="3"/>
        <v>2629.4829123637364</v>
      </c>
      <c r="BF7">
        <f t="shared" si="30"/>
        <v>11326.302476830719</v>
      </c>
      <c r="BG7">
        <f t="shared" si="4"/>
        <v>1398.3367925026405</v>
      </c>
      <c r="BH7">
        <f t="shared" si="5"/>
        <v>0</v>
      </c>
      <c r="BI7">
        <f t="shared" si="6"/>
        <v>0.98669685003153673</v>
      </c>
      <c r="BJ7">
        <f t="shared" si="7"/>
        <v>1.0084976310876177</v>
      </c>
      <c r="BK7">
        <f t="shared" si="8"/>
        <v>8.8145888527256661E-3</v>
      </c>
      <c r="BL7">
        <f t="shared" si="9"/>
        <v>-1.2028386912277085E-4</v>
      </c>
      <c r="BM7">
        <f t="shared" si="31"/>
        <v>120.00000000000001</v>
      </c>
      <c r="BN7">
        <f t="shared" si="32"/>
        <v>-120.00000000000742</v>
      </c>
      <c r="BO7">
        <f>Data!$H$2*(1-BI7)*(1-BI7/Data!$H$3)*BM7</f>
        <v>4.2473711780021826E-8</v>
      </c>
      <c r="BP7">
        <f t="shared" si="10"/>
        <v>-118.40362200378442</v>
      </c>
      <c r="BQ7">
        <f>Data!$H$2*(1-BJ7)*(1-BJ7/Data!$H$3)*BN7</f>
        <v>-1.7330336184300282E-8</v>
      </c>
      <c r="BR7">
        <f t="shared" si="11"/>
        <v>121.01971573052161</v>
      </c>
      <c r="BS7">
        <f t="shared" si="33"/>
        <v>0</v>
      </c>
      <c r="BT7">
        <f t="shared" si="12"/>
        <v>0</v>
      </c>
      <c r="BU7">
        <f t="shared" si="13"/>
        <v>0</v>
      </c>
      <c r="BV7">
        <f t="shared" si="14"/>
        <v>0</v>
      </c>
      <c r="BW7">
        <f t="shared" si="34"/>
        <v>0</v>
      </c>
      <c r="BX7" t="str">
        <f t="shared" si="35"/>
        <v/>
      </c>
      <c r="BY7" s="66" t="str">
        <f t="shared" si="15"/>
        <v/>
      </c>
      <c r="BZ7" t="str">
        <f t="shared" si="16"/>
        <v/>
      </c>
      <c r="CA7" s="67" t="str">
        <f t="shared" si="17"/>
        <v/>
      </c>
    </row>
    <row r="8" spans="1:84" x14ac:dyDescent="0.25">
      <c r="A8">
        <v>721</v>
      </c>
      <c r="B8">
        <v>31</v>
      </c>
      <c r="C8">
        <v>11542</v>
      </c>
      <c r="D8" s="3">
        <f t="shared" si="48"/>
        <v>8.3333333333333332E-3</v>
      </c>
      <c r="E8" s="3">
        <f t="shared" si="48"/>
        <v>-0.74333333333333329</v>
      </c>
      <c r="F8">
        <f>IF(A8&gt;0,IF(F7=1,1,IF(B8=Data!$H$4,1,0)),"")</f>
        <v>0</v>
      </c>
      <c r="G8">
        <v>721</v>
      </c>
      <c r="H8">
        <v>31</v>
      </c>
      <c r="I8">
        <v>11542</v>
      </c>
      <c r="J8" s="3">
        <v>8.3333333333333332E-3</v>
      </c>
      <c r="K8" s="3">
        <v>-0.74333333333333329</v>
      </c>
      <c r="L8">
        <v>10021</v>
      </c>
      <c r="M8">
        <v>32</v>
      </c>
      <c r="N8">
        <v>10874</v>
      </c>
      <c r="O8" s="3">
        <v>-8.3333333333333332E-3</v>
      </c>
      <c r="P8" s="3">
        <v>0.68166666666666664</v>
      </c>
      <c r="Q8" t="str">
        <f t="shared" si="18"/>
        <v/>
      </c>
      <c r="R8" s="4">
        <f t="shared" si="19"/>
        <v>31</v>
      </c>
      <c r="S8">
        <f t="shared" si="36"/>
        <v>721</v>
      </c>
      <c r="T8">
        <f t="shared" si="49"/>
        <v>11540.666666666666</v>
      </c>
      <c r="U8" s="4">
        <f t="shared" si="20"/>
        <v>32</v>
      </c>
      <c r="V8">
        <f t="shared" si="37"/>
        <v>10021</v>
      </c>
      <c r="W8">
        <f t="shared" si="38"/>
        <v>10880</v>
      </c>
      <c r="X8" t="str">
        <f t="shared" si="39"/>
        <v/>
      </c>
      <c r="Y8" t="str">
        <f t="shared" si="40"/>
        <v/>
      </c>
      <c r="Z8" t="str">
        <f t="shared" si="41"/>
        <v/>
      </c>
      <c r="AA8" t="str">
        <f t="shared" si="21"/>
        <v/>
      </c>
      <c r="AB8" t="str">
        <f t="shared" si="42"/>
        <v/>
      </c>
      <c r="AC8" t="str">
        <f t="shared" si="43"/>
        <v/>
      </c>
      <c r="AD8" t="str">
        <f t="shared" si="44"/>
        <v/>
      </c>
      <c r="AE8" t="str">
        <f t="shared" si="45"/>
        <v/>
      </c>
      <c r="AF8" s="72">
        <f>IF(AF7+$AF$1&gt;ROUND(Data!$H$4,0),AF7,AF7+$AF$1)</f>
        <v>31</v>
      </c>
      <c r="AG8">
        <f t="shared" si="22"/>
        <v>721</v>
      </c>
      <c r="AH8">
        <f t="shared" si="23"/>
        <v>11540.666666666666</v>
      </c>
      <c r="AI8">
        <f t="shared" si="24"/>
        <v>10141</v>
      </c>
      <c r="AJ8" s="67">
        <f t="shared" si="25"/>
        <v>10962.333333333334</v>
      </c>
      <c r="AK8" s="4">
        <f t="shared" si="46"/>
        <v>25.600000000000009</v>
      </c>
      <c r="AL8">
        <f t="shared" si="26"/>
        <v>73.000000000001023</v>
      </c>
      <c r="AM8">
        <f t="shared" si="27"/>
        <v>11885.6</v>
      </c>
      <c r="AN8">
        <f>IF($AK7+$AK$1&lt;=Data!$H$4-0.5,AVERAGE(AM6:AM10),AN7)</f>
        <v>11885.6</v>
      </c>
      <c r="AO8">
        <f t="shared" si="28"/>
        <v>10788.999999999998</v>
      </c>
      <c r="AP8">
        <f t="shared" si="47"/>
        <v>11403.199999999999</v>
      </c>
      <c r="AQ8">
        <f>IF($AK7+$AK$1&lt;=Data!$H$4-0.5,AVERAGE(AP6:AP10),AQ7)</f>
        <v>11403.2</v>
      </c>
      <c r="AR8">
        <f>IF($AK7+$AK$1&lt;=Data!$H$4-0.5,SLOPE($AN4:$AN12,$AK4:$AK12),AR7)</f>
        <v>-24.783333333334614</v>
      </c>
      <c r="AS8">
        <f>IF($AK7+$AK$1&lt;=Data!$H$4-0.5,SLOPE($AQ4:$AQ12,$AK4:$AK12),AS7)</f>
        <v>-52.453571428567422</v>
      </c>
      <c r="AT8" t="str">
        <f>IF(AND($AK8&gt;=Results!$G$13,$AK8&lt;=Results!$G$14),Curves!AR8,"")</f>
        <v/>
      </c>
      <c r="AU8" t="str">
        <f>IF(AND($AK8&gt;=Results!$G$13,$AK8&lt;=Results!$G$14),Curves!AS8,"")</f>
        <v/>
      </c>
      <c r="AV8" t="str">
        <f t="shared" si="29"/>
        <v/>
      </c>
      <c r="AW8" t="str">
        <f>IF(AND($AK8&lt;=Results!$I$21,$AK8&gt;=Results!$I$20,$AK8&lt;=Results!$F$4),$AN8,"")</f>
        <v/>
      </c>
      <c r="AX8" t="str">
        <f t="shared" si="29"/>
        <v/>
      </c>
      <c r="AY8" t="str">
        <f>IF(AND($AK8&lt;=Results!$I$23,$AK8&gt;=Results!$I$22,$AK8&gt;=Results!$F$4),$AN8,"")</f>
        <v/>
      </c>
      <c r="AZ8" t="str">
        <f t="shared" si="0"/>
        <v/>
      </c>
      <c r="BA8" t="str">
        <f>IF(AND($AK8&lt;=Results!$I$27,$AK8&gt;=Results!$I$26,$AK8&lt;=Results!$F$4),$AQ8,"")</f>
        <v/>
      </c>
      <c r="BB8" t="str">
        <f t="shared" si="1"/>
        <v/>
      </c>
      <c r="BC8" t="str">
        <f>IF(AND($AK8&lt;=Results!$I$29,$AK8&gt;=Results!$I$28,$AK8&gt;=Results!$F$4),$AQ8,"")</f>
        <v/>
      </c>
      <c r="BD8">
        <f t="shared" si="2"/>
        <v>12002.057852741167</v>
      </c>
      <c r="BE8">
        <f t="shared" si="3"/>
        <v>2626.1671231144155</v>
      </c>
      <c r="BF8">
        <f t="shared" si="30"/>
        <v>11319.012494597826</v>
      </c>
      <c r="BG8">
        <f t="shared" si="4"/>
        <v>1397.7859915431154</v>
      </c>
      <c r="BH8">
        <f t="shared" si="5"/>
        <v>0</v>
      </c>
      <c r="BI8">
        <f t="shared" si="6"/>
        <v>0.98757900917369124</v>
      </c>
      <c r="BJ8">
        <f t="shared" si="7"/>
        <v>1.0084855945357416</v>
      </c>
      <c r="BK8">
        <f t="shared" si="8"/>
        <v>8.8286107060613211E-3</v>
      </c>
      <c r="BL8">
        <f t="shared" si="9"/>
        <v>-1.2044733489924125E-4</v>
      </c>
      <c r="BM8">
        <f t="shared" si="31"/>
        <v>120</v>
      </c>
      <c r="BN8">
        <f t="shared" si="32"/>
        <v>-120.00000000000739</v>
      </c>
      <c r="BO8">
        <f>Data!$H$2*(1-BI8)*(1-BI8/Data!$H$3)*BM8</f>
        <v>3.7027443145739149E-8</v>
      </c>
      <c r="BP8">
        <f t="shared" si="10"/>
        <v>-118.50948110084295</v>
      </c>
      <c r="BQ8">
        <f>Data!$H$2*(1-BJ8)*(1-BJ8/Data!$H$3)*BN8</f>
        <v>-1.7281275510002924E-8</v>
      </c>
      <c r="BR8">
        <f t="shared" si="11"/>
        <v>121.01827134429645</v>
      </c>
      <c r="BS8">
        <f t="shared" si="33"/>
        <v>0</v>
      </c>
      <c r="BT8">
        <f t="shared" si="12"/>
        <v>0</v>
      </c>
      <c r="BU8">
        <f t="shared" si="13"/>
        <v>0</v>
      </c>
      <c r="BV8">
        <f t="shared" si="14"/>
        <v>0</v>
      </c>
      <c r="BW8">
        <f t="shared" si="34"/>
        <v>0</v>
      </c>
      <c r="BX8" t="str">
        <f t="shared" si="35"/>
        <v/>
      </c>
      <c r="BY8" s="66" t="str">
        <f t="shared" si="15"/>
        <v/>
      </c>
      <c r="BZ8" t="str">
        <f t="shared" si="16"/>
        <v/>
      </c>
      <c r="CA8" s="67" t="str">
        <f t="shared" si="17"/>
        <v/>
      </c>
    </row>
    <row r="9" spans="1:84" x14ac:dyDescent="0.25">
      <c r="A9">
        <v>841</v>
      </c>
      <c r="B9">
        <v>32</v>
      </c>
      <c r="C9">
        <v>11452</v>
      </c>
      <c r="D9" s="3">
        <f t="shared" si="48"/>
        <v>8.3333333333333332E-3</v>
      </c>
      <c r="E9" s="3">
        <f t="shared" si="48"/>
        <v>-0.85416666666666663</v>
      </c>
      <c r="F9">
        <f>IF(A9&gt;0,IF(F8=1,1,IF(B9=Data!$H$4,1,0)),"")</f>
        <v>0</v>
      </c>
      <c r="G9">
        <v>841</v>
      </c>
      <c r="H9">
        <v>32</v>
      </c>
      <c r="I9">
        <v>11452</v>
      </c>
      <c r="J9" s="3">
        <v>8.3333333333333332E-3</v>
      </c>
      <c r="K9" s="3">
        <v>-0.85416666666666663</v>
      </c>
      <c r="L9">
        <v>9901</v>
      </c>
      <c r="M9">
        <v>33</v>
      </c>
      <c r="N9">
        <v>10799</v>
      </c>
      <c r="O9" s="3">
        <v>-8.3333333333333332E-3</v>
      </c>
      <c r="P9" s="3">
        <v>0.66083333333333338</v>
      </c>
      <c r="Q9" t="str">
        <f t="shared" si="18"/>
        <v/>
      </c>
      <c r="R9" s="4">
        <f t="shared" si="19"/>
        <v>32</v>
      </c>
      <c r="S9">
        <f t="shared" si="36"/>
        <v>841</v>
      </c>
      <c r="T9">
        <f t="shared" si="49"/>
        <v>11446.333333333334</v>
      </c>
      <c r="U9" s="4">
        <f t="shared" si="20"/>
        <v>33</v>
      </c>
      <c r="V9">
        <f t="shared" si="37"/>
        <v>9901</v>
      </c>
      <c r="W9">
        <f t="shared" si="38"/>
        <v>10798</v>
      </c>
      <c r="X9" t="str">
        <f t="shared" si="39"/>
        <v/>
      </c>
      <c r="Y9" t="str">
        <f t="shared" si="40"/>
        <v/>
      </c>
      <c r="Z9" t="str">
        <f t="shared" si="41"/>
        <v/>
      </c>
      <c r="AA9" t="str">
        <f t="shared" si="21"/>
        <v/>
      </c>
      <c r="AB9" t="str">
        <f t="shared" si="42"/>
        <v/>
      </c>
      <c r="AC9" t="str">
        <f t="shared" si="43"/>
        <v/>
      </c>
      <c r="AD9" t="str">
        <f t="shared" si="44"/>
        <v/>
      </c>
      <c r="AE9" t="str">
        <f t="shared" si="45"/>
        <v/>
      </c>
      <c r="AF9" s="72">
        <f>IF(AF8+$AF$1&gt;ROUND(Data!$H$4,0),AF8,AF8+$AF$1)</f>
        <v>32</v>
      </c>
      <c r="AG9">
        <f t="shared" si="22"/>
        <v>841</v>
      </c>
      <c r="AH9">
        <f t="shared" si="23"/>
        <v>11446.333333333334</v>
      </c>
      <c r="AI9">
        <f t="shared" si="24"/>
        <v>10021</v>
      </c>
      <c r="AJ9" s="67">
        <f t="shared" si="25"/>
        <v>10880</v>
      </c>
      <c r="AK9" s="4">
        <f t="shared" si="46"/>
        <v>25.70000000000001</v>
      </c>
      <c r="AL9">
        <f t="shared" si="26"/>
        <v>85.000000000001194</v>
      </c>
      <c r="AM9">
        <f t="shared" si="27"/>
        <v>11883.199999999999</v>
      </c>
      <c r="AN9">
        <f>IF($AK8+$AK$1&lt;=Data!$H$4-0.5,AVERAGE(AM7:AM11),AN8)</f>
        <v>11883.199999999999</v>
      </c>
      <c r="AO9">
        <f t="shared" si="28"/>
        <v>10776.999999999998</v>
      </c>
      <c r="AP9">
        <f t="shared" si="47"/>
        <v>11395.733333333334</v>
      </c>
      <c r="AQ9">
        <f>IF($AK8+$AK$1&lt;=Data!$H$4-0.5,AVERAGE(AP7:AP11),AQ8)</f>
        <v>11395.733333333334</v>
      </c>
      <c r="AR9">
        <f>IF($AK8+$AK$1&lt;=Data!$H$4-0.5,SLOPE($AN5:$AN13,$AK5:$AK13),AR8)</f>
        <v>-25.827777777778401</v>
      </c>
      <c r="AS9">
        <f>IF($AK8+$AK$1&lt;=Data!$H$4-0.5,SLOPE($AQ5:$AQ13,$AK5:$AK13),AS8)</f>
        <v>-50.21388888888567</v>
      </c>
      <c r="AT9" t="str">
        <f>IF(AND($AK9&gt;=Results!$G$13,$AK9&lt;=Results!$G$14),Curves!AR9,"")</f>
        <v/>
      </c>
      <c r="AU9" t="str">
        <f>IF(AND($AK9&gt;=Results!$G$13,$AK9&lt;=Results!$G$14),Curves!AS9,"")</f>
        <v/>
      </c>
      <c r="AV9" t="str">
        <f t="shared" si="29"/>
        <v/>
      </c>
      <c r="AW9" t="str">
        <f>IF(AND($AK9&lt;=Results!$I$21,$AK9&gt;=Results!$I$20,$AK9&lt;=Results!$F$4),$AN9,"")</f>
        <v/>
      </c>
      <c r="AX9" t="str">
        <f t="shared" si="29"/>
        <v/>
      </c>
      <c r="AY9" t="str">
        <f>IF(AND($AK9&lt;=Results!$I$23,$AK9&gt;=Results!$I$22,$AK9&gt;=Results!$F$4),$AN9,"")</f>
        <v/>
      </c>
      <c r="AZ9" t="str">
        <f t="shared" si="0"/>
        <v/>
      </c>
      <c r="BA9" t="str">
        <f>IF(AND($AK9&lt;=Results!$I$27,$AK9&gt;=Results!$I$26,$AK9&lt;=Results!$F$4),$AQ9,"")</f>
        <v/>
      </c>
      <c r="BB9" t="str">
        <f t="shared" si="1"/>
        <v/>
      </c>
      <c r="BC9" t="str">
        <f>IF(AND($AK9&lt;=Results!$I$29,$AK9&gt;=Results!$I$28,$AK9&gt;=Results!$F$4),$AQ9,"")</f>
        <v/>
      </c>
      <c r="BD9">
        <f t="shared" si="2"/>
        <v>11991.287657943247</v>
      </c>
      <c r="BE9">
        <f t="shared" si="3"/>
        <v>2622.8513338650951</v>
      </c>
      <c r="BF9">
        <f t="shared" si="30"/>
        <v>11311.722512364933</v>
      </c>
      <c r="BG9">
        <f t="shared" si="4"/>
        <v>1397.2351905835903</v>
      </c>
      <c r="BH9">
        <f t="shared" si="5"/>
        <v>0</v>
      </c>
      <c r="BI9">
        <f t="shared" si="6"/>
        <v>0.98846257217274902</v>
      </c>
      <c r="BJ9">
        <f t="shared" si="7"/>
        <v>1.0084735416206378</v>
      </c>
      <c r="BK9">
        <f t="shared" si="8"/>
        <v>8.8426660440398125E-3</v>
      </c>
      <c r="BL9">
        <f t="shared" si="9"/>
        <v>7.4155782812456231E-3</v>
      </c>
      <c r="BM9">
        <f t="shared" si="31"/>
        <v>120.00000000000001</v>
      </c>
      <c r="BN9">
        <f t="shared" si="32"/>
        <v>-119.99999999999831</v>
      </c>
      <c r="BO9">
        <f>Data!$H$2*(1-BI9)*(1-BI9/Data!$H$3)*BM9</f>
        <v>3.1946937808566062E-8</v>
      </c>
      <c r="BP9">
        <f t="shared" si="10"/>
        <v>-118.6155086607299</v>
      </c>
      <c r="BQ9">
        <f>Data!$H$2*(1-BJ9)*(1-BJ9/Data!$H$3)*BN9</f>
        <v>-1.7232217823203407E-8</v>
      </c>
      <c r="BR9">
        <f t="shared" si="11"/>
        <v>121.01682499447483</v>
      </c>
      <c r="BS9">
        <f t="shared" si="33"/>
        <v>0</v>
      </c>
      <c r="BT9">
        <f t="shared" si="12"/>
        <v>0</v>
      </c>
      <c r="BU9">
        <f t="shared" si="13"/>
        <v>0</v>
      </c>
      <c r="BV9">
        <f t="shared" si="14"/>
        <v>0</v>
      </c>
      <c r="BW9">
        <f t="shared" si="34"/>
        <v>0</v>
      </c>
      <c r="BX9" t="str">
        <f t="shared" si="35"/>
        <v/>
      </c>
      <c r="BY9" s="66" t="str">
        <f t="shared" si="15"/>
        <v/>
      </c>
      <c r="BZ9" t="str">
        <f t="shared" si="16"/>
        <v/>
      </c>
      <c r="CA9" s="67" t="str">
        <f t="shared" si="17"/>
        <v/>
      </c>
    </row>
    <row r="10" spans="1:84" x14ac:dyDescent="0.25">
      <c r="A10">
        <v>961</v>
      </c>
      <c r="B10">
        <v>33</v>
      </c>
      <c r="C10">
        <v>11345</v>
      </c>
      <c r="D10" s="3">
        <f t="shared" si="48"/>
        <v>8.3333333333333332E-3</v>
      </c>
      <c r="E10" s="3">
        <f t="shared" si="48"/>
        <v>-1.08</v>
      </c>
      <c r="F10">
        <f>IF(A10&gt;0,IF(F9=1,1,IF(B10=Data!$H$4,1,0)),"")</f>
        <v>0</v>
      </c>
      <c r="G10">
        <v>961</v>
      </c>
      <c r="H10">
        <v>33</v>
      </c>
      <c r="I10">
        <v>11345</v>
      </c>
      <c r="J10" s="3">
        <v>8.3333333333333332E-3</v>
      </c>
      <c r="K10" s="3">
        <v>-1.08</v>
      </c>
      <c r="L10">
        <v>9781</v>
      </c>
      <c r="M10">
        <v>34</v>
      </c>
      <c r="N10">
        <v>10721</v>
      </c>
      <c r="O10" s="3">
        <v>-8.3333333333333332E-3</v>
      </c>
      <c r="P10" s="3">
        <v>0.64</v>
      </c>
      <c r="Q10" t="str">
        <f t="shared" si="18"/>
        <v/>
      </c>
      <c r="R10" s="4">
        <f t="shared" si="19"/>
        <v>33</v>
      </c>
      <c r="S10">
        <f t="shared" si="36"/>
        <v>961</v>
      </c>
      <c r="T10">
        <f t="shared" si="49"/>
        <v>11337</v>
      </c>
      <c r="U10" s="4">
        <f t="shared" si="20"/>
        <v>34</v>
      </c>
      <c r="V10">
        <f t="shared" si="37"/>
        <v>9781</v>
      </c>
      <c r="W10">
        <f t="shared" si="38"/>
        <v>10722.333333333334</v>
      </c>
      <c r="X10" t="str">
        <f t="shared" si="39"/>
        <v/>
      </c>
      <c r="Y10" t="str">
        <f t="shared" si="40"/>
        <v/>
      </c>
      <c r="Z10" t="str">
        <f t="shared" si="41"/>
        <v/>
      </c>
      <c r="AA10" t="str">
        <f t="shared" si="21"/>
        <v/>
      </c>
      <c r="AB10" t="str">
        <f t="shared" si="42"/>
        <v/>
      </c>
      <c r="AC10" t="str">
        <f t="shared" si="43"/>
        <v/>
      </c>
      <c r="AD10" t="str">
        <f t="shared" si="44"/>
        <v/>
      </c>
      <c r="AE10" t="str">
        <f t="shared" si="45"/>
        <v/>
      </c>
      <c r="AF10" s="72">
        <f>IF(AF9+$AF$1&gt;ROUND(Data!$H$4,0),AF9,AF9+$AF$1)</f>
        <v>33</v>
      </c>
      <c r="AG10">
        <f t="shared" si="22"/>
        <v>961</v>
      </c>
      <c r="AH10">
        <f t="shared" si="23"/>
        <v>11337</v>
      </c>
      <c r="AI10">
        <f t="shared" si="24"/>
        <v>9901</v>
      </c>
      <c r="AJ10" s="67">
        <f t="shared" si="25"/>
        <v>10798</v>
      </c>
      <c r="AK10" s="4">
        <f t="shared" si="46"/>
        <v>25.800000000000011</v>
      </c>
      <c r="AL10">
        <f t="shared" si="26"/>
        <v>97.000000000001364</v>
      </c>
      <c r="AM10">
        <f t="shared" si="27"/>
        <v>11880.8</v>
      </c>
      <c r="AN10">
        <f>IF($AK9+$AK$1&lt;=Data!$H$4-0.5,AVERAGE(AM8:AM12),AN9)</f>
        <v>11880.8</v>
      </c>
      <c r="AO10">
        <f t="shared" si="28"/>
        <v>10764.999999999998</v>
      </c>
      <c r="AP10">
        <f t="shared" si="47"/>
        <v>11388.266666666666</v>
      </c>
      <c r="AQ10">
        <f>IF($AK9+$AK$1&lt;=Data!$H$4-0.5,AVERAGE(AP8:AP12),AQ9)</f>
        <v>11403.2</v>
      </c>
      <c r="AR10">
        <f>IF($AK9+$AK$1&lt;=Data!$H$4-0.5,SLOPE($AN6:$AN14,$AK6:$AK14),AR9)</f>
        <v>-27.394444444444076</v>
      </c>
      <c r="AS10">
        <f>IF($AK9+$AK$1&lt;=Data!$H$4-0.5,SLOPE($AQ6:$AQ14,$AK6:$AK14),AS9)</f>
        <v>-50.587698412695815</v>
      </c>
      <c r="AT10" t="str">
        <f>IF(AND($AK10&gt;=Results!$G$13,$AK10&lt;=Results!$G$14),Curves!AR10,"")</f>
        <v/>
      </c>
      <c r="AU10" t="str">
        <f>IF(AND($AK10&gt;=Results!$G$13,$AK10&lt;=Results!$G$14),Curves!AS10,"")</f>
        <v/>
      </c>
      <c r="AV10" t="str">
        <f t="shared" si="29"/>
        <v/>
      </c>
      <c r="AW10" t="str">
        <f>IF(AND($AK10&lt;=Results!$I$21,$AK10&gt;=Results!$I$20,$AK10&lt;=Results!$F$4),$AN10,"")</f>
        <v/>
      </c>
      <c r="AX10" t="str">
        <f t="shared" si="29"/>
        <v/>
      </c>
      <c r="AY10" t="str">
        <f>IF(AND($AK10&lt;=Results!$I$23,$AK10&gt;=Results!$I$22,$AK10&gt;=Results!$F$4),$AN10,"")</f>
        <v/>
      </c>
      <c r="AZ10" t="str">
        <f t="shared" si="0"/>
        <v/>
      </c>
      <c r="BA10" t="str">
        <f>IF(AND($AK10&lt;=Results!$I$27,$AK10&gt;=Results!$I$26,$AK10&lt;=Results!$F$4),$AQ10,"")</f>
        <v/>
      </c>
      <c r="BB10" t="str">
        <f t="shared" si="1"/>
        <v/>
      </c>
      <c r="BC10" t="str">
        <f>IF(AND($AK10&lt;=Results!$I$29,$AK10&gt;=Results!$I$28,$AK10&gt;=Results!$F$4),$AQ10,"")</f>
        <v/>
      </c>
      <c r="BD10">
        <f t="shared" si="2"/>
        <v>11980.517463145326</v>
      </c>
      <c r="BE10">
        <f t="shared" si="3"/>
        <v>2619.5355446157741</v>
      </c>
      <c r="BF10">
        <f t="shared" si="30"/>
        <v>11304.43253013204</v>
      </c>
      <c r="BG10">
        <f t="shared" si="4"/>
        <v>1396.6843896240655</v>
      </c>
      <c r="BH10">
        <f t="shared" si="5"/>
        <v>0</v>
      </c>
      <c r="BI10">
        <f t="shared" si="6"/>
        <v>0.98934754238249922</v>
      </c>
      <c r="BJ10">
        <f t="shared" si="7"/>
        <v>1.0099687101919907</v>
      </c>
      <c r="BK10">
        <f t="shared" si="8"/>
        <v>8.6892602325287921E-3</v>
      </c>
      <c r="BL10">
        <f t="shared" si="9"/>
        <v>7.3827890103094268E-3</v>
      </c>
      <c r="BM10">
        <f t="shared" si="31"/>
        <v>120</v>
      </c>
      <c r="BN10">
        <f t="shared" si="32"/>
        <v>-119.99999999999829</v>
      </c>
      <c r="BO10">
        <f>Data!$H$2*(1-BI10)*(1-BI10/Data!$H$3)*BM10</f>
        <v>2.7233964790236079E-8</v>
      </c>
      <c r="BP10">
        <f t="shared" si="10"/>
        <v>-118.72170508589991</v>
      </c>
      <c r="BQ10">
        <f>Data!$H$2*(1-BJ10)*(1-BJ10/Data!$H$3)*BN10</f>
        <v>-2.3850043894055712E-8</v>
      </c>
      <c r="BR10">
        <f t="shared" si="11"/>
        <v>121.19624522303717</v>
      </c>
      <c r="BS10">
        <f t="shared" si="33"/>
        <v>0</v>
      </c>
      <c r="BT10">
        <f t="shared" si="12"/>
        <v>0</v>
      </c>
      <c r="BU10">
        <f t="shared" si="13"/>
        <v>0</v>
      </c>
      <c r="BV10">
        <f t="shared" si="14"/>
        <v>0</v>
      </c>
      <c r="BW10">
        <f t="shared" si="34"/>
        <v>0</v>
      </c>
      <c r="BX10" t="str">
        <f t="shared" si="35"/>
        <v/>
      </c>
      <c r="BY10" s="66" t="str">
        <f t="shared" si="15"/>
        <v/>
      </c>
      <c r="BZ10" t="str">
        <f t="shared" si="16"/>
        <v/>
      </c>
      <c r="CA10" s="67" t="str">
        <f t="shared" si="17"/>
        <v/>
      </c>
    </row>
    <row r="11" spans="1:84" x14ac:dyDescent="0.25">
      <c r="A11">
        <v>1081</v>
      </c>
      <c r="B11">
        <v>34</v>
      </c>
      <c r="C11">
        <v>11214</v>
      </c>
      <c r="D11" s="3">
        <f t="shared" si="48"/>
        <v>8.3333333333333332E-3</v>
      </c>
      <c r="E11" s="3">
        <f t="shared" si="48"/>
        <v>-1.56</v>
      </c>
      <c r="F11">
        <f>IF(A11&gt;0,IF(F10=1,1,IF(B11=Data!$H$4,1,0)),"")</f>
        <v>0</v>
      </c>
      <c r="G11">
        <v>1081</v>
      </c>
      <c r="H11">
        <v>34</v>
      </c>
      <c r="I11">
        <v>11214</v>
      </c>
      <c r="J11" s="3">
        <v>8.3333333333333332E-3</v>
      </c>
      <c r="K11" s="3">
        <v>-1.56</v>
      </c>
      <c r="L11">
        <v>9661</v>
      </c>
      <c r="M11">
        <v>35</v>
      </c>
      <c r="N11">
        <v>10647</v>
      </c>
      <c r="O11" s="3">
        <v>-8.3333333333333332E-3</v>
      </c>
      <c r="P11" s="3">
        <v>0.66583333333333339</v>
      </c>
      <c r="Q11" t="str">
        <f t="shared" si="18"/>
        <v/>
      </c>
      <c r="R11" s="4">
        <f t="shared" si="19"/>
        <v>34</v>
      </c>
      <c r="S11">
        <f t="shared" si="36"/>
        <v>1081</v>
      </c>
      <c r="T11">
        <f t="shared" si="49"/>
        <v>11190.666666666664</v>
      </c>
      <c r="U11" s="4">
        <f t="shared" si="20"/>
        <v>35</v>
      </c>
      <c r="V11">
        <f t="shared" si="37"/>
        <v>9661</v>
      </c>
      <c r="W11">
        <f t="shared" si="38"/>
        <v>10644.666666666666</v>
      </c>
      <c r="X11" t="str">
        <f t="shared" si="39"/>
        <v/>
      </c>
      <c r="Y11" t="str">
        <f t="shared" si="40"/>
        <v/>
      </c>
      <c r="Z11" t="str">
        <f t="shared" si="41"/>
        <v/>
      </c>
      <c r="AA11" t="str">
        <f t="shared" si="21"/>
        <v/>
      </c>
      <c r="AB11" t="str">
        <f t="shared" si="42"/>
        <v/>
      </c>
      <c r="AC11" t="str">
        <f t="shared" si="43"/>
        <v/>
      </c>
      <c r="AD11" t="str">
        <f t="shared" si="44"/>
        <v/>
      </c>
      <c r="AE11" t="str">
        <f t="shared" si="45"/>
        <v/>
      </c>
      <c r="AF11" s="72">
        <f>IF(AF10+$AF$1&gt;ROUND(Data!$H$4,0),AF10,AF10+$AF$1)</f>
        <v>34</v>
      </c>
      <c r="AG11">
        <f t="shared" si="22"/>
        <v>1081</v>
      </c>
      <c r="AH11">
        <f t="shared" si="23"/>
        <v>11190.666666666664</v>
      </c>
      <c r="AI11">
        <f t="shared" si="24"/>
        <v>9781</v>
      </c>
      <c r="AJ11" s="67">
        <f t="shared" si="25"/>
        <v>10722.333333333334</v>
      </c>
      <c r="AK11" s="4">
        <f t="shared" si="46"/>
        <v>25.900000000000013</v>
      </c>
      <c r="AL11">
        <f t="shared" si="26"/>
        <v>109.00000000000153</v>
      </c>
      <c r="AM11">
        <f t="shared" si="27"/>
        <v>11878.4</v>
      </c>
      <c r="AN11">
        <f>IF($AK10+$AK$1&lt;=Data!$H$4-0.5,AVERAGE(AM9:AM13),AN10)</f>
        <v>11878.086666666666</v>
      </c>
      <c r="AO11">
        <f t="shared" si="28"/>
        <v>10752.999999999998</v>
      </c>
      <c r="AP11">
        <f t="shared" si="47"/>
        <v>11380.8</v>
      </c>
      <c r="AQ11">
        <f>IF($AK10+$AK$1&lt;=Data!$H$4-0.5,AVERAGE(AP9:AP13),AQ10)</f>
        <v>11395.658571428572</v>
      </c>
      <c r="AR11">
        <f>IF($AK10+$AK$1&lt;=Data!$H$4-0.5,SLOPE($AN7:$AN15,$AK7:$AK15),AR10)</f>
        <v>-29.483333333333153</v>
      </c>
      <c r="AS11">
        <f>IF($AK10+$AK$1&lt;=Data!$H$4-0.5,SLOPE($AQ7:$AQ15,$AK7:$AK15),AS10)</f>
        <v>-63.530555555553903</v>
      </c>
      <c r="AT11" t="str">
        <f>IF(AND($AK11&gt;=Results!$G$13,$AK11&lt;=Results!$G$14),Curves!AR11,"")</f>
        <v/>
      </c>
      <c r="AU11" t="str">
        <f>IF(AND($AK11&gt;=Results!$G$13,$AK11&lt;=Results!$G$14),Curves!AS11,"")</f>
        <v/>
      </c>
      <c r="AV11" t="str">
        <f t="shared" si="29"/>
        <v/>
      </c>
      <c r="AW11" t="str">
        <f>IF(AND($AK11&lt;=Results!$I$21,$AK11&gt;=Results!$I$20,$AK11&lt;=Results!$F$4),$AN11,"")</f>
        <v/>
      </c>
      <c r="AX11" t="str">
        <f t="shared" si="29"/>
        <v/>
      </c>
      <c r="AY11" t="str">
        <f>IF(AND($AK11&lt;=Results!$I$23,$AK11&gt;=Results!$I$22,$AK11&gt;=Results!$F$4),$AN11,"")</f>
        <v/>
      </c>
      <c r="AZ11" t="str">
        <f t="shared" si="0"/>
        <v/>
      </c>
      <c r="BA11" t="str">
        <f>IF(AND($AK11&lt;=Results!$I$27,$AK11&gt;=Results!$I$26,$AK11&lt;=Results!$F$4),$AQ11,"")</f>
        <v/>
      </c>
      <c r="BB11" t="str">
        <f t="shared" si="1"/>
        <v/>
      </c>
      <c r="BC11" t="str">
        <f>IF(AND($AK11&lt;=Results!$I$29,$AK11&gt;=Results!$I$28,$AK11&gt;=Results!$F$4),$AQ11,"")</f>
        <v/>
      </c>
      <c r="BD11">
        <f t="shared" si="2"/>
        <v>11969.747268347408</v>
      </c>
      <c r="BE11">
        <f t="shared" si="3"/>
        <v>2616.2197553664532</v>
      </c>
      <c r="BF11">
        <f t="shared" si="30"/>
        <v>11297.142547899146</v>
      </c>
      <c r="BG11">
        <f t="shared" si="4"/>
        <v>1396.1335886645404</v>
      </c>
      <c r="BH11">
        <f t="shared" si="5"/>
        <v>0</v>
      </c>
      <c r="BI11">
        <f t="shared" si="6"/>
        <v>0.9902004242192548</v>
      </c>
      <c r="BJ11">
        <f t="shared" si="7"/>
        <v>1.0099500994226998</v>
      </c>
      <c r="BK11">
        <f t="shared" si="8"/>
        <v>8.367992598441891E-3</v>
      </c>
      <c r="BL11">
        <f t="shared" si="9"/>
        <v>-2.2401485995859579E-4</v>
      </c>
      <c r="BM11">
        <f t="shared" si="31"/>
        <v>119.99999999999149</v>
      </c>
      <c r="BN11">
        <f t="shared" si="32"/>
        <v>-119.9999999999892</v>
      </c>
      <c r="BO11">
        <f>Data!$H$2*(1-BI11)*(1-BI11/Data!$H$3)*BM11</f>
        <v>2.3047604515814638E-8</v>
      </c>
      <c r="BP11">
        <f t="shared" si="10"/>
        <v>-118.82405090630215</v>
      </c>
      <c r="BQ11">
        <f>Data!$H$2*(1-BJ11)*(1-BJ11/Data!$H$3)*BN11</f>
        <v>-2.3761074845184255E-8</v>
      </c>
      <c r="BR11">
        <f t="shared" si="11"/>
        <v>121.19401193071306</v>
      </c>
      <c r="BS11">
        <f t="shared" si="33"/>
        <v>0</v>
      </c>
      <c r="BT11">
        <f t="shared" si="12"/>
        <v>0</v>
      </c>
      <c r="BU11">
        <f t="shared" si="13"/>
        <v>0</v>
      </c>
      <c r="BV11">
        <f t="shared" si="14"/>
        <v>0</v>
      </c>
      <c r="BW11">
        <f t="shared" si="34"/>
        <v>0</v>
      </c>
      <c r="BX11" t="str">
        <f t="shared" si="35"/>
        <v/>
      </c>
      <c r="BY11" s="66" t="str">
        <f t="shared" si="15"/>
        <v/>
      </c>
      <c r="BZ11" t="str">
        <f t="shared" si="16"/>
        <v/>
      </c>
      <c r="CA11" s="67" t="str">
        <f t="shared" si="17"/>
        <v/>
      </c>
    </row>
    <row r="12" spans="1:84" x14ac:dyDescent="0.25">
      <c r="A12">
        <v>1201</v>
      </c>
      <c r="B12">
        <v>35</v>
      </c>
      <c r="C12">
        <v>11013</v>
      </c>
      <c r="D12" s="3">
        <f t="shared" si="48"/>
        <v>8.3333333333333332E-3</v>
      </c>
      <c r="E12" s="3">
        <f t="shared" si="48"/>
        <v>-1.9966666666666666</v>
      </c>
      <c r="F12">
        <f>IF(A12&gt;0,IF(F11=1,1,IF(B12=Data!$H$4,1,0)),"")</f>
        <v>0</v>
      </c>
      <c r="G12">
        <v>1201</v>
      </c>
      <c r="H12">
        <v>35</v>
      </c>
      <c r="I12">
        <v>11013</v>
      </c>
      <c r="J12" s="3">
        <v>8.3333333333333332E-3</v>
      </c>
      <c r="K12" s="3">
        <v>-1.9966666666666666</v>
      </c>
      <c r="L12">
        <v>9541</v>
      </c>
      <c r="M12">
        <v>36</v>
      </c>
      <c r="N12">
        <v>10566</v>
      </c>
      <c r="O12" s="3">
        <v>-8.3333333333333332E-3</v>
      </c>
      <c r="P12" s="3">
        <v>0.67333333333333334</v>
      </c>
      <c r="Q12" t="str">
        <f t="shared" si="18"/>
        <v/>
      </c>
      <c r="R12" s="4">
        <f t="shared" si="19"/>
        <v>35</v>
      </c>
      <c r="S12">
        <f t="shared" si="36"/>
        <v>1201</v>
      </c>
      <c r="T12">
        <f t="shared" si="49"/>
        <v>10969.666666666664</v>
      </c>
      <c r="U12" s="4">
        <f t="shared" si="20"/>
        <v>36</v>
      </c>
      <c r="V12">
        <f t="shared" si="37"/>
        <v>9541</v>
      </c>
      <c r="W12">
        <f t="shared" si="38"/>
        <v>10563.333333333334</v>
      </c>
      <c r="X12" t="str">
        <f t="shared" si="39"/>
        <v/>
      </c>
      <c r="Y12" t="str">
        <f t="shared" si="40"/>
        <v/>
      </c>
      <c r="Z12" t="str">
        <f t="shared" si="41"/>
        <v/>
      </c>
      <c r="AA12" t="str">
        <f t="shared" si="21"/>
        <v/>
      </c>
      <c r="AB12" t="str">
        <f t="shared" si="42"/>
        <v/>
      </c>
      <c r="AC12" t="str">
        <f t="shared" si="43"/>
        <v/>
      </c>
      <c r="AD12" t="str">
        <f t="shared" si="44"/>
        <v/>
      </c>
      <c r="AE12" t="str">
        <f t="shared" si="45"/>
        <v/>
      </c>
      <c r="AF12" s="72">
        <f>IF(AF11+$AF$1&gt;ROUND(Data!$H$4,0),AF11,AF11+$AF$1)</f>
        <v>35</v>
      </c>
      <c r="AG12">
        <f t="shared" si="22"/>
        <v>1201</v>
      </c>
      <c r="AH12">
        <f t="shared" si="23"/>
        <v>10969.666666666664</v>
      </c>
      <c r="AI12">
        <f t="shared" si="24"/>
        <v>9661</v>
      </c>
      <c r="AJ12" s="67">
        <f t="shared" si="25"/>
        <v>10644.666666666666</v>
      </c>
      <c r="AK12" s="4">
        <f t="shared" si="46"/>
        <v>26.000000000000014</v>
      </c>
      <c r="AL12">
        <f t="shared" si="26"/>
        <v>121</v>
      </c>
      <c r="AM12">
        <f t="shared" si="27"/>
        <v>11876</v>
      </c>
      <c r="AN12">
        <f>IF($AK11+$AK$1&lt;=Data!$H$4-0.5,AVERAGE(AM10:AM14),AN11)</f>
        <v>11875.06</v>
      </c>
      <c r="AO12">
        <f t="shared" si="28"/>
        <v>10741</v>
      </c>
      <c r="AP12">
        <f t="shared" si="47"/>
        <v>11448</v>
      </c>
      <c r="AQ12">
        <f>IF($AK11+$AK$1&lt;=Data!$H$4-0.5,AVERAGE(AP10:AP14),AQ11)</f>
        <v>11388.042380952382</v>
      </c>
      <c r="AR12">
        <f>IF($AK11+$AK$1&lt;=Data!$H$4-0.5,SLOPE($AN8:$AN16,$AK8:$AK16),AR11)</f>
        <v>-31.833333333334696</v>
      </c>
      <c r="AS12">
        <f>IF($AK11+$AK$1&lt;=Data!$H$4-0.5,SLOPE($AQ8:$AQ16,$AK8:$AK16),AS11)</f>
        <v>-76.535714285714505</v>
      </c>
      <c r="AT12" t="str">
        <f>IF(AND($AK12&gt;=Results!$G$13,$AK12&lt;=Results!$G$14),Curves!AR12,"")</f>
        <v/>
      </c>
      <c r="AU12" t="str">
        <f>IF(AND($AK12&gt;=Results!$G$13,$AK12&lt;=Results!$G$14),Curves!AS12,"")</f>
        <v/>
      </c>
      <c r="AV12" t="str">
        <f t="shared" si="29"/>
        <v/>
      </c>
      <c r="AW12" t="str">
        <f>IF(AND($AK12&lt;=Results!$I$21,$AK12&gt;=Results!$I$20,$AK12&lt;=Results!$F$4),$AN12,"")</f>
        <v/>
      </c>
      <c r="AX12" t="str">
        <f t="shared" si="29"/>
        <v/>
      </c>
      <c r="AY12" t="str">
        <f>IF(AND($AK12&lt;=Results!$I$23,$AK12&gt;=Results!$I$22,$AK12&gt;=Results!$F$4),$AN12,"")</f>
        <v/>
      </c>
      <c r="AZ12" t="str">
        <f t="shared" si="0"/>
        <v/>
      </c>
      <c r="BA12" t="str">
        <f>IF(AND($AK12&lt;=Results!$I$27,$AK12&gt;=Results!$I$26,$AK12&lt;=Results!$F$4),$AQ12,"")</f>
        <v/>
      </c>
      <c r="BB12" t="str">
        <f t="shared" si="1"/>
        <v/>
      </c>
      <c r="BC12" t="str">
        <f>IF(AND($AK12&lt;=Results!$I$29,$AK12&gt;=Results!$I$28,$AK12&gt;=Results!$F$4),$AQ12,"")</f>
        <v/>
      </c>
      <c r="BD12">
        <f t="shared" si="2"/>
        <v>11958.977073549488</v>
      </c>
      <c r="BE12">
        <f t="shared" si="3"/>
        <v>2612.9039661171323</v>
      </c>
      <c r="BF12">
        <f t="shared" si="30"/>
        <v>11289.852565666253</v>
      </c>
      <c r="BG12">
        <f t="shared" si="4"/>
        <v>1395.5827877050156</v>
      </c>
      <c r="BH12">
        <f t="shared" si="5"/>
        <v>0</v>
      </c>
      <c r="BI12">
        <f t="shared" si="6"/>
        <v>0.99102114090218762</v>
      </c>
      <c r="BJ12">
        <f t="shared" si="7"/>
        <v>1.009923907219999</v>
      </c>
      <c r="BK12">
        <f t="shared" si="8"/>
        <v>8.0459559302880016E-3</v>
      </c>
      <c r="BL12">
        <f t="shared" si="9"/>
        <v>-2.9990670479484581E-4</v>
      </c>
      <c r="BM12">
        <f t="shared" si="31"/>
        <v>120</v>
      </c>
      <c r="BN12">
        <f t="shared" si="32"/>
        <v>-119.99999999999829</v>
      </c>
      <c r="BO12">
        <f>Data!$H$2*(1-BI12)*(1-BI12/Data!$H$3)*BM12</f>
        <v>1.9348778567608331E-8</v>
      </c>
      <c r="BP12">
        <f t="shared" si="10"/>
        <v>-118.92253690826251</v>
      </c>
      <c r="BQ12">
        <f>Data!$H$2*(1-BJ12)*(1-BJ12/Data!$H$3)*BN12</f>
        <v>-2.3636144282675389E-8</v>
      </c>
      <c r="BR12">
        <f t="shared" si="11"/>
        <v>121.19086886639816</v>
      </c>
      <c r="BS12">
        <f t="shared" si="33"/>
        <v>0</v>
      </c>
      <c r="BT12">
        <f t="shared" si="12"/>
        <v>0</v>
      </c>
      <c r="BU12">
        <f t="shared" si="13"/>
        <v>0</v>
      </c>
      <c r="BV12">
        <f t="shared" si="14"/>
        <v>0</v>
      </c>
      <c r="BW12">
        <f t="shared" si="34"/>
        <v>0</v>
      </c>
      <c r="BX12" t="str">
        <f t="shared" si="35"/>
        <v/>
      </c>
      <c r="BY12" s="66" t="str">
        <f t="shared" si="15"/>
        <v/>
      </c>
      <c r="BZ12" t="str">
        <f t="shared" si="16"/>
        <v/>
      </c>
      <c r="CA12" s="67" t="str">
        <f t="shared" si="17"/>
        <v/>
      </c>
    </row>
    <row r="13" spans="1:84" x14ac:dyDescent="0.25">
      <c r="A13">
        <v>1321</v>
      </c>
      <c r="B13">
        <v>36</v>
      </c>
      <c r="C13">
        <v>10682</v>
      </c>
      <c r="D13" s="3">
        <f t="shared" si="48"/>
        <v>8.3333333333333332E-3</v>
      </c>
      <c r="E13" s="3">
        <f t="shared" si="48"/>
        <v>-2.6883333333333335</v>
      </c>
      <c r="F13">
        <f>IF(A13&gt;0,IF(F12=1,1,IF(B13=Data!$H$4,1,0)),"")</f>
        <v>0</v>
      </c>
      <c r="G13">
        <v>1321</v>
      </c>
      <c r="H13">
        <v>36</v>
      </c>
      <c r="I13">
        <v>10682</v>
      </c>
      <c r="J13" s="3">
        <v>8.3333333333333332E-3</v>
      </c>
      <c r="K13" s="3">
        <v>-2.6883333333333335</v>
      </c>
      <c r="L13">
        <v>9421</v>
      </c>
      <c r="M13">
        <v>37</v>
      </c>
      <c r="N13">
        <v>10477</v>
      </c>
      <c r="O13" s="3">
        <v>-8.3333333333333332E-3</v>
      </c>
      <c r="P13" s="3">
        <v>0.67333333333333334</v>
      </c>
      <c r="Q13" t="str">
        <f t="shared" si="18"/>
        <v/>
      </c>
      <c r="R13" s="4">
        <f t="shared" si="19"/>
        <v>36</v>
      </c>
      <c r="S13">
        <f t="shared" si="36"/>
        <v>1321</v>
      </c>
      <c r="T13">
        <f t="shared" si="49"/>
        <v>10702.666666666664</v>
      </c>
      <c r="U13" s="4">
        <f t="shared" si="20"/>
        <v>37</v>
      </c>
      <c r="V13">
        <f t="shared" si="37"/>
        <v>9421</v>
      </c>
      <c r="W13">
        <f t="shared" si="38"/>
        <v>10481.666666666666</v>
      </c>
      <c r="X13" t="str">
        <f t="shared" si="39"/>
        <v/>
      </c>
      <c r="Y13" t="str">
        <f t="shared" si="40"/>
        <v/>
      </c>
      <c r="Z13" t="str">
        <f t="shared" si="41"/>
        <v/>
      </c>
      <c r="AA13" t="str">
        <f t="shared" si="21"/>
        <v/>
      </c>
      <c r="AB13" t="str">
        <f t="shared" si="42"/>
        <v/>
      </c>
      <c r="AC13" t="str">
        <f t="shared" si="43"/>
        <v/>
      </c>
      <c r="AD13" t="str">
        <f t="shared" si="44"/>
        <v/>
      </c>
      <c r="AE13" t="str">
        <f t="shared" si="45"/>
        <v/>
      </c>
      <c r="AF13" s="72">
        <f>IF(AF12+$AF$1&gt;ROUND(Data!$H$4,0),AF12,AF12+$AF$1)</f>
        <v>36</v>
      </c>
      <c r="AG13">
        <f t="shared" si="22"/>
        <v>1321</v>
      </c>
      <c r="AH13">
        <f t="shared" si="23"/>
        <v>10702.666666666664</v>
      </c>
      <c r="AI13">
        <f t="shared" si="24"/>
        <v>9541</v>
      </c>
      <c r="AJ13" s="67">
        <f t="shared" si="25"/>
        <v>10563.333333333334</v>
      </c>
      <c r="AK13" s="4">
        <f t="shared" si="46"/>
        <v>26.100000000000016</v>
      </c>
      <c r="AL13">
        <f t="shared" si="26"/>
        <v>133.00000000000188</v>
      </c>
      <c r="AM13">
        <f t="shared" si="27"/>
        <v>11872.033333333333</v>
      </c>
      <c r="AN13">
        <f>IF($AK12+$AK$1&lt;=Data!$H$4-0.5,AVERAGE(AM11:AM15),AN12)</f>
        <v>11871.72</v>
      </c>
      <c r="AO13">
        <f t="shared" si="28"/>
        <v>10728.999999999998</v>
      </c>
      <c r="AP13">
        <f t="shared" si="47"/>
        <v>11365.492857142857</v>
      </c>
      <c r="AQ13">
        <f>IF($AK12+$AK$1&lt;=Data!$H$4-0.5,AVERAGE(AP11:AP15),AQ12)</f>
        <v>11380.351428571428</v>
      </c>
      <c r="AR13">
        <f>IF($AK12+$AK$1&lt;=Data!$H$4-0.5,SLOPE($AN9:$AN17,$AK9:$AK17),AR12)</f>
        <v>-34.183333333333515</v>
      </c>
      <c r="AS13">
        <f>IF($AK12+$AK$1&lt;=Data!$H$4-0.5,SLOPE($AQ9:$AQ17,$AK9:$AK17),AS12)</f>
        <v>-89.540873015874169</v>
      </c>
      <c r="AT13" t="str">
        <f>IF(AND($AK13&gt;=Results!$G$13,$AK13&lt;=Results!$G$14),Curves!AR13,"")</f>
        <v/>
      </c>
      <c r="AU13" t="str">
        <f>IF(AND($AK13&gt;=Results!$G$13,$AK13&lt;=Results!$G$14),Curves!AS13,"")</f>
        <v/>
      </c>
      <c r="AV13" t="str">
        <f t="shared" si="29"/>
        <v/>
      </c>
      <c r="AW13" t="str">
        <f>IF(AND($AK13&lt;=Results!$I$21,$AK13&gt;=Results!$I$20,$AK13&lt;=Results!$F$4),$AN13,"")</f>
        <v/>
      </c>
      <c r="AX13" t="str">
        <f t="shared" si="29"/>
        <v/>
      </c>
      <c r="AY13" t="str">
        <f>IF(AND($AK13&lt;=Results!$I$23,$AK13&gt;=Results!$I$22,$AK13&gt;=Results!$F$4),$AN13,"")</f>
        <v/>
      </c>
      <c r="AZ13" t="str">
        <f t="shared" si="0"/>
        <v/>
      </c>
      <c r="BA13" t="str">
        <f>IF(AND($AK13&lt;=Results!$I$27,$AK13&gt;=Results!$I$26,$AK13&lt;=Results!$F$4),$AQ13,"")</f>
        <v/>
      </c>
      <c r="BB13" t="str">
        <f t="shared" si="1"/>
        <v/>
      </c>
      <c r="BC13" t="str">
        <f>IF(AND($AK13&lt;=Results!$I$29,$AK13&gt;=Results!$I$28,$AK13&gt;=Results!$F$4),$AQ13,"")</f>
        <v/>
      </c>
      <c r="BD13">
        <f t="shared" si="2"/>
        <v>11948.206878751569</v>
      </c>
      <c r="BE13">
        <f t="shared" si="3"/>
        <v>2609.5881768678119</v>
      </c>
      <c r="BF13">
        <f t="shared" si="30"/>
        <v>11282.56258343336</v>
      </c>
      <c r="BG13">
        <f t="shared" si="4"/>
        <v>1395.0319867454905</v>
      </c>
      <c r="BH13">
        <f t="shared" si="5"/>
        <v>0</v>
      </c>
      <c r="BI13">
        <f t="shared" si="6"/>
        <v>0.99180961540531243</v>
      </c>
      <c r="BJ13">
        <f t="shared" si="7"/>
        <v>1.0098901180817408</v>
      </c>
      <c r="BK13">
        <f t="shared" si="8"/>
        <v>7.7231477716070999E-3</v>
      </c>
      <c r="BL13">
        <f t="shared" si="9"/>
        <v>-3.7595378257315211E-4</v>
      </c>
      <c r="BM13">
        <f t="shared" si="31"/>
        <v>120.00000000000854</v>
      </c>
      <c r="BN13">
        <f t="shared" si="32"/>
        <v>-120.00000000000742</v>
      </c>
      <c r="BO13">
        <f>Data!$H$2*(1-BI13)*(1-BI13/Data!$H$3)*BM13</f>
        <v>1.6099775954136064E-8</v>
      </c>
      <c r="BP13">
        <f t="shared" si="10"/>
        <v>-119.01715384864596</v>
      </c>
      <c r="BQ13">
        <f>Data!$H$2*(1-BJ13)*(1-BJ13/Data!$H$3)*BN13</f>
        <v>-2.347546456098769E-8</v>
      </c>
      <c r="BR13">
        <f t="shared" si="11"/>
        <v>121.18681416981639</v>
      </c>
      <c r="BS13">
        <f t="shared" si="33"/>
        <v>0</v>
      </c>
      <c r="BT13">
        <f t="shared" si="12"/>
        <v>0</v>
      </c>
      <c r="BU13">
        <f t="shared" si="13"/>
        <v>0</v>
      </c>
      <c r="BV13">
        <f t="shared" si="14"/>
        <v>0</v>
      </c>
      <c r="BW13">
        <f t="shared" si="34"/>
        <v>0</v>
      </c>
      <c r="BX13" t="str">
        <f t="shared" si="35"/>
        <v/>
      </c>
      <c r="BY13" s="66" t="str">
        <f t="shared" si="15"/>
        <v/>
      </c>
      <c r="BZ13" t="str">
        <f t="shared" si="16"/>
        <v/>
      </c>
      <c r="CA13" s="67" t="str">
        <f t="shared" si="17"/>
        <v/>
      </c>
    </row>
    <row r="14" spans="1:84" x14ac:dyDescent="0.25">
      <c r="A14">
        <v>1441</v>
      </c>
      <c r="B14">
        <v>37</v>
      </c>
      <c r="C14">
        <v>10413</v>
      </c>
      <c r="D14" s="3">
        <f t="shared" si="48"/>
        <v>8.3333333333333332E-3</v>
      </c>
      <c r="E14" s="3">
        <f t="shared" si="48"/>
        <v>-3.4275000000000002</v>
      </c>
      <c r="F14">
        <f>IF(A14&gt;0,IF(F13=1,1,IF(B14=Data!$H$4,1,0)),"")</f>
        <v>0</v>
      </c>
      <c r="G14">
        <v>1441</v>
      </c>
      <c r="H14">
        <v>37</v>
      </c>
      <c r="I14">
        <v>10413</v>
      </c>
      <c r="J14" s="3">
        <v>8.3333333333333332E-3</v>
      </c>
      <c r="K14" s="3">
        <v>-3.4275000000000002</v>
      </c>
      <c r="L14">
        <v>9301</v>
      </c>
      <c r="M14">
        <v>38</v>
      </c>
      <c r="N14">
        <v>10402</v>
      </c>
      <c r="O14" s="3">
        <v>-8.3333333333333332E-3</v>
      </c>
      <c r="P14" s="3">
        <v>0.54166666666666663</v>
      </c>
      <c r="Q14" t="str">
        <f t="shared" si="18"/>
        <v/>
      </c>
      <c r="R14" s="4">
        <f t="shared" si="19"/>
        <v>37</v>
      </c>
      <c r="S14">
        <f t="shared" si="36"/>
        <v>1441</v>
      </c>
      <c r="T14">
        <f t="shared" si="49"/>
        <v>10332</v>
      </c>
      <c r="U14" s="4">
        <f t="shared" si="20"/>
        <v>38</v>
      </c>
      <c r="V14">
        <f t="shared" si="37"/>
        <v>9301</v>
      </c>
      <c r="W14">
        <f t="shared" si="38"/>
        <v>10401.333333333334</v>
      </c>
      <c r="X14" t="str">
        <f t="shared" si="39"/>
        <v/>
      </c>
      <c r="Y14" t="str">
        <f t="shared" si="40"/>
        <v/>
      </c>
      <c r="Z14" t="str">
        <f t="shared" si="41"/>
        <v/>
      </c>
      <c r="AA14" t="str">
        <f t="shared" si="21"/>
        <v/>
      </c>
      <c r="AB14" t="str">
        <f t="shared" si="42"/>
        <v/>
      </c>
      <c r="AC14" t="str">
        <f t="shared" si="43"/>
        <v/>
      </c>
      <c r="AD14" t="str">
        <f t="shared" si="44"/>
        <v/>
      </c>
      <c r="AE14" t="str">
        <f t="shared" si="45"/>
        <v/>
      </c>
      <c r="AF14" s="72">
        <f>IF(AF13+$AF$1&gt;ROUND(Data!$H$4,0),AF13,AF13+$AF$1)</f>
        <v>37</v>
      </c>
      <c r="AG14">
        <f t="shared" si="22"/>
        <v>1441</v>
      </c>
      <c r="AH14">
        <f t="shared" si="23"/>
        <v>10332</v>
      </c>
      <c r="AI14">
        <f t="shared" si="24"/>
        <v>9421</v>
      </c>
      <c r="AJ14" s="67">
        <f t="shared" si="25"/>
        <v>10481.666666666666</v>
      </c>
      <c r="AK14" s="4">
        <f t="shared" si="46"/>
        <v>26.200000000000017</v>
      </c>
      <c r="AL14">
        <f t="shared" si="26"/>
        <v>145.00000000000205</v>
      </c>
      <c r="AM14">
        <f t="shared" si="27"/>
        <v>11868.066666666666</v>
      </c>
      <c r="AN14">
        <f>IF($AK13+$AK$1&lt;=Data!$H$4-0.5,AVERAGE(AM12:AM16),AN13)</f>
        <v>11868.066666666666</v>
      </c>
      <c r="AO14">
        <f t="shared" si="28"/>
        <v>10716.999999999998</v>
      </c>
      <c r="AP14">
        <f t="shared" si="47"/>
        <v>11357.652380952381</v>
      </c>
      <c r="AQ14">
        <f>IF($AK13+$AK$1&lt;=Data!$H$4-0.5,AVERAGE(AP12:AP16),AQ13)</f>
        <v>11372.585714285715</v>
      </c>
      <c r="AR14">
        <f>IF($AK13+$AK$1&lt;=Data!$H$4-0.5,SLOPE($AN10:$AN18,$AK10:$AK18),AR13)</f>
        <v>-36.27222222222138</v>
      </c>
      <c r="AS14">
        <f>IF($AK13+$AK$1&lt;=Data!$H$4-0.5,SLOPE($AQ10:$AQ18,$AK10:$AK18),AS13)</f>
        <v>-102.48373015873257</v>
      </c>
      <c r="AT14" t="str">
        <f>IF(AND($AK14&gt;=Results!$G$13,$AK14&lt;=Results!$G$14),Curves!AR14,"")</f>
        <v/>
      </c>
      <c r="AU14" t="str">
        <f>IF(AND($AK14&gt;=Results!$G$13,$AK14&lt;=Results!$G$14),Curves!AS14,"")</f>
        <v/>
      </c>
      <c r="AV14" t="str">
        <f t="shared" si="29"/>
        <v/>
      </c>
      <c r="AW14" t="str">
        <f>IF(AND($AK14&lt;=Results!$I$21,$AK14&gt;=Results!$I$20,$AK14&lt;=Results!$F$4),$AN14,"")</f>
        <v/>
      </c>
      <c r="AX14" t="str">
        <f t="shared" si="29"/>
        <v/>
      </c>
      <c r="AY14" t="str">
        <f>IF(AND($AK14&lt;=Results!$I$23,$AK14&gt;=Results!$I$22,$AK14&gt;=Results!$F$4),$AN14,"")</f>
        <v/>
      </c>
      <c r="AZ14" t="str">
        <f t="shared" si="0"/>
        <v/>
      </c>
      <c r="BA14" t="str">
        <f>IF(AND($AK14&lt;=Results!$I$27,$AK14&gt;=Results!$I$26,$AK14&lt;=Results!$F$4),$AQ14,"")</f>
        <v/>
      </c>
      <c r="BB14" t="str">
        <f t="shared" si="1"/>
        <v/>
      </c>
      <c r="BC14" t="str">
        <f>IF(AND($AK14&lt;=Results!$I$29,$AK14&gt;=Results!$I$28,$AK14&gt;=Results!$F$4),$AQ14,"")</f>
        <v/>
      </c>
      <c r="BD14">
        <f t="shared" si="2"/>
        <v>11937.436683953649</v>
      </c>
      <c r="BE14">
        <f t="shared" si="3"/>
        <v>2606.2723876184909</v>
      </c>
      <c r="BF14">
        <f t="shared" si="30"/>
        <v>11275.272601200468</v>
      </c>
      <c r="BG14">
        <f t="shared" si="4"/>
        <v>1394.4811857859654</v>
      </c>
      <c r="BH14">
        <f t="shared" si="5"/>
        <v>0</v>
      </c>
      <c r="BI14">
        <f t="shared" si="6"/>
        <v>0.99256577045650907</v>
      </c>
      <c r="BJ14">
        <f t="shared" si="7"/>
        <v>1.0098487164634844</v>
      </c>
      <c r="BK14">
        <f t="shared" si="8"/>
        <v>7.3995656561231023E-3</v>
      </c>
      <c r="BL14">
        <f t="shared" si="9"/>
        <v>-8.014063715339078E-3</v>
      </c>
      <c r="BM14">
        <f t="shared" si="31"/>
        <v>120</v>
      </c>
      <c r="BN14">
        <f t="shared" si="32"/>
        <v>-119.99999999999829</v>
      </c>
      <c r="BO14">
        <f>Data!$H$2*(1-BI14)*(1-BI14/Data!$H$3)*BM14</f>
        <v>1.3264264537275219E-8</v>
      </c>
      <c r="BP14">
        <f t="shared" si="10"/>
        <v>-119.10789245478109</v>
      </c>
      <c r="BQ14">
        <f>Data!$H$2*(1-BJ14)*(1-BJ14/Data!$H$3)*BN14</f>
        <v>-2.3279331834745731E-8</v>
      </c>
      <c r="BR14">
        <f t="shared" si="11"/>
        <v>121.18184597561641</v>
      </c>
      <c r="BS14">
        <f t="shared" si="33"/>
        <v>0</v>
      </c>
      <c r="BT14">
        <f t="shared" si="12"/>
        <v>0</v>
      </c>
      <c r="BU14">
        <f t="shared" si="13"/>
        <v>0</v>
      </c>
      <c r="BV14">
        <f t="shared" si="14"/>
        <v>0</v>
      </c>
      <c r="BW14">
        <f t="shared" si="34"/>
        <v>0</v>
      </c>
      <c r="BX14" t="str">
        <f t="shared" si="35"/>
        <v/>
      </c>
      <c r="BY14" s="66" t="str">
        <f t="shared" si="15"/>
        <v/>
      </c>
      <c r="BZ14" t="str">
        <f t="shared" si="16"/>
        <v/>
      </c>
      <c r="CA14" s="67" t="str">
        <f t="shared" si="17"/>
        <v/>
      </c>
    </row>
    <row r="15" spans="1:84" x14ac:dyDescent="0.25">
      <c r="A15">
        <v>1561</v>
      </c>
      <c r="B15">
        <v>38</v>
      </c>
      <c r="C15">
        <v>9901</v>
      </c>
      <c r="D15" s="3">
        <f t="shared" si="48"/>
        <v>8.3333333333333332E-3</v>
      </c>
      <c r="E15" s="3">
        <f t="shared" si="48"/>
        <v>-2.9350000000000001</v>
      </c>
      <c r="F15">
        <f>IF(A15&gt;0,IF(F14=1,1,IF(B15=Data!$H$4,1,0)),"")</f>
        <v>0</v>
      </c>
      <c r="G15">
        <v>1561</v>
      </c>
      <c r="H15">
        <v>38</v>
      </c>
      <c r="I15">
        <v>9901</v>
      </c>
      <c r="J15" s="3">
        <v>8.3333333333333332E-3</v>
      </c>
      <c r="K15" s="3">
        <v>-2.9350000000000001</v>
      </c>
      <c r="L15">
        <v>9181</v>
      </c>
      <c r="M15">
        <v>39</v>
      </c>
      <c r="N15">
        <v>10325</v>
      </c>
      <c r="O15" s="3">
        <v>-8.3333333333333332E-3</v>
      </c>
      <c r="P15" s="3">
        <v>0.52749999999999997</v>
      </c>
      <c r="Q15" t="str">
        <f t="shared" si="18"/>
        <v/>
      </c>
      <c r="R15" s="4">
        <f t="shared" si="19"/>
        <v>38</v>
      </c>
      <c r="S15">
        <f t="shared" si="36"/>
        <v>1561</v>
      </c>
      <c r="T15">
        <f t="shared" si="49"/>
        <v>9887</v>
      </c>
      <c r="U15" s="4">
        <f t="shared" si="20"/>
        <v>39</v>
      </c>
      <c r="V15">
        <f t="shared" si="37"/>
        <v>9181</v>
      </c>
      <c r="W15">
        <f t="shared" si="38"/>
        <v>10348</v>
      </c>
      <c r="X15" t="str">
        <f t="shared" si="39"/>
        <v/>
      </c>
      <c r="Y15" t="str">
        <f t="shared" si="40"/>
        <v/>
      </c>
      <c r="Z15" t="str">
        <f t="shared" si="41"/>
        <v/>
      </c>
      <c r="AA15" t="str">
        <f t="shared" si="21"/>
        <v/>
      </c>
      <c r="AB15" t="str">
        <f t="shared" si="42"/>
        <v/>
      </c>
      <c r="AC15" t="str">
        <f t="shared" si="43"/>
        <v/>
      </c>
      <c r="AD15" t="str">
        <f t="shared" si="44"/>
        <v/>
      </c>
      <c r="AE15" t="str">
        <f t="shared" si="45"/>
        <v/>
      </c>
      <c r="AF15" s="72">
        <f>IF(AF14+$AF$1&gt;ROUND(Data!$H$4,0),AF14,AF14+$AF$1)</f>
        <v>38</v>
      </c>
      <c r="AG15">
        <f t="shared" si="22"/>
        <v>1561</v>
      </c>
      <c r="AH15">
        <f t="shared" si="23"/>
        <v>9887</v>
      </c>
      <c r="AI15">
        <f t="shared" si="24"/>
        <v>9301</v>
      </c>
      <c r="AJ15" s="67">
        <f t="shared" si="25"/>
        <v>10401.333333333334</v>
      </c>
      <c r="AK15" s="4">
        <f t="shared" si="46"/>
        <v>26.300000000000018</v>
      </c>
      <c r="AL15">
        <f t="shared" si="26"/>
        <v>157.00000000000222</v>
      </c>
      <c r="AM15">
        <f t="shared" si="27"/>
        <v>11864.099999999999</v>
      </c>
      <c r="AN15">
        <f>IF($AK14+$AK$1&lt;=Data!$H$4-0.5,AVERAGE(AM13:AM17),AN14)</f>
        <v>11864.099999999999</v>
      </c>
      <c r="AO15">
        <f t="shared" si="28"/>
        <v>10704.999999999998</v>
      </c>
      <c r="AP15">
        <f t="shared" si="47"/>
        <v>11349.811904761904</v>
      </c>
      <c r="AQ15">
        <f>IF($AK14+$AK$1&lt;=Data!$H$4-0.5,AVERAGE(AP13:AP17),AQ14)</f>
        <v>11349.811904761906</v>
      </c>
      <c r="AR15">
        <f>IF($AK14+$AK$1&lt;=Data!$H$4-0.5,SLOPE($AN11:$AN19,$AK11:$AK19),AR14)</f>
        <v>-37.838888888887361</v>
      </c>
      <c r="AS15">
        <f>IF($AK14+$AK$1&lt;=Data!$H$4-0.5,SLOPE($AQ11:$AQ19,$AK11:$AK19),AS14)</f>
        <v>-102.8575396825418</v>
      </c>
      <c r="AT15" t="str">
        <f>IF(AND($AK15&gt;=Results!$G$13,$AK15&lt;=Results!$G$14),Curves!AR15,"")</f>
        <v/>
      </c>
      <c r="AU15" t="str">
        <f>IF(AND($AK15&gt;=Results!$G$13,$AK15&lt;=Results!$G$14),Curves!AS15,"")</f>
        <v/>
      </c>
      <c r="AV15" t="str">
        <f t="shared" si="29"/>
        <v/>
      </c>
      <c r="AW15" t="str">
        <f>IF(AND($AK15&lt;=Results!$I$21,$AK15&gt;=Results!$I$20,$AK15&lt;=Results!$F$4),$AN15,"")</f>
        <v/>
      </c>
      <c r="AX15" t="str">
        <f t="shared" si="29"/>
        <v/>
      </c>
      <c r="AY15" t="str">
        <f>IF(AND($AK15&lt;=Results!$I$23,$AK15&gt;=Results!$I$22,$AK15&gt;=Results!$F$4),$AN15,"")</f>
        <v/>
      </c>
      <c r="AZ15" t="str">
        <f t="shared" si="0"/>
        <v/>
      </c>
      <c r="BA15" t="str">
        <f>IF(AND($AK15&lt;=Results!$I$27,$AK15&gt;=Results!$I$26,$AK15&lt;=Results!$F$4),$AQ15,"")</f>
        <v/>
      </c>
      <c r="BB15" t="str">
        <f t="shared" si="1"/>
        <v/>
      </c>
      <c r="BC15" t="str">
        <f>IF(AND($AK15&lt;=Results!$I$29,$AK15&gt;=Results!$I$28,$AK15&gt;=Results!$F$4),$AQ15,"")</f>
        <v/>
      </c>
      <c r="BD15">
        <f t="shared" si="2"/>
        <v>11926.666489155728</v>
      </c>
      <c r="BE15">
        <f t="shared" si="3"/>
        <v>2602.95659836917</v>
      </c>
      <c r="BF15">
        <f t="shared" si="30"/>
        <v>11267.982618967573</v>
      </c>
      <c r="BG15">
        <f t="shared" si="4"/>
        <v>1393.9303848264403</v>
      </c>
      <c r="BH15">
        <f t="shared" si="5"/>
        <v>0</v>
      </c>
      <c r="BI15">
        <f t="shared" si="6"/>
        <v>0.99328952853653707</v>
      </c>
      <c r="BJ15">
        <f t="shared" si="7"/>
        <v>1.0082873053386729</v>
      </c>
      <c r="BK15">
        <f t="shared" si="8"/>
        <v>7.2433719534486058E-3</v>
      </c>
      <c r="BL15">
        <f t="shared" si="9"/>
        <v>-8.0577035471495178E-3</v>
      </c>
      <c r="BM15">
        <f t="shared" si="31"/>
        <v>120.00000000000001</v>
      </c>
      <c r="BN15">
        <f t="shared" si="32"/>
        <v>-119.99999999999831</v>
      </c>
      <c r="BO15">
        <f>Data!$H$2*(1-BI15)*(1-BI15/Data!$H$3)*BM15</f>
        <v>1.0807302542868079E-8</v>
      </c>
      <c r="BP15">
        <f t="shared" si="10"/>
        <v>-119.19474342438446</v>
      </c>
      <c r="BQ15">
        <f>Data!$H$2*(1-BJ15)*(1-BJ15/Data!$H$3)*BN15</f>
        <v>-1.6483063146335073E-8</v>
      </c>
      <c r="BR15">
        <f t="shared" si="11"/>
        <v>120.99447664063905</v>
      </c>
      <c r="BS15">
        <f t="shared" si="33"/>
        <v>0</v>
      </c>
      <c r="BT15">
        <f t="shared" si="12"/>
        <v>0</v>
      </c>
      <c r="BU15">
        <f t="shared" si="13"/>
        <v>0</v>
      </c>
      <c r="BV15">
        <f t="shared" si="14"/>
        <v>0</v>
      </c>
      <c r="BW15">
        <f t="shared" si="34"/>
        <v>0</v>
      </c>
      <c r="BX15" t="str">
        <f t="shared" si="35"/>
        <v/>
      </c>
      <c r="BY15" s="66" t="str">
        <f t="shared" si="15"/>
        <v/>
      </c>
      <c r="BZ15" t="str">
        <f t="shared" si="16"/>
        <v/>
      </c>
      <c r="CA15" s="67" t="str">
        <f t="shared" si="17"/>
        <v/>
      </c>
    </row>
    <row r="16" spans="1:84" x14ac:dyDescent="0.25">
      <c r="A16">
        <v>1681</v>
      </c>
      <c r="B16">
        <v>39</v>
      </c>
      <c r="C16">
        <v>9347</v>
      </c>
      <c r="D16" s="3">
        <f t="shared" si="48"/>
        <v>8.3333333333333332E-3</v>
      </c>
      <c r="E16" s="3">
        <f t="shared" si="48"/>
        <v>-2.1072154471544717</v>
      </c>
      <c r="F16">
        <f>IF(A16&gt;0,IF(F15=1,1,IF(B16=Data!$H$4,1,0)),"")</f>
        <v>0</v>
      </c>
      <c r="G16">
        <v>1681</v>
      </c>
      <c r="H16">
        <v>39</v>
      </c>
      <c r="I16">
        <v>9347</v>
      </c>
      <c r="J16" s="3">
        <v>8.3333333333333332E-3</v>
      </c>
      <c r="K16" s="3">
        <v>-2.1072154471544717</v>
      </c>
      <c r="L16">
        <v>9061</v>
      </c>
      <c r="M16">
        <v>40</v>
      </c>
      <c r="N16">
        <v>10317</v>
      </c>
      <c r="O16" s="3">
        <v>-8.3333333333333332E-3</v>
      </c>
      <c r="P16" s="3">
        <v>0.61833333333333329</v>
      </c>
      <c r="Q16" t="str">
        <f t="shared" si="18"/>
        <v/>
      </c>
      <c r="R16" s="4">
        <f t="shared" si="19"/>
        <v>39</v>
      </c>
      <c r="S16">
        <f t="shared" si="36"/>
        <v>1681</v>
      </c>
      <c r="T16">
        <f t="shared" si="49"/>
        <v>9567.3333333333358</v>
      </c>
      <c r="U16" s="4">
        <f t="shared" si="20"/>
        <v>40</v>
      </c>
      <c r="V16">
        <f t="shared" si="37"/>
        <v>9061</v>
      </c>
      <c r="W16">
        <f t="shared" si="38"/>
        <v>10281.666666666666</v>
      </c>
      <c r="X16" t="str">
        <f t="shared" si="39"/>
        <v/>
      </c>
      <c r="Y16" t="str">
        <f t="shared" si="40"/>
        <v/>
      </c>
      <c r="Z16" t="str">
        <f t="shared" si="41"/>
        <v/>
      </c>
      <c r="AA16" t="str">
        <f t="shared" si="21"/>
        <v/>
      </c>
      <c r="AB16" t="str">
        <f t="shared" si="42"/>
        <v/>
      </c>
      <c r="AC16" t="str">
        <f t="shared" si="43"/>
        <v/>
      </c>
      <c r="AD16" t="str">
        <f t="shared" si="44"/>
        <v/>
      </c>
      <c r="AE16" t="str">
        <f t="shared" si="45"/>
        <v/>
      </c>
      <c r="AF16" s="72">
        <f>IF(AF15+$AF$1&gt;ROUND(Data!$H$4,0),AF15,AF15+$AF$1)</f>
        <v>39</v>
      </c>
      <c r="AG16">
        <f t="shared" si="22"/>
        <v>1681</v>
      </c>
      <c r="AH16">
        <f t="shared" si="23"/>
        <v>9567.3333333333358</v>
      </c>
      <c r="AI16">
        <f t="shared" si="24"/>
        <v>9181</v>
      </c>
      <c r="AJ16" s="67">
        <f t="shared" si="25"/>
        <v>10348</v>
      </c>
      <c r="AK16" s="4">
        <f t="shared" si="46"/>
        <v>26.40000000000002</v>
      </c>
      <c r="AL16">
        <f t="shared" si="26"/>
        <v>169.00000000000239</v>
      </c>
      <c r="AM16">
        <f t="shared" si="27"/>
        <v>11860.133333333333</v>
      </c>
      <c r="AN16">
        <f>IF($AK15+$AK$1&lt;=Data!$H$4-0.5,AVERAGE(AM14:AM18),AN15)</f>
        <v>11860.133333333331</v>
      </c>
      <c r="AO16">
        <f t="shared" si="28"/>
        <v>10692.999999999998</v>
      </c>
      <c r="AP16">
        <f t="shared" si="47"/>
        <v>11341.971428571427</v>
      </c>
      <c r="AQ16">
        <f>IF($AK15+$AK$1&lt;=Data!$H$4-0.5,AVERAGE(AP14:AP18),AQ15)</f>
        <v>11341.971428571427</v>
      </c>
      <c r="AR16">
        <f>IF($AK15+$AK$1&lt;=Data!$H$4-0.5,SLOPE($AN12:$AN20,$AK12:$AK20),AR15)</f>
        <v>-38.883333333331443</v>
      </c>
      <c r="AS16">
        <f>IF($AK15+$AK$1&lt;=Data!$H$4-0.5,SLOPE($AQ12:$AQ20,$AK12:$AK20),AS15)</f>
        <v>-90.163888888890384</v>
      </c>
      <c r="AT16" t="str">
        <f>IF(AND($AK16&gt;=Results!$G$13,$AK16&lt;=Results!$G$14),Curves!AR16,"")</f>
        <v/>
      </c>
      <c r="AU16" t="str">
        <f>IF(AND($AK16&gt;=Results!$G$13,$AK16&lt;=Results!$G$14),Curves!AS16,"")</f>
        <v/>
      </c>
      <c r="AV16" t="str">
        <f t="shared" si="29"/>
        <v/>
      </c>
      <c r="AW16" t="str">
        <f>IF(AND($AK16&lt;=Results!$I$21,$AK16&gt;=Results!$I$20,$AK16&lt;=Results!$F$4),$AN16,"")</f>
        <v/>
      </c>
      <c r="AX16" t="str">
        <f t="shared" si="29"/>
        <v/>
      </c>
      <c r="AY16" t="str">
        <f>IF(AND($AK16&lt;=Results!$I$23,$AK16&gt;=Results!$I$22,$AK16&gt;=Results!$F$4),$AN16,"")</f>
        <v/>
      </c>
      <c r="AZ16" t="str">
        <f t="shared" si="0"/>
        <v/>
      </c>
      <c r="BA16" t="str">
        <f>IF(AND($AK16&lt;=Results!$I$27,$AK16&gt;=Results!$I$26,$AK16&lt;=Results!$F$4),$AQ16,"")</f>
        <v/>
      </c>
      <c r="BB16" t="str">
        <f t="shared" si="1"/>
        <v/>
      </c>
      <c r="BC16" t="str">
        <f>IF(AND($AK16&lt;=Results!$I$29,$AK16&gt;=Results!$I$28,$AK16&gt;=Results!$F$4),$AQ16,"")</f>
        <v/>
      </c>
      <c r="BD16">
        <f t="shared" si="2"/>
        <v>11915.89629435781</v>
      </c>
      <c r="BE16">
        <f t="shared" si="3"/>
        <v>2599.6408091198491</v>
      </c>
      <c r="BF16">
        <f t="shared" si="30"/>
        <v>11260.69263673468</v>
      </c>
      <c r="BG16">
        <f t="shared" si="4"/>
        <v>1393.3795838669155</v>
      </c>
      <c r="BH16">
        <f t="shared" si="5"/>
        <v>0</v>
      </c>
      <c r="BI16">
        <f t="shared" si="6"/>
        <v>0.99401444484719881</v>
      </c>
      <c r="BJ16">
        <f t="shared" si="7"/>
        <v>1.0082371757540545</v>
      </c>
      <c r="BK16">
        <f t="shared" si="8"/>
        <v>7.2549681723004323E-3</v>
      </c>
      <c r="BL16">
        <f t="shared" si="9"/>
        <v>-5.0163845541017333E-4</v>
      </c>
      <c r="BM16">
        <f t="shared" si="31"/>
        <v>120</v>
      </c>
      <c r="BN16">
        <f t="shared" si="32"/>
        <v>-119.99999999999829</v>
      </c>
      <c r="BO16">
        <f>Data!$H$2*(1-BI16)*(1-BI16/Data!$H$3)*BM16</f>
        <v>8.5984489169339764E-9</v>
      </c>
      <c r="BP16">
        <f t="shared" si="10"/>
        <v>-119.28173338166386</v>
      </c>
      <c r="BQ16">
        <f>Data!$H$2*(1-BJ16)*(1-BJ16/Data!$H$3)*BN16</f>
        <v>-1.6284255456763649E-8</v>
      </c>
      <c r="BR16">
        <f t="shared" si="11"/>
        <v>120.98846109048482</v>
      </c>
      <c r="BS16">
        <f t="shared" si="33"/>
        <v>0</v>
      </c>
      <c r="BT16">
        <f t="shared" si="12"/>
        <v>0</v>
      </c>
      <c r="BU16">
        <f t="shared" si="13"/>
        <v>0</v>
      </c>
      <c r="BV16">
        <f t="shared" si="14"/>
        <v>0</v>
      </c>
      <c r="BW16">
        <f t="shared" si="34"/>
        <v>0</v>
      </c>
      <c r="BX16" t="str">
        <f t="shared" si="35"/>
        <v/>
      </c>
      <c r="BY16" s="66" t="str">
        <f t="shared" si="15"/>
        <v/>
      </c>
      <c r="BZ16" t="str">
        <f t="shared" si="16"/>
        <v/>
      </c>
      <c r="CA16" s="67" t="str">
        <f t="shared" si="17"/>
        <v/>
      </c>
    </row>
    <row r="17" spans="1:79" x14ac:dyDescent="0.25">
      <c r="A17">
        <v>1801</v>
      </c>
      <c r="B17">
        <v>40</v>
      </c>
      <c r="C17">
        <v>9454</v>
      </c>
      <c r="D17" s="3">
        <f t="shared" si="48"/>
        <v>8.3333333333333332E-3</v>
      </c>
      <c r="E17" s="3">
        <f t="shared" si="48"/>
        <v>9.3821839080459768E-2</v>
      </c>
      <c r="F17">
        <f>IF(A17&gt;0,IF(F16=1,1,IF(B17=Data!$H$4,1,0)),"")</f>
        <v>0</v>
      </c>
      <c r="G17">
        <v>1801</v>
      </c>
      <c r="H17">
        <v>40</v>
      </c>
      <c r="I17">
        <v>9454</v>
      </c>
      <c r="J17" s="3">
        <v>8.3333333333333332E-3</v>
      </c>
      <c r="K17" s="3">
        <v>9.3821839080459768E-2</v>
      </c>
      <c r="L17">
        <v>8941</v>
      </c>
      <c r="M17">
        <v>41</v>
      </c>
      <c r="N17">
        <v>10203</v>
      </c>
      <c r="O17" s="3">
        <v>-8.3333333333333332E-3</v>
      </c>
      <c r="P17" s="3">
        <v>0.77416666666666667</v>
      </c>
      <c r="Q17" t="str">
        <f t="shared" si="18"/>
        <v/>
      </c>
      <c r="R17" s="4">
        <f t="shared" si="19"/>
        <v>40</v>
      </c>
      <c r="S17">
        <f t="shared" si="36"/>
        <v>1800.9999999999991</v>
      </c>
      <c r="T17">
        <f t="shared" si="49"/>
        <v>9474.3571428571413</v>
      </c>
      <c r="U17" s="4">
        <f t="shared" si="20"/>
        <v>41</v>
      </c>
      <c r="V17">
        <f t="shared" si="37"/>
        <v>8941</v>
      </c>
      <c r="W17">
        <f t="shared" si="38"/>
        <v>10204</v>
      </c>
      <c r="X17" t="str">
        <f t="shared" si="39"/>
        <v/>
      </c>
      <c r="Y17" t="str">
        <f t="shared" si="40"/>
        <v/>
      </c>
      <c r="Z17" t="str">
        <f t="shared" si="41"/>
        <v/>
      </c>
      <c r="AA17" t="str">
        <f t="shared" si="21"/>
        <v/>
      </c>
      <c r="AB17" t="str">
        <f t="shared" si="42"/>
        <v/>
      </c>
      <c r="AC17" t="str">
        <f t="shared" si="43"/>
        <v/>
      </c>
      <c r="AD17" t="str">
        <f t="shared" si="44"/>
        <v/>
      </c>
      <c r="AE17" t="str">
        <f t="shared" si="45"/>
        <v/>
      </c>
      <c r="AF17" s="72">
        <f>IF(AF16+$AF$1&gt;ROUND(Data!$H$4,0),AF16,AF16+$AF$1)</f>
        <v>40</v>
      </c>
      <c r="AG17">
        <f t="shared" si="22"/>
        <v>1800.9999999999991</v>
      </c>
      <c r="AH17">
        <f t="shared" si="23"/>
        <v>9474.3571428571413</v>
      </c>
      <c r="AI17">
        <f t="shared" si="24"/>
        <v>9061</v>
      </c>
      <c r="AJ17" s="67">
        <f t="shared" si="25"/>
        <v>10281.666666666666</v>
      </c>
      <c r="AK17" s="4">
        <f t="shared" si="46"/>
        <v>26.500000000000021</v>
      </c>
      <c r="AL17">
        <f t="shared" si="26"/>
        <v>181.00000000000256</v>
      </c>
      <c r="AM17">
        <f t="shared" si="27"/>
        <v>11856.166666666666</v>
      </c>
      <c r="AN17">
        <f>IF($AK16+$AK$1&lt;=Data!$H$4-0.5,AVERAGE(AM15:AM19),AN16)</f>
        <v>11856.166666666666</v>
      </c>
      <c r="AO17">
        <f t="shared" si="28"/>
        <v>10680.999999999998</v>
      </c>
      <c r="AP17">
        <f t="shared" si="47"/>
        <v>11334.13095238095</v>
      </c>
      <c r="AQ17">
        <f>IF($AK16+$AK$1&lt;=Data!$H$4-0.5,AVERAGE(AP15:AP19),AQ16)</f>
        <v>11334.13095238095</v>
      </c>
      <c r="AR17">
        <f>IF($AK16+$AK$1&lt;=Data!$H$4-0.5,SLOPE($AN13:$AN21,$AK13:$AK21),AR16)</f>
        <v>-39.724444444442305</v>
      </c>
      <c r="AS17">
        <f>IF($AK16+$AK$1&lt;=Data!$H$4-0.5,SLOPE($AQ13:$AQ21,$AK13:$AK21),AS16)</f>
        <v>-77.537301587303276</v>
      </c>
      <c r="AT17" t="str">
        <f>IF(AND($AK17&gt;=Results!$G$13,$AK17&lt;=Results!$G$14),Curves!AR17,"")</f>
        <v/>
      </c>
      <c r="AU17" t="str">
        <f>IF(AND($AK17&gt;=Results!$G$13,$AK17&lt;=Results!$G$14),Curves!AS17,"")</f>
        <v/>
      </c>
      <c r="AV17" t="str">
        <f t="shared" si="29"/>
        <v/>
      </c>
      <c r="AW17" t="str">
        <f>IF(AND($AK17&lt;=Results!$I$21,$AK17&gt;=Results!$I$20,$AK17&lt;=Results!$F$4),$AN17,"")</f>
        <v/>
      </c>
      <c r="AX17" t="str">
        <f t="shared" si="29"/>
        <v/>
      </c>
      <c r="AY17" t="str">
        <f>IF(AND($AK17&lt;=Results!$I$23,$AK17&gt;=Results!$I$22,$AK17&gt;=Results!$F$4),$AN17,"")</f>
        <v/>
      </c>
      <c r="AZ17" t="str">
        <f t="shared" si="0"/>
        <v/>
      </c>
      <c r="BA17" t="str">
        <f>IF(AND($AK17&lt;=Results!$I$27,$AK17&gt;=Results!$I$26,$AK17&lt;=Results!$F$4),$AQ17,"")</f>
        <v/>
      </c>
      <c r="BB17" t="str">
        <f t="shared" si="1"/>
        <v/>
      </c>
      <c r="BC17" t="str">
        <f>IF(AND($AK17&lt;=Results!$I$29,$AK17&gt;=Results!$I$28,$AK17&gt;=Results!$F$4),$AQ17,"")</f>
        <v/>
      </c>
      <c r="BD17">
        <f t="shared" si="2"/>
        <v>11905.12609955989</v>
      </c>
      <c r="BE17">
        <f t="shared" si="3"/>
        <v>2596.3250198705282</v>
      </c>
      <c r="BF17">
        <f t="shared" si="30"/>
        <v>11253.402654501788</v>
      </c>
      <c r="BG17">
        <f t="shared" si="4"/>
        <v>1392.8287829073904</v>
      </c>
      <c r="BH17">
        <f t="shared" si="5"/>
        <v>0</v>
      </c>
      <c r="BI17">
        <f t="shared" si="6"/>
        <v>0.99474052217099718</v>
      </c>
      <c r="BJ17">
        <f t="shared" si="7"/>
        <v>1.0081869776475909</v>
      </c>
      <c r="BK17">
        <f t="shared" si="8"/>
        <v>7.2665922607772025E-3</v>
      </c>
      <c r="BL17">
        <f t="shared" si="9"/>
        <v>-5.0232437680652181E-4</v>
      </c>
      <c r="BM17">
        <f t="shared" si="31"/>
        <v>120.00000000000001</v>
      </c>
      <c r="BN17">
        <f t="shared" si="32"/>
        <v>-120.00000000000742</v>
      </c>
      <c r="BO17">
        <f>Data!$H$2*(1-BI17)*(1-BI17/Data!$H$3)*BM17</f>
        <v>6.638905688105341E-9</v>
      </c>
      <c r="BP17">
        <f t="shared" si="10"/>
        <v>-119.36886266051968</v>
      </c>
      <c r="BQ17">
        <f>Data!$H$2*(1-BJ17)*(1-BJ17/Data!$H$3)*BN17</f>
        <v>-1.6086384720517756E-8</v>
      </c>
      <c r="BR17">
        <f t="shared" si="11"/>
        <v>120.98243731771839</v>
      </c>
      <c r="BS17">
        <f t="shared" si="33"/>
        <v>0</v>
      </c>
      <c r="BT17">
        <f t="shared" si="12"/>
        <v>0</v>
      </c>
      <c r="BU17">
        <f t="shared" si="13"/>
        <v>0</v>
      </c>
      <c r="BV17">
        <f t="shared" si="14"/>
        <v>0</v>
      </c>
      <c r="BW17">
        <f t="shared" si="34"/>
        <v>0</v>
      </c>
      <c r="BX17" t="str">
        <f t="shared" si="35"/>
        <v/>
      </c>
      <c r="BY17" s="66" t="str">
        <f t="shared" si="15"/>
        <v/>
      </c>
      <c r="BZ17" t="str">
        <f t="shared" si="16"/>
        <v/>
      </c>
      <c r="CA17" s="67" t="str">
        <f t="shared" si="17"/>
        <v/>
      </c>
    </row>
    <row r="18" spans="1:79" x14ac:dyDescent="0.25">
      <c r="A18">
        <v>1861</v>
      </c>
      <c r="B18">
        <v>40.5</v>
      </c>
      <c r="C18">
        <v>9555</v>
      </c>
      <c r="D18" s="3">
        <f t="shared" si="48"/>
        <v>8.3333333333333332E-3</v>
      </c>
      <c r="E18" s="3">
        <f t="shared" si="48"/>
        <v>2.7655405405405404</v>
      </c>
      <c r="F18">
        <f>IF(A18&gt;0,IF(F17=1,1,IF(B18=Data!$H$4,1,0)),"")</f>
        <v>0</v>
      </c>
      <c r="G18">
        <v>1861</v>
      </c>
      <c r="H18">
        <v>40.5</v>
      </c>
      <c r="I18">
        <v>9555</v>
      </c>
      <c r="J18" s="3">
        <v>8.3333333333333332E-3</v>
      </c>
      <c r="K18" s="3">
        <v>2.7655405405405404</v>
      </c>
      <c r="L18">
        <v>8821</v>
      </c>
      <c r="M18">
        <v>42</v>
      </c>
      <c r="N18">
        <v>10092</v>
      </c>
      <c r="O18" s="3">
        <v>-8.3333333333333332E-3</v>
      </c>
      <c r="P18" s="3">
        <v>0.97333333333333338</v>
      </c>
      <c r="Q18" t="str">
        <f t="shared" si="18"/>
        <v/>
      </c>
      <c r="R18" s="4">
        <f t="shared" si="19"/>
        <v>41</v>
      </c>
      <c r="S18">
        <f t="shared" si="36"/>
        <v>1921</v>
      </c>
      <c r="T18">
        <f t="shared" si="49"/>
        <v>9916.8333333333339</v>
      </c>
      <c r="U18" s="4">
        <f t="shared" si="20"/>
        <v>42</v>
      </c>
      <c r="V18">
        <f t="shared" si="37"/>
        <v>8821</v>
      </c>
      <c r="W18">
        <f t="shared" si="38"/>
        <v>10089.333333333334</v>
      </c>
      <c r="X18" t="str">
        <f t="shared" si="39"/>
        <v/>
      </c>
      <c r="Y18" t="str">
        <f t="shared" si="40"/>
        <v/>
      </c>
      <c r="Z18" t="str">
        <f t="shared" si="41"/>
        <v/>
      </c>
      <c r="AA18" t="str">
        <f t="shared" si="21"/>
        <v/>
      </c>
      <c r="AB18" t="str">
        <f t="shared" si="42"/>
        <v/>
      </c>
      <c r="AC18" t="str">
        <f t="shared" si="43"/>
        <v/>
      </c>
      <c r="AD18" t="str">
        <f t="shared" si="44"/>
        <v/>
      </c>
      <c r="AE18" t="str">
        <f t="shared" si="45"/>
        <v/>
      </c>
      <c r="AF18" s="72">
        <f>IF(AF17+$AF$1&gt;ROUND(Data!$H$4,0),AF17,AF17+$AF$1)</f>
        <v>41</v>
      </c>
      <c r="AG18">
        <f t="shared" si="22"/>
        <v>1921</v>
      </c>
      <c r="AH18">
        <f t="shared" si="23"/>
        <v>9916.8333333333339</v>
      </c>
      <c r="AI18">
        <f t="shared" si="24"/>
        <v>8941</v>
      </c>
      <c r="AJ18" s="67">
        <f t="shared" si="25"/>
        <v>10204</v>
      </c>
      <c r="AK18" s="4">
        <f t="shared" si="46"/>
        <v>26.600000000000023</v>
      </c>
      <c r="AL18">
        <f t="shared" si="26"/>
        <v>193.00000000000273</v>
      </c>
      <c r="AM18">
        <f t="shared" si="27"/>
        <v>11852.199999999999</v>
      </c>
      <c r="AN18">
        <f>IF($AK17+$AK$1&lt;=Data!$H$4-0.5,AVERAGE(AM16:AM20),AN17)</f>
        <v>11852.2</v>
      </c>
      <c r="AO18">
        <f t="shared" si="28"/>
        <v>10668.999999999996</v>
      </c>
      <c r="AP18">
        <f t="shared" si="47"/>
        <v>11326.290476190474</v>
      </c>
      <c r="AQ18">
        <f>IF($AK17+$AK$1&lt;=Data!$H$4-0.5,AVERAGE(AP16:AP20),AQ17)</f>
        <v>11326.290476190474</v>
      </c>
      <c r="AR18">
        <f>IF($AK17+$AK$1&lt;=Data!$H$4-0.5,SLOPE($AN14:$AN22,$AK14:$AK22),AR17)</f>
        <v>-40.666666666665478</v>
      </c>
      <c r="AS18">
        <f>IF($AK17+$AK$1&lt;=Data!$H$4-0.5,SLOPE($AQ14:$AQ22,$AK14:$AK22),AS17)</f>
        <v>-65.043650793652859</v>
      </c>
      <c r="AT18" t="str">
        <f>IF(AND($AK18&gt;=Results!$G$13,$AK18&lt;=Results!$G$14),Curves!AR18,"")</f>
        <v/>
      </c>
      <c r="AU18" t="str">
        <f>IF(AND($AK18&gt;=Results!$G$13,$AK18&lt;=Results!$G$14),Curves!AS18,"")</f>
        <v/>
      </c>
      <c r="AV18" t="str">
        <f t="shared" si="29"/>
        <v/>
      </c>
      <c r="AW18" t="str">
        <f>IF(AND($AK18&lt;=Results!$I$21,$AK18&gt;=Results!$I$20,$AK18&lt;=Results!$F$4),$AN18,"")</f>
        <v/>
      </c>
      <c r="AX18" t="str">
        <f t="shared" si="29"/>
        <v/>
      </c>
      <c r="AY18" t="str">
        <f>IF(AND($AK18&lt;=Results!$I$23,$AK18&gt;=Results!$I$22,$AK18&gt;=Results!$F$4),$AN18,"")</f>
        <v/>
      </c>
      <c r="AZ18" t="str">
        <f t="shared" si="0"/>
        <v/>
      </c>
      <c r="BA18" t="str">
        <f>IF(AND($AK18&lt;=Results!$I$27,$AK18&gt;=Results!$I$26,$AK18&lt;=Results!$F$4),$AQ18,"")</f>
        <v/>
      </c>
      <c r="BB18" t="str">
        <f t="shared" si="1"/>
        <v/>
      </c>
      <c r="BC18" t="str">
        <f>IF(AND($AK18&lt;=Results!$I$29,$AK18&gt;=Results!$I$28,$AK18&gt;=Results!$F$4),$AQ18,"")</f>
        <v/>
      </c>
      <c r="BD18">
        <f t="shared" si="2"/>
        <v>11894.355904761971</v>
      </c>
      <c r="BE18">
        <f t="shared" si="3"/>
        <v>2593.0092306212073</v>
      </c>
      <c r="BF18">
        <f t="shared" si="30"/>
        <v>11246.112672268895</v>
      </c>
      <c r="BG18">
        <f t="shared" si="4"/>
        <v>1392.2779819478656</v>
      </c>
      <c r="BH18">
        <f t="shared" si="5"/>
        <v>0</v>
      </c>
      <c r="BI18">
        <f t="shared" si="6"/>
        <v>0.99546776329935427</v>
      </c>
      <c r="BJ18">
        <f t="shared" si="7"/>
        <v>1.0081367108786932</v>
      </c>
      <c r="BK18">
        <f t="shared" si="8"/>
        <v>7.2782443082551954E-3</v>
      </c>
      <c r="BL18">
        <f t="shared" si="9"/>
        <v>-5.0301170601895601E-4</v>
      </c>
      <c r="BM18">
        <f t="shared" si="31"/>
        <v>120</v>
      </c>
      <c r="BN18">
        <f t="shared" si="32"/>
        <v>-120.00000000000739</v>
      </c>
      <c r="BO18">
        <f>Data!$H$2*(1-BI18)*(1-BI18/Data!$H$3)*BM18</f>
        <v>4.9298806825632239E-9</v>
      </c>
      <c r="BP18">
        <f t="shared" si="10"/>
        <v>-119.45613159592251</v>
      </c>
      <c r="BQ18">
        <f>Data!$H$2*(1-BJ18)*(1-BJ18/Data!$H$3)*BN18</f>
        <v>-1.5889455341627466E-8</v>
      </c>
      <c r="BR18">
        <f t="shared" si="11"/>
        <v>120.97640530545063</v>
      </c>
      <c r="BS18">
        <f t="shared" si="33"/>
        <v>0</v>
      </c>
      <c r="BT18">
        <f t="shared" si="12"/>
        <v>0</v>
      </c>
      <c r="BU18">
        <f t="shared" si="13"/>
        <v>0</v>
      </c>
      <c r="BV18">
        <f t="shared" si="14"/>
        <v>0</v>
      </c>
      <c r="BW18">
        <f t="shared" si="34"/>
        <v>0</v>
      </c>
      <c r="BX18" t="str">
        <f t="shared" si="35"/>
        <v/>
      </c>
      <c r="BY18" s="66" t="str">
        <f t="shared" si="15"/>
        <v/>
      </c>
      <c r="BZ18" t="str">
        <f t="shared" si="16"/>
        <v/>
      </c>
      <c r="CA18" s="67" t="str">
        <f t="shared" si="17"/>
        <v/>
      </c>
    </row>
    <row r="19" spans="1:79" x14ac:dyDescent="0.25">
      <c r="A19">
        <v>1921</v>
      </c>
      <c r="B19">
        <v>41</v>
      </c>
      <c r="C19">
        <v>9969</v>
      </c>
      <c r="D19" s="3">
        <f t="shared" si="48"/>
        <v>8.3333333333333332E-3</v>
      </c>
      <c r="E19" s="3">
        <f t="shared" si="48"/>
        <v>3.4549999999999996</v>
      </c>
      <c r="F19">
        <f>IF(A19&gt;0,IF(F18=1,1,IF(B19=Data!$H$4,1,0)),"")</f>
        <v>0</v>
      </c>
      <c r="G19">
        <v>1921</v>
      </c>
      <c r="H19">
        <v>41</v>
      </c>
      <c r="I19">
        <v>9969</v>
      </c>
      <c r="J19" s="3">
        <v>8.3333333333333332E-3</v>
      </c>
      <c r="K19" s="3">
        <v>3.4549999999999996</v>
      </c>
      <c r="L19">
        <v>8701</v>
      </c>
      <c r="M19">
        <v>43</v>
      </c>
      <c r="N19">
        <v>9973</v>
      </c>
      <c r="O19" s="3">
        <v>-8.3333333333333332E-3</v>
      </c>
      <c r="P19" s="3">
        <v>1.0166666666666666</v>
      </c>
      <c r="Q19" t="str">
        <f t="shared" si="18"/>
        <v/>
      </c>
      <c r="R19" s="4">
        <f t="shared" si="19"/>
        <v>41</v>
      </c>
      <c r="S19">
        <f t="shared" si="36"/>
        <v>1921</v>
      </c>
      <c r="T19">
        <f t="shared" si="49"/>
        <v>9889.3333333333339</v>
      </c>
      <c r="U19" s="4">
        <f t="shared" si="20"/>
        <v>43</v>
      </c>
      <c r="V19">
        <f t="shared" si="37"/>
        <v>8701</v>
      </c>
      <c r="W19">
        <f t="shared" si="38"/>
        <v>9971</v>
      </c>
      <c r="X19" t="str">
        <f t="shared" si="39"/>
        <v/>
      </c>
      <c r="Y19" t="str">
        <f t="shared" si="40"/>
        <v/>
      </c>
      <c r="Z19" t="str">
        <f t="shared" si="41"/>
        <v/>
      </c>
      <c r="AA19" t="str">
        <f t="shared" si="21"/>
        <v/>
      </c>
      <c r="AB19" t="str">
        <f t="shared" si="42"/>
        <v/>
      </c>
      <c r="AC19" t="str">
        <f t="shared" si="43"/>
        <v/>
      </c>
      <c r="AD19" t="str">
        <f t="shared" si="44"/>
        <v/>
      </c>
      <c r="AE19" t="str">
        <f t="shared" si="45"/>
        <v/>
      </c>
      <c r="AF19" s="72">
        <f>IF(AF18+$AF$1&gt;ROUND(Data!$H$4,0),AF18,AF18+$AF$1)</f>
        <v>42</v>
      </c>
      <c r="AG19">
        <f t="shared" si="22"/>
        <v>2041</v>
      </c>
      <c r="AH19">
        <f t="shared" si="23"/>
        <v>10216.5</v>
      </c>
      <c r="AI19">
        <f t="shared" si="24"/>
        <v>8821</v>
      </c>
      <c r="AJ19" s="67">
        <f t="shared" si="25"/>
        <v>10089.333333333334</v>
      </c>
      <c r="AK19" s="4">
        <f t="shared" si="46"/>
        <v>26.700000000000024</v>
      </c>
      <c r="AL19">
        <f t="shared" si="26"/>
        <v>205.0000000000029</v>
      </c>
      <c r="AM19">
        <f t="shared" si="27"/>
        <v>11848.233333333334</v>
      </c>
      <c r="AN19">
        <f>IF($AK18+$AK$1&lt;=Data!$H$4-0.5,AVERAGE(AM17:AM21),AN18)</f>
        <v>11848.233333333334</v>
      </c>
      <c r="AO19">
        <f t="shared" si="28"/>
        <v>10656.999999999996</v>
      </c>
      <c r="AP19">
        <f t="shared" si="47"/>
        <v>11318.449999999997</v>
      </c>
      <c r="AQ19">
        <f>IF($AK18+$AK$1&lt;=Data!$H$4-0.5,AVERAGE(AP17:AP21),AQ18)</f>
        <v>11318.449999999999</v>
      </c>
      <c r="AR19">
        <f>IF($AK18+$AK$1&lt;=Data!$H$4-0.5,SLOPE($AN15:$AN23,$AK15:$AK23),AR18)</f>
        <v>-41.999999999999403</v>
      </c>
      <c r="AS19">
        <f>IF($AK18+$AK$1&lt;=Data!$H$4-0.5,SLOPE($AQ15:$AQ23,$AK15:$AK23),AS18)</f>
        <v>-52.747619047619843</v>
      </c>
      <c r="AT19" t="str">
        <f>IF(AND($AK19&gt;=Results!$G$13,$AK19&lt;=Results!$G$14),Curves!AR19,"")</f>
        <v/>
      </c>
      <c r="AU19" t="str">
        <f>IF(AND($AK19&gt;=Results!$G$13,$AK19&lt;=Results!$G$14),Curves!AS19,"")</f>
        <v/>
      </c>
      <c r="AV19" t="str">
        <f t="shared" si="29"/>
        <v/>
      </c>
      <c r="AW19" t="str">
        <f>IF(AND($AK19&lt;=Results!$I$21,$AK19&gt;=Results!$I$20,$AK19&lt;=Results!$F$4),$AN19,"")</f>
        <v/>
      </c>
      <c r="AX19" t="str">
        <f t="shared" si="29"/>
        <v/>
      </c>
      <c r="AY19" t="str">
        <f>IF(AND($AK19&lt;=Results!$I$23,$AK19&gt;=Results!$I$22,$AK19&gt;=Results!$F$4),$AN19,"")</f>
        <v/>
      </c>
      <c r="AZ19" t="str">
        <f t="shared" si="0"/>
        <v/>
      </c>
      <c r="BA19" t="str">
        <f>IF(AND($AK19&lt;=Results!$I$27,$AK19&gt;=Results!$I$26,$AK19&lt;=Results!$F$4),$AQ19,"")</f>
        <v/>
      </c>
      <c r="BB19" t="str">
        <f t="shared" si="1"/>
        <v/>
      </c>
      <c r="BC19" t="str">
        <f>IF(AND($AK19&lt;=Results!$I$29,$AK19&gt;=Results!$I$28,$AK19&gt;=Results!$F$4),$AQ19,"")</f>
        <v/>
      </c>
      <c r="BD19">
        <f t="shared" si="2"/>
        <v>11883.585709964051</v>
      </c>
      <c r="BE19">
        <f t="shared" si="3"/>
        <v>2589.6934413718868</v>
      </c>
      <c r="BF19">
        <f t="shared" si="30"/>
        <v>11238.822690036</v>
      </c>
      <c r="BG19">
        <f t="shared" si="4"/>
        <v>1391.7271809883405</v>
      </c>
      <c r="BH19">
        <f t="shared" si="5"/>
        <v>0</v>
      </c>
      <c r="BI19">
        <f t="shared" si="6"/>
        <v>0.99619617103264824</v>
      </c>
      <c r="BJ19">
        <f t="shared" si="7"/>
        <v>1.0080863753063871</v>
      </c>
      <c r="BK19">
        <f t="shared" si="8"/>
        <v>7.2899244044748544E-3</v>
      </c>
      <c r="BL19">
        <f t="shared" si="9"/>
        <v>7.4639746344794594E-3</v>
      </c>
      <c r="BM19">
        <f t="shared" si="31"/>
        <v>120.00000000000001</v>
      </c>
      <c r="BN19">
        <f t="shared" si="32"/>
        <v>-119.99999999999831</v>
      </c>
      <c r="BO19">
        <f>Data!$H$2*(1-BI19)*(1-BI19/Data!$H$3)*BM19</f>
        <v>3.4725875550874519E-9</v>
      </c>
      <c r="BP19">
        <f t="shared" si="10"/>
        <v>-119.5435405239178</v>
      </c>
      <c r="BQ19">
        <f>Data!$H$2*(1-BJ19)*(1-BJ19/Data!$H$3)*BN19</f>
        <v>-1.5693471742979137E-8</v>
      </c>
      <c r="BR19">
        <f t="shared" si="11"/>
        <v>120.97036503676475</v>
      </c>
      <c r="BS19">
        <f t="shared" si="33"/>
        <v>0</v>
      </c>
      <c r="BT19">
        <f t="shared" si="12"/>
        <v>0</v>
      </c>
      <c r="BU19">
        <f t="shared" si="13"/>
        <v>0</v>
      </c>
      <c r="BV19">
        <f t="shared" si="14"/>
        <v>0</v>
      </c>
      <c r="BW19">
        <f t="shared" si="34"/>
        <v>0</v>
      </c>
      <c r="BX19" t="str">
        <f t="shared" si="35"/>
        <v/>
      </c>
      <c r="BY19" s="66" t="str">
        <f t="shared" si="15"/>
        <v/>
      </c>
      <c r="BZ19" t="str">
        <f t="shared" si="16"/>
        <v/>
      </c>
      <c r="CA19" s="67" t="str">
        <f t="shared" si="17"/>
        <v/>
      </c>
    </row>
    <row r="20" spans="1:79" x14ac:dyDescent="0.25">
      <c r="A20">
        <v>1981</v>
      </c>
      <c r="B20">
        <v>41.5</v>
      </c>
      <c r="C20">
        <v>10144</v>
      </c>
      <c r="D20" s="3">
        <f t="shared" si="48"/>
        <v>8.3333333333333332E-3</v>
      </c>
      <c r="E20" s="3">
        <f t="shared" si="48"/>
        <v>2.4649999999999999</v>
      </c>
      <c r="F20">
        <f>IF(A20&gt;0,IF(F19=1,1,IF(B20=Data!$H$4,1,0)),"")</f>
        <v>0</v>
      </c>
      <c r="G20">
        <v>1981</v>
      </c>
      <c r="H20">
        <v>41.5</v>
      </c>
      <c r="I20">
        <v>10144</v>
      </c>
      <c r="J20" s="3">
        <v>8.3333333333333332E-3</v>
      </c>
      <c r="K20" s="3">
        <v>2.4649999999999999</v>
      </c>
      <c r="L20">
        <v>8581</v>
      </c>
      <c r="M20">
        <v>44</v>
      </c>
      <c r="N20">
        <v>9848</v>
      </c>
      <c r="O20" s="3">
        <v>-8.3333333333333332E-3</v>
      </c>
      <c r="P20" s="3">
        <v>1.0983333333333334</v>
      </c>
      <c r="Q20" t="str">
        <f t="shared" si="18"/>
        <v/>
      </c>
      <c r="R20" s="4">
        <f t="shared" si="19"/>
        <v>42</v>
      </c>
      <c r="S20">
        <f t="shared" si="36"/>
        <v>2041</v>
      </c>
      <c r="T20">
        <f t="shared" si="49"/>
        <v>10216.5</v>
      </c>
      <c r="U20" s="4">
        <f t="shared" si="20"/>
        <v>44</v>
      </c>
      <c r="V20">
        <f t="shared" si="37"/>
        <v>8581</v>
      </c>
      <c r="W20">
        <f t="shared" si="38"/>
        <v>9845.3333333333339</v>
      </c>
      <c r="X20" t="str">
        <f t="shared" si="39"/>
        <v/>
      </c>
      <c r="Y20" t="str">
        <f t="shared" si="40"/>
        <v/>
      </c>
      <c r="Z20" t="str">
        <f t="shared" si="41"/>
        <v/>
      </c>
      <c r="AA20" t="str">
        <f t="shared" si="21"/>
        <v/>
      </c>
      <c r="AB20" t="str">
        <f t="shared" si="42"/>
        <v/>
      </c>
      <c r="AC20" t="str">
        <f t="shared" si="43"/>
        <v/>
      </c>
      <c r="AD20" t="str">
        <f t="shared" si="44"/>
        <v/>
      </c>
      <c r="AE20" t="str">
        <f t="shared" si="45"/>
        <v/>
      </c>
      <c r="AF20" s="72">
        <f>IF(AF19+$AF$1&gt;ROUND(Data!$H$4,0),AF19,AF19+$AF$1)</f>
        <v>43</v>
      </c>
      <c r="AG20">
        <f t="shared" si="22"/>
        <v>2161</v>
      </c>
      <c r="AH20">
        <f t="shared" si="23"/>
        <v>10138.5</v>
      </c>
      <c r="AI20">
        <f t="shared" si="24"/>
        <v>8701</v>
      </c>
      <c r="AJ20" s="67">
        <f t="shared" si="25"/>
        <v>9971</v>
      </c>
      <c r="AK20" s="4">
        <f t="shared" si="46"/>
        <v>26.800000000000026</v>
      </c>
      <c r="AL20">
        <f t="shared" si="26"/>
        <v>217.00000000000307</v>
      </c>
      <c r="AM20">
        <f t="shared" si="27"/>
        <v>11844.266666666666</v>
      </c>
      <c r="AN20">
        <f>IF($AK19+$AK$1&lt;=Data!$H$4-0.5,AVERAGE(AM18:AM22),AN19)</f>
        <v>11844.266666666666</v>
      </c>
      <c r="AO20">
        <f t="shared" si="28"/>
        <v>10644.999999999996</v>
      </c>
      <c r="AP20">
        <f t="shared" si="47"/>
        <v>11310.60952380952</v>
      </c>
      <c r="AQ20">
        <f>IF($AK19+$AK$1&lt;=Data!$H$4-0.5,AVERAGE(AP18:AP22),AQ19)</f>
        <v>11326.290476190476</v>
      </c>
      <c r="AR20">
        <f>IF($AK19+$AK$1&lt;=Data!$H$4-0.5,SLOPE($AN16:$AN24,$AK16:$AK24),AR19)</f>
        <v>-44.000000000000888</v>
      </c>
      <c r="AS20">
        <f>IF($AK19+$AK$1&lt;=Data!$H$4-0.5,SLOPE($AQ16:$AQ24,$AK16:$AK24),AS19)</f>
        <v>-53.157142857143143</v>
      </c>
      <c r="AT20" t="str">
        <f>IF(AND($AK20&gt;=Results!$G$13,$AK20&lt;=Results!$G$14),Curves!AR20,"")</f>
        <v/>
      </c>
      <c r="AU20" t="str">
        <f>IF(AND($AK20&gt;=Results!$G$13,$AK20&lt;=Results!$G$14),Curves!AS20,"")</f>
        <v/>
      </c>
      <c r="AV20" t="str">
        <f t="shared" si="29"/>
        <v/>
      </c>
      <c r="AW20" t="str">
        <f>IF(AND($AK20&lt;=Results!$I$21,$AK20&gt;=Results!$I$20,$AK20&lt;=Results!$F$4),$AN20,"")</f>
        <v/>
      </c>
      <c r="AX20" t="str">
        <f t="shared" si="29"/>
        <v/>
      </c>
      <c r="AY20" t="str">
        <f>IF(AND($AK20&lt;=Results!$I$23,$AK20&gt;=Results!$I$22,$AK20&gt;=Results!$F$4),$AN20,"")</f>
        <v/>
      </c>
      <c r="AZ20" t="str">
        <f t="shared" si="0"/>
        <v/>
      </c>
      <c r="BA20" t="str">
        <f>IF(AND($AK20&lt;=Results!$I$27,$AK20&gt;=Results!$I$26,$AK20&lt;=Results!$F$4),$AQ20,"")</f>
        <v/>
      </c>
      <c r="BB20" t="str">
        <f t="shared" si="1"/>
        <v/>
      </c>
      <c r="BC20" t="str">
        <f>IF(AND($AK20&lt;=Results!$I$29,$AK20&gt;=Results!$I$28,$AK20&gt;=Results!$F$4),$AQ20,"")</f>
        <v/>
      </c>
      <c r="BD20">
        <f t="shared" si="2"/>
        <v>11872.81551516613</v>
      </c>
      <c r="BE20">
        <f t="shared" si="3"/>
        <v>2586.3776521225659</v>
      </c>
      <c r="BF20">
        <f t="shared" si="30"/>
        <v>11231.532707803108</v>
      </c>
      <c r="BG20">
        <f t="shared" si="4"/>
        <v>1391.1763800288154</v>
      </c>
      <c r="BH20">
        <f t="shared" si="5"/>
        <v>0</v>
      </c>
      <c r="BI20">
        <f t="shared" si="6"/>
        <v>0.99692574818024926</v>
      </c>
      <c r="BJ20">
        <f t="shared" si="7"/>
        <v>1.0096295058055891</v>
      </c>
      <c r="BK20">
        <f t="shared" si="8"/>
        <v>7.0860917875452782E-3</v>
      </c>
      <c r="BL20">
        <f t="shared" si="9"/>
        <v>7.4270996034985258E-3</v>
      </c>
      <c r="BM20">
        <f t="shared" si="31"/>
        <v>120</v>
      </c>
      <c r="BN20">
        <f t="shared" si="32"/>
        <v>-119.99999999999829</v>
      </c>
      <c r="BO20">
        <f>Data!$H$2*(1-BI20)*(1-BI20/Data!$H$3)*BM20</f>
        <v>2.2682458202977762E-9</v>
      </c>
      <c r="BP20">
        <f t="shared" si="10"/>
        <v>-119.63108978162991</v>
      </c>
      <c r="BQ20">
        <f>Data!$H$2*(1-BJ20)*(1-BJ20/Data!$H$3)*BN20</f>
        <v>-2.2254571694369385E-8</v>
      </c>
      <c r="BR20">
        <f t="shared" si="11"/>
        <v>121.15554069666896</v>
      </c>
      <c r="BS20">
        <f t="shared" si="33"/>
        <v>0</v>
      </c>
      <c r="BT20">
        <f t="shared" si="12"/>
        <v>0</v>
      </c>
      <c r="BU20">
        <f t="shared" si="13"/>
        <v>0</v>
      </c>
      <c r="BV20">
        <f t="shared" si="14"/>
        <v>0</v>
      </c>
      <c r="BW20">
        <f t="shared" si="34"/>
        <v>0</v>
      </c>
      <c r="BX20" t="str">
        <f t="shared" si="35"/>
        <v/>
      </c>
      <c r="BY20" s="66" t="str">
        <f t="shared" si="15"/>
        <v/>
      </c>
      <c r="BZ20" t="str">
        <f t="shared" si="16"/>
        <v/>
      </c>
      <c r="CA20" s="67" t="str">
        <f t="shared" si="17"/>
        <v/>
      </c>
    </row>
    <row r="21" spans="1:79" x14ac:dyDescent="0.25">
      <c r="A21">
        <v>2041</v>
      </c>
      <c r="B21">
        <v>42</v>
      </c>
      <c r="C21">
        <v>10196</v>
      </c>
      <c r="D21" s="3">
        <f t="shared" si="48"/>
        <v>8.3333333333333332E-3</v>
      </c>
      <c r="E21" s="3">
        <f t="shared" si="48"/>
        <v>0.60833333333333328</v>
      </c>
      <c r="F21">
        <f>IF(A21&gt;0,IF(F20=1,1,IF(B21=Data!$H$4,1,0)),"")</f>
        <v>0</v>
      </c>
      <c r="G21">
        <v>2041</v>
      </c>
      <c r="H21">
        <v>42</v>
      </c>
      <c r="I21">
        <v>10196</v>
      </c>
      <c r="J21" s="3">
        <v>8.3333333333333332E-3</v>
      </c>
      <c r="K21" s="3">
        <v>0.60833333333333328</v>
      </c>
      <c r="L21">
        <v>8461</v>
      </c>
      <c r="M21">
        <v>45</v>
      </c>
      <c r="N21">
        <v>9715</v>
      </c>
      <c r="O21" s="3">
        <v>-8.3333333333333332E-3</v>
      </c>
      <c r="P21" s="3">
        <v>1.2266666666666666</v>
      </c>
      <c r="Q21" t="str">
        <f t="shared" si="18"/>
        <v/>
      </c>
      <c r="R21" s="4">
        <f t="shared" si="19"/>
        <v>42</v>
      </c>
      <c r="S21">
        <f t="shared" si="36"/>
        <v>2041</v>
      </c>
      <c r="T21">
        <f t="shared" si="49"/>
        <v>10173.666666666666</v>
      </c>
      <c r="U21" s="4">
        <f t="shared" si="20"/>
        <v>45</v>
      </c>
      <c r="V21">
        <f t="shared" si="37"/>
        <v>8461</v>
      </c>
      <c r="W21">
        <f t="shared" si="38"/>
        <v>9708.3333333333339</v>
      </c>
      <c r="X21" t="str">
        <f t="shared" si="39"/>
        <v/>
      </c>
      <c r="Y21" t="str">
        <f t="shared" si="40"/>
        <v/>
      </c>
      <c r="Z21" t="str">
        <f t="shared" si="41"/>
        <v/>
      </c>
      <c r="AA21" t="str">
        <f t="shared" si="21"/>
        <v/>
      </c>
      <c r="AB21" t="str">
        <f t="shared" si="42"/>
        <v/>
      </c>
      <c r="AC21" t="str">
        <f t="shared" si="43"/>
        <v/>
      </c>
      <c r="AD21" t="str">
        <f t="shared" si="44"/>
        <v/>
      </c>
      <c r="AE21" t="str">
        <f t="shared" si="45"/>
        <v/>
      </c>
      <c r="AF21" s="72">
        <f>IF(AF20+$AF$1&gt;ROUND(Data!$H$4,0),AF20,AF20+$AF$1)</f>
        <v>44</v>
      </c>
      <c r="AG21">
        <f t="shared" si="22"/>
        <v>2281</v>
      </c>
      <c r="AH21">
        <f t="shared" si="23"/>
        <v>10024.5</v>
      </c>
      <c r="AI21">
        <f t="shared" si="24"/>
        <v>8581</v>
      </c>
      <c r="AJ21" s="67">
        <f t="shared" si="25"/>
        <v>9845.3333333333339</v>
      </c>
      <c r="AK21" s="4">
        <f t="shared" si="46"/>
        <v>26.900000000000027</v>
      </c>
      <c r="AL21">
        <f t="shared" si="26"/>
        <v>229.00000000000324</v>
      </c>
      <c r="AM21">
        <f t="shared" si="27"/>
        <v>11840.3</v>
      </c>
      <c r="AN21">
        <f>IF($AK20+$AK$1&lt;=Data!$H$4-0.5,AVERAGE(AM19:AM23),AN20)</f>
        <v>11839.9</v>
      </c>
      <c r="AO21">
        <f t="shared" si="28"/>
        <v>10632.999999999996</v>
      </c>
      <c r="AP21">
        <f t="shared" si="47"/>
        <v>11302.769047619046</v>
      </c>
      <c r="AQ21">
        <f>IF($AK20+$AK$1&lt;=Data!$H$4-0.5,AVERAGE(AP19:AP23),AQ20)</f>
        <v>11318.368095238093</v>
      </c>
      <c r="AR21">
        <f>IF($AK20+$AK$1&lt;=Data!$H$4-0.5,SLOPE($AN17:$AN25,$AK17:$AK25),AR20)</f>
        <v>-46.666666666668426</v>
      </c>
      <c r="AS21">
        <f>IF($AK20+$AK$1&lt;=Data!$H$4-0.5,SLOPE($AQ17:$AQ25,$AK17:$AK25),AS20)</f>
        <v>-66.770634920635175</v>
      </c>
      <c r="AT21" t="str">
        <f>IF(AND($AK21&gt;=Results!$G$13,$AK21&lt;=Results!$G$14),Curves!AR21,"")</f>
        <v/>
      </c>
      <c r="AU21" t="str">
        <f>IF(AND($AK21&gt;=Results!$G$13,$AK21&lt;=Results!$G$14),Curves!AS21,"")</f>
        <v/>
      </c>
      <c r="AV21" t="str">
        <f t="shared" si="29"/>
        <v/>
      </c>
      <c r="AW21" t="str">
        <f>IF(AND($AK21&lt;=Results!$I$21,$AK21&gt;=Results!$I$20,$AK21&lt;=Results!$F$4),$AN21,"")</f>
        <v/>
      </c>
      <c r="AX21" t="str">
        <f t="shared" si="29"/>
        <v/>
      </c>
      <c r="AY21" t="str">
        <f>IF(AND($AK21&lt;=Results!$I$23,$AK21&gt;=Results!$I$22,$AK21&gt;=Results!$F$4),$AN21,"")</f>
        <v/>
      </c>
      <c r="AZ21" t="str">
        <f t="shared" si="0"/>
        <v/>
      </c>
      <c r="BA21" t="str">
        <f>IF(AND($AK21&lt;=Results!$I$27,$AK21&gt;=Results!$I$26,$AK21&lt;=Results!$F$4),$AQ21,"")</f>
        <v/>
      </c>
      <c r="BB21" t="str">
        <f t="shared" si="1"/>
        <v/>
      </c>
      <c r="BC21" t="str">
        <f>IF(AND($AK21&lt;=Results!$I$29,$AK21&gt;=Results!$I$28,$AK21&gt;=Results!$F$4),$AQ21,"")</f>
        <v/>
      </c>
      <c r="BD21">
        <f t="shared" si="2"/>
        <v>11862.045320368212</v>
      </c>
      <c r="BE21">
        <f t="shared" si="3"/>
        <v>2583.061862873245</v>
      </c>
      <c r="BF21">
        <f t="shared" si="30"/>
        <v>11224.242725570215</v>
      </c>
      <c r="BG21">
        <f t="shared" si="4"/>
        <v>1390.6255790692903</v>
      </c>
      <c r="BH21">
        <f t="shared" si="5"/>
        <v>0</v>
      </c>
      <c r="BI21">
        <f t="shared" si="6"/>
        <v>0.99761338939015731</v>
      </c>
      <c r="BJ21">
        <f t="shared" si="7"/>
        <v>1.0095717952270868</v>
      </c>
      <c r="BK21">
        <f t="shared" si="8"/>
        <v>6.6662266566823907E-3</v>
      </c>
      <c r="BL21">
        <f t="shared" si="9"/>
        <v>-6.1917540585930918E-4</v>
      </c>
      <c r="BM21">
        <f t="shared" si="31"/>
        <v>119.99999999998296</v>
      </c>
      <c r="BN21">
        <f t="shared" si="32"/>
        <v>-119.99999999998012</v>
      </c>
      <c r="BO21">
        <f>Data!$H$2*(1-BI21)*(1-BI21/Data!$H$3)*BM21</f>
        <v>1.3670184487230904E-9</v>
      </c>
      <c r="BP21">
        <f t="shared" si="10"/>
        <v>-119.71360672680188</v>
      </c>
      <c r="BQ21">
        <f>Data!$H$2*(1-BJ21)*(1-BJ21/Data!$H$3)*BN21</f>
        <v>-2.1988623328624152E-8</v>
      </c>
      <c r="BR21">
        <f t="shared" si="11"/>
        <v>121.14861542723035</v>
      </c>
      <c r="BS21">
        <f t="shared" si="33"/>
        <v>0</v>
      </c>
      <c r="BT21">
        <f t="shared" si="12"/>
        <v>0</v>
      </c>
      <c r="BU21">
        <f t="shared" si="13"/>
        <v>0</v>
      </c>
      <c r="BV21">
        <f t="shared" si="14"/>
        <v>0</v>
      </c>
      <c r="BW21">
        <f t="shared" si="34"/>
        <v>0</v>
      </c>
      <c r="BX21" t="str">
        <f t="shared" si="35"/>
        <v/>
      </c>
      <c r="BY21" s="66" t="str">
        <f t="shared" si="15"/>
        <v/>
      </c>
      <c r="BZ21" t="str">
        <f t="shared" si="16"/>
        <v/>
      </c>
      <c r="CA21" s="67" t="str">
        <f t="shared" si="17"/>
        <v/>
      </c>
    </row>
    <row r="22" spans="1:79" x14ac:dyDescent="0.25">
      <c r="A22">
        <v>2101</v>
      </c>
      <c r="B22">
        <v>42.5</v>
      </c>
      <c r="C22">
        <v>10181</v>
      </c>
      <c r="D22" s="3">
        <f t="shared" si="48"/>
        <v>8.3333333333333332E-3</v>
      </c>
      <c r="E22" s="3">
        <f t="shared" si="48"/>
        <v>-0.35166666666666668</v>
      </c>
      <c r="F22">
        <f>IF(A22&gt;0,IF(F21=1,1,IF(B22=Data!$H$4,1,0)),"")</f>
        <v>0</v>
      </c>
      <c r="G22">
        <v>2101</v>
      </c>
      <c r="H22">
        <v>42.5</v>
      </c>
      <c r="I22">
        <v>10181</v>
      </c>
      <c r="J22" s="3">
        <v>8.3333333333333332E-3</v>
      </c>
      <c r="K22" s="3">
        <v>-0.35166666666666668</v>
      </c>
      <c r="L22">
        <v>8341</v>
      </c>
      <c r="M22">
        <v>46</v>
      </c>
      <c r="N22">
        <v>9562</v>
      </c>
      <c r="O22" s="3">
        <v>-8.3333333333333332E-3</v>
      </c>
      <c r="P22" s="3">
        <v>1.4125000000000001</v>
      </c>
      <c r="Q22" t="str">
        <f t="shared" si="18"/>
        <v/>
      </c>
      <c r="R22" s="4">
        <f t="shared" si="19"/>
        <v>43</v>
      </c>
      <c r="S22">
        <f t="shared" si="36"/>
        <v>2161</v>
      </c>
      <c r="T22">
        <f t="shared" si="49"/>
        <v>10138.5</v>
      </c>
      <c r="U22" s="4">
        <f t="shared" si="20"/>
        <v>46</v>
      </c>
      <c r="V22">
        <f t="shared" si="37"/>
        <v>8341</v>
      </c>
      <c r="W22">
        <f t="shared" si="38"/>
        <v>9552.3333333333358</v>
      </c>
      <c r="X22" t="str">
        <f t="shared" si="39"/>
        <v/>
      </c>
      <c r="Y22" t="str">
        <f t="shared" si="40"/>
        <v/>
      </c>
      <c r="Z22" t="str">
        <f t="shared" si="41"/>
        <v/>
      </c>
      <c r="AA22" t="str">
        <f t="shared" si="21"/>
        <v/>
      </c>
      <c r="AB22" t="str">
        <f t="shared" si="42"/>
        <v/>
      </c>
      <c r="AC22" t="str">
        <f t="shared" si="43"/>
        <v/>
      </c>
      <c r="AD22" t="str">
        <f t="shared" si="44"/>
        <v/>
      </c>
      <c r="AE22" t="str">
        <f t="shared" si="45"/>
        <v/>
      </c>
      <c r="AF22" s="72">
        <f>IF(AF21+$AF$1&gt;ROUND(Data!$H$4,0),AF21,AF21+$AF$1)</f>
        <v>45</v>
      </c>
      <c r="AG22">
        <f t="shared" si="22"/>
        <v>2401</v>
      </c>
      <c r="AH22">
        <f t="shared" si="23"/>
        <v>9919.6666666666661</v>
      </c>
      <c r="AI22">
        <f t="shared" si="24"/>
        <v>8461</v>
      </c>
      <c r="AJ22" s="67">
        <f t="shared" si="25"/>
        <v>9708.3333333333339</v>
      </c>
      <c r="AK22" s="4">
        <f t="shared" si="46"/>
        <v>27.000000000000028</v>
      </c>
      <c r="AL22">
        <f t="shared" si="26"/>
        <v>241</v>
      </c>
      <c r="AM22">
        <f t="shared" si="27"/>
        <v>11836.333333333334</v>
      </c>
      <c r="AN22">
        <f>IF($AK21+$AK$1&lt;=Data!$H$4-0.5,AVERAGE(AM20:AM24),AN21)</f>
        <v>11835.133333333331</v>
      </c>
      <c r="AO22">
        <f t="shared" si="28"/>
        <v>10621</v>
      </c>
      <c r="AP22">
        <f t="shared" si="47"/>
        <v>11373.333333333334</v>
      </c>
      <c r="AQ22">
        <f>IF($AK21+$AK$1&lt;=Data!$H$4-0.5,AVERAGE(AP20:AP24),AQ21)</f>
        <v>11310.363809523808</v>
      </c>
      <c r="AR22">
        <f>IF($AK21+$AK$1&lt;=Data!$H$4-0.5,SLOPE($AN18:$AN26,$AK18:$AK26),AR21)</f>
        <v>-49.666666666668682</v>
      </c>
      <c r="AS22">
        <f>IF($AK21+$AK$1&lt;=Data!$H$4-0.5,SLOPE($AQ18:$AQ26,$AK18:$AK26),AS21)</f>
        <v>-80.452380952382626</v>
      </c>
      <c r="AT22" t="str">
        <f>IF(AND($AK22&gt;=Results!$G$13,$AK22&lt;=Results!$G$14),Curves!AR22,"")</f>
        <v/>
      </c>
      <c r="AU22" t="str">
        <f>IF(AND($AK22&gt;=Results!$G$13,$AK22&lt;=Results!$G$14),Curves!AS22,"")</f>
        <v/>
      </c>
      <c r="AV22" t="str">
        <f t="shared" si="29"/>
        <v/>
      </c>
      <c r="AW22" t="str">
        <f>IF(AND($AK22&lt;=Results!$I$21,$AK22&gt;=Results!$I$20,$AK22&lt;=Results!$F$4),$AN22,"")</f>
        <v/>
      </c>
      <c r="AX22" t="str">
        <f t="shared" si="29"/>
        <v/>
      </c>
      <c r="AY22" t="str">
        <f>IF(AND($AK22&lt;=Results!$I$23,$AK22&gt;=Results!$I$22,$AK22&gt;=Results!$F$4),$AN22,"")</f>
        <v/>
      </c>
      <c r="AZ22" t="str">
        <f t="shared" si="0"/>
        <v/>
      </c>
      <c r="BA22" t="str">
        <f>IF(AND($AK22&lt;=Results!$I$27,$AK22&gt;=Results!$I$26,$AK22&lt;=Results!$F$4),$AQ22,"")</f>
        <v/>
      </c>
      <c r="BB22" t="str">
        <f t="shared" si="1"/>
        <v/>
      </c>
      <c r="BC22" t="str">
        <f>IF(AND($AK22&lt;=Results!$I$29,$AK22&gt;=Results!$I$28,$AK22&gt;=Results!$F$4),$AQ22,"")</f>
        <v/>
      </c>
      <c r="BD22">
        <f t="shared" si="2"/>
        <v>11851.275125570291</v>
      </c>
      <c r="BE22">
        <f t="shared" si="3"/>
        <v>2579.7460736239241</v>
      </c>
      <c r="BF22">
        <f t="shared" si="30"/>
        <v>11216.952743337322</v>
      </c>
      <c r="BG22">
        <f t="shared" si="4"/>
        <v>1390.0747781097655</v>
      </c>
      <c r="BH22">
        <f t="shared" si="5"/>
        <v>0</v>
      </c>
      <c r="BI22">
        <f t="shared" si="6"/>
        <v>0.99825899351158576</v>
      </c>
      <c r="BJ22">
        <f t="shared" si="7"/>
        <v>1.0095056707244172</v>
      </c>
      <c r="BK22">
        <f t="shared" si="8"/>
        <v>6.2453483901174995E-3</v>
      </c>
      <c r="BL22">
        <f t="shared" si="9"/>
        <v>-7.0340125979172609E-4</v>
      </c>
      <c r="BM22">
        <f t="shared" si="31"/>
        <v>120</v>
      </c>
      <c r="BN22">
        <f t="shared" si="32"/>
        <v>-119.99999999999829</v>
      </c>
      <c r="BO22">
        <f>Data!$H$2*(1-BI22)*(1-BI22/Data!$H$3)*BM22</f>
        <v>7.2746486224811832E-10</v>
      </c>
      <c r="BP22">
        <f t="shared" si="10"/>
        <v>-119.79107922139029</v>
      </c>
      <c r="BQ22">
        <f>Data!$H$2*(1-BJ22)*(1-BJ22/Data!$H$3)*BN22</f>
        <v>-2.1685866221049891E-8</v>
      </c>
      <c r="BR22">
        <f t="shared" si="11"/>
        <v>121.14068048692835</v>
      </c>
      <c r="BS22">
        <f t="shared" si="33"/>
        <v>0</v>
      </c>
      <c r="BT22">
        <f t="shared" si="12"/>
        <v>0</v>
      </c>
      <c r="BU22">
        <f t="shared" si="13"/>
        <v>0</v>
      </c>
      <c r="BV22">
        <f t="shared" si="14"/>
        <v>0</v>
      </c>
      <c r="BW22">
        <f t="shared" si="34"/>
        <v>0</v>
      </c>
      <c r="BX22" t="str">
        <f t="shared" si="35"/>
        <v/>
      </c>
      <c r="BY22" s="66" t="str">
        <f t="shared" si="15"/>
        <v/>
      </c>
      <c r="BZ22" t="str">
        <f t="shared" si="16"/>
        <v/>
      </c>
      <c r="CA22" s="67" t="str">
        <f t="shared" si="17"/>
        <v/>
      </c>
    </row>
    <row r="23" spans="1:79" x14ac:dyDescent="0.25">
      <c r="A23">
        <v>2161</v>
      </c>
      <c r="B23">
        <v>43</v>
      </c>
      <c r="C23">
        <v>10133</v>
      </c>
      <c r="D23" s="3">
        <f t="shared" si="48"/>
        <v>8.3333333333333332E-3</v>
      </c>
      <c r="E23" s="3">
        <f t="shared" si="48"/>
        <v>-0.745</v>
      </c>
      <c r="F23">
        <f>IF(A23&gt;0,IF(F22=1,1,IF(B23=Data!$H$4,1,0)),"")</f>
        <v>0</v>
      </c>
      <c r="G23">
        <v>2161</v>
      </c>
      <c r="H23">
        <v>43</v>
      </c>
      <c r="I23">
        <v>10133</v>
      </c>
      <c r="J23" s="3">
        <v>8.3333333333333332E-3</v>
      </c>
      <c r="K23" s="3">
        <v>-0.745</v>
      </c>
      <c r="L23">
        <v>8221</v>
      </c>
      <c r="M23">
        <v>47</v>
      </c>
      <c r="N23">
        <v>9380</v>
      </c>
      <c r="O23" s="3">
        <v>-8.3333333333333332E-3</v>
      </c>
      <c r="P23" s="3">
        <v>1.645</v>
      </c>
      <c r="Q23" t="str">
        <f t="shared" si="18"/>
        <v/>
      </c>
      <c r="R23" s="4">
        <f t="shared" si="19"/>
        <v>43</v>
      </c>
      <c r="S23">
        <f t="shared" si="36"/>
        <v>2161</v>
      </c>
      <c r="T23">
        <f t="shared" si="49"/>
        <v>10128</v>
      </c>
      <c r="U23" s="4">
        <f t="shared" si="20"/>
        <v>47</v>
      </c>
      <c r="V23">
        <f t="shared" si="37"/>
        <v>8221</v>
      </c>
      <c r="W23">
        <f t="shared" si="38"/>
        <v>9370</v>
      </c>
      <c r="X23" t="str">
        <f t="shared" si="39"/>
        <v/>
      </c>
      <c r="Y23" t="str">
        <f t="shared" si="40"/>
        <v/>
      </c>
      <c r="Z23" t="str">
        <f t="shared" si="41"/>
        <v/>
      </c>
      <c r="AA23" t="str">
        <f t="shared" si="21"/>
        <v/>
      </c>
      <c r="AB23" t="str">
        <f t="shared" si="42"/>
        <v/>
      </c>
      <c r="AC23" t="str">
        <f t="shared" si="43"/>
        <v/>
      </c>
      <c r="AD23" t="str">
        <f t="shared" si="44"/>
        <v/>
      </c>
      <c r="AE23" t="str">
        <f t="shared" si="45"/>
        <v/>
      </c>
      <c r="AF23" s="72">
        <f>IF(AF22+$AF$1&gt;ROUND(Data!$H$4,0),AF22,AF22+$AF$1)</f>
        <v>46</v>
      </c>
      <c r="AG23">
        <f t="shared" si="22"/>
        <v>2521</v>
      </c>
      <c r="AH23">
        <f t="shared" si="23"/>
        <v>9806</v>
      </c>
      <c r="AI23">
        <f t="shared" si="24"/>
        <v>8341</v>
      </c>
      <c r="AJ23" s="67">
        <f t="shared" si="25"/>
        <v>9552.3333333333358</v>
      </c>
      <c r="AK23" s="4">
        <f t="shared" si="46"/>
        <v>27.10000000000003</v>
      </c>
      <c r="AL23">
        <f t="shared" si="26"/>
        <v>253.00000000000358</v>
      </c>
      <c r="AM23">
        <f t="shared" si="27"/>
        <v>11830.366666666665</v>
      </c>
      <c r="AN23">
        <f>IF($AK22+$AK$1&lt;=Data!$H$4-0.5,AVERAGE(AM21:AM25),AN22)</f>
        <v>11829.966666666665</v>
      </c>
      <c r="AO23">
        <f t="shared" si="28"/>
        <v>10608.999999999996</v>
      </c>
      <c r="AP23">
        <f t="shared" si="47"/>
        <v>11286.678571428569</v>
      </c>
      <c r="AQ23">
        <f>IF($AK22+$AK$1&lt;=Data!$H$4-0.5,AVERAGE(AP21:AP25),AQ22)</f>
        <v>11302.277619047618</v>
      </c>
      <c r="AR23">
        <f>IF($AK22+$AK$1&lt;=Data!$H$4-0.5,SLOPE($AN19:$AN27,$AK19:$AK27),AR22)</f>
        <v>-52.66666666666805</v>
      </c>
      <c r="AS23">
        <f>IF($AK22+$AK$1&lt;=Data!$H$4-0.5,SLOPE($AQ19:$AQ27,$AK19:$AK27),AS22)</f>
        <v>-94.134126984130049</v>
      </c>
      <c r="AT23" t="str">
        <f>IF(AND($AK23&gt;=Results!$G$13,$AK23&lt;=Results!$G$14),Curves!AR23,"")</f>
        <v/>
      </c>
      <c r="AU23" t="str">
        <f>IF(AND($AK23&gt;=Results!$G$13,$AK23&lt;=Results!$G$14),Curves!AS23,"")</f>
        <v/>
      </c>
      <c r="AV23" t="str">
        <f t="shared" si="29"/>
        <v/>
      </c>
      <c r="AW23" t="str">
        <f>IF(AND($AK23&lt;=Results!$I$21,$AK23&gt;=Results!$I$20,$AK23&lt;=Results!$F$4),$AN23,"")</f>
        <v/>
      </c>
      <c r="AX23" t="str">
        <f t="shared" si="29"/>
        <v/>
      </c>
      <c r="AY23" t="str">
        <f>IF(AND($AK23&lt;=Results!$I$23,$AK23&gt;=Results!$I$22,$AK23&gt;=Results!$F$4),$AN23,"")</f>
        <v/>
      </c>
      <c r="AZ23" t="str">
        <f t="shared" si="0"/>
        <v/>
      </c>
      <c r="BA23" t="str">
        <f>IF(AND($AK23&lt;=Results!$I$27,$AK23&gt;=Results!$I$26,$AK23&lt;=Results!$F$4),$AQ23,"")</f>
        <v/>
      </c>
      <c r="BB23" t="str">
        <f t="shared" si="1"/>
        <v/>
      </c>
      <c r="BC23" t="str">
        <f>IF(AND($AK23&lt;=Results!$I$29,$AK23&gt;=Results!$I$28,$AK23&gt;=Results!$F$4),$AQ23,"")</f>
        <v/>
      </c>
      <c r="BD23">
        <f t="shared" si="2"/>
        <v>11840.504930772371</v>
      </c>
      <c r="BE23">
        <f t="shared" si="3"/>
        <v>2576.4302843746036</v>
      </c>
      <c r="BF23">
        <f t="shared" si="30"/>
        <v>11209.662761104428</v>
      </c>
      <c r="BG23">
        <f t="shared" si="4"/>
        <v>1389.5239771502404</v>
      </c>
      <c r="BH23">
        <f t="shared" si="5"/>
        <v>0</v>
      </c>
      <c r="BI23">
        <f t="shared" si="6"/>
        <v>0.99886245906818083</v>
      </c>
      <c r="BJ23">
        <f t="shared" si="7"/>
        <v>1.0094311149751285</v>
      </c>
      <c r="BK23">
        <f t="shared" si="8"/>
        <v>5.8234537256229022E-3</v>
      </c>
      <c r="BL23">
        <f t="shared" si="9"/>
        <v>-7.8780057616522085E-4</v>
      </c>
      <c r="BM23">
        <f t="shared" si="31"/>
        <v>120.00000000001707</v>
      </c>
      <c r="BN23">
        <f t="shared" si="32"/>
        <v>-120.0000000000165</v>
      </c>
      <c r="BO23">
        <f>Data!$H$2*(1-BI23)*(1-BI23/Data!$H$3)*BM23</f>
        <v>3.1055984917541018E-10</v>
      </c>
      <c r="BP23">
        <f t="shared" si="10"/>
        <v>-119.86349508819875</v>
      </c>
      <c r="BQ23">
        <f>Data!$H$2*(1-BJ23)*(1-BJ23/Data!$H$3)*BN23</f>
        <v>-2.1347023121785249E-8</v>
      </c>
      <c r="BR23">
        <f t="shared" si="11"/>
        <v>121.13173379703207</v>
      </c>
      <c r="BS23">
        <f t="shared" si="33"/>
        <v>0</v>
      </c>
      <c r="BT23">
        <f t="shared" si="12"/>
        <v>0</v>
      </c>
      <c r="BU23">
        <f t="shared" si="13"/>
        <v>0</v>
      </c>
      <c r="BV23">
        <f t="shared" si="14"/>
        <v>0</v>
      </c>
      <c r="BW23">
        <f t="shared" si="34"/>
        <v>0</v>
      </c>
      <c r="BX23" t="str">
        <f t="shared" si="35"/>
        <v/>
      </c>
      <c r="BY23" s="66" t="str">
        <f t="shared" si="15"/>
        <v/>
      </c>
      <c r="BZ23" t="str">
        <f t="shared" si="16"/>
        <v/>
      </c>
      <c r="CA23" s="67" t="str">
        <f t="shared" si="17"/>
        <v/>
      </c>
    </row>
    <row r="24" spans="1:79" x14ac:dyDescent="0.25">
      <c r="A24">
        <v>2221</v>
      </c>
      <c r="B24">
        <v>43.5</v>
      </c>
      <c r="C24">
        <v>10070</v>
      </c>
      <c r="D24" s="3">
        <f t="shared" si="48"/>
        <v>8.3333333333333332E-3</v>
      </c>
      <c r="E24" s="3">
        <f t="shared" si="48"/>
        <v>-0.88500000000000001</v>
      </c>
      <c r="F24">
        <f>IF(A24&gt;0,IF(F23=1,1,IF(B24=Data!$H$4,1,0)),"")</f>
        <v>0</v>
      </c>
      <c r="G24">
        <v>2221</v>
      </c>
      <c r="H24">
        <v>43.5</v>
      </c>
      <c r="I24">
        <v>10070</v>
      </c>
      <c r="J24" s="3">
        <v>8.3333333333333332E-3</v>
      </c>
      <c r="K24" s="3">
        <v>-0.88500000000000001</v>
      </c>
      <c r="L24">
        <v>8101</v>
      </c>
      <c r="M24">
        <v>48</v>
      </c>
      <c r="N24">
        <v>9168</v>
      </c>
      <c r="O24" s="3">
        <v>-8.3333333333333332E-3</v>
      </c>
      <c r="P24" s="3">
        <v>1.9408333333333334</v>
      </c>
      <c r="Q24" t="str">
        <f t="shared" si="18"/>
        <v/>
      </c>
      <c r="R24" s="4">
        <f t="shared" si="19"/>
        <v>44</v>
      </c>
      <c r="S24">
        <f t="shared" si="36"/>
        <v>2281</v>
      </c>
      <c r="T24">
        <f t="shared" si="49"/>
        <v>10024.5</v>
      </c>
      <c r="U24" s="4">
        <f t="shared" si="20"/>
        <v>48</v>
      </c>
      <c r="V24">
        <f t="shared" si="37"/>
        <v>8101</v>
      </c>
      <c r="W24">
        <f t="shared" si="38"/>
        <v>9157.6666666666642</v>
      </c>
      <c r="X24" t="str">
        <f t="shared" si="39"/>
        <v/>
      </c>
      <c r="Y24" t="str">
        <f t="shared" si="40"/>
        <v/>
      </c>
      <c r="Z24" t="str">
        <f t="shared" si="41"/>
        <v/>
      </c>
      <c r="AA24" t="str">
        <f t="shared" si="21"/>
        <v/>
      </c>
      <c r="AB24" t="str">
        <f t="shared" si="42"/>
        <v/>
      </c>
      <c r="AC24" t="str">
        <f t="shared" si="43"/>
        <v/>
      </c>
      <c r="AD24" t="str">
        <f t="shared" si="44"/>
        <v/>
      </c>
      <c r="AE24" t="str">
        <f t="shared" si="45"/>
        <v/>
      </c>
      <c r="AF24" s="72">
        <f>IF(AF23+$AF$1&gt;ROUND(Data!$H$4,0),AF23,AF23+$AF$1)</f>
        <v>47</v>
      </c>
      <c r="AG24">
        <f t="shared" si="22"/>
        <v>2641</v>
      </c>
      <c r="AH24">
        <f t="shared" si="23"/>
        <v>9678.1666666666661</v>
      </c>
      <c r="AI24">
        <f t="shared" si="24"/>
        <v>8221</v>
      </c>
      <c r="AJ24" s="67">
        <f t="shared" si="25"/>
        <v>9370</v>
      </c>
      <c r="AK24" s="4">
        <f t="shared" si="46"/>
        <v>27.200000000000031</v>
      </c>
      <c r="AL24">
        <f t="shared" si="26"/>
        <v>265.00000000000375</v>
      </c>
      <c r="AM24">
        <f t="shared" si="27"/>
        <v>11824.399999999998</v>
      </c>
      <c r="AN24">
        <f>IF($AK23+$AK$1&lt;=Data!$H$4-0.5,AVERAGE(AM22:AM26),AN23)</f>
        <v>11824.399999999998</v>
      </c>
      <c r="AO24">
        <f t="shared" si="28"/>
        <v>10596.999999999996</v>
      </c>
      <c r="AP24">
        <f t="shared" si="47"/>
        <v>11278.428571428569</v>
      </c>
      <c r="AQ24">
        <f>IF($AK23+$AK$1&lt;=Data!$H$4-0.5,AVERAGE(AP22:AP26),AQ23)</f>
        <v>11294.10952380952</v>
      </c>
      <c r="AR24">
        <f>IF($AK23+$AK$1&lt;=Data!$H$4-0.5,SLOPE($AN20:$AN28,$AK20:$AK28),AR23)</f>
        <v>-55.333333333334359</v>
      </c>
      <c r="AS24">
        <f>IF($AK23+$AK$1&lt;=Data!$H$4-0.5,SLOPE($AQ20:$AQ28,$AK20:$AK28),AS23)</f>
        <v>-107.74761904762209</v>
      </c>
      <c r="AT24" t="str">
        <f>IF(AND($AK24&gt;=Results!$G$13,$AK24&lt;=Results!$G$14),Curves!AR24,"")</f>
        <v/>
      </c>
      <c r="AU24" t="str">
        <f>IF(AND($AK24&gt;=Results!$G$13,$AK24&lt;=Results!$G$14),Curves!AS24,"")</f>
        <v/>
      </c>
      <c r="AV24" t="str">
        <f t="shared" si="29"/>
        <v/>
      </c>
      <c r="AW24" t="str">
        <f>IF(AND($AK24&lt;=Results!$I$21,$AK24&gt;=Results!$I$20,$AK24&lt;=Results!$F$4),$AN24,"")</f>
        <v/>
      </c>
      <c r="AX24" t="str">
        <f t="shared" si="29"/>
        <v/>
      </c>
      <c r="AY24" t="str">
        <f>IF(AND($AK24&lt;=Results!$I$23,$AK24&gt;=Results!$I$22,$AK24&gt;=Results!$F$4),$AN24,"")</f>
        <v/>
      </c>
      <c r="AZ24" t="str">
        <f t="shared" si="0"/>
        <v/>
      </c>
      <c r="BA24" t="str">
        <f>IF(AND($AK24&lt;=Results!$I$27,$AK24&gt;=Results!$I$26,$AK24&lt;=Results!$F$4),$AQ24,"")</f>
        <v/>
      </c>
      <c r="BB24" t="str">
        <f t="shared" si="1"/>
        <v/>
      </c>
      <c r="BC24" t="str">
        <f>IF(AND($AK24&lt;=Results!$I$29,$AK24&gt;=Results!$I$28,$AK24&gt;=Results!$F$4),$AQ24,"")</f>
        <v/>
      </c>
      <c r="BD24">
        <f t="shared" si="2"/>
        <v>11829.734735974453</v>
      </c>
      <c r="BE24">
        <f t="shared" si="3"/>
        <v>2573.1144951252827</v>
      </c>
      <c r="BF24">
        <f t="shared" si="30"/>
        <v>11202.372778871535</v>
      </c>
      <c r="BG24">
        <f t="shared" si="4"/>
        <v>1388.9731761907155</v>
      </c>
      <c r="BH24">
        <f t="shared" si="5"/>
        <v>0</v>
      </c>
      <c r="BI24">
        <f t="shared" si="6"/>
        <v>0.99942368425671035</v>
      </c>
      <c r="BJ24">
        <f t="shared" si="7"/>
        <v>1.0093481106091842</v>
      </c>
      <c r="BK24">
        <f t="shared" si="8"/>
        <v>5.4005393878386104E-3</v>
      </c>
      <c r="BL24">
        <f t="shared" si="9"/>
        <v>-8.867426024278131E-3</v>
      </c>
      <c r="BM24">
        <f t="shared" si="31"/>
        <v>119.99999999999997</v>
      </c>
      <c r="BN24">
        <f t="shared" si="32"/>
        <v>-119.99999999999829</v>
      </c>
      <c r="BO24">
        <f>Data!$H$2*(1-BI24)*(1-BI24/Data!$H$3)*BM24</f>
        <v>7.9713560631239286E-11</v>
      </c>
      <c r="BP24">
        <f t="shared" si="10"/>
        <v>-119.93084211080522</v>
      </c>
      <c r="BQ24">
        <f>Data!$H$2*(1-BJ24)*(1-BJ24/Data!$H$3)*BN24</f>
        <v>-2.0972921270769685E-8</v>
      </c>
      <c r="BR24">
        <f t="shared" si="11"/>
        <v>121.12177327310037</v>
      </c>
      <c r="BS24">
        <f t="shared" si="33"/>
        <v>0</v>
      </c>
      <c r="BT24">
        <f t="shared" si="12"/>
        <v>0</v>
      </c>
      <c r="BU24">
        <f t="shared" si="13"/>
        <v>0</v>
      </c>
      <c r="BV24">
        <f t="shared" si="14"/>
        <v>0</v>
      </c>
      <c r="BW24">
        <f t="shared" si="34"/>
        <v>0</v>
      </c>
      <c r="BX24" t="str">
        <f t="shared" si="35"/>
        <v/>
      </c>
      <c r="BY24" s="66" t="str">
        <f t="shared" si="15"/>
        <v/>
      </c>
      <c r="BZ24" t="str">
        <f t="shared" si="16"/>
        <v/>
      </c>
      <c r="CA24" s="67" t="str">
        <f t="shared" si="17"/>
        <v/>
      </c>
    </row>
    <row r="25" spans="1:79" x14ac:dyDescent="0.25">
      <c r="A25">
        <v>2281</v>
      </c>
      <c r="B25">
        <v>44</v>
      </c>
      <c r="C25">
        <v>10028</v>
      </c>
      <c r="D25" s="3">
        <f t="shared" si="48"/>
        <v>8.3333333333333332E-3</v>
      </c>
      <c r="E25" s="3">
        <f t="shared" si="48"/>
        <v>-0.87333333333333329</v>
      </c>
      <c r="F25">
        <f>IF(A25&gt;0,IF(F24=1,1,IF(B25=Data!$H$4,1,0)),"")</f>
        <v>0</v>
      </c>
      <c r="G25">
        <v>2281</v>
      </c>
      <c r="H25">
        <v>44</v>
      </c>
      <c r="I25">
        <v>10028</v>
      </c>
      <c r="J25" s="3">
        <v>8.3333333333333332E-3</v>
      </c>
      <c r="K25" s="3">
        <v>-0.87333333333333329</v>
      </c>
      <c r="L25">
        <v>7981</v>
      </c>
      <c r="M25">
        <v>49</v>
      </c>
      <c r="N25">
        <v>8925</v>
      </c>
      <c r="O25" s="3">
        <v>-8.3333333333333332E-3</v>
      </c>
      <c r="P25" s="3">
        <v>2.2991666666666668</v>
      </c>
      <c r="Q25" t="str">
        <f t="shared" si="18"/>
        <v/>
      </c>
      <c r="R25" s="4">
        <f t="shared" si="19"/>
        <v>44</v>
      </c>
      <c r="S25">
        <f t="shared" si="36"/>
        <v>2281</v>
      </c>
      <c r="T25">
        <f t="shared" si="49"/>
        <v>10022</v>
      </c>
      <c r="U25" s="4">
        <f t="shared" si="20"/>
        <v>49</v>
      </c>
      <c r="V25">
        <f t="shared" si="37"/>
        <v>7981</v>
      </c>
      <c r="W25">
        <f t="shared" si="38"/>
        <v>8906</v>
      </c>
      <c r="X25" t="str">
        <f t="shared" si="39"/>
        <v/>
      </c>
      <c r="Y25" t="str">
        <f t="shared" si="40"/>
        <v/>
      </c>
      <c r="Z25" t="str">
        <f t="shared" si="41"/>
        <v/>
      </c>
      <c r="AA25" t="str">
        <f t="shared" si="21"/>
        <v/>
      </c>
      <c r="AB25" t="str">
        <f t="shared" si="42"/>
        <v/>
      </c>
      <c r="AC25" t="str">
        <f t="shared" si="43"/>
        <v/>
      </c>
      <c r="AD25" t="str">
        <f t="shared" si="44"/>
        <v/>
      </c>
      <c r="AE25" t="str">
        <f t="shared" si="45"/>
        <v/>
      </c>
      <c r="AF25" s="72">
        <f>IF(AF24+$AF$1&gt;ROUND(Data!$H$4,0),AF24,AF24+$AF$1)</f>
        <v>48</v>
      </c>
      <c r="AG25">
        <f t="shared" si="22"/>
        <v>2761</v>
      </c>
      <c r="AH25">
        <f t="shared" si="23"/>
        <v>9542.1666666666661</v>
      </c>
      <c r="AI25">
        <f t="shared" si="24"/>
        <v>8101</v>
      </c>
      <c r="AJ25" s="67">
        <f t="shared" si="25"/>
        <v>9157.6666666666642</v>
      </c>
      <c r="AK25" s="4">
        <f t="shared" si="46"/>
        <v>27.300000000000033</v>
      </c>
      <c r="AL25">
        <f t="shared" si="26"/>
        <v>277.00000000000392</v>
      </c>
      <c r="AM25">
        <f t="shared" si="27"/>
        <v>11818.433333333332</v>
      </c>
      <c r="AN25">
        <f>IF($AK24+$AK$1&lt;=Data!$H$4-0.5,AVERAGE(AM23:AM27),AN24)</f>
        <v>11818.433333333332</v>
      </c>
      <c r="AO25">
        <f t="shared" si="28"/>
        <v>10584.999999999996</v>
      </c>
      <c r="AP25">
        <f t="shared" si="47"/>
        <v>11270.178571428569</v>
      </c>
      <c r="AQ25">
        <f>IF($AK24+$AK$1&lt;=Data!$H$4-0.5,AVERAGE(AP23:AP27),AQ24)</f>
        <v>11270.178571428569</v>
      </c>
      <c r="AR25">
        <f>IF($AK24+$AK$1&lt;=Data!$H$4-0.5,SLOPE($AN21:$AN29,$AK21:$AK29),AR24)</f>
        <v>-57.33333333333433</v>
      </c>
      <c r="AS25">
        <f>IF($AK24+$AK$1&lt;=Data!$H$4-0.5,SLOPE($AQ21:$AQ29,$AK21:$AK29),AS24)</f>
        <v>-108.15714285714509</v>
      </c>
      <c r="AT25" t="str">
        <f>IF(AND($AK25&gt;=Results!$G$13,$AK25&lt;=Results!$G$14),Curves!AR25,"")</f>
        <v/>
      </c>
      <c r="AU25" t="str">
        <f>IF(AND($AK25&gt;=Results!$G$13,$AK25&lt;=Results!$G$14),Curves!AS25,"")</f>
        <v/>
      </c>
      <c r="AV25" t="str">
        <f t="shared" si="29"/>
        <v/>
      </c>
      <c r="AW25" t="str">
        <f>IF(AND($AK25&lt;=Results!$I$21,$AK25&gt;=Results!$I$20,$AK25&lt;=Results!$F$4),$AN25,"")</f>
        <v/>
      </c>
      <c r="AX25" t="str">
        <f t="shared" si="29"/>
        <v/>
      </c>
      <c r="AY25" t="str">
        <f>IF(AND($AK25&lt;=Results!$I$23,$AK25&gt;=Results!$I$22,$AK25&gt;=Results!$F$4),$AN25,"")</f>
        <v/>
      </c>
      <c r="AZ25" t="str">
        <f t="shared" si="0"/>
        <v/>
      </c>
      <c r="BA25" t="str">
        <f>IF(AND($AK25&lt;=Results!$I$27,$AK25&gt;=Results!$I$26,$AK25&lt;=Results!$F$4),$AQ25,"")</f>
        <v/>
      </c>
      <c r="BB25" t="str">
        <f t="shared" si="1"/>
        <v/>
      </c>
      <c r="BC25" t="str">
        <f>IF(AND($AK25&lt;=Results!$I$29,$AK25&gt;=Results!$I$28,$AK25&gt;=Results!$F$4),$AQ25,"")</f>
        <v/>
      </c>
      <c r="BD25">
        <f t="shared" si="2"/>
        <v>11818.964541176532</v>
      </c>
      <c r="BE25">
        <f t="shared" si="3"/>
        <v>2569.7987058759618</v>
      </c>
      <c r="BF25">
        <f t="shared" si="30"/>
        <v>11195.082796638642</v>
      </c>
      <c r="BG25">
        <f t="shared" si="4"/>
        <v>1388.4223752311905</v>
      </c>
      <c r="BH25">
        <f t="shared" si="5"/>
        <v>0</v>
      </c>
      <c r="BI25">
        <f t="shared" si="6"/>
        <v>0.99994256694574857</v>
      </c>
      <c r="BJ25">
        <f t="shared" si="7"/>
        <v>1.0076576297702728</v>
      </c>
      <c r="BK25">
        <f t="shared" si="8"/>
        <v>5.1930122212317338E-3</v>
      </c>
      <c r="BL25">
        <f t="shared" si="9"/>
        <v>-8.9158832316337117E-3</v>
      </c>
      <c r="BM25">
        <f t="shared" si="31"/>
        <v>120.00000000000001</v>
      </c>
      <c r="BN25">
        <f t="shared" si="32"/>
        <v>-119.99999999999831</v>
      </c>
      <c r="BO25">
        <f>Data!$H$2*(1-BI25)*(1-BI25/Data!$H$3)*BM25</f>
        <v>7.9165337295551194E-13</v>
      </c>
      <c r="BP25">
        <f t="shared" si="10"/>
        <v>-119.99310803348985</v>
      </c>
      <c r="BQ25">
        <f>Data!$H$2*(1-BJ25)*(1-BJ25/Data!$H$3)*BN25</f>
        <v>-1.4073430487656346E-8</v>
      </c>
      <c r="BR25">
        <f t="shared" si="11"/>
        <v>120.91891557243103</v>
      </c>
      <c r="BS25">
        <f t="shared" si="33"/>
        <v>0</v>
      </c>
      <c r="BT25">
        <f t="shared" si="12"/>
        <v>0</v>
      </c>
      <c r="BU25">
        <f t="shared" si="13"/>
        <v>0</v>
      </c>
      <c r="BV25">
        <f t="shared" si="14"/>
        <v>0</v>
      </c>
      <c r="BW25">
        <f t="shared" si="34"/>
        <v>0</v>
      </c>
      <c r="BX25" t="str">
        <f t="shared" si="35"/>
        <v/>
      </c>
      <c r="BY25" s="66" t="str">
        <f t="shared" si="15"/>
        <v/>
      </c>
      <c r="BZ25" t="str">
        <f t="shared" si="16"/>
        <v/>
      </c>
      <c r="CA25" s="67" t="str">
        <f t="shared" si="17"/>
        <v/>
      </c>
    </row>
    <row r="26" spans="1:79" x14ac:dyDescent="0.25">
      <c r="A26">
        <v>2341</v>
      </c>
      <c r="B26">
        <v>44.5</v>
      </c>
      <c r="C26">
        <v>9968</v>
      </c>
      <c r="D26" s="3">
        <f t="shared" si="48"/>
        <v>8.3333333333333332E-3</v>
      </c>
      <c r="E26" s="3">
        <f t="shared" si="48"/>
        <v>-0.86333333333333329</v>
      </c>
      <c r="F26">
        <f>IF(A26&gt;0,IF(F25=1,1,IF(B26=Data!$H$4,1,0)),"")</f>
        <v>0</v>
      </c>
      <c r="G26">
        <v>2341</v>
      </c>
      <c r="H26">
        <v>44.5</v>
      </c>
      <c r="I26">
        <v>9968</v>
      </c>
      <c r="J26" s="3">
        <v>8.3333333333333332E-3</v>
      </c>
      <c r="K26" s="3">
        <v>-0.86333333333333329</v>
      </c>
      <c r="L26">
        <v>7861</v>
      </c>
      <c r="M26">
        <v>50</v>
      </c>
      <c r="N26">
        <v>8625</v>
      </c>
      <c r="O26" s="3">
        <v>-8.3333333333333332E-3</v>
      </c>
      <c r="P26" s="3">
        <v>2.7275</v>
      </c>
      <c r="Q26" t="str">
        <f t="shared" si="18"/>
        <v/>
      </c>
      <c r="R26" s="4">
        <f t="shared" si="19"/>
        <v>45</v>
      </c>
      <c r="S26">
        <f t="shared" si="36"/>
        <v>2401</v>
      </c>
      <c r="T26">
        <f t="shared" si="49"/>
        <v>9919.6666666666661</v>
      </c>
      <c r="U26" s="4">
        <f t="shared" si="20"/>
        <v>50</v>
      </c>
      <c r="V26">
        <f t="shared" si="37"/>
        <v>7861</v>
      </c>
      <c r="W26">
        <f t="shared" si="38"/>
        <v>8607.3333333333358</v>
      </c>
      <c r="X26" t="str">
        <f t="shared" si="39"/>
        <v/>
      </c>
      <c r="Y26" t="str">
        <f t="shared" si="40"/>
        <v/>
      </c>
      <c r="Z26" t="str">
        <f t="shared" si="41"/>
        <v/>
      </c>
      <c r="AA26" t="str">
        <f t="shared" si="21"/>
        <v/>
      </c>
      <c r="AB26" t="str">
        <f t="shared" si="42"/>
        <v/>
      </c>
      <c r="AC26" t="str">
        <f t="shared" si="43"/>
        <v/>
      </c>
      <c r="AD26" t="str">
        <f t="shared" si="44"/>
        <v/>
      </c>
      <c r="AE26" t="str">
        <f t="shared" si="45"/>
        <v/>
      </c>
      <c r="AF26" s="72">
        <f>IF(AF25+$AF$1&gt;ROUND(Data!$H$4,0),AF25,AF25+$AF$1)</f>
        <v>49</v>
      </c>
      <c r="AG26">
        <f t="shared" si="22"/>
        <v>2881</v>
      </c>
      <c r="AH26">
        <f t="shared" si="23"/>
        <v>9399.3333333333339</v>
      </c>
      <c r="AI26">
        <f t="shared" si="24"/>
        <v>7981</v>
      </c>
      <c r="AJ26" s="67">
        <f t="shared" si="25"/>
        <v>8906</v>
      </c>
      <c r="AK26" s="4">
        <f t="shared" si="46"/>
        <v>27.400000000000034</v>
      </c>
      <c r="AL26">
        <f t="shared" si="26"/>
        <v>289.00000000000409</v>
      </c>
      <c r="AM26">
        <f t="shared" si="27"/>
        <v>11812.466666666665</v>
      </c>
      <c r="AN26">
        <f>IF($AK25+$AK$1&lt;=Data!$H$4-0.5,AVERAGE(AM24:AM28),AN25)</f>
        <v>11812.466666666665</v>
      </c>
      <c r="AO26">
        <f t="shared" si="28"/>
        <v>10572.999999999996</v>
      </c>
      <c r="AP26">
        <f t="shared" si="47"/>
        <v>11261.928571428567</v>
      </c>
      <c r="AQ26">
        <f>IF($AK25+$AK$1&lt;=Data!$H$4-0.5,AVERAGE(AP24:AP28),AQ25)</f>
        <v>11261.928571428567</v>
      </c>
      <c r="AR26">
        <f>IF($AK25+$AK$1&lt;=Data!$H$4-0.5,SLOPE($AN22:$AN30,$AK22:$AK30),AR25)</f>
        <v>-58.666666666667652</v>
      </c>
      <c r="AS26">
        <f>IF($AK25+$AK$1&lt;=Data!$H$4-0.5,SLOPE($AQ22:$AQ30,$AK22:$AK30),AS25)</f>
        <v>-94.816666666667999</v>
      </c>
      <c r="AT26" t="str">
        <f>IF(AND($AK26&gt;=Results!$G$13,$AK26&lt;=Results!$G$14),Curves!AR26,"")</f>
        <v/>
      </c>
      <c r="AU26" t="str">
        <f>IF(AND($AK26&gt;=Results!$G$13,$AK26&lt;=Results!$G$14),Curves!AS26,"")</f>
        <v/>
      </c>
      <c r="AV26" t="str">
        <f t="shared" si="29"/>
        <v/>
      </c>
      <c r="AW26" t="str">
        <f>IF(AND($AK26&lt;=Results!$I$21,$AK26&gt;=Results!$I$20,$AK26&lt;=Results!$F$4),$AN26,"")</f>
        <v/>
      </c>
      <c r="AX26" t="str">
        <f t="shared" si="29"/>
        <v/>
      </c>
      <c r="AY26" t="str">
        <f>IF(AND($AK26&lt;=Results!$I$23,$AK26&gt;=Results!$I$22,$AK26&gt;=Results!$F$4),$AN26,"")</f>
        <v/>
      </c>
      <c r="AZ26" t="str">
        <f t="shared" si="0"/>
        <v/>
      </c>
      <c r="BA26" t="str">
        <f>IF(AND($AK26&lt;=Results!$I$27,$AK26&gt;=Results!$I$26,$AK26&lt;=Results!$F$4),$AQ26,"")</f>
        <v/>
      </c>
      <c r="BB26" t="str">
        <f t="shared" si="1"/>
        <v/>
      </c>
      <c r="BC26" t="str">
        <f>IF(AND($AK26&lt;=Results!$I$29,$AK26&gt;=Results!$I$28,$AK26&gt;=Results!$F$4),$AQ26,"")</f>
        <v/>
      </c>
      <c r="BD26">
        <f t="shared" si="2"/>
        <v>11808.194346378612</v>
      </c>
      <c r="BE26">
        <f t="shared" si="3"/>
        <v>2566.4829166266409</v>
      </c>
      <c r="BF26">
        <f t="shared" si="30"/>
        <v>11187.79281440575</v>
      </c>
      <c r="BG26">
        <f t="shared" si="4"/>
        <v>1387.8715742716654</v>
      </c>
      <c r="BH26">
        <f t="shared" si="5"/>
        <v>0</v>
      </c>
      <c r="BI26">
        <f t="shared" si="6"/>
        <v>1.0004622867009567</v>
      </c>
      <c r="BJ26">
        <f t="shared" si="7"/>
        <v>1.0075649339628574</v>
      </c>
      <c r="BK26">
        <f t="shared" si="8"/>
        <v>5.2013930188259767E-3</v>
      </c>
      <c r="BL26">
        <f t="shared" si="9"/>
        <v>-9.2759596064027948E-4</v>
      </c>
      <c r="BM26">
        <f t="shared" si="31"/>
        <v>120</v>
      </c>
      <c r="BN26">
        <f t="shared" si="32"/>
        <v>-119.99999999999829</v>
      </c>
      <c r="BO26">
        <f>Data!$H$2*(1-BI26)*(1-BI26/Data!$H$3)*BM26</f>
        <v>5.1290158531546493E-11</v>
      </c>
      <c r="BP26">
        <f t="shared" si="10"/>
        <v>-120.0554744041148</v>
      </c>
      <c r="BQ26">
        <f>Data!$H$2*(1-BJ26)*(1-BJ26/Data!$H$3)*BN26</f>
        <v>-1.3734774206974216E-8</v>
      </c>
      <c r="BR26">
        <f t="shared" si="11"/>
        <v>120.90779207554117</v>
      </c>
      <c r="BS26">
        <f t="shared" si="33"/>
        <v>0</v>
      </c>
      <c r="BT26">
        <f t="shared" si="12"/>
        <v>0</v>
      </c>
      <c r="BU26">
        <f t="shared" si="13"/>
        <v>0</v>
      </c>
      <c r="BV26">
        <f t="shared" si="14"/>
        <v>0</v>
      </c>
      <c r="BW26">
        <f t="shared" si="34"/>
        <v>0</v>
      </c>
      <c r="BX26" t="str">
        <f t="shared" si="35"/>
        <v/>
      </c>
      <c r="BY26" s="66" t="str">
        <f t="shared" si="15"/>
        <v/>
      </c>
      <c r="BZ26" t="str">
        <f t="shared" si="16"/>
        <v/>
      </c>
      <c r="CA26" s="67" t="str">
        <f t="shared" si="17"/>
        <v/>
      </c>
    </row>
    <row r="27" spans="1:79" x14ac:dyDescent="0.25">
      <c r="A27">
        <v>2401</v>
      </c>
      <c r="B27">
        <v>45</v>
      </c>
      <c r="C27">
        <v>9922</v>
      </c>
      <c r="D27" s="3">
        <f t="shared" si="48"/>
        <v>8.3333333333333332E-3</v>
      </c>
      <c r="E27" s="3">
        <f t="shared" si="48"/>
        <v>-0.91333333333333333</v>
      </c>
      <c r="F27">
        <f>IF(A27&gt;0,IF(F26=1,1,IF(B27=Data!$H$4,1,0)),"")</f>
        <v>0</v>
      </c>
      <c r="G27">
        <v>2401</v>
      </c>
      <c r="H27">
        <v>45</v>
      </c>
      <c r="I27">
        <v>9922</v>
      </c>
      <c r="J27" s="3">
        <v>8.3333333333333332E-3</v>
      </c>
      <c r="K27" s="3">
        <v>-0.91333333333333333</v>
      </c>
      <c r="L27">
        <v>7741</v>
      </c>
      <c r="M27">
        <v>51</v>
      </c>
      <c r="N27">
        <v>8272</v>
      </c>
      <c r="O27" s="3">
        <v>-8.3333333333333332E-3</v>
      </c>
      <c r="P27" s="3">
        <v>3.2225000000000001</v>
      </c>
      <c r="Q27" t="str">
        <f t="shared" si="18"/>
        <v/>
      </c>
      <c r="R27" s="4">
        <f t="shared" si="19"/>
        <v>45</v>
      </c>
      <c r="S27">
        <f t="shared" si="36"/>
        <v>2401</v>
      </c>
      <c r="T27">
        <f t="shared" si="49"/>
        <v>9918</v>
      </c>
      <c r="U27" s="4">
        <f t="shared" si="20"/>
        <v>51</v>
      </c>
      <c r="V27">
        <f t="shared" si="37"/>
        <v>7741</v>
      </c>
      <c r="W27">
        <f t="shared" si="38"/>
        <v>8251.6666666666642</v>
      </c>
      <c r="X27" t="str">
        <f t="shared" si="39"/>
        <v/>
      </c>
      <c r="Y27" t="str">
        <f t="shared" si="40"/>
        <v/>
      </c>
      <c r="Z27" t="str">
        <f t="shared" si="41"/>
        <v/>
      </c>
      <c r="AA27" t="str">
        <f t="shared" si="21"/>
        <v/>
      </c>
      <c r="AB27" t="str">
        <f t="shared" si="42"/>
        <v/>
      </c>
      <c r="AC27" t="str">
        <f t="shared" si="43"/>
        <v/>
      </c>
      <c r="AD27" t="str">
        <f t="shared" si="44"/>
        <v/>
      </c>
      <c r="AE27" t="str">
        <f t="shared" si="45"/>
        <v/>
      </c>
      <c r="AF27" s="72">
        <f>IF(AF26+$AF$1&gt;ROUND(Data!$H$4,0),AF26,AF26+$AF$1)</f>
        <v>50</v>
      </c>
      <c r="AG27">
        <f t="shared" si="22"/>
        <v>3001</v>
      </c>
      <c r="AH27">
        <f t="shared" si="23"/>
        <v>9235.3333333333358</v>
      </c>
      <c r="AI27">
        <f t="shared" si="24"/>
        <v>7861</v>
      </c>
      <c r="AJ27" s="67">
        <f t="shared" si="25"/>
        <v>8607.3333333333358</v>
      </c>
      <c r="AK27" s="4">
        <f t="shared" si="46"/>
        <v>27.500000000000036</v>
      </c>
      <c r="AL27">
        <f t="shared" si="26"/>
        <v>301.00000000000426</v>
      </c>
      <c r="AM27">
        <f t="shared" si="27"/>
        <v>11806.499999999998</v>
      </c>
      <c r="AN27">
        <f>IF($AK26+$AK$1&lt;=Data!$H$4-0.5,AVERAGE(AM25:AM29),AN26)</f>
        <v>11806.499999999998</v>
      </c>
      <c r="AO27">
        <f t="shared" si="28"/>
        <v>10560.999999999996</v>
      </c>
      <c r="AP27">
        <f t="shared" si="47"/>
        <v>11253.678571428567</v>
      </c>
      <c r="AQ27">
        <f>IF($AK26+$AK$1&lt;=Data!$H$4-0.5,AVERAGE(AP25:AP29),AQ26)</f>
        <v>11253.678571428567</v>
      </c>
      <c r="AR27">
        <f>IF($AK26+$AK$1&lt;=Data!$H$4-0.5,SLOPE($AN23:$AN31,$AK23:$AK31),AR26)</f>
        <v>-59.57333333333559</v>
      </c>
      <c r="AS27">
        <f>IF($AK26+$AK$1&lt;=Data!$H$4-0.5,SLOPE($AQ23:$AQ31,$AK23:$AK31),AS26)</f>
        <v>-81.489841269841293</v>
      </c>
      <c r="AT27" t="str">
        <f>IF(AND($AK27&gt;=Results!$G$13,$AK27&lt;=Results!$G$14),Curves!AR27,"")</f>
        <v/>
      </c>
      <c r="AU27" t="str">
        <f>IF(AND($AK27&gt;=Results!$G$13,$AK27&lt;=Results!$G$14),Curves!AS27,"")</f>
        <v/>
      </c>
      <c r="AV27" t="str">
        <f t="shared" si="29"/>
        <v/>
      </c>
      <c r="AW27" t="str">
        <f>IF(AND($AK27&lt;=Results!$I$21,$AK27&gt;=Results!$I$20,$AK27&lt;=Results!$F$4),$AN27,"")</f>
        <v/>
      </c>
      <c r="AX27" t="str">
        <f t="shared" si="29"/>
        <v/>
      </c>
      <c r="AY27" t="str">
        <f>IF(AND($AK27&lt;=Results!$I$23,$AK27&gt;=Results!$I$22,$AK27&gt;=Results!$F$4),$AN27,"")</f>
        <v/>
      </c>
      <c r="AZ27" t="str">
        <f t="shared" si="0"/>
        <v/>
      </c>
      <c r="BA27" t="str">
        <f>IF(AND($AK27&lt;=Results!$I$27,$AK27&gt;=Results!$I$26,$AK27&lt;=Results!$F$4),$AQ27,"")</f>
        <v/>
      </c>
      <c r="BB27" t="str">
        <f t="shared" si="1"/>
        <v/>
      </c>
      <c r="BC27" t="str">
        <f>IF(AND($AK27&lt;=Results!$I$29,$AK27&gt;=Results!$I$28,$AK27&gt;=Results!$F$4),$AQ27,"")</f>
        <v/>
      </c>
      <c r="BD27">
        <f t="shared" si="2"/>
        <v>11797.424151580693</v>
      </c>
      <c r="BE27">
        <f t="shared" si="3"/>
        <v>2563.16712737732</v>
      </c>
      <c r="BF27">
        <f t="shared" si="30"/>
        <v>11180.502832172857</v>
      </c>
      <c r="BG27">
        <f t="shared" si="4"/>
        <v>1387.3207733121403</v>
      </c>
      <c r="BH27">
        <f t="shared" si="5"/>
        <v>0</v>
      </c>
      <c r="BI27">
        <f t="shared" si="6"/>
        <v>1.0009828455495138</v>
      </c>
      <c r="BJ27">
        <f t="shared" si="7"/>
        <v>1.0074721105781448</v>
      </c>
      <c r="BK27">
        <f t="shared" si="8"/>
        <v>5.2097941209682634E-3</v>
      </c>
      <c r="BL27">
        <f t="shared" si="9"/>
        <v>-9.288730514045309E-4</v>
      </c>
      <c r="BM27">
        <f t="shared" si="31"/>
        <v>120.00000000000001</v>
      </c>
      <c r="BN27">
        <f t="shared" si="32"/>
        <v>-119.99999999999831</v>
      </c>
      <c r="BO27">
        <f>Data!$H$2*(1-BI27)*(1-BI27/Data!$H$3)*BM27</f>
        <v>2.3183648980776956E-10</v>
      </c>
      <c r="BP27">
        <f t="shared" si="10"/>
        <v>-120.11794146594167</v>
      </c>
      <c r="BQ27">
        <f>Data!$H$2*(1-BJ27)*(1-BJ27/Data!$H$3)*BN27</f>
        <v>-1.3399784758085382E-8</v>
      </c>
      <c r="BR27">
        <f t="shared" si="11"/>
        <v>120.89665326937568</v>
      </c>
      <c r="BS27">
        <f t="shared" si="33"/>
        <v>0</v>
      </c>
      <c r="BT27">
        <f t="shared" si="12"/>
        <v>0</v>
      </c>
      <c r="BU27">
        <f t="shared" si="13"/>
        <v>0</v>
      </c>
      <c r="BV27">
        <f t="shared" si="14"/>
        <v>0</v>
      </c>
      <c r="BW27">
        <f t="shared" si="34"/>
        <v>0</v>
      </c>
      <c r="BX27" t="str">
        <f t="shared" si="35"/>
        <v/>
      </c>
      <c r="BY27" s="66" t="str">
        <f t="shared" si="15"/>
        <v/>
      </c>
      <c r="BZ27" t="str">
        <f t="shared" si="16"/>
        <v/>
      </c>
      <c r="CA27" s="67" t="str">
        <f t="shared" si="17"/>
        <v/>
      </c>
    </row>
    <row r="28" spans="1:79" x14ac:dyDescent="0.25">
      <c r="A28">
        <v>2461</v>
      </c>
      <c r="B28">
        <v>45.5</v>
      </c>
      <c r="C28">
        <v>9864</v>
      </c>
      <c r="D28" s="3">
        <f t="shared" si="48"/>
        <v>8.3333333333333332E-3</v>
      </c>
      <c r="E28" s="3">
        <f t="shared" si="48"/>
        <v>-0.93666666666666665</v>
      </c>
      <c r="F28">
        <f>IF(A28&gt;0,IF(F27=1,1,IF(B28=Data!$H$4,1,0)),"")</f>
        <v>0</v>
      </c>
      <c r="G28">
        <v>2461</v>
      </c>
      <c r="H28">
        <v>45.5</v>
      </c>
      <c r="I28">
        <v>9864</v>
      </c>
      <c r="J28" s="3">
        <v>8.3333333333333332E-3</v>
      </c>
      <c r="K28" s="3">
        <v>-0.93666666666666665</v>
      </c>
      <c r="L28">
        <v>7621</v>
      </c>
      <c r="M28">
        <v>52</v>
      </c>
      <c r="N28">
        <v>7858</v>
      </c>
      <c r="O28" s="3">
        <v>-8.3333333333333332E-3</v>
      </c>
      <c r="P28" s="3">
        <v>3.7841666666666667</v>
      </c>
      <c r="Q28" t="str">
        <f t="shared" si="18"/>
        <v/>
      </c>
      <c r="R28" s="4">
        <f t="shared" si="19"/>
        <v>46</v>
      </c>
      <c r="S28">
        <f t="shared" si="36"/>
        <v>2521</v>
      </c>
      <c r="T28">
        <f t="shared" si="49"/>
        <v>9806</v>
      </c>
      <c r="U28" s="4">
        <f t="shared" si="20"/>
        <v>52</v>
      </c>
      <c r="V28">
        <f t="shared" si="37"/>
        <v>7621</v>
      </c>
      <c r="W28">
        <f t="shared" si="38"/>
        <v>7835</v>
      </c>
      <c r="X28" t="str">
        <f t="shared" si="39"/>
        <v/>
      </c>
      <c r="Y28" t="str">
        <f t="shared" si="40"/>
        <v/>
      </c>
      <c r="Z28" t="str">
        <f t="shared" si="41"/>
        <v/>
      </c>
      <c r="AA28" t="str">
        <f t="shared" si="21"/>
        <v/>
      </c>
      <c r="AB28" t="str">
        <f t="shared" si="42"/>
        <v/>
      </c>
      <c r="AC28" t="str">
        <f t="shared" si="43"/>
        <v/>
      </c>
      <c r="AD28" t="str">
        <f t="shared" si="44"/>
        <v/>
      </c>
      <c r="AE28" t="str">
        <f t="shared" si="45"/>
        <v/>
      </c>
      <c r="AF28" s="72">
        <f>IF(AF27+$AF$1&gt;ROUND(Data!$H$4,0),AF27,AF27+$AF$1)</f>
        <v>51</v>
      </c>
      <c r="AG28">
        <f t="shared" si="22"/>
        <v>3121</v>
      </c>
      <c r="AH28">
        <f t="shared" si="23"/>
        <v>9034.3333333333358</v>
      </c>
      <c r="AI28">
        <f t="shared" si="24"/>
        <v>7741</v>
      </c>
      <c r="AJ28" s="67">
        <f t="shared" si="25"/>
        <v>8251.6666666666642</v>
      </c>
      <c r="AK28" s="4">
        <f t="shared" si="46"/>
        <v>27.600000000000037</v>
      </c>
      <c r="AL28">
        <f t="shared" si="26"/>
        <v>313.00000000000443</v>
      </c>
      <c r="AM28">
        <f t="shared" si="27"/>
        <v>11800.533333333331</v>
      </c>
      <c r="AN28">
        <f>IF($AK27+$AK$1&lt;=Data!$H$4-0.5,AVERAGE(AM26:AM30),AN27)</f>
        <v>11800.533333333331</v>
      </c>
      <c r="AO28">
        <f t="shared" si="28"/>
        <v>10548.999999999996</v>
      </c>
      <c r="AP28">
        <f t="shared" si="47"/>
        <v>11245.428571428567</v>
      </c>
      <c r="AQ28">
        <f>IF($AK27+$AK$1&lt;=Data!$H$4-0.5,AVERAGE(AP26:AP30),AQ27)</f>
        <v>11245.428571428567</v>
      </c>
      <c r="AR28">
        <f>IF($AK27+$AK$1&lt;=Data!$H$4-0.5,SLOPE($AN24:$AN32,$AK24:$AK32),AR27)</f>
        <v>-60.316666666668773</v>
      </c>
      <c r="AS28">
        <f>IF($AK27+$AK$1&lt;=Data!$H$4-0.5,SLOPE($AQ24:$AQ32,$AK24:$AK32),AS27)</f>
        <v>-68.203968253967346</v>
      </c>
      <c r="AT28" t="str">
        <f>IF(AND($AK28&gt;=Results!$G$13,$AK28&lt;=Results!$G$14),Curves!AR28,"")</f>
        <v/>
      </c>
      <c r="AU28" t="str">
        <f>IF(AND($AK28&gt;=Results!$G$13,$AK28&lt;=Results!$G$14),Curves!AS28,"")</f>
        <v/>
      </c>
      <c r="AV28" t="str">
        <f t="shared" si="29"/>
        <v/>
      </c>
      <c r="AW28" t="str">
        <f>IF(AND($AK28&lt;=Results!$I$21,$AK28&gt;=Results!$I$20,$AK28&lt;=Results!$F$4),$AN28,"")</f>
        <v/>
      </c>
      <c r="AX28" t="str">
        <f t="shared" si="29"/>
        <v/>
      </c>
      <c r="AY28" t="str">
        <f>IF(AND($AK28&lt;=Results!$I$23,$AK28&gt;=Results!$I$22,$AK28&gt;=Results!$F$4),$AN28,"")</f>
        <v/>
      </c>
      <c r="AZ28" t="str">
        <f t="shared" si="0"/>
        <v/>
      </c>
      <c r="BA28" t="str">
        <f>IF(AND($AK28&lt;=Results!$I$27,$AK28&gt;=Results!$I$26,$AK28&lt;=Results!$F$4),$AQ28,"")</f>
        <v/>
      </c>
      <c r="BB28" t="str">
        <f t="shared" si="1"/>
        <v/>
      </c>
      <c r="BC28" t="str">
        <f>IF(AND($AK28&lt;=Results!$I$29,$AK28&gt;=Results!$I$28,$AK28&gt;=Results!$F$4),$AQ28,"")</f>
        <v/>
      </c>
      <c r="BD28">
        <f t="shared" si="2"/>
        <v>11786.653956782773</v>
      </c>
      <c r="BE28">
        <f t="shared" si="3"/>
        <v>2559.851338127999</v>
      </c>
      <c r="BF28">
        <f t="shared" si="30"/>
        <v>11173.212849939962</v>
      </c>
      <c r="BG28">
        <f t="shared" si="4"/>
        <v>1386.7699723526155</v>
      </c>
      <c r="BH28">
        <f t="shared" si="5"/>
        <v>0</v>
      </c>
      <c r="BI28">
        <f t="shared" si="6"/>
        <v>1.0015042455251504</v>
      </c>
      <c r="BJ28">
        <f t="shared" si="7"/>
        <v>1.0073791593525765</v>
      </c>
      <c r="BK28">
        <f t="shared" si="8"/>
        <v>5.2182155933021921E-3</v>
      </c>
      <c r="BL28">
        <f t="shared" si="9"/>
        <v>-9.3015278138651523E-4</v>
      </c>
      <c r="BM28">
        <f t="shared" si="31"/>
        <v>119.99999999999997</v>
      </c>
      <c r="BN28">
        <f t="shared" si="32"/>
        <v>-120.00000000000739</v>
      </c>
      <c r="BO28">
        <f>Data!$H$2*(1-BI28)*(1-BI28/Data!$H$3)*BM28</f>
        <v>5.430611039843881E-10</v>
      </c>
      <c r="BP28">
        <f t="shared" si="10"/>
        <v>-120.18050946301801</v>
      </c>
      <c r="BQ28">
        <f>Data!$H$2*(1-BJ28)*(1-BJ28/Data!$H$3)*BN28</f>
        <v>-1.3068478260172911E-8</v>
      </c>
      <c r="BR28">
        <f t="shared" si="11"/>
        <v>120.88549912231662</v>
      </c>
      <c r="BS28">
        <f t="shared" si="33"/>
        <v>0</v>
      </c>
      <c r="BT28">
        <f t="shared" si="12"/>
        <v>0</v>
      </c>
      <c r="BU28">
        <f t="shared" si="13"/>
        <v>0</v>
      </c>
      <c r="BV28">
        <f t="shared" si="14"/>
        <v>0</v>
      </c>
      <c r="BW28">
        <f t="shared" si="34"/>
        <v>0</v>
      </c>
      <c r="BX28" t="str">
        <f t="shared" si="35"/>
        <v/>
      </c>
      <c r="BY28" s="66" t="str">
        <f t="shared" si="15"/>
        <v/>
      </c>
      <c r="BZ28" t="str">
        <f t="shared" si="16"/>
        <v/>
      </c>
      <c r="CA28" s="67" t="str">
        <f t="shared" si="17"/>
        <v/>
      </c>
    </row>
    <row r="29" spans="1:79" x14ac:dyDescent="0.25">
      <c r="A29">
        <v>2521</v>
      </c>
      <c r="B29">
        <v>46</v>
      </c>
      <c r="C29">
        <v>9806</v>
      </c>
      <c r="D29" s="3">
        <f t="shared" si="48"/>
        <v>8.3333333333333332E-3</v>
      </c>
      <c r="E29" s="3">
        <f t="shared" si="48"/>
        <v>-1.0149999999999999</v>
      </c>
      <c r="F29">
        <f>IF(A29&gt;0,IF(F28=1,1,IF(B29=Data!$H$4,1,0)),"")</f>
        <v>0</v>
      </c>
      <c r="G29">
        <v>2521</v>
      </c>
      <c r="H29">
        <v>46</v>
      </c>
      <c r="I29">
        <v>9806</v>
      </c>
      <c r="J29" s="3">
        <v>8.3333333333333332E-3</v>
      </c>
      <c r="K29" s="3">
        <v>-1.0149999999999999</v>
      </c>
      <c r="L29">
        <v>7501</v>
      </c>
      <c r="M29">
        <v>53</v>
      </c>
      <c r="N29">
        <v>7375</v>
      </c>
      <c r="O29" s="3">
        <v>-8.3333333333333332E-3</v>
      </c>
      <c r="P29" s="3">
        <v>4.3858333333333333</v>
      </c>
      <c r="Q29" t="str">
        <f t="shared" si="18"/>
        <v/>
      </c>
      <c r="R29" s="4">
        <f t="shared" si="19"/>
        <v>46</v>
      </c>
      <c r="S29">
        <f t="shared" si="36"/>
        <v>2521</v>
      </c>
      <c r="T29">
        <f t="shared" si="49"/>
        <v>9805</v>
      </c>
      <c r="U29" s="4">
        <f t="shared" si="20"/>
        <v>53</v>
      </c>
      <c r="V29">
        <f t="shared" si="37"/>
        <v>7501</v>
      </c>
      <c r="W29">
        <f t="shared" si="38"/>
        <v>7345.3333333333358</v>
      </c>
      <c r="X29" t="str">
        <f t="shared" si="39"/>
        <v/>
      </c>
      <c r="Y29" t="str">
        <f t="shared" si="40"/>
        <v/>
      </c>
      <c r="Z29" t="str">
        <f t="shared" si="41"/>
        <v/>
      </c>
      <c r="AA29" t="str">
        <f t="shared" si="21"/>
        <v/>
      </c>
      <c r="AB29" t="str">
        <f t="shared" si="42"/>
        <v/>
      </c>
      <c r="AC29" t="str">
        <f t="shared" si="43"/>
        <v/>
      </c>
      <c r="AD29" t="str">
        <f t="shared" si="44"/>
        <v/>
      </c>
      <c r="AE29" t="str">
        <f t="shared" si="45"/>
        <v/>
      </c>
      <c r="AF29" s="72">
        <f>IF(AF28+$AF$1&gt;ROUND(Data!$H$4,0),AF28,AF28+$AF$1)</f>
        <v>52</v>
      </c>
      <c r="AG29">
        <f t="shared" si="22"/>
        <v>3241</v>
      </c>
      <c r="AH29">
        <f t="shared" si="23"/>
        <v>8778.6666666666642</v>
      </c>
      <c r="AI29">
        <f t="shared" si="24"/>
        <v>7621</v>
      </c>
      <c r="AJ29" s="67">
        <f t="shared" si="25"/>
        <v>7835</v>
      </c>
      <c r="AK29" s="4">
        <f t="shared" si="46"/>
        <v>27.700000000000038</v>
      </c>
      <c r="AL29">
        <f t="shared" si="26"/>
        <v>325.0000000000046</v>
      </c>
      <c r="AM29">
        <f t="shared" si="27"/>
        <v>11794.566666666664</v>
      </c>
      <c r="AN29">
        <f>IF($AK28+$AK$1&lt;=Data!$H$4-0.5,AVERAGE(AM27:AM31),AN28)</f>
        <v>11794.566666666664</v>
      </c>
      <c r="AO29">
        <f t="shared" si="28"/>
        <v>10536.999999999995</v>
      </c>
      <c r="AP29">
        <f t="shared" si="47"/>
        <v>11237.178571428567</v>
      </c>
      <c r="AQ29">
        <f>IF($AK28+$AK$1&lt;=Data!$H$4-0.5,AVERAGE(AP27:AP31),AQ28)</f>
        <v>11237.178571428567</v>
      </c>
      <c r="AR29">
        <f>IF($AK28+$AK$1&lt;=Data!$H$4-0.5,SLOPE($AN25:$AN33,$AK25:$AK33),AR28)</f>
        <v>-61.183333333336471</v>
      </c>
      <c r="AS29">
        <f>IF($AK28+$AK$1&lt;=Data!$H$4-0.5,SLOPE($AQ25:$AQ33,$AK25:$AK33),AS28)</f>
        <v>-54.99999999999951</v>
      </c>
      <c r="AT29" t="str">
        <f>IF(AND($AK29&gt;=Results!$G$13,$AK29&lt;=Results!$G$14),Curves!AR29,"")</f>
        <v/>
      </c>
      <c r="AU29" t="str">
        <f>IF(AND($AK29&gt;=Results!$G$13,$AK29&lt;=Results!$G$14),Curves!AS29,"")</f>
        <v/>
      </c>
      <c r="AV29" t="str">
        <f t="shared" si="29"/>
        <v/>
      </c>
      <c r="AW29" t="str">
        <f>IF(AND($AK29&lt;=Results!$I$21,$AK29&gt;=Results!$I$20,$AK29&lt;=Results!$F$4),$AN29,"")</f>
        <v/>
      </c>
      <c r="AX29" t="str">
        <f t="shared" si="29"/>
        <v/>
      </c>
      <c r="AY29" t="str">
        <f>IF(AND($AK29&lt;=Results!$I$23,$AK29&gt;=Results!$I$22,$AK29&gt;=Results!$F$4),$AN29,"")</f>
        <v/>
      </c>
      <c r="AZ29" t="str">
        <f t="shared" si="0"/>
        <v/>
      </c>
      <c r="BA29" t="str">
        <f>IF(AND($AK29&lt;=Results!$I$27,$AK29&gt;=Results!$I$26,$AK29&lt;=Results!$F$4),$AQ29,"")</f>
        <v/>
      </c>
      <c r="BB29" t="str">
        <f t="shared" si="1"/>
        <v/>
      </c>
      <c r="BC29" t="str">
        <f>IF(AND($AK29&lt;=Results!$I$29,$AK29&gt;=Results!$I$28,$AK29&gt;=Results!$F$4),$AQ29,"")</f>
        <v/>
      </c>
      <c r="BD29">
        <f t="shared" si="2"/>
        <v>11775.883761984853</v>
      </c>
      <c r="BE29">
        <f t="shared" si="3"/>
        <v>2556.5355488786786</v>
      </c>
      <c r="BF29">
        <f t="shared" si="30"/>
        <v>11165.92286770707</v>
      </c>
      <c r="BG29">
        <f t="shared" si="4"/>
        <v>1386.2191713930904</v>
      </c>
      <c r="BH29">
        <f t="shared" si="5"/>
        <v>0</v>
      </c>
      <c r="BI29">
        <f t="shared" si="6"/>
        <v>1.0020264886681742</v>
      </c>
      <c r="BJ29">
        <f t="shared" si="7"/>
        <v>1.0072860800218675</v>
      </c>
      <c r="BK29">
        <f t="shared" si="8"/>
        <v>5.2266575017311618E-3</v>
      </c>
      <c r="BL29">
        <f t="shared" si="9"/>
        <v>7.5102203779829953E-3</v>
      </c>
      <c r="BM29">
        <f t="shared" si="31"/>
        <v>120.00000000000001</v>
      </c>
      <c r="BN29">
        <f t="shared" si="32"/>
        <v>-120.00000000000742</v>
      </c>
      <c r="BO29">
        <f>Data!$H$2*(1-BI29)*(1-BI29/Data!$H$3)*BM29</f>
        <v>9.8559751733725671E-10</v>
      </c>
      <c r="BP29">
        <f t="shared" si="10"/>
        <v>-120.24317864018093</v>
      </c>
      <c r="BQ29">
        <f>Data!$H$2*(1-BJ29)*(1-BJ29/Data!$H$3)*BN29</f>
        <v>-1.2740870900414328E-8</v>
      </c>
      <c r="BR29">
        <f t="shared" si="11"/>
        <v>120.87432960263158</v>
      </c>
      <c r="BS29">
        <f t="shared" si="33"/>
        <v>0</v>
      </c>
      <c r="BT29">
        <f t="shared" si="12"/>
        <v>0</v>
      </c>
      <c r="BU29">
        <f t="shared" si="13"/>
        <v>0</v>
      </c>
      <c r="BV29">
        <f t="shared" si="14"/>
        <v>0</v>
      </c>
      <c r="BW29">
        <f t="shared" si="34"/>
        <v>0</v>
      </c>
      <c r="BX29" t="str">
        <f t="shared" si="35"/>
        <v/>
      </c>
      <c r="BY29" s="66" t="str">
        <f t="shared" si="15"/>
        <v/>
      </c>
      <c r="BZ29" t="str">
        <f t="shared" si="16"/>
        <v/>
      </c>
      <c r="CA29" s="67" t="str">
        <f t="shared" si="17"/>
        <v/>
      </c>
    </row>
    <row r="30" spans="1:79" x14ac:dyDescent="0.25">
      <c r="A30">
        <v>2581</v>
      </c>
      <c r="B30">
        <v>46.5</v>
      </c>
      <c r="C30">
        <v>9745</v>
      </c>
      <c r="D30" s="3">
        <f t="shared" si="48"/>
        <v>8.3333333333333332E-3</v>
      </c>
      <c r="E30" s="3">
        <f t="shared" si="48"/>
        <v>-1.0283333333333333</v>
      </c>
      <c r="F30">
        <f>IF(A30&gt;0,IF(F29=1,1,IF(B30=Data!$H$4,1,0)),"")</f>
        <v>0</v>
      </c>
      <c r="G30">
        <v>2581</v>
      </c>
      <c r="H30">
        <v>46.5</v>
      </c>
      <c r="I30">
        <v>9745</v>
      </c>
      <c r="J30" s="3">
        <v>8.3333333333333332E-3</v>
      </c>
      <c r="K30" s="3">
        <v>-1.0283333333333333</v>
      </c>
      <c r="L30">
        <v>7381</v>
      </c>
      <c r="M30">
        <v>54</v>
      </c>
      <c r="N30">
        <v>6803</v>
      </c>
      <c r="O30" s="3">
        <v>-8.3333333333333332E-3</v>
      </c>
      <c r="P30" s="3">
        <v>4.9741666666666671</v>
      </c>
      <c r="Q30" t="str">
        <f t="shared" si="18"/>
        <v/>
      </c>
      <c r="R30" s="4">
        <f t="shared" si="19"/>
        <v>47</v>
      </c>
      <c r="S30">
        <f t="shared" si="36"/>
        <v>2641</v>
      </c>
      <c r="T30">
        <f t="shared" si="49"/>
        <v>9678.1666666666661</v>
      </c>
      <c r="U30" s="4">
        <f t="shared" si="20"/>
        <v>54</v>
      </c>
      <c r="V30">
        <f t="shared" si="37"/>
        <v>7381</v>
      </c>
      <c r="W30">
        <f t="shared" si="38"/>
        <v>6782</v>
      </c>
      <c r="X30" t="str">
        <f t="shared" si="39"/>
        <v/>
      </c>
      <c r="Y30" t="str">
        <f t="shared" si="40"/>
        <v/>
      </c>
      <c r="Z30" t="str">
        <f t="shared" si="41"/>
        <v/>
      </c>
      <c r="AA30" t="str">
        <f t="shared" si="21"/>
        <v/>
      </c>
      <c r="AB30" t="str">
        <f t="shared" si="42"/>
        <v/>
      </c>
      <c r="AC30" t="str">
        <f t="shared" si="43"/>
        <v/>
      </c>
      <c r="AD30" t="str">
        <f t="shared" si="44"/>
        <v/>
      </c>
      <c r="AE30" t="str">
        <f t="shared" si="45"/>
        <v/>
      </c>
      <c r="AF30" s="72">
        <f>IF(AF29+$AF$1&gt;ROUND(Data!$H$4,0),AF29,AF29+$AF$1)</f>
        <v>53</v>
      </c>
      <c r="AG30">
        <f t="shared" si="22"/>
        <v>3361</v>
      </c>
      <c r="AH30">
        <f t="shared" si="23"/>
        <v>8407.3333333333358</v>
      </c>
      <c r="AI30">
        <f t="shared" si="24"/>
        <v>7501</v>
      </c>
      <c r="AJ30" s="67">
        <f t="shared" si="25"/>
        <v>7345.3333333333358</v>
      </c>
      <c r="AK30" s="4">
        <f t="shared" si="46"/>
        <v>27.80000000000004</v>
      </c>
      <c r="AL30">
        <f t="shared" si="26"/>
        <v>337.00000000000477</v>
      </c>
      <c r="AM30">
        <f t="shared" si="27"/>
        <v>11788.599999999997</v>
      </c>
      <c r="AN30">
        <f>IF($AK29+$AK$1&lt;=Data!$H$4-0.5,AVERAGE(AM28:AM32),AN29)</f>
        <v>11788.599999999997</v>
      </c>
      <c r="AO30">
        <f t="shared" si="28"/>
        <v>10524.999999999995</v>
      </c>
      <c r="AP30">
        <f t="shared" si="47"/>
        <v>11228.928571428567</v>
      </c>
      <c r="AQ30">
        <f>IF($AK29+$AK$1&lt;=Data!$H$4-0.5,AVERAGE(AP28:AP32),AQ29)</f>
        <v>11245.428571428569</v>
      </c>
      <c r="AR30">
        <f>IF($AK29+$AK$1&lt;=Data!$H$4-0.5,SLOPE($AN26:$AN34,$AK26:$AK34),AR29)</f>
        <v>-62.483333333335715</v>
      </c>
      <c r="AS30">
        <f>IF($AK29+$AK$1&lt;=Data!$H$4-0.5,SLOPE($AQ26:$AQ34,$AK26:$AK34),AS29)</f>
        <v>-54.999999999998906</v>
      </c>
      <c r="AT30" t="str">
        <f>IF(AND($AK30&gt;=Results!$G$13,$AK30&lt;=Results!$G$14),Curves!AR30,"")</f>
        <v/>
      </c>
      <c r="AU30" t="str">
        <f>IF(AND($AK30&gt;=Results!$G$13,$AK30&lt;=Results!$G$14),Curves!AS30,"")</f>
        <v/>
      </c>
      <c r="AV30" t="str">
        <f t="shared" si="29"/>
        <v/>
      </c>
      <c r="AW30" t="str">
        <f>IF(AND($AK30&lt;=Results!$I$21,$AK30&gt;=Results!$I$20,$AK30&lt;=Results!$F$4),$AN30,"")</f>
        <v/>
      </c>
      <c r="AX30" t="str">
        <f t="shared" si="29"/>
        <v/>
      </c>
      <c r="AY30" t="str">
        <f>IF(AND($AK30&lt;=Results!$I$23,$AK30&gt;=Results!$I$22,$AK30&gt;=Results!$F$4),$AN30,"")</f>
        <v/>
      </c>
      <c r="AZ30" t="str">
        <f t="shared" si="0"/>
        <v/>
      </c>
      <c r="BA30" t="str">
        <f>IF(AND($AK30&lt;=Results!$I$27,$AK30&gt;=Results!$I$26,$AK30&lt;=Results!$F$4),$AQ30,"")</f>
        <v/>
      </c>
      <c r="BB30" t="str">
        <f t="shared" si="1"/>
        <v/>
      </c>
      <c r="BC30" t="str">
        <f>IF(AND($AK30&lt;=Results!$I$29,$AK30&gt;=Results!$I$28,$AK30&gt;=Results!$F$4),$AQ30,"")</f>
        <v/>
      </c>
      <c r="BD30">
        <f t="shared" si="2"/>
        <v>11765.113567186934</v>
      </c>
      <c r="BE30">
        <f t="shared" si="3"/>
        <v>2553.2197596293577</v>
      </c>
      <c r="BF30">
        <f t="shared" si="30"/>
        <v>11158.632885474177</v>
      </c>
      <c r="BG30">
        <f t="shared" si="4"/>
        <v>1385.6683704335655</v>
      </c>
      <c r="BH30">
        <f t="shared" si="5"/>
        <v>0</v>
      </c>
      <c r="BI30">
        <f t="shared" si="6"/>
        <v>1.0025495770254966</v>
      </c>
      <c r="BJ30">
        <f t="shared" si="7"/>
        <v>1.0088812034281731</v>
      </c>
      <c r="BK30">
        <f t="shared" si="8"/>
        <v>5.0938837172419919E-3</v>
      </c>
      <c r="BL30">
        <f t="shared" si="9"/>
        <v>7.5147605099378269E-3</v>
      </c>
      <c r="BM30">
        <f t="shared" si="31"/>
        <v>120</v>
      </c>
      <c r="BN30">
        <f t="shared" si="32"/>
        <v>-119.99999999999829</v>
      </c>
      <c r="BO30">
        <f>Data!$H$2*(1-BI30)*(1-BI30/Data!$H$3)*BM30</f>
        <v>1.5600823221456582E-9</v>
      </c>
      <c r="BP30">
        <f t="shared" si="10"/>
        <v>-120.3059492430596</v>
      </c>
      <c r="BQ30">
        <f>Data!$H$2*(1-BJ30)*(1-BJ30/Data!$H$3)*BN30</f>
        <v>-1.8930185839822256E-8</v>
      </c>
      <c r="BR30">
        <f t="shared" si="11"/>
        <v>121.06574441137906</v>
      </c>
      <c r="BS30">
        <f t="shared" si="33"/>
        <v>0</v>
      </c>
      <c r="BT30">
        <f t="shared" si="12"/>
        <v>0</v>
      </c>
      <c r="BU30">
        <f t="shared" si="13"/>
        <v>0</v>
      </c>
      <c r="BV30">
        <f t="shared" si="14"/>
        <v>0</v>
      </c>
      <c r="BW30">
        <f t="shared" si="34"/>
        <v>0</v>
      </c>
      <c r="BX30" t="str">
        <f t="shared" si="35"/>
        <v/>
      </c>
      <c r="BY30" s="66" t="str">
        <f t="shared" si="15"/>
        <v/>
      </c>
      <c r="BZ30" t="str">
        <f t="shared" si="16"/>
        <v/>
      </c>
      <c r="CA30" s="67" t="str">
        <f t="shared" si="17"/>
        <v/>
      </c>
    </row>
    <row r="31" spans="1:79" x14ac:dyDescent="0.25">
      <c r="A31">
        <v>2641</v>
      </c>
      <c r="B31">
        <v>47</v>
      </c>
      <c r="C31">
        <v>9677</v>
      </c>
      <c r="D31" s="3">
        <f t="shared" si="48"/>
        <v>8.3333333333333332E-3</v>
      </c>
      <c r="E31" s="3">
        <f t="shared" si="48"/>
        <v>-1.1016666666666666</v>
      </c>
      <c r="F31">
        <f>IF(A31&gt;0,IF(F30=1,1,IF(B31=Data!$H$4,1,0)),"")</f>
        <v>0</v>
      </c>
      <c r="G31">
        <v>2641</v>
      </c>
      <c r="H31">
        <v>47</v>
      </c>
      <c r="I31">
        <v>9677</v>
      </c>
      <c r="J31" s="3">
        <v>8.3333333333333332E-3</v>
      </c>
      <c r="K31" s="3">
        <v>-1.1016666666666666</v>
      </c>
      <c r="L31">
        <v>7261</v>
      </c>
      <c r="M31">
        <v>55</v>
      </c>
      <c r="N31">
        <v>6168</v>
      </c>
      <c r="O31" s="3">
        <v>-8.3333333333333332E-3</v>
      </c>
      <c r="P31" s="3">
        <v>5.4466666666666663</v>
      </c>
      <c r="Q31" t="str">
        <f t="shared" si="18"/>
        <v/>
      </c>
      <c r="R31" s="4">
        <f t="shared" si="19"/>
        <v>47</v>
      </c>
      <c r="S31">
        <f t="shared" si="36"/>
        <v>2641</v>
      </c>
      <c r="T31">
        <f t="shared" si="49"/>
        <v>9680.6666666666661</v>
      </c>
      <c r="U31" s="4">
        <f t="shared" si="20"/>
        <v>55</v>
      </c>
      <c r="V31">
        <f t="shared" si="37"/>
        <v>7261</v>
      </c>
      <c r="W31">
        <f t="shared" si="38"/>
        <v>6149.3333333333358</v>
      </c>
      <c r="X31" t="str">
        <f t="shared" si="39"/>
        <v/>
      </c>
      <c r="Y31" t="str">
        <f t="shared" si="40"/>
        <v/>
      </c>
      <c r="Z31" t="str">
        <f t="shared" si="41"/>
        <v/>
      </c>
      <c r="AA31" t="str">
        <f t="shared" si="21"/>
        <v/>
      </c>
      <c r="AB31" t="str">
        <f t="shared" si="42"/>
        <v/>
      </c>
      <c r="AC31" t="str">
        <f t="shared" si="43"/>
        <v/>
      </c>
      <c r="AD31" t="str">
        <f t="shared" si="44"/>
        <v/>
      </c>
      <c r="AE31" t="str">
        <f t="shared" si="45"/>
        <v/>
      </c>
      <c r="AF31" s="72">
        <f>IF(AF30+$AF$1&gt;ROUND(Data!$H$4,0),AF30,AF30+$AF$1)</f>
        <v>54</v>
      </c>
      <c r="AG31">
        <f t="shared" si="22"/>
        <v>3481</v>
      </c>
      <c r="AH31">
        <f t="shared" si="23"/>
        <v>7917.3333333333358</v>
      </c>
      <c r="AI31">
        <f t="shared" si="24"/>
        <v>7381</v>
      </c>
      <c r="AJ31" s="67">
        <f t="shared" si="25"/>
        <v>6782</v>
      </c>
      <c r="AK31" s="4">
        <f t="shared" si="46"/>
        <v>27.900000000000041</v>
      </c>
      <c r="AL31">
        <f t="shared" si="26"/>
        <v>349.00000000000495</v>
      </c>
      <c r="AM31">
        <f t="shared" si="27"/>
        <v>11782.63333333333</v>
      </c>
      <c r="AN31">
        <f>IF($AK30+$AK$1&lt;=Data!$H$4-0.5,AVERAGE(AM29:AM33),AN30)</f>
        <v>11782.373333333329</v>
      </c>
      <c r="AO31">
        <f t="shared" si="28"/>
        <v>10512.999999999995</v>
      </c>
      <c r="AP31">
        <f t="shared" si="47"/>
        <v>11220.678571428567</v>
      </c>
      <c r="AQ31">
        <f>IF($AK30+$AK$1&lt;=Data!$H$4-0.5,AVERAGE(AP29:AP33),AQ30)</f>
        <v>11237.178571428569</v>
      </c>
      <c r="AR31">
        <f>IF($AK30+$AK$1&lt;=Data!$H$4-0.5,SLOPE($AN27:$AN35,$AK27:$AK35),AR30)</f>
        <v>-64.216666666668061</v>
      </c>
      <c r="AS31">
        <f>IF($AK30+$AK$1&lt;=Data!$H$4-0.5,SLOPE($AQ27:$AQ35,$AK27:$AK35),AS30)</f>
        <v>-68.749999999999318</v>
      </c>
      <c r="AT31" t="str">
        <f>IF(AND($AK31&gt;=Results!$G$13,$AK31&lt;=Results!$G$14),Curves!AR31,"")</f>
        <v/>
      </c>
      <c r="AU31" t="str">
        <f>IF(AND($AK31&gt;=Results!$G$13,$AK31&lt;=Results!$G$14),Curves!AS31,"")</f>
        <v/>
      </c>
      <c r="AV31" t="str">
        <f t="shared" si="29"/>
        <v/>
      </c>
      <c r="AW31" t="str">
        <f>IF(AND($AK31&lt;=Results!$I$21,$AK31&gt;=Results!$I$20,$AK31&lt;=Results!$F$4),$AN31,"")</f>
        <v/>
      </c>
      <c r="AX31" t="str">
        <f t="shared" si="29"/>
        <v/>
      </c>
      <c r="AY31" t="str">
        <f>IF(AND($AK31&lt;=Results!$I$23,$AK31&gt;=Results!$I$22,$AK31&gt;=Results!$F$4),$AN31,"")</f>
        <v/>
      </c>
      <c r="AZ31" t="str">
        <f t="shared" si="0"/>
        <v/>
      </c>
      <c r="BA31" t="str">
        <f>IF(AND($AK31&lt;=Results!$I$27,$AK31&gt;=Results!$I$26,$AK31&lt;=Results!$F$4),$AQ31,"")</f>
        <v/>
      </c>
      <c r="BB31" t="str">
        <f t="shared" si="1"/>
        <v/>
      </c>
      <c r="BC31" t="str">
        <f>IF(AND($AK31&lt;=Results!$I$29,$AK31&gt;=Results!$I$28,$AK31&gt;=Results!$F$4),$AQ31,"")</f>
        <v/>
      </c>
      <c r="BD31">
        <f t="shared" si="2"/>
        <v>11754.343372389014</v>
      </c>
      <c r="BE31">
        <f t="shared" si="3"/>
        <v>2549.9039703800368</v>
      </c>
      <c r="BF31">
        <f t="shared" si="30"/>
        <v>11151.342903241282</v>
      </c>
      <c r="BG31">
        <f t="shared" si="4"/>
        <v>1385.1175694740405</v>
      </c>
      <c r="BH31">
        <f t="shared" si="5"/>
        <v>0</v>
      </c>
      <c r="BI31">
        <f t="shared" si="6"/>
        <v>1.0030452654116226</v>
      </c>
      <c r="BJ31">
        <f t="shared" si="7"/>
        <v>1.0087890321238551</v>
      </c>
      <c r="BK31">
        <f t="shared" si="8"/>
        <v>4.8195508789938158E-3</v>
      </c>
      <c r="BL31">
        <f t="shared" si="9"/>
        <v>-9.2234951022506038E-4</v>
      </c>
      <c r="BM31">
        <f t="shared" si="31"/>
        <v>119.99999999997443</v>
      </c>
      <c r="BN31">
        <f t="shared" si="32"/>
        <v>-119.99999999997104</v>
      </c>
      <c r="BO31">
        <f>Data!$H$2*(1-BI31)*(1-BI31/Data!$H$3)*BM31</f>
        <v>2.2256739425335814E-9</v>
      </c>
      <c r="BP31">
        <f t="shared" si="10"/>
        <v>-120.36543184936907</v>
      </c>
      <c r="BQ31">
        <f>Data!$H$2*(1-BJ31)*(1-BJ31/Data!$H$3)*BN31</f>
        <v>-1.8539300561793042E-8</v>
      </c>
      <c r="BR31">
        <f t="shared" si="11"/>
        <v>121.05468385483339</v>
      </c>
      <c r="BS31">
        <f t="shared" si="33"/>
        <v>0</v>
      </c>
      <c r="BT31">
        <f t="shared" si="12"/>
        <v>0</v>
      </c>
      <c r="BU31">
        <f t="shared" si="13"/>
        <v>0</v>
      </c>
      <c r="BV31">
        <f t="shared" si="14"/>
        <v>0</v>
      </c>
      <c r="BW31">
        <f t="shared" si="34"/>
        <v>0</v>
      </c>
      <c r="BX31" t="str">
        <f t="shared" si="35"/>
        <v/>
      </c>
      <c r="BY31" s="66" t="str">
        <f t="shared" si="15"/>
        <v/>
      </c>
      <c r="BZ31" t="str">
        <f t="shared" si="16"/>
        <v/>
      </c>
      <c r="CA31" s="67" t="str">
        <f t="shared" si="17"/>
        <v/>
      </c>
    </row>
    <row r="32" spans="1:79" x14ac:dyDescent="0.25">
      <c r="A32">
        <v>2701</v>
      </c>
      <c r="B32">
        <v>47.5</v>
      </c>
      <c r="C32">
        <v>9620</v>
      </c>
      <c r="D32" s="3">
        <f t="shared" si="48"/>
        <v>8.3333333333333332E-3</v>
      </c>
      <c r="E32" s="3">
        <f t="shared" si="48"/>
        <v>-1.125</v>
      </c>
      <c r="F32">
        <f>IF(A32&gt;0,IF(F31=1,1,IF(B32=Data!$H$4,1,0)),"")</f>
        <v>0</v>
      </c>
      <c r="G32">
        <v>2701</v>
      </c>
      <c r="H32">
        <v>47.5</v>
      </c>
      <c r="I32">
        <v>9620</v>
      </c>
      <c r="J32" s="3">
        <v>8.3333333333333332E-3</v>
      </c>
      <c r="K32" s="3">
        <v>-1.125</v>
      </c>
      <c r="L32">
        <v>7141</v>
      </c>
      <c r="M32">
        <v>56</v>
      </c>
      <c r="N32">
        <v>5477</v>
      </c>
      <c r="O32" s="3">
        <v>-8.3333333333333332E-3</v>
      </c>
      <c r="P32" s="3">
        <v>5.7316666666666665</v>
      </c>
      <c r="Q32" t="str">
        <f t="shared" si="18"/>
        <v/>
      </c>
      <c r="R32" s="4">
        <f t="shared" si="19"/>
        <v>48</v>
      </c>
      <c r="S32">
        <f t="shared" si="36"/>
        <v>2761</v>
      </c>
      <c r="T32">
        <f t="shared" si="49"/>
        <v>9542.1666666666661</v>
      </c>
      <c r="U32" s="4">
        <f t="shared" si="20"/>
        <v>56</v>
      </c>
      <c r="V32">
        <f t="shared" si="37"/>
        <v>7141</v>
      </c>
      <c r="W32">
        <f t="shared" si="38"/>
        <v>5471.6666666666642</v>
      </c>
      <c r="X32" t="str">
        <f t="shared" si="39"/>
        <v/>
      </c>
      <c r="Y32" t="str">
        <f t="shared" si="40"/>
        <v/>
      </c>
      <c r="Z32" t="str">
        <f t="shared" si="41"/>
        <v/>
      </c>
      <c r="AA32" t="str">
        <f t="shared" si="21"/>
        <v/>
      </c>
      <c r="AB32" t="str">
        <f t="shared" si="42"/>
        <v/>
      </c>
      <c r="AC32" t="str">
        <f t="shared" si="43"/>
        <v/>
      </c>
      <c r="AD32" t="str">
        <f t="shared" si="44"/>
        <v/>
      </c>
      <c r="AE32" t="str">
        <f t="shared" si="45"/>
        <v/>
      </c>
      <c r="AF32" s="72">
        <f>IF(AF31+$AF$1&gt;ROUND(Data!$H$4,0),AF31,AF31+$AF$1)</f>
        <v>55</v>
      </c>
      <c r="AG32">
        <f t="shared" si="22"/>
        <v>3601</v>
      </c>
      <c r="AH32">
        <f t="shared" si="23"/>
        <v>7305</v>
      </c>
      <c r="AI32">
        <f t="shared" si="24"/>
        <v>7261</v>
      </c>
      <c r="AJ32" s="67">
        <f t="shared" si="25"/>
        <v>6149.3333333333358</v>
      </c>
      <c r="AK32" s="4">
        <f t="shared" si="46"/>
        <v>28.000000000000043</v>
      </c>
      <c r="AL32">
        <f t="shared" si="26"/>
        <v>361</v>
      </c>
      <c r="AM32">
        <f t="shared" si="27"/>
        <v>11776.666666666666</v>
      </c>
      <c r="AN32">
        <f>IF($AK31+$AK$1&lt;=Data!$H$4-0.5,AVERAGE(AM30:AM34),AN31)</f>
        <v>11775.886666666664</v>
      </c>
      <c r="AO32">
        <f t="shared" si="28"/>
        <v>10501</v>
      </c>
      <c r="AP32">
        <f t="shared" si="47"/>
        <v>11294.928571428571</v>
      </c>
      <c r="AQ32">
        <f>IF($AK31+$AK$1&lt;=Data!$H$4-0.5,AVERAGE(AP30:AP34),AQ31)</f>
        <v>11228.928571428567</v>
      </c>
      <c r="AR32">
        <f>IF($AK31+$AK$1&lt;=Data!$H$4-0.5,SLOPE($AN28:$AN36,$AK28:$AK36),AR31)</f>
        <v>-66.166666666666927</v>
      </c>
      <c r="AS32">
        <f>IF($AK31+$AK$1&lt;=Data!$H$4-0.5,SLOPE($AQ28:$AQ36,$AK28:$AK36),AS31)</f>
        <v>-82.49999999999973</v>
      </c>
      <c r="AT32" t="str">
        <f>IF(AND($AK32&gt;=Results!$G$13,$AK32&lt;=Results!$G$14),Curves!AR32,"")</f>
        <v/>
      </c>
      <c r="AU32" t="str">
        <f>IF(AND($AK32&gt;=Results!$G$13,$AK32&lt;=Results!$G$14),Curves!AS32,"")</f>
        <v/>
      </c>
      <c r="AV32" t="str">
        <f t="shared" si="29"/>
        <v/>
      </c>
      <c r="AW32" t="str">
        <f>IF(AND($AK32&lt;=Results!$I$21,$AK32&gt;=Results!$I$20,$AK32&lt;=Results!$F$4),$AN32,"")</f>
        <v/>
      </c>
      <c r="AX32" t="str">
        <f t="shared" si="29"/>
        <v/>
      </c>
      <c r="AY32" t="str">
        <f>IF(AND($AK32&lt;=Results!$I$23,$AK32&gt;=Results!$I$22,$AK32&gt;=Results!$F$4),$AN32,"")</f>
        <v/>
      </c>
      <c r="AZ32" t="str">
        <f t="shared" si="0"/>
        <v/>
      </c>
      <c r="BA32" t="str">
        <f>IF(AND($AK32&lt;=Results!$I$27,$AK32&gt;=Results!$I$26,$AK32&lt;=Results!$F$4),$AQ32,"")</f>
        <v/>
      </c>
      <c r="BB32" t="str">
        <f t="shared" si="1"/>
        <v/>
      </c>
      <c r="BC32" t="str">
        <f>IF(AND($AK32&lt;=Results!$I$29,$AK32&gt;=Results!$I$28,$AK32&gt;=Results!$F$4),$AQ32,"")</f>
        <v/>
      </c>
      <c r="BD32">
        <f t="shared" si="2"/>
        <v>11743.573177591094</v>
      </c>
      <c r="BE32">
        <f t="shared" si="3"/>
        <v>2546.5881811307158</v>
      </c>
      <c r="BF32">
        <f t="shared" si="30"/>
        <v>11144.05292100839</v>
      </c>
      <c r="BG32">
        <f t="shared" si="4"/>
        <v>1384.5667685145154</v>
      </c>
      <c r="BH32">
        <f t="shared" si="5"/>
        <v>0</v>
      </c>
      <c r="BI32">
        <f t="shared" si="6"/>
        <v>1.0035134872012954</v>
      </c>
      <c r="BJ32">
        <f t="shared" si="7"/>
        <v>1.0086967335261281</v>
      </c>
      <c r="BK32">
        <f t="shared" si="8"/>
        <v>4.5445507072627194E-3</v>
      </c>
      <c r="BL32">
        <f t="shared" si="9"/>
        <v>-9.2362376371112119E-4</v>
      </c>
      <c r="BM32">
        <f t="shared" si="31"/>
        <v>120</v>
      </c>
      <c r="BN32">
        <f t="shared" si="32"/>
        <v>-119.99999999999829</v>
      </c>
      <c r="BO32">
        <f>Data!$H$2*(1-BI32)*(1-BI32/Data!$H$3)*BM32</f>
        <v>2.962702155279991E-9</v>
      </c>
      <c r="BP32">
        <f t="shared" si="10"/>
        <v>-120.42161846415544</v>
      </c>
      <c r="BQ32">
        <f>Data!$H$2*(1-BJ32)*(1-BJ32/Data!$H$3)*BN32</f>
        <v>-1.8151961765875048E-8</v>
      </c>
      <c r="BR32">
        <f t="shared" si="11"/>
        <v>121.04360802313366</v>
      </c>
      <c r="BS32">
        <f t="shared" si="33"/>
        <v>0</v>
      </c>
      <c r="BT32">
        <f t="shared" si="12"/>
        <v>0</v>
      </c>
      <c r="BU32">
        <f t="shared" si="13"/>
        <v>0</v>
      </c>
      <c r="BV32">
        <f t="shared" si="14"/>
        <v>0</v>
      </c>
      <c r="BW32">
        <f t="shared" si="34"/>
        <v>0</v>
      </c>
      <c r="BX32" t="str">
        <f t="shared" si="35"/>
        <v/>
      </c>
      <c r="BY32" s="66" t="str">
        <f t="shared" si="15"/>
        <v/>
      </c>
      <c r="BZ32" t="str">
        <f t="shared" si="16"/>
        <v/>
      </c>
      <c r="CA32" s="67" t="str">
        <f t="shared" si="17"/>
        <v/>
      </c>
    </row>
    <row r="33" spans="1:79" x14ac:dyDescent="0.25">
      <c r="A33">
        <v>2761</v>
      </c>
      <c r="B33">
        <v>48</v>
      </c>
      <c r="C33">
        <v>9538</v>
      </c>
      <c r="D33" s="3">
        <f t="shared" si="48"/>
        <v>8.3333333333333332E-3</v>
      </c>
      <c r="E33" s="3">
        <f t="shared" si="48"/>
        <v>-1.175</v>
      </c>
      <c r="F33">
        <f>IF(A33&gt;0,IF(F32=1,1,IF(B33=Data!$H$4,1,0)),"")</f>
        <v>0</v>
      </c>
      <c r="G33">
        <v>2761</v>
      </c>
      <c r="H33">
        <v>48</v>
      </c>
      <c r="I33">
        <v>9538</v>
      </c>
      <c r="J33" s="3">
        <v>8.3333333333333332E-3</v>
      </c>
      <c r="K33" s="3">
        <v>-1.175</v>
      </c>
      <c r="L33">
        <v>7021</v>
      </c>
      <c r="M33">
        <v>57</v>
      </c>
      <c r="N33">
        <v>4770</v>
      </c>
      <c r="O33" s="3">
        <v>-8.3333333333333332E-3</v>
      </c>
      <c r="P33" s="3">
        <v>5.7983333333333329</v>
      </c>
      <c r="Q33" t="str">
        <f t="shared" si="18"/>
        <v/>
      </c>
      <c r="R33" s="4">
        <f t="shared" si="19"/>
        <v>48</v>
      </c>
      <c r="S33">
        <f t="shared" si="36"/>
        <v>2761</v>
      </c>
      <c r="T33">
        <f t="shared" si="49"/>
        <v>9545</v>
      </c>
      <c r="U33" s="4">
        <f t="shared" si="20"/>
        <v>57</v>
      </c>
      <c r="V33">
        <f t="shared" si="37"/>
        <v>7021</v>
      </c>
      <c r="W33">
        <f t="shared" si="38"/>
        <v>4770</v>
      </c>
      <c r="X33" t="str">
        <f t="shared" si="39"/>
        <v/>
      </c>
      <c r="Y33" t="str">
        <f t="shared" si="40"/>
        <v/>
      </c>
      <c r="Z33" t="str">
        <f t="shared" si="41"/>
        <v/>
      </c>
      <c r="AA33" t="str">
        <f t="shared" si="21"/>
        <v/>
      </c>
      <c r="AB33" t="str">
        <f t="shared" si="42"/>
        <v/>
      </c>
      <c r="AC33" t="str">
        <f t="shared" si="43"/>
        <v/>
      </c>
      <c r="AD33" t="str">
        <f t="shared" si="44"/>
        <v/>
      </c>
      <c r="AE33" t="str">
        <f t="shared" si="45"/>
        <v/>
      </c>
      <c r="AF33" s="72">
        <f>IF(AF32+$AF$1&gt;ROUND(Data!$H$4,0),AF32,AF32+$AF$1)</f>
        <v>56</v>
      </c>
      <c r="AG33">
        <f t="shared" si="22"/>
        <v>3721</v>
      </c>
      <c r="AH33">
        <f t="shared" si="23"/>
        <v>6668.1666666666642</v>
      </c>
      <c r="AI33">
        <f t="shared" si="24"/>
        <v>7141</v>
      </c>
      <c r="AJ33" s="67">
        <f t="shared" si="25"/>
        <v>5471.6666666666642</v>
      </c>
      <c r="AK33" s="4">
        <f t="shared" si="46"/>
        <v>28.100000000000044</v>
      </c>
      <c r="AL33">
        <f t="shared" si="26"/>
        <v>373.00000000000529</v>
      </c>
      <c r="AM33">
        <f t="shared" si="27"/>
        <v>11769.399999999996</v>
      </c>
      <c r="AN33">
        <f>IF($AK32+$AK$1&lt;=Data!$H$4-0.5,AVERAGE(AM31:AM35),AN32)</f>
        <v>11769.139999999996</v>
      </c>
      <c r="AO33">
        <f t="shared" si="28"/>
        <v>10488.999999999995</v>
      </c>
      <c r="AP33">
        <f t="shared" si="47"/>
        <v>11204.178571428567</v>
      </c>
      <c r="AQ33">
        <f>IF($AK32+$AK$1&lt;=Data!$H$4-0.5,AVERAGE(AP31:AP35),AQ32)</f>
        <v>11220.678571428567</v>
      </c>
      <c r="AR33">
        <f>IF($AK32+$AK$1&lt;=Data!$H$4-0.5,SLOPE($AN29:$AN37,$AK29:$AK37),AR32)</f>
        <v>-68.116666666665807</v>
      </c>
      <c r="AS33">
        <f>IF($AK32+$AK$1&lt;=Data!$H$4-0.5,SLOPE($AQ29:$AQ37,$AK29:$AK37),AS32)</f>
        <v>-96.250000000000156</v>
      </c>
      <c r="AT33" t="str">
        <f>IF(AND($AK33&gt;=Results!$G$13,$AK33&lt;=Results!$G$14),Curves!AR33,"")</f>
        <v/>
      </c>
      <c r="AU33" t="str">
        <f>IF(AND($AK33&gt;=Results!$G$13,$AK33&lt;=Results!$G$14),Curves!AS33,"")</f>
        <v/>
      </c>
      <c r="AV33" t="str">
        <f t="shared" si="29"/>
        <v/>
      </c>
      <c r="AW33" t="str">
        <f>IF(AND($AK33&lt;=Results!$I$21,$AK33&gt;=Results!$I$20,$AK33&lt;=Results!$F$4),$AN33,"")</f>
        <v/>
      </c>
      <c r="AX33" t="str">
        <f t="shared" si="29"/>
        <v/>
      </c>
      <c r="AY33" t="str">
        <f>IF(AND($AK33&lt;=Results!$I$23,$AK33&gt;=Results!$I$22,$AK33&gt;=Results!$F$4),$AN33,"")</f>
        <v/>
      </c>
      <c r="AZ33" t="str">
        <f t="shared" si="0"/>
        <v/>
      </c>
      <c r="BA33" t="str">
        <f>IF(AND($AK33&lt;=Results!$I$27,$AK33&gt;=Results!$I$26,$AK33&lt;=Results!$F$4),$AQ33,"")</f>
        <v/>
      </c>
      <c r="BB33" t="str">
        <f t="shared" si="1"/>
        <v/>
      </c>
      <c r="BC33" t="str">
        <f>IF(AND($AK33&lt;=Results!$I$29,$AK33&gt;=Results!$I$28,$AK33&gt;=Results!$F$4),$AQ33,"")</f>
        <v/>
      </c>
      <c r="BD33">
        <f t="shared" si="2"/>
        <v>11732.802982793175</v>
      </c>
      <c r="BE33">
        <f t="shared" si="3"/>
        <v>2543.2723918813954</v>
      </c>
      <c r="BF33">
        <f t="shared" si="30"/>
        <v>11136.762938775497</v>
      </c>
      <c r="BG33">
        <f t="shared" si="4"/>
        <v>1384.0159675549903</v>
      </c>
      <c r="BH33">
        <f t="shared" si="5"/>
        <v>0</v>
      </c>
      <c r="BI33">
        <f t="shared" si="6"/>
        <v>1.0039541755530752</v>
      </c>
      <c r="BJ33">
        <f t="shared" si="7"/>
        <v>1.0086043073711128</v>
      </c>
      <c r="BK33">
        <f t="shared" si="8"/>
        <v>4.2688810358481547E-3</v>
      </c>
      <c r="BL33">
        <f t="shared" si="9"/>
        <v>-9.2490065965010568E-4</v>
      </c>
      <c r="BM33">
        <f t="shared" si="31"/>
        <v>120.00000000002559</v>
      </c>
      <c r="BN33">
        <f t="shared" si="32"/>
        <v>-120.00000000002559</v>
      </c>
      <c r="BO33">
        <f>Data!$H$2*(1-BI33)*(1-BI33/Data!$H$3)*BM33</f>
        <v>3.752521033089817E-9</v>
      </c>
      <c r="BP33">
        <f t="shared" si="10"/>
        <v>-120.47450106639472</v>
      </c>
      <c r="BQ33">
        <f>Data!$H$2*(1-BJ33)*(1-BJ33/Data!$H$3)*BN33</f>
        <v>-1.7768185280784613E-8</v>
      </c>
      <c r="BR33">
        <f t="shared" si="11"/>
        <v>121.03251688455936</v>
      </c>
      <c r="BS33">
        <f t="shared" si="33"/>
        <v>0</v>
      </c>
      <c r="BT33">
        <f t="shared" si="12"/>
        <v>0</v>
      </c>
      <c r="BU33">
        <f t="shared" si="13"/>
        <v>0</v>
      </c>
      <c r="BV33">
        <f t="shared" si="14"/>
        <v>0</v>
      </c>
      <c r="BW33">
        <f t="shared" si="34"/>
        <v>0</v>
      </c>
      <c r="BX33" t="str">
        <f t="shared" si="35"/>
        <v/>
      </c>
      <c r="BY33" s="66" t="str">
        <f t="shared" si="15"/>
        <v/>
      </c>
      <c r="BZ33" t="str">
        <f t="shared" si="16"/>
        <v/>
      </c>
      <c r="CA33" s="67" t="str">
        <f t="shared" si="17"/>
        <v/>
      </c>
    </row>
    <row r="34" spans="1:79" x14ac:dyDescent="0.25">
      <c r="A34">
        <v>2821</v>
      </c>
      <c r="B34">
        <v>48.5</v>
      </c>
      <c r="C34">
        <v>9477</v>
      </c>
      <c r="D34" s="3">
        <f t="shared" si="48"/>
        <v>8.3333333333333332E-3</v>
      </c>
      <c r="E34" s="3">
        <f t="shared" si="48"/>
        <v>-1.2233333333333334</v>
      </c>
      <c r="F34">
        <f>IF(A34&gt;0,IF(F33=1,1,IF(B34=Data!$H$4,1,0)),"")</f>
        <v>0</v>
      </c>
      <c r="G34">
        <v>2821</v>
      </c>
      <c r="H34">
        <v>48.5</v>
      </c>
      <c r="I34">
        <v>9477</v>
      </c>
      <c r="J34" s="3">
        <v>8.3333333333333332E-3</v>
      </c>
      <c r="K34" s="3">
        <v>-1.2233333333333334</v>
      </c>
      <c r="L34">
        <v>6901</v>
      </c>
      <c r="M34">
        <v>58</v>
      </c>
      <c r="N34">
        <v>4063</v>
      </c>
      <c r="O34" s="3">
        <v>-8.3333333333333332E-3</v>
      </c>
      <c r="P34" s="3">
        <v>5.6366666666666667</v>
      </c>
      <c r="Q34" t="str">
        <f t="shared" si="18"/>
        <v/>
      </c>
      <c r="R34" s="4">
        <f t="shared" si="19"/>
        <v>49</v>
      </c>
      <c r="S34">
        <f t="shared" si="36"/>
        <v>2881</v>
      </c>
      <c r="T34">
        <f t="shared" si="49"/>
        <v>9399.3333333333339</v>
      </c>
      <c r="U34" s="4">
        <f t="shared" si="20"/>
        <v>58</v>
      </c>
      <c r="V34">
        <f t="shared" si="37"/>
        <v>6901</v>
      </c>
      <c r="W34">
        <f t="shared" si="38"/>
        <v>4076.3333333333358</v>
      </c>
      <c r="X34" t="str">
        <f t="shared" si="39"/>
        <v/>
      </c>
      <c r="Y34" t="str">
        <f t="shared" si="40"/>
        <v/>
      </c>
      <c r="Z34" t="str">
        <f t="shared" si="41"/>
        <v/>
      </c>
      <c r="AA34" t="str">
        <f t="shared" si="21"/>
        <v/>
      </c>
      <c r="AB34" t="str">
        <f t="shared" si="42"/>
        <v/>
      </c>
      <c r="AC34" t="str">
        <f t="shared" si="43"/>
        <v/>
      </c>
      <c r="AD34" t="str">
        <f t="shared" si="44"/>
        <v/>
      </c>
      <c r="AE34" t="str">
        <f t="shared" si="45"/>
        <v/>
      </c>
      <c r="AF34" s="72">
        <f>IF(AF33+$AF$1&gt;ROUND(Data!$H$4,0),AF33,AF33+$AF$1)</f>
        <v>57</v>
      </c>
      <c r="AG34">
        <f t="shared" si="22"/>
        <v>3841</v>
      </c>
      <c r="AH34">
        <f t="shared" si="23"/>
        <v>5989</v>
      </c>
      <c r="AI34">
        <f t="shared" si="24"/>
        <v>7021</v>
      </c>
      <c r="AJ34" s="67">
        <f t="shared" si="25"/>
        <v>4770</v>
      </c>
      <c r="AK34" s="4">
        <f t="shared" si="46"/>
        <v>28.200000000000045</v>
      </c>
      <c r="AL34">
        <f t="shared" si="26"/>
        <v>385.00000000000546</v>
      </c>
      <c r="AM34">
        <f t="shared" si="27"/>
        <v>11762.13333333333</v>
      </c>
      <c r="AN34">
        <f>IF($AK33+$AK$1&lt;=Data!$H$4-0.5,AVERAGE(AM32:AM36),AN33)</f>
        <v>11762.13333333333</v>
      </c>
      <c r="AO34">
        <f t="shared" si="28"/>
        <v>10476.999999999995</v>
      </c>
      <c r="AP34">
        <f t="shared" si="47"/>
        <v>11195.928571428567</v>
      </c>
      <c r="AQ34">
        <f>IF($AK33+$AK$1&lt;=Data!$H$4-0.5,AVERAGE(AP32:AP36),AQ33)</f>
        <v>11212.428571428567</v>
      </c>
      <c r="AR34">
        <f>IF($AK33+$AK$1&lt;=Data!$H$4-0.5,SLOPE($AN30:$AN38,$AK30:$AK38),AR33)</f>
        <v>-69.849999999999369</v>
      </c>
      <c r="AS34">
        <f>IF($AK33+$AK$1&lt;=Data!$H$4-0.5,SLOPE($AQ30:$AQ38,$AK30:$AK38),AS33)</f>
        <v>-110.00000000000054</v>
      </c>
      <c r="AT34" t="str">
        <f>IF(AND($AK34&gt;=Results!$G$13,$AK34&lt;=Results!$G$14),Curves!AR34,"")</f>
        <v/>
      </c>
      <c r="AU34" t="str">
        <f>IF(AND($AK34&gt;=Results!$G$13,$AK34&lt;=Results!$G$14),Curves!AS34,"")</f>
        <v/>
      </c>
      <c r="AV34" t="str">
        <f t="shared" si="29"/>
        <v/>
      </c>
      <c r="AW34" t="str">
        <f>IF(AND($AK34&lt;=Results!$I$21,$AK34&gt;=Results!$I$20,$AK34&lt;=Results!$F$4),$AN34,"")</f>
        <v/>
      </c>
      <c r="AX34" t="str">
        <f t="shared" si="29"/>
        <v/>
      </c>
      <c r="AY34" t="str">
        <f>IF(AND($AK34&lt;=Results!$I$23,$AK34&gt;=Results!$I$22,$AK34&gt;=Results!$F$4),$AN34,"")</f>
        <v/>
      </c>
      <c r="AZ34" t="str">
        <f t="shared" si="0"/>
        <v/>
      </c>
      <c r="BA34" t="str">
        <f>IF(AND($AK34&lt;=Results!$I$27,$AK34&gt;=Results!$I$26,$AK34&lt;=Results!$F$4),$AQ34,"")</f>
        <v/>
      </c>
      <c r="BB34" t="str">
        <f t="shared" si="1"/>
        <v/>
      </c>
      <c r="BC34" t="str">
        <f>IF(AND($AK34&lt;=Results!$I$29,$AK34&gt;=Results!$I$28,$AK34&gt;=Results!$F$4),$AQ34,"")</f>
        <v/>
      </c>
      <c r="BD34">
        <f t="shared" si="2"/>
        <v>11722.032787995255</v>
      </c>
      <c r="BE34">
        <f t="shared" si="3"/>
        <v>2539.9566026320745</v>
      </c>
      <c r="BF34">
        <f t="shared" si="30"/>
        <v>11129.472956542604</v>
      </c>
      <c r="BG34">
        <f t="shared" si="4"/>
        <v>1383.4651665954655</v>
      </c>
      <c r="BH34">
        <f t="shared" si="5"/>
        <v>0</v>
      </c>
      <c r="BI34">
        <f t="shared" si="6"/>
        <v>1.004367263408465</v>
      </c>
      <c r="BJ34">
        <f t="shared" si="7"/>
        <v>1.0085117533941981</v>
      </c>
      <c r="BK34">
        <f t="shared" si="8"/>
        <v>3.9925396897521597E-3</v>
      </c>
      <c r="BL34">
        <f t="shared" si="9"/>
        <v>-9.3970421678800427E-3</v>
      </c>
      <c r="BM34">
        <f t="shared" si="31"/>
        <v>120</v>
      </c>
      <c r="BN34">
        <f t="shared" si="32"/>
        <v>-119.99999999999829</v>
      </c>
      <c r="BO34">
        <f>Data!$H$2*(1-BI34)*(1-BI34/Data!$H$3)*BM34</f>
        <v>4.5775175229402634E-9</v>
      </c>
      <c r="BP34">
        <f t="shared" si="10"/>
        <v>-120.52407160901581</v>
      </c>
      <c r="BQ34">
        <f>Data!$H$2*(1-BJ34)*(1-BJ34/Data!$H$3)*BN34</f>
        <v>-1.7387987002473937E-8</v>
      </c>
      <c r="BR34">
        <f t="shared" si="11"/>
        <v>121.02141040730204</v>
      </c>
      <c r="BS34">
        <f t="shared" si="33"/>
        <v>0</v>
      </c>
      <c r="BT34">
        <f t="shared" si="12"/>
        <v>0</v>
      </c>
      <c r="BU34">
        <f t="shared" si="13"/>
        <v>0</v>
      </c>
      <c r="BV34">
        <f t="shared" si="14"/>
        <v>0</v>
      </c>
      <c r="BW34">
        <f t="shared" si="34"/>
        <v>0</v>
      </c>
      <c r="BX34" t="str">
        <f t="shared" si="35"/>
        <v/>
      </c>
      <c r="BY34" s="66" t="str">
        <f t="shared" si="15"/>
        <v/>
      </c>
      <c r="BZ34" t="str">
        <f t="shared" si="16"/>
        <v/>
      </c>
      <c r="CA34" s="67" t="str">
        <f t="shared" si="17"/>
        <v/>
      </c>
    </row>
    <row r="35" spans="1:79" x14ac:dyDescent="0.25">
      <c r="A35">
        <v>2881</v>
      </c>
      <c r="B35">
        <v>49</v>
      </c>
      <c r="C35">
        <v>9396</v>
      </c>
      <c r="D35" s="3">
        <f t="shared" si="48"/>
        <v>8.3333333333333332E-3</v>
      </c>
      <c r="E35" s="3">
        <f t="shared" si="48"/>
        <v>-1.2749999999999999</v>
      </c>
      <c r="F35">
        <f>IF(A35&gt;0,IF(F34=1,1,IF(B35=Data!$H$4,1,0)),"")</f>
        <v>0</v>
      </c>
      <c r="G35">
        <v>2881</v>
      </c>
      <c r="H35">
        <v>49</v>
      </c>
      <c r="I35">
        <v>9396</v>
      </c>
      <c r="J35" s="3">
        <v>8.3333333333333332E-3</v>
      </c>
      <c r="K35" s="3">
        <v>-1.2749999999999999</v>
      </c>
      <c r="L35">
        <v>6781</v>
      </c>
      <c r="M35">
        <v>59</v>
      </c>
      <c r="N35">
        <v>3396</v>
      </c>
      <c r="O35" s="3">
        <v>-8.3333333333333332E-3</v>
      </c>
      <c r="P35" s="3">
        <v>5.2424999999999997</v>
      </c>
      <c r="Q35" t="str">
        <f t="shared" si="18"/>
        <v/>
      </c>
      <c r="R35" s="4">
        <f t="shared" si="19"/>
        <v>49</v>
      </c>
      <c r="S35">
        <f t="shared" si="36"/>
        <v>2881</v>
      </c>
      <c r="T35">
        <f t="shared" si="49"/>
        <v>9399</v>
      </c>
      <c r="U35" s="4">
        <f t="shared" si="20"/>
        <v>59</v>
      </c>
      <c r="V35">
        <f t="shared" si="37"/>
        <v>6781</v>
      </c>
      <c r="W35">
        <f t="shared" si="38"/>
        <v>3413.6666666666642</v>
      </c>
      <c r="X35" t="str">
        <f t="shared" si="39"/>
        <v/>
      </c>
      <c r="Y35" t="str">
        <f t="shared" si="40"/>
        <v/>
      </c>
      <c r="Z35" t="str">
        <f t="shared" si="41"/>
        <v/>
      </c>
      <c r="AA35" t="str">
        <f t="shared" si="21"/>
        <v/>
      </c>
      <c r="AB35" t="str">
        <f t="shared" si="42"/>
        <v/>
      </c>
      <c r="AC35" t="str">
        <f t="shared" si="43"/>
        <v/>
      </c>
      <c r="AD35" t="str">
        <f t="shared" si="44"/>
        <v/>
      </c>
      <c r="AE35" t="str">
        <f t="shared" si="45"/>
        <v/>
      </c>
      <c r="AF35" s="72">
        <f>IF(AF34+$AF$1&gt;ROUND(Data!$H$4,0),AF34,AF34+$AF$1)</f>
        <v>58</v>
      </c>
      <c r="AG35">
        <f t="shared" si="22"/>
        <v>3961</v>
      </c>
      <c r="AH35">
        <f t="shared" si="23"/>
        <v>5303.8333333333358</v>
      </c>
      <c r="AI35">
        <f t="shared" si="24"/>
        <v>6901</v>
      </c>
      <c r="AJ35" s="67">
        <f t="shared" si="25"/>
        <v>4076.3333333333358</v>
      </c>
      <c r="AK35" s="4">
        <f t="shared" si="46"/>
        <v>28.300000000000047</v>
      </c>
      <c r="AL35">
        <f t="shared" si="26"/>
        <v>397.00000000000563</v>
      </c>
      <c r="AM35">
        <f t="shared" si="27"/>
        <v>11754.866666666663</v>
      </c>
      <c r="AN35">
        <f>IF($AK34+$AK$1&lt;=Data!$H$4-0.5,AVERAGE(AM33:AM37),AN34)</f>
        <v>11754.866666666663</v>
      </c>
      <c r="AO35">
        <f t="shared" si="28"/>
        <v>10464.999999999995</v>
      </c>
      <c r="AP35">
        <f t="shared" si="47"/>
        <v>11187.678571428567</v>
      </c>
      <c r="AQ35">
        <f>IF($AK34+$AK$1&lt;=Data!$H$4-0.5,AVERAGE(AP33:AP37),AQ34)</f>
        <v>11187.678571428567</v>
      </c>
      <c r="AR35">
        <f>IF($AK34+$AK$1&lt;=Data!$H$4-0.5,SLOPE($AN31:$AN39,$AK31:$AK39),AR34)</f>
        <v>-71.149999999998329</v>
      </c>
      <c r="AS35">
        <f>IF($AK34+$AK$1&lt;=Data!$H$4-0.5,SLOPE($AQ31:$AQ39,$AK31:$AK39),AS34)</f>
        <v>-109.99999999999964</v>
      </c>
      <c r="AT35" t="str">
        <f>IF(AND($AK35&gt;=Results!$G$13,$AK35&lt;=Results!$G$14),Curves!AR35,"")</f>
        <v/>
      </c>
      <c r="AU35" t="str">
        <f>IF(AND($AK35&gt;=Results!$G$13,$AK35&lt;=Results!$G$14),Curves!AS35,"")</f>
        <v/>
      </c>
      <c r="AV35" t="str">
        <f t="shared" si="29"/>
        <v/>
      </c>
      <c r="AW35" t="str">
        <f>IF(AND($AK35&lt;=Results!$I$21,$AK35&gt;=Results!$I$20,$AK35&lt;=Results!$F$4),$AN35,"")</f>
        <v/>
      </c>
      <c r="AX35" t="str">
        <f t="shared" si="29"/>
        <v/>
      </c>
      <c r="AY35" t="str">
        <f>IF(AND($AK35&lt;=Results!$I$23,$AK35&gt;=Results!$I$22,$AK35&gt;=Results!$F$4),$AN35,"")</f>
        <v/>
      </c>
      <c r="AZ35" t="str">
        <f t="shared" si="0"/>
        <v/>
      </c>
      <c r="BA35" t="str">
        <f>IF(AND($AK35&lt;=Results!$I$27,$AK35&gt;=Results!$I$26,$AK35&lt;=Results!$F$4),$AQ35,"")</f>
        <v/>
      </c>
      <c r="BB35" t="str">
        <f t="shared" si="1"/>
        <v/>
      </c>
      <c r="BC35" t="str">
        <f>IF(AND($AK35&lt;=Results!$I$29,$AK35&gt;=Results!$I$28,$AK35&gt;=Results!$F$4),$AQ35,"")</f>
        <v/>
      </c>
      <c r="BD35">
        <f t="shared" si="2"/>
        <v>11711.262593197334</v>
      </c>
      <c r="BE35">
        <f t="shared" si="3"/>
        <v>2536.6408133827535</v>
      </c>
      <c r="BF35">
        <f t="shared" si="30"/>
        <v>11122.182974309711</v>
      </c>
      <c r="BG35">
        <f t="shared" si="4"/>
        <v>1382.9143656359404</v>
      </c>
      <c r="BH35">
        <f t="shared" si="5"/>
        <v>0</v>
      </c>
      <c r="BI35">
        <f t="shared" si="6"/>
        <v>1.0047526834910256</v>
      </c>
      <c r="BJ35">
        <f t="shared" si="7"/>
        <v>1.0067248989375368</v>
      </c>
      <c r="BK35">
        <f t="shared" si="8"/>
        <v>3.8573349208869691E-3</v>
      </c>
      <c r="BL35">
        <f t="shared" si="9"/>
        <v>-9.4041899244211354E-3</v>
      </c>
      <c r="BM35">
        <f t="shared" si="31"/>
        <v>120.00000000000001</v>
      </c>
      <c r="BN35">
        <f t="shared" si="32"/>
        <v>-119.99999999999831</v>
      </c>
      <c r="BO35">
        <f>Data!$H$2*(1-BI35)*(1-BI35/Data!$H$3)*BM35</f>
        <v>5.4211200878082499E-9</v>
      </c>
      <c r="BP35">
        <f t="shared" si="10"/>
        <v>-120.57032201892309</v>
      </c>
      <c r="BQ35">
        <f>Data!$H$2*(1-BJ35)*(1-BJ35/Data!$H$3)*BN35</f>
        <v>-1.0853823772819923E-8</v>
      </c>
      <c r="BR35">
        <f t="shared" si="11"/>
        <v>120.80698787250272</v>
      </c>
      <c r="BS35">
        <f t="shared" si="33"/>
        <v>0</v>
      </c>
      <c r="BT35">
        <f t="shared" si="12"/>
        <v>0</v>
      </c>
      <c r="BU35">
        <f t="shared" si="13"/>
        <v>0</v>
      </c>
      <c r="BV35">
        <f t="shared" si="14"/>
        <v>0</v>
      </c>
      <c r="BW35">
        <f t="shared" si="34"/>
        <v>0</v>
      </c>
      <c r="BX35" t="str">
        <f t="shared" si="35"/>
        <v/>
      </c>
      <c r="BY35" s="66" t="str">
        <f t="shared" si="15"/>
        <v/>
      </c>
      <c r="BZ35" t="str">
        <f t="shared" si="16"/>
        <v/>
      </c>
      <c r="CA35" s="67" t="str">
        <f t="shared" si="17"/>
        <v/>
      </c>
    </row>
    <row r="36" spans="1:79" x14ac:dyDescent="0.25">
      <c r="A36">
        <v>2941</v>
      </c>
      <c r="B36">
        <v>49.5</v>
      </c>
      <c r="C36">
        <v>9324</v>
      </c>
      <c r="D36" s="3">
        <f t="shared" si="48"/>
        <v>8.3333333333333332E-3</v>
      </c>
      <c r="E36" s="3">
        <f t="shared" si="48"/>
        <v>-1.3833333333333333</v>
      </c>
      <c r="F36">
        <f>IF(A36&gt;0,IF(F35=1,1,IF(B36=Data!$H$4,1,0)),"")</f>
        <v>0</v>
      </c>
      <c r="G36">
        <v>2941</v>
      </c>
      <c r="H36">
        <v>49.5</v>
      </c>
      <c r="I36">
        <v>9324</v>
      </c>
      <c r="J36" s="3">
        <v>8.3333333333333332E-3</v>
      </c>
      <c r="K36" s="3">
        <v>-1.3833333333333333</v>
      </c>
      <c r="L36">
        <v>6661</v>
      </c>
      <c r="M36">
        <v>60</v>
      </c>
      <c r="N36">
        <v>2782</v>
      </c>
      <c r="O36" s="3">
        <v>-8.3333333333333332E-3</v>
      </c>
      <c r="P36" s="3">
        <v>4.6091666666666669</v>
      </c>
      <c r="Q36" t="str">
        <f t="shared" si="18"/>
        <v/>
      </c>
      <c r="R36" s="4">
        <f t="shared" si="19"/>
        <v>50</v>
      </c>
      <c r="S36">
        <f t="shared" si="36"/>
        <v>3001</v>
      </c>
      <c r="T36">
        <f t="shared" si="49"/>
        <v>9235.3333333333358</v>
      </c>
      <c r="U36" s="4">
        <f t="shared" si="20"/>
        <v>60</v>
      </c>
      <c r="V36">
        <f t="shared" si="37"/>
        <v>6661</v>
      </c>
      <c r="W36">
        <f t="shared" si="38"/>
        <v>2814.3333333333358</v>
      </c>
      <c r="X36" t="str">
        <f t="shared" si="39"/>
        <v/>
      </c>
      <c r="Y36" t="str">
        <f t="shared" si="40"/>
        <v/>
      </c>
      <c r="Z36" t="str">
        <f t="shared" si="41"/>
        <v/>
      </c>
      <c r="AA36" t="str">
        <f t="shared" si="21"/>
        <v/>
      </c>
      <c r="AB36" t="str">
        <f t="shared" si="42"/>
        <v/>
      </c>
      <c r="AC36" t="str">
        <f t="shared" si="43"/>
        <v/>
      </c>
      <c r="AD36" t="str">
        <f t="shared" si="44"/>
        <v/>
      </c>
      <c r="AE36" t="str">
        <f t="shared" si="45"/>
        <v/>
      </c>
      <c r="AF36" s="72">
        <f>IF(AF35+$AF$1&gt;ROUND(Data!$H$4,0),AF35,AF35+$AF$1)</f>
        <v>59</v>
      </c>
      <c r="AG36">
        <f t="shared" si="22"/>
        <v>4081</v>
      </c>
      <c r="AH36">
        <f t="shared" si="23"/>
        <v>4608</v>
      </c>
      <c r="AI36">
        <f t="shared" si="24"/>
        <v>6781</v>
      </c>
      <c r="AJ36" s="67">
        <f t="shared" si="25"/>
        <v>3413.6666666666642</v>
      </c>
      <c r="AK36" s="4">
        <f t="shared" si="46"/>
        <v>28.400000000000048</v>
      </c>
      <c r="AL36">
        <f t="shared" si="26"/>
        <v>409.0000000000058</v>
      </c>
      <c r="AM36">
        <f t="shared" si="27"/>
        <v>11747.599999999997</v>
      </c>
      <c r="AN36">
        <f>IF($AK35+$AK$1&lt;=Data!$H$4-0.5,AVERAGE(AM34:AM38),AN35)</f>
        <v>11747.599999999997</v>
      </c>
      <c r="AO36">
        <f t="shared" si="28"/>
        <v>10452.999999999995</v>
      </c>
      <c r="AP36">
        <f t="shared" si="47"/>
        <v>11179.428571428567</v>
      </c>
      <c r="AQ36">
        <f>IF($AK35+$AK$1&lt;=Data!$H$4-0.5,AVERAGE(AP34:AP38),AQ35)</f>
        <v>11179.428571428567</v>
      </c>
      <c r="AR36">
        <f>IF($AK35+$AK$1&lt;=Data!$H$4-0.5,SLOPE($AN32:$AN40,$AK32:$AK40),AR35)</f>
        <v>-72.016666666665699</v>
      </c>
      <c r="AS36">
        <f>IF($AK35+$AK$1&lt;=Data!$H$4-0.5,SLOPE($AQ32:$AQ40,$AK32:$AK40),AS35)</f>
        <v>-107.24999999999848</v>
      </c>
      <c r="AT36" t="str">
        <f>IF(AND($AK36&gt;=Results!$G$13,$AK36&lt;=Results!$G$14),Curves!AR36,"")</f>
        <v/>
      </c>
      <c r="AU36" t="str">
        <f>IF(AND($AK36&gt;=Results!$G$13,$AK36&lt;=Results!$G$14),Curves!AS36,"")</f>
        <v/>
      </c>
      <c r="AV36" t="str">
        <f t="shared" si="29"/>
        <v/>
      </c>
      <c r="AW36" t="str">
        <f>IF(AND($AK36&lt;=Results!$I$21,$AK36&gt;=Results!$I$20,$AK36&lt;=Results!$F$4),$AN36,"")</f>
        <v/>
      </c>
      <c r="AX36" t="str">
        <f t="shared" si="29"/>
        <v/>
      </c>
      <c r="AY36" t="str">
        <f>IF(AND($AK36&lt;=Results!$I$23,$AK36&gt;=Results!$I$22,$AK36&gt;=Results!$F$4),$AN36,"")</f>
        <v/>
      </c>
      <c r="AZ36" t="str">
        <f t="shared" si="0"/>
        <v/>
      </c>
      <c r="BA36" t="str">
        <f>IF(AND($AK36&lt;=Results!$I$27,$AK36&gt;=Results!$I$26,$AK36&lt;=Results!$F$4),$AQ36,"")</f>
        <v/>
      </c>
      <c r="BB36" t="str">
        <f t="shared" si="1"/>
        <v/>
      </c>
      <c r="BC36" t="str">
        <f>IF(AND($AK36&lt;=Results!$I$29,$AK36&gt;=Results!$I$28,$AK36&gt;=Results!$F$4),$AQ36,"")</f>
        <v/>
      </c>
      <c r="BD36">
        <f t="shared" si="2"/>
        <v>11700.492398399416</v>
      </c>
      <c r="BE36">
        <f t="shared" si="3"/>
        <v>2533.3250241334326</v>
      </c>
      <c r="BF36">
        <f t="shared" si="30"/>
        <v>11114.892992076817</v>
      </c>
      <c r="BG36">
        <f t="shared" si="4"/>
        <v>1382.3635646764155</v>
      </c>
      <c r="BH36">
        <f t="shared" si="5"/>
        <v>0</v>
      </c>
      <c r="BI36">
        <f t="shared" si="6"/>
        <v>1.0051387303926425</v>
      </c>
      <c r="BJ36">
        <f t="shared" si="7"/>
        <v>1.0066309154093138</v>
      </c>
      <c r="BK36">
        <f t="shared" si="8"/>
        <v>3.8636107632694099E-3</v>
      </c>
      <c r="BL36">
        <f t="shared" si="9"/>
        <v>-9.4048651160803841E-4</v>
      </c>
      <c r="BM36">
        <f t="shared" si="31"/>
        <v>119.99999999999997</v>
      </c>
      <c r="BN36">
        <f t="shared" si="32"/>
        <v>-119.99999999999829</v>
      </c>
      <c r="BO36">
        <f>Data!$H$2*(1-BI36)*(1-BI36/Data!$H$3)*BM36</f>
        <v>6.3375720115841436E-9</v>
      </c>
      <c r="BP36">
        <f t="shared" si="10"/>
        <v>-120.61664764711706</v>
      </c>
      <c r="BQ36">
        <f>Data!$H$2*(1-BJ36)*(1-BJ36/Data!$H$3)*BN36</f>
        <v>-1.0552569399713961E-8</v>
      </c>
      <c r="BR36">
        <f t="shared" si="11"/>
        <v>120.79570984911594</v>
      </c>
      <c r="BS36">
        <f t="shared" si="33"/>
        <v>0</v>
      </c>
      <c r="BT36">
        <f t="shared" si="12"/>
        <v>0</v>
      </c>
      <c r="BU36">
        <f t="shared" si="13"/>
        <v>0</v>
      </c>
      <c r="BV36">
        <f t="shared" si="14"/>
        <v>0</v>
      </c>
      <c r="BW36">
        <f t="shared" si="34"/>
        <v>0</v>
      </c>
      <c r="BX36" t="str">
        <f t="shared" si="35"/>
        <v/>
      </c>
      <c r="BY36" s="66" t="str">
        <f t="shared" si="15"/>
        <v/>
      </c>
      <c r="BZ36" t="str">
        <f t="shared" si="16"/>
        <v/>
      </c>
      <c r="CA36" s="67" t="str">
        <f t="shared" si="17"/>
        <v/>
      </c>
    </row>
    <row r="37" spans="1:79" x14ac:dyDescent="0.25">
      <c r="A37">
        <v>3001</v>
      </c>
      <c r="B37">
        <v>50</v>
      </c>
      <c r="C37">
        <v>9232</v>
      </c>
      <c r="D37" s="3">
        <f t="shared" si="48"/>
        <v>8.3333333333333332E-3</v>
      </c>
      <c r="E37" s="3">
        <f t="shared" si="48"/>
        <v>-1.52</v>
      </c>
      <c r="F37">
        <f>IF(A37&gt;0,IF(F36=1,1,IF(B37=Data!$H$4,1,0)),"")</f>
        <v>0</v>
      </c>
      <c r="G37">
        <v>3001</v>
      </c>
      <c r="H37">
        <v>50</v>
      </c>
      <c r="I37">
        <v>9232</v>
      </c>
      <c r="J37" s="3">
        <v>8.3333333333333332E-3</v>
      </c>
      <c r="K37" s="3">
        <v>-1.52</v>
      </c>
      <c r="L37">
        <v>6541</v>
      </c>
      <c r="M37">
        <v>61</v>
      </c>
      <c r="N37">
        <v>2265</v>
      </c>
      <c r="O37" s="3">
        <v>-8.3333333333333332E-3</v>
      </c>
      <c r="P37" s="3">
        <v>3.8108333333333335</v>
      </c>
      <c r="Q37" t="str">
        <f t="shared" si="18"/>
        <v/>
      </c>
      <c r="R37" s="4">
        <f t="shared" si="19"/>
        <v>50</v>
      </c>
      <c r="S37">
        <f t="shared" si="36"/>
        <v>3001</v>
      </c>
      <c r="T37">
        <f t="shared" si="49"/>
        <v>9233.3333333333358</v>
      </c>
      <c r="U37" s="4">
        <f t="shared" si="20"/>
        <v>61</v>
      </c>
      <c r="V37">
        <f t="shared" si="37"/>
        <v>6541</v>
      </c>
      <c r="W37">
        <f t="shared" si="38"/>
        <v>2303.3333333333321</v>
      </c>
      <c r="X37" t="str">
        <f t="shared" si="39"/>
        <v/>
      </c>
      <c r="Y37" t="str">
        <f t="shared" si="40"/>
        <v/>
      </c>
      <c r="Z37" t="str">
        <f t="shared" si="41"/>
        <v/>
      </c>
      <c r="AA37" t="str">
        <f t="shared" si="21"/>
        <v/>
      </c>
      <c r="AB37" t="str">
        <f t="shared" si="42"/>
        <v/>
      </c>
      <c r="AC37" t="str">
        <f t="shared" si="43"/>
        <v/>
      </c>
      <c r="AD37" t="str">
        <f t="shared" si="44"/>
        <v/>
      </c>
      <c r="AE37" t="str">
        <f t="shared" si="45"/>
        <v/>
      </c>
      <c r="AF37" s="72">
        <f>IF(AF36+$AF$1&gt;ROUND(Data!$H$4,0),AF36,AF36+$AF$1)</f>
        <v>60</v>
      </c>
      <c r="AG37">
        <f t="shared" si="22"/>
        <v>4201</v>
      </c>
      <c r="AH37">
        <f t="shared" si="23"/>
        <v>3935.3333333333358</v>
      </c>
      <c r="AI37">
        <f t="shared" si="24"/>
        <v>6661</v>
      </c>
      <c r="AJ37" s="67">
        <f t="shared" si="25"/>
        <v>2814.3333333333358</v>
      </c>
      <c r="AK37" s="4">
        <f t="shared" si="46"/>
        <v>28.50000000000005</v>
      </c>
      <c r="AL37">
        <f t="shared" si="26"/>
        <v>421.00000000000597</v>
      </c>
      <c r="AM37">
        <f t="shared" si="27"/>
        <v>11740.33333333333</v>
      </c>
      <c r="AN37">
        <f>IF($AK36+$AK$1&lt;=Data!$H$4-0.5,AVERAGE(AM35:AM39),AN36)</f>
        <v>11740.33333333333</v>
      </c>
      <c r="AO37">
        <f t="shared" si="28"/>
        <v>10440.999999999995</v>
      </c>
      <c r="AP37">
        <f t="shared" si="47"/>
        <v>11171.178571428567</v>
      </c>
      <c r="AQ37">
        <f>IF($AK36+$AK$1&lt;=Data!$H$4-0.5,AVERAGE(AP35:AP39),AQ36)</f>
        <v>11171.178571428567</v>
      </c>
      <c r="AR37">
        <f>IF($AK36+$AK$1&lt;=Data!$H$4-0.5,SLOPE($AN33:$AN41,$AK33:$AK41),AR36)</f>
        <v>-72.58666666666511</v>
      </c>
      <c r="AS37">
        <f>IF($AK36+$AK$1&lt;=Data!$H$4-0.5,SLOPE($AQ33:$AQ41,$AK33:$AK41),AS36)</f>
        <v>-101.74238095238108</v>
      </c>
      <c r="AT37" t="str">
        <f>IF(AND($AK37&gt;=Results!$G$13,$AK37&lt;=Results!$G$14),Curves!AR37,"")</f>
        <v/>
      </c>
      <c r="AU37" t="str">
        <f>IF(AND($AK37&gt;=Results!$G$13,$AK37&lt;=Results!$G$14),Curves!AS37,"")</f>
        <v/>
      </c>
      <c r="AV37" t="str">
        <f t="shared" si="29"/>
        <v/>
      </c>
      <c r="AW37" t="str">
        <f>IF(AND($AK37&lt;=Results!$I$21,$AK37&gt;=Results!$I$20,$AK37&lt;=Results!$F$4),$AN37,"")</f>
        <v/>
      </c>
      <c r="AX37" t="str">
        <f t="shared" si="29"/>
        <v/>
      </c>
      <c r="AY37" t="str">
        <f>IF(AND($AK37&lt;=Results!$I$23,$AK37&gt;=Results!$I$22,$AK37&gt;=Results!$F$4),$AN37,"")</f>
        <v/>
      </c>
      <c r="AZ37" t="str">
        <f t="shared" si="0"/>
        <v/>
      </c>
      <c r="BA37" t="str">
        <f>IF(AND($AK37&lt;=Results!$I$27,$AK37&gt;=Results!$I$26,$AK37&lt;=Results!$F$4),$AQ37,"")</f>
        <v/>
      </c>
      <c r="BB37" t="str">
        <f t="shared" si="1"/>
        <v/>
      </c>
      <c r="BC37" t="str">
        <f>IF(AND($AK37&lt;=Results!$I$29,$AK37&gt;=Results!$I$28,$AK37&gt;=Results!$F$4),$AQ37,"")</f>
        <v/>
      </c>
      <c r="BD37">
        <f t="shared" si="2"/>
        <v>11689.722203601495</v>
      </c>
      <c r="BE37">
        <f t="shared" si="3"/>
        <v>2530.0092348841117</v>
      </c>
      <c r="BF37">
        <f t="shared" si="30"/>
        <v>11107.603009843924</v>
      </c>
      <c r="BG37">
        <f t="shared" si="4"/>
        <v>1381.8127637168905</v>
      </c>
      <c r="BH37">
        <f t="shared" si="5"/>
        <v>0</v>
      </c>
      <c r="BI37">
        <f t="shared" si="6"/>
        <v>1.0055254056436795</v>
      </c>
      <c r="BJ37">
        <f t="shared" si="7"/>
        <v>1.0065368016352152</v>
      </c>
      <c r="BK37">
        <f t="shared" si="8"/>
        <v>3.869901934215826E-3</v>
      </c>
      <c r="BL37">
        <f t="shared" si="9"/>
        <v>-9.4179032505080416E-4</v>
      </c>
      <c r="BM37">
        <f t="shared" si="31"/>
        <v>120.00000000000001</v>
      </c>
      <c r="BN37">
        <f t="shared" si="32"/>
        <v>-119.99999999999831</v>
      </c>
      <c r="BO37">
        <f>Data!$H$2*(1-BI37)*(1-BI37/Data!$H$3)*BM37</f>
        <v>7.3272258065293651E-9</v>
      </c>
      <c r="BP37">
        <f t="shared" si="10"/>
        <v>-120.66304867724156</v>
      </c>
      <c r="BQ37">
        <f>Data!$H$2*(1-BJ37)*(1-BJ37/Data!$H$3)*BN37</f>
        <v>-1.0255146148356345E-8</v>
      </c>
      <c r="BR37">
        <f t="shared" si="11"/>
        <v>120.78441619622411</v>
      </c>
      <c r="BS37">
        <f t="shared" si="33"/>
        <v>0</v>
      </c>
      <c r="BT37">
        <f t="shared" si="12"/>
        <v>0</v>
      </c>
      <c r="BU37">
        <f t="shared" si="13"/>
        <v>0</v>
      </c>
      <c r="BV37">
        <f t="shared" si="14"/>
        <v>0</v>
      </c>
      <c r="BW37">
        <f t="shared" si="34"/>
        <v>0</v>
      </c>
      <c r="BX37" t="str">
        <f t="shared" si="35"/>
        <v/>
      </c>
      <c r="BY37" s="66" t="str">
        <f t="shared" si="15"/>
        <v/>
      </c>
      <c r="BZ37" t="str">
        <f t="shared" si="16"/>
        <v/>
      </c>
      <c r="CA37" s="67" t="str">
        <f t="shared" si="17"/>
        <v/>
      </c>
    </row>
    <row r="38" spans="1:79" x14ac:dyDescent="0.25">
      <c r="A38">
        <v>3061</v>
      </c>
      <c r="B38">
        <v>50.5</v>
      </c>
      <c r="C38">
        <v>9144</v>
      </c>
      <c r="D38" s="3">
        <f t="shared" si="48"/>
        <v>8.3333333333333332E-3</v>
      </c>
      <c r="E38" s="3">
        <f t="shared" si="48"/>
        <v>-1.7133333333333334</v>
      </c>
      <c r="F38">
        <f>IF(A38&gt;0,IF(F37=1,1,IF(B38=Data!$H$4,1,0)),"")</f>
        <v>0</v>
      </c>
      <c r="G38">
        <v>3061</v>
      </c>
      <c r="H38">
        <v>50.5</v>
      </c>
      <c r="I38">
        <v>9144</v>
      </c>
      <c r="J38" s="3">
        <v>8.3333333333333332E-3</v>
      </c>
      <c r="K38" s="3">
        <v>-1.7133333333333334</v>
      </c>
      <c r="L38">
        <v>6421</v>
      </c>
      <c r="M38">
        <v>62</v>
      </c>
      <c r="N38">
        <v>1863</v>
      </c>
      <c r="O38" s="3">
        <v>-8.3333333333333332E-3</v>
      </c>
      <c r="P38" s="3">
        <v>2.9033333333333333</v>
      </c>
      <c r="Q38" t="str">
        <f t="shared" si="18"/>
        <v/>
      </c>
      <c r="R38" s="4">
        <f t="shared" si="19"/>
        <v>51</v>
      </c>
      <c r="S38">
        <f t="shared" si="36"/>
        <v>3121</v>
      </c>
      <c r="T38">
        <f t="shared" si="49"/>
        <v>9034.3333333333358</v>
      </c>
      <c r="U38" s="4">
        <f t="shared" si="20"/>
        <v>62</v>
      </c>
      <c r="V38">
        <f t="shared" si="37"/>
        <v>6421</v>
      </c>
      <c r="W38">
        <f t="shared" si="38"/>
        <v>1899</v>
      </c>
      <c r="X38" t="str">
        <f t="shared" si="39"/>
        <v/>
      </c>
      <c r="Y38" t="str">
        <f t="shared" si="40"/>
        <v/>
      </c>
      <c r="Z38" t="str">
        <f t="shared" si="41"/>
        <v/>
      </c>
      <c r="AA38" t="str">
        <f t="shared" si="21"/>
        <v/>
      </c>
      <c r="AB38" t="str">
        <f t="shared" si="42"/>
        <v/>
      </c>
      <c r="AC38" t="str">
        <f t="shared" si="43"/>
        <v/>
      </c>
      <c r="AD38" t="str">
        <f t="shared" si="44"/>
        <v/>
      </c>
      <c r="AE38" t="str">
        <f t="shared" si="45"/>
        <v/>
      </c>
      <c r="AF38" s="72">
        <f>IF(AF37+$AF$1&gt;ROUND(Data!$H$4,0),AF37,AF37+$AF$1)</f>
        <v>61</v>
      </c>
      <c r="AG38">
        <f t="shared" si="22"/>
        <v>4321</v>
      </c>
      <c r="AH38">
        <f t="shared" si="23"/>
        <v>3286.8333333333358</v>
      </c>
      <c r="AI38">
        <f t="shared" si="24"/>
        <v>6541</v>
      </c>
      <c r="AJ38" s="67">
        <f t="shared" si="25"/>
        <v>2303.3333333333321</v>
      </c>
      <c r="AK38" s="4">
        <f t="shared" si="46"/>
        <v>28.600000000000051</v>
      </c>
      <c r="AL38">
        <f t="shared" si="26"/>
        <v>433.00000000000614</v>
      </c>
      <c r="AM38">
        <f t="shared" si="27"/>
        <v>11733.066666666662</v>
      </c>
      <c r="AN38">
        <f>IF($AK37+$AK$1&lt;=Data!$H$4-0.5,AVERAGE(AM36:AM40),AN37)</f>
        <v>11733.066666666662</v>
      </c>
      <c r="AO38">
        <f t="shared" si="28"/>
        <v>10428.999999999995</v>
      </c>
      <c r="AP38">
        <f t="shared" si="47"/>
        <v>11162.928571428567</v>
      </c>
      <c r="AQ38">
        <f>IF($AK37+$AK$1&lt;=Data!$H$4-0.5,AVERAGE(AP36:AP40),AQ37)</f>
        <v>11162.928571428567</v>
      </c>
      <c r="AR38">
        <f>IF($AK37+$AK$1&lt;=Data!$H$4-0.5,SLOPE($AN34:$AN42,$AK34:$AK42),AR37)</f>
        <v>-73.016666666665699</v>
      </c>
      <c r="AS38">
        <f>IF($AK37+$AK$1&lt;=Data!$H$4-0.5,SLOPE($AQ34:$AQ42,$AK34:$AK42),AS37)</f>
        <v>-93.47142857142947</v>
      </c>
      <c r="AT38" t="str">
        <f>IF(AND($AK38&gt;=Results!$G$13,$AK38&lt;=Results!$G$14),Curves!AR38,"")</f>
        <v/>
      </c>
      <c r="AU38" t="str">
        <f>IF(AND($AK38&gt;=Results!$G$13,$AK38&lt;=Results!$G$14),Curves!AS38,"")</f>
        <v/>
      </c>
      <c r="AV38" t="str">
        <f t="shared" si="29"/>
        <v/>
      </c>
      <c r="AW38" t="str">
        <f>IF(AND($AK38&lt;=Results!$I$21,$AK38&gt;=Results!$I$20,$AK38&lt;=Results!$F$4),$AN38,"")</f>
        <v/>
      </c>
      <c r="AX38" t="str">
        <f t="shared" si="29"/>
        <v/>
      </c>
      <c r="AY38" t="str">
        <f>IF(AND($AK38&lt;=Results!$I$23,$AK38&gt;=Results!$I$22,$AK38&gt;=Results!$F$4),$AN38,"")</f>
        <v/>
      </c>
      <c r="AZ38" t="str">
        <f t="shared" si="0"/>
        <v/>
      </c>
      <c r="BA38" t="str">
        <f>IF(AND($AK38&lt;=Results!$I$27,$AK38&gt;=Results!$I$26,$AK38&lt;=Results!$F$4),$AQ38,"")</f>
        <v/>
      </c>
      <c r="BB38" t="str">
        <f t="shared" si="1"/>
        <v/>
      </c>
      <c r="BC38" t="str">
        <f>IF(AND($AK38&lt;=Results!$I$29,$AK38&gt;=Results!$I$28,$AK38&gt;=Results!$F$4),$AQ38,"")</f>
        <v/>
      </c>
      <c r="BD38">
        <f t="shared" si="2"/>
        <v>11678.952008803575</v>
      </c>
      <c r="BE38">
        <f t="shared" si="3"/>
        <v>2526.6934456347908</v>
      </c>
      <c r="BF38">
        <f t="shared" si="30"/>
        <v>11100.313027611031</v>
      </c>
      <c r="BG38">
        <f t="shared" si="4"/>
        <v>1381.2619627573654</v>
      </c>
      <c r="BH38">
        <f t="shared" si="5"/>
        <v>0</v>
      </c>
      <c r="BI38">
        <f t="shared" si="6"/>
        <v>1.0059127107794856</v>
      </c>
      <c r="BJ38">
        <f t="shared" si="7"/>
        <v>1.0064425573443037</v>
      </c>
      <c r="BK38">
        <f t="shared" si="8"/>
        <v>3.8762084836851396E-3</v>
      </c>
      <c r="BL38">
        <f t="shared" si="9"/>
        <v>-9.430968516232907E-4</v>
      </c>
      <c r="BM38">
        <f t="shared" si="31"/>
        <v>120</v>
      </c>
      <c r="BN38">
        <f t="shared" si="32"/>
        <v>-119.99999999999829</v>
      </c>
      <c r="BO38">
        <f>Data!$H$2*(1-BI38)*(1-BI38/Data!$H$3)*BM38</f>
        <v>8.3904357028429363E-9</v>
      </c>
      <c r="BP38">
        <f t="shared" si="10"/>
        <v>-120.70952529353828</v>
      </c>
      <c r="BQ38">
        <f>Data!$H$2*(1-BJ38)*(1-BJ38/Data!$H$3)*BN38</f>
        <v>-9.9615708323136938E-9</v>
      </c>
      <c r="BR38">
        <f t="shared" si="11"/>
        <v>120.77310688131472</v>
      </c>
      <c r="BS38">
        <f t="shared" si="33"/>
        <v>0</v>
      </c>
      <c r="BT38">
        <f t="shared" si="12"/>
        <v>0</v>
      </c>
      <c r="BU38">
        <f t="shared" si="13"/>
        <v>0</v>
      </c>
      <c r="BV38">
        <f t="shared" si="14"/>
        <v>0</v>
      </c>
      <c r="BW38">
        <f t="shared" si="34"/>
        <v>0</v>
      </c>
      <c r="BX38" t="str">
        <f t="shared" si="35"/>
        <v/>
      </c>
      <c r="BY38" s="66" t="str">
        <f t="shared" si="15"/>
        <v/>
      </c>
      <c r="BZ38" t="str">
        <f t="shared" si="16"/>
        <v/>
      </c>
      <c r="CA38" s="67" t="str">
        <f t="shared" si="17"/>
        <v/>
      </c>
    </row>
    <row r="39" spans="1:79" x14ac:dyDescent="0.25">
      <c r="A39">
        <v>3121</v>
      </c>
      <c r="B39">
        <v>51</v>
      </c>
      <c r="C39">
        <v>9030</v>
      </c>
      <c r="D39" s="3">
        <f t="shared" si="48"/>
        <v>8.3333333333333332E-3</v>
      </c>
      <c r="E39" s="3">
        <f t="shared" si="48"/>
        <v>-1.9083333333333334</v>
      </c>
      <c r="F39">
        <f>IF(A39&gt;0,IF(F38=1,1,IF(B39=Data!$H$4,1,0)),"")</f>
        <v>0</v>
      </c>
      <c r="G39">
        <v>3121</v>
      </c>
      <c r="H39">
        <v>51</v>
      </c>
      <c r="I39">
        <v>9030</v>
      </c>
      <c r="J39" s="3">
        <v>8.3333333333333332E-3</v>
      </c>
      <c r="K39" s="3">
        <v>-1.9083333333333334</v>
      </c>
      <c r="L39">
        <v>6301</v>
      </c>
      <c r="M39">
        <v>63</v>
      </c>
      <c r="N39">
        <v>1569</v>
      </c>
      <c r="O39" s="3">
        <v>-8.3333333333333332E-3</v>
      </c>
      <c r="P39" s="3">
        <v>2.0458333333333334</v>
      </c>
      <c r="Q39" t="str">
        <f t="shared" si="18"/>
        <v/>
      </c>
      <c r="R39" s="4">
        <f t="shared" si="19"/>
        <v>51</v>
      </c>
      <c r="S39">
        <f t="shared" si="36"/>
        <v>3121</v>
      </c>
      <c r="T39">
        <f t="shared" si="49"/>
        <v>9028.3333333333358</v>
      </c>
      <c r="U39" s="4">
        <f t="shared" si="20"/>
        <v>63</v>
      </c>
      <c r="V39">
        <f t="shared" si="37"/>
        <v>6301</v>
      </c>
      <c r="W39">
        <f t="shared" si="38"/>
        <v>1606.6666666666679</v>
      </c>
      <c r="X39" t="str">
        <f t="shared" si="39"/>
        <v/>
      </c>
      <c r="Y39" t="str">
        <f t="shared" si="40"/>
        <v/>
      </c>
      <c r="Z39" t="str">
        <f t="shared" si="41"/>
        <v/>
      </c>
      <c r="AA39" t="str">
        <f t="shared" si="21"/>
        <v/>
      </c>
      <c r="AB39" t="str">
        <f t="shared" si="42"/>
        <v/>
      </c>
      <c r="AC39" t="str">
        <f t="shared" si="43"/>
        <v/>
      </c>
      <c r="AD39" t="str">
        <f t="shared" si="44"/>
        <v/>
      </c>
      <c r="AE39" t="str">
        <f t="shared" si="45"/>
        <v/>
      </c>
      <c r="AF39" s="72">
        <f>IF(AF38+$AF$1&gt;ROUND(Data!$H$4,0),AF38,AF38+$AF$1)</f>
        <v>62</v>
      </c>
      <c r="AG39">
        <f t="shared" si="22"/>
        <v>4441</v>
      </c>
      <c r="AH39">
        <f t="shared" si="23"/>
        <v>2685.1666666666642</v>
      </c>
      <c r="AI39">
        <f t="shared" si="24"/>
        <v>6421</v>
      </c>
      <c r="AJ39" s="67">
        <f t="shared" si="25"/>
        <v>1899</v>
      </c>
      <c r="AK39" s="4">
        <f t="shared" si="46"/>
        <v>28.700000000000053</v>
      </c>
      <c r="AL39">
        <f t="shared" si="26"/>
        <v>445.00000000000631</v>
      </c>
      <c r="AM39">
        <f t="shared" si="27"/>
        <v>11725.799999999996</v>
      </c>
      <c r="AN39">
        <f>IF($AK38+$AK$1&lt;=Data!$H$4-0.5,AVERAGE(AM37:AM41),AN38)</f>
        <v>11725.799999999997</v>
      </c>
      <c r="AO39">
        <f t="shared" si="28"/>
        <v>10416.999999999995</v>
      </c>
      <c r="AP39">
        <f t="shared" si="47"/>
        <v>11154.678571428567</v>
      </c>
      <c r="AQ39">
        <f>IF($AK38+$AK$1&lt;=Data!$H$4-0.5,AVERAGE(AP37:AP41),AQ38)</f>
        <v>11154.678571428567</v>
      </c>
      <c r="AR39">
        <f>IF($AK38+$AK$1&lt;=Data!$H$4-0.5,SLOPE($AN35:$AN43,$AK35:$AK43),AR38)</f>
        <v>-73.483333333332524</v>
      </c>
      <c r="AS39">
        <f>IF($AK38+$AK$1&lt;=Data!$H$4-0.5,SLOPE($AQ35:$AQ43,$AK35:$AK43),AS38)</f>
        <v>-82.433333333335852</v>
      </c>
      <c r="AT39" t="str">
        <f>IF(AND($AK39&gt;=Results!$G$13,$AK39&lt;=Results!$G$14),Curves!AR39,"")</f>
        <v/>
      </c>
      <c r="AU39" t="str">
        <f>IF(AND($AK39&gt;=Results!$G$13,$AK39&lt;=Results!$G$14),Curves!AS39,"")</f>
        <v/>
      </c>
      <c r="AV39" t="str">
        <f t="shared" si="29"/>
        <v/>
      </c>
      <c r="AW39" t="str">
        <f>IF(AND($AK39&lt;=Results!$I$21,$AK39&gt;=Results!$I$20,$AK39&lt;=Results!$F$4),$AN39,"")</f>
        <v/>
      </c>
      <c r="AX39" t="str">
        <f t="shared" si="29"/>
        <v/>
      </c>
      <c r="AY39" t="str">
        <f>IF(AND($AK39&lt;=Results!$I$23,$AK39&gt;=Results!$I$22,$AK39&gt;=Results!$F$4),$AN39,"")</f>
        <v/>
      </c>
      <c r="AZ39" t="str">
        <f t="shared" si="0"/>
        <v/>
      </c>
      <c r="BA39" t="str">
        <f>IF(AND($AK39&lt;=Results!$I$27,$AK39&gt;=Results!$I$26,$AK39&lt;=Results!$F$4),$AQ39,"")</f>
        <v/>
      </c>
      <c r="BB39" t="str">
        <f t="shared" si="1"/>
        <v/>
      </c>
      <c r="BC39" t="str">
        <f>IF(AND($AK39&lt;=Results!$I$29,$AK39&gt;=Results!$I$28,$AK39&gt;=Results!$F$4),$AQ39,"")</f>
        <v/>
      </c>
      <c r="BD39">
        <f t="shared" si="2"/>
        <v>11668.181814005657</v>
      </c>
      <c r="BE39">
        <f t="shared" si="3"/>
        <v>2523.3776563854703</v>
      </c>
      <c r="BF39">
        <f t="shared" si="30"/>
        <v>11093.023045378137</v>
      </c>
      <c r="BG39">
        <f t="shared" si="4"/>
        <v>1380.7111617978403</v>
      </c>
      <c r="BH39">
        <f t="shared" si="5"/>
        <v>0</v>
      </c>
      <c r="BI39">
        <f t="shared" si="6"/>
        <v>1.0063006473404166</v>
      </c>
      <c r="BJ39">
        <f t="shared" si="7"/>
        <v>1.0063481822648905</v>
      </c>
      <c r="BK39">
        <f t="shared" si="8"/>
        <v>3.882530461843892E-3</v>
      </c>
      <c r="BL39">
        <f t="shared" si="9"/>
        <v>-9.4440609886058179E-4</v>
      </c>
      <c r="BM39">
        <f t="shared" si="31"/>
        <v>120</v>
      </c>
      <c r="BN39">
        <f t="shared" si="32"/>
        <v>-120.00000000000742</v>
      </c>
      <c r="BO39">
        <f>Data!$H$2*(1-BI39)*(1-BI39/Data!$H$3)*BM39</f>
        <v>9.5275576579916349E-9</v>
      </c>
      <c r="BP39">
        <f t="shared" si="10"/>
        <v>-120.75607768084998</v>
      </c>
      <c r="BQ39">
        <f>Data!$H$2*(1-BJ39)*(1-BJ39/Data!$H$3)*BN39</f>
        <v>-9.6718603363855665E-9</v>
      </c>
      <c r="BR39">
        <f t="shared" si="11"/>
        <v>120.76178187179433</v>
      </c>
      <c r="BS39">
        <f t="shared" si="33"/>
        <v>0</v>
      </c>
      <c r="BT39">
        <f t="shared" si="12"/>
        <v>0</v>
      </c>
      <c r="BU39">
        <f t="shared" si="13"/>
        <v>0</v>
      </c>
      <c r="BV39">
        <f t="shared" si="14"/>
        <v>0</v>
      </c>
      <c r="BW39">
        <f t="shared" si="34"/>
        <v>0</v>
      </c>
      <c r="BX39" t="str">
        <f t="shared" si="35"/>
        <v/>
      </c>
      <c r="BY39" s="66" t="str">
        <f t="shared" si="15"/>
        <v/>
      </c>
      <c r="BZ39" t="str">
        <f t="shared" si="16"/>
        <v/>
      </c>
      <c r="CA39" s="67" t="str">
        <f t="shared" si="17"/>
        <v/>
      </c>
    </row>
    <row r="40" spans="1:79" x14ac:dyDescent="0.25">
      <c r="A40">
        <v>3181</v>
      </c>
      <c r="B40">
        <v>51.5</v>
      </c>
      <c r="C40">
        <v>8911</v>
      </c>
      <c r="D40" s="3">
        <f t="shared" si="48"/>
        <v>8.3333333333333332E-3</v>
      </c>
      <c r="E40" s="3">
        <f t="shared" si="48"/>
        <v>-2.2366666666666668</v>
      </c>
      <c r="F40">
        <f>IF(A40&gt;0,IF(F39=1,1,IF(B40=Data!$H$4,1,0)),"")</f>
        <v>0</v>
      </c>
      <c r="G40">
        <v>3181</v>
      </c>
      <c r="H40">
        <v>51.5</v>
      </c>
      <c r="I40">
        <v>8911</v>
      </c>
      <c r="J40" s="3">
        <v>8.3333333333333332E-3</v>
      </c>
      <c r="K40" s="3">
        <v>-2.2366666666666668</v>
      </c>
      <c r="L40">
        <v>6181</v>
      </c>
      <c r="M40">
        <v>64</v>
      </c>
      <c r="N40">
        <v>1388</v>
      </c>
      <c r="O40" s="3">
        <v>-8.3333333333333332E-3</v>
      </c>
      <c r="P40" s="3">
        <v>1.3216666666666668</v>
      </c>
      <c r="Q40" t="str">
        <f t="shared" si="18"/>
        <v/>
      </c>
      <c r="R40" s="4">
        <f t="shared" si="19"/>
        <v>52</v>
      </c>
      <c r="S40">
        <f t="shared" si="36"/>
        <v>3241</v>
      </c>
      <c r="T40">
        <f t="shared" si="49"/>
        <v>8778.6666666666642</v>
      </c>
      <c r="U40" s="4">
        <f t="shared" si="20"/>
        <v>64</v>
      </c>
      <c r="V40">
        <f t="shared" si="37"/>
        <v>6181</v>
      </c>
      <c r="W40">
        <f t="shared" si="38"/>
        <v>1410.6666666666661</v>
      </c>
      <c r="X40" t="str">
        <f t="shared" si="39"/>
        <v/>
      </c>
      <c r="Y40" t="str">
        <f t="shared" si="40"/>
        <v/>
      </c>
      <c r="Z40" t="str">
        <f t="shared" si="41"/>
        <v/>
      </c>
      <c r="AA40" t="str">
        <f t="shared" si="21"/>
        <v/>
      </c>
      <c r="AB40" t="str">
        <f t="shared" si="42"/>
        <v/>
      </c>
      <c r="AC40" t="str">
        <f t="shared" si="43"/>
        <v/>
      </c>
      <c r="AD40" t="str">
        <f t="shared" si="44"/>
        <v/>
      </c>
      <c r="AE40" t="str">
        <f t="shared" si="45"/>
        <v/>
      </c>
      <c r="AF40" s="72">
        <f>IF(AF39+$AF$1&gt;ROUND(Data!$H$4,0),AF39,AF39+$AF$1)</f>
        <v>63</v>
      </c>
      <c r="AG40">
        <f t="shared" si="22"/>
        <v>4561</v>
      </c>
      <c r="AH40">
        <f t="shared" si="23"/>
        <v>2166.5</v>
      </c>
      <c r="AI40">
        <f t="shared" si="24"/>
        <v>6301</v>
      </c>
      <c r="AJ40" s="67">
        <f t="shared" si="25"/>
        <v>1606.6666666666679</v>
      </c>
      <c r="AK40" s="4">
        <f t="shared" si="46"/>
        <v>28.800000000000054</v>
      </c>
      <c r="AL40">
        <f t="shared" si="26"/>
        <v>457.00000000000648</v>
      </c>
      <c r="AM40">
        <f t="shared" si="27"/>
        <v>11718.533333333329</v>
      </c>
      <c r="AN40">
        <f>IF($AK39+$AK$1&lt;=Data!$H$4-0.5,AVERAGE(AM38:AM42),AN39)</f>
        <v>11718.533333333329</v>
      </c>
      <c r="AO40">
        <f t="shared" si="28"/>
        <v>10404.999999999993</v>
      </c>
      <c r="AP40">
        <f t="shared" si="47"/>
        <v>11146.428571428567</v>
      </c>
      <c r="AQ40">
        <f>IF($AK39+$AK$1&lt;=Data!$H$4-0.5,AVERAGE(AP38:AP42),AQ39)</f>
        <v>11146.428571428567</v>
      </c>
      <c r="AR40">
        <f>IF($AK39+$AK$1&lt;=Data!$H$4-0.5,SLOPE($AN36:$AN44,$AK36:$AK44),AR39)</f>
        <v>-74.183333333333238</v>
      </c>
      <c r="AS40">
        <f>IF($AK39+$AK$1&lt;=Data!$H$4-0.5,SLOPE($AQ36:$AQ44,$AK36:$AK44),AS39)</f>
        <v>-82.376190476194139</v>
      </c>
      <c r="AT40" t="str">
        <f>IF(AND($AK40&gt;=Results!$G$13,$AK40&lt;=Results!$G$14),Curves!AR40,"")</f>
        <v/>
      </c>
      <c r="AU40" t="str">
        <f>IF(AND($AK40&gt;=Results!$G$13,$AK40&lt;=Results!$G$14),Curves!AS40,"")</f>
        <v/>
      </c>
      <c r="AV40" t="str">
        <f t="shared" si="29"/>
        <v/>
      </c>
      <c r="AW40" t="str">
        <f>IF(AND($AK40&lt;=Results!$I$21,$AK40&gt;=Results!$I$20,$AK40&lt;=Results!$F$4),$AN40,"")</f>
        <v/>
      </c>
      <c r="AX40" t="str">
        <f t="shared" si="29"/>
        <v/>
      </c>
      <c r="AY40" t="str">
        <f>IF(AND($AK40&lt;=Results!$I$23,$AK40&gt;=Results!$I$22,$AK40&gt;=Results!$F$4),$AN40,"")</f>
        <v/>
      </c>
      <c r="AZ40" t="str">
        <f t="shared" si="0"/>
        <v/>
      </c>
      <c r="BA40" t="str">
        <f>IF(AND($AK40&lt;=Results!$I$27,$AK40&gt;=Results!$I$26,$AK40&lt;=Results!$F$4),$AQ40,"")</f>
        <v/>
      </c>
      <c r="BB40" t="str">
        <f t="shared" si="1"/>
        <v/>
      </c>
      <c r="BC40" t="str">
        <f>IF(AND($AK40&lt;=Results!$I$29,$AK40&gt;=Results!$I$28,$AK40&gt;=Results!$F$4),$AQ40,"")</f>
        <v/>
      </c>
      <c r="BD40">
        <f t="shared" si="2"/>
        <v>11657.411619207736</v>
      </c>
      <c r="BE40">
        <f t="shared" si="3"/>
        <v>2520.0618671361494</v>
      </c>
      <c r="BF40">
        <f t="shared" si="30"/>
        <v>11085.733063145244</v>
      </c>
      <c r="BG40">
        <f t="shared" si="4"/>
        <v>1380.1603608383155</v>
      </c>
      <c r="BH40">
        <f t="shared" si="5"/>
        <v>0</v>
      </c>
      <c r="BI40">
        <f t="shared" si="6"/>
        <v>1.0066892168718544</v>
      </c>
      <c r="BJ40">
        <f t="shared" si="7"/>
        <v>1.0062536761245315</v>
      </c>
      <c r="BK40">
        <f t="shared" si="8"/>
        <v>3.8121967225756568E-3</v>
      </c>
      <c r="BL40">
        <f t="shared" si="9"/>
        <v>-9.3982634960963827E-4</v>
      </c>
      <c r="BM40">
        <f t="shared" si="31"/>
        <v>119.99999999999997</v>
      </c>
      <c r="BN40">
        <f t="shared" si="32"/>
        <v>-120.00000000000739</v>
      </c>
      <c r="BO40">
        <f>Data!$H$2*(1-BI40)*(1-BI40/Data!$H$3)*BM40</f>
        <v>1.0738949366088435E-8</v>
      </c>
      <c r="BP40">
        <f t="shared" si="10"/>
        <v>-120.80270602462249</v>
      </c>
      <c r="BQ40">
        <f>Data!$H$2*(1-BJ40)*(1-BJ40/Data!$H$3)*BN40</f>
        <v>-9.3860316169291667E-9</v>
      </c>
      <c r="BR40">
        <f t="shared" si="11"/>
        <v>120.75044113495122</v>
      </c>
      <c r="BS40">
        <f t="shared" si="33"/>
        <v>0</v>
      </c>
      <c r="BT40">
        <f t="shared" si="12"/>
        <v>0</v>
      </c>
      <c r="BU40">
        <f t="shared" si="13"/>
        <v>0</v>
      </c>
      <c r="BV40">
        <f t="shared" si="14"/>
        <v>0</v>
      </c>
      <c r="BW40">
        <f t="shared" si="34"/>
        <v>0</v>
      </c>
      <c r="BX40" t="str">
        <f t="shared" si="35"/>
        <v/>
      </c>
      <c r="BY40" s="66" t="str">
        <f t="shared" si="15"/>
        <v/>
      </c>
      <c r="BZ40" t="str">
        <f t="shared" si="16"/>
        <v/>
      </c>
      <c r="CA40" s="67" t="str">
        <f t="shared" si="17"/>
        <v/>
      </c>
    </row>
    <row r="41" spans="1:79" x14ac:dyDescent="0.25">
      <c r="A41">
        <v>3241</v>
      </c>
      <c r="B41">
        <v>52</v>
      </c>
      <c r="C41">
        <v>8776</v>
      </c>
      <c r="D41" s="3">
        <f t="shared" si="48"/>
        <v>8.3333333333333332E-3</v>
      </c>
      <c r="E41" s="3">
        <f t="shared" si="48"/>
        <v>-2.605</v>
      </c>
      <c r="F41">
        <f>IF(A41&gt;0,IF(F40=1,1,IF(B41=Data!$H$4,1,0)),"")</f>
        <v>0</v>
      </c>
      <c r="G41">
        <v>3241</v>
      </c>
      <c r="H41">
        <v>52</v>
      </c>
      <c r="I41">
        <v>8776</v>
      </c>
      <c r="J41" s="3">
        <v>8.3333333333333332E-3</v>
      </c>
      <c r="K41" s="3">
        <v>-2.605</v>
      </c>
      <c r="L41">
        <v>6061</v>
      </c>
      <c r="M41">
        <v>65</v>
      </c>
      <c r="N41">
        <v>1275</v>
      </c>
      <c r="O41" s="3">
        <v>-8.3333333333333332E-3</v>
      </c>
      <c r="P41" s="3">
        <v>0.78416666666666668</v>
      </c>
      <c r="Q41" t="str">
        <f t="shared" si="18"/>
        <v/>
      </c>
      <c r="R41" s="4">
        <f t="shared" si="19"/>
        <v>52</v>
      </c>
      <c r="S41">
        <f t="shared" si="36"/>
        <v>3241</v>
      </c>
      <c r="T41">
        <f t="shared" si="49"/>
        <v>8762.3333333333358</v>
      </c>
      <c r="U41" s="4">
        <f t="shared" si="20"/>
        <v>65</v>
      </c>
      <c r="V41">
        <f t="shared" si="37"/>
        <v>6061</v>
      </c>
      <c r="W41">
        <f t="shared" si="38"/>
        <v>1293.333333333333</v>
      </c>
      <c r="X41" t="str">
        <f t="shared" si="39"/>
        <v/>
      </c>
      <c r="Y41" t="str">
        <f t="shared" si="40"/>
        <v/>
      </c>
      <c r="Z41" t="str">
        <f t="shared" si="41"/>
        <v/>
      </c>
      <c r="AA41" t="str">
        <f t="shared" si="21"/>
        <v/>
      </c>
      <c r="AB41" t="str">
        <f t="shared" si="42"/>
        <v/>
      </c>
      <c r="AC41" t="str">
        <f t="shared" si="43"/>
        <v/>
      </c>
      <c r="AD41" t="str">
        <f t="shared" si="44"/>
        <v/>
      </c>
      <c r="AE41" t="str">
        <f t="shared" si="45"/>
        <v/>
      </c>
      <c r="AF41" s="72">
        <f>IF(AF40+$AF$1&gt;ROUND(Data!$H$4,0),AF40,AF40+$AF$1)</f>
        <v>64</v>
      </c>
      <c r="AG41">
        <f t="shared" si="22"/>
        <v>4681</v>
      </c>
      <c r="AH41">
        <f t="shared" si="23"/>
        <v>1765.5</v>
      </c>
      <c r="AI41">
        <f t="shared" si="24"/>
        <v>6181</v>
      </c>
      <c r="AJ41" s="67">
        <f t="shared" si="25"/>
        <v>1410.6666666666661</v>
      </c>
      <c r="AK41" s="4">
        <f t="shared" si="46"/>
        <v>28.900000000000055</v>
      </c>
      <c r="AL41">
        <f t="shared" si="26"/>
        <v>469.00000000000665</v>
      </c>
      <c r="AM41">
        <f t="shared" si="27"/>
        <v>11711.266666666663</v>
      </c>
      <c r="AN41">
        <f>IF($AK40+$AK$1&lt;=Data!$H$4-0.5,AVERAGE(AM39:AM43),AN40)</f>
        <v>11711.126666666663</v>
      </c>
      <c r="AO41">
        <f t="shared" si="28"/>
        <v>10392.999999999993</v>
      </c>
      <c r="AP41">
        <f t="shared" si="47"/>
        <v>11138.178571428565</v>
      </c>
      <c r="AQ41">
        <f>IF($AK40+$AK$1&lt;=Data!$H$4-0.5,AVERAGE(AP39:AP43),AQ40)</f>
        <v>11138.189999999993</v>
      </c>
      <c r="AR41">
        <f>IF($AK40+$AK$1&lt;=Data!$H$4-0.5,SLOPE($AN37:$AN45,$AK37:$AK45),AR40)</f>
        <v>-75.116666666667228</v>
      </c>
      <c r="AS41">
        <f>IF($AK40+$AK$1&lt;=Data!$H$4-0.5,SLOPE($AQ37:$AQ45,$AK37:$AK45),AS40)</f>
        <v>-82.300000000002342</v>
      </c>
      <c r="AT41" t="str">
        <f>IF(AND($AK41&gt;=Results!$G$13,$AK41&lt;=Results!$G$14),Curves!AR41,"")</f>
        <v/>
      </c>
      <c r="AU41" t="str">
        <f>IF(AND($AK41&gt;=Results!$G$13,$AK41&lt;=Results!$G$14),Curves!AS41,"")</f>
        <v/>
      </c>
      <c r="AV41" t="str">
        <f t="shared" si="29"/>
        <v/>
      </c>
      <c r="AW41" t="str">
        <f>IF(AND($AK41&lt;=Results!$I$21,$AK41&gt;=Results!$I$20,$AK41&lt;=Results!$F$4),$AN41,"")</f>
        <v/>
      </c>
      <c r="AX41" t="str">
        <f t="shared" si="29"/>
        <v/>
      </c>
      <c r="AY41" t="str">
        <f>IF(AND($AK41&lt;=Results!$I$23,$AK41&gt;=Results!$I$22,$AK41&gt;=Results!$F$4),$AN41,"")</f>
        <v/>
      </c>
      <c r="AZ41" t="str">
        <f t="shared" si="0"/>
        <v/>
      </c>
      <c r="BA41" t="str">
        <f>IF(AND($AK41&lt;=Results!$I$27,$AK41&gt;=Results!$I$26,$AK41&lt;=Results!$F$4),$AQ41,"")</f>
        <v/>
      </c>
      <c r="BB41" t="str">
        <f t="shared" si="1"/>
        <v/>
      </c>
      <c r="BC41" t="str">
        <f>IF(AND($AK41&lt;=Results!$I$29,$AK41&gt;=Results!$I$28,$AK41&gt;=Results!$F$4),$AQ41,"")</f>
        <v/>
      </c>
      <c r="BD41">
        <f t="shared" si="2"/>
        <v>11646.641424409816</v>
      </c>
      <c r="BE41">
        <f t="shared" si="3"/>
        <v>2516.7460778868285</v>
      </c>
      <c r="BF41">
        <f t="shared" si="30"/>
        <v>11078.443080912351</v>
      </c>
      <c r="BG41">
        <f t="shared" si="4"/>
        <v>1379.6095598787904</v>
      </c>
      <c r="BH41">
        <f t="shared" si="5"/>
        <v>0</v>
      </c>
      <c r="BI41">
        <f t="shared" si="6"/>
        <v>1.0070630866849317</v>
      </c>
      <c r="BJ41">
        <f t="shared" si="7"/>
        <v>1.0061602169949686</v>
      </c>
      <c r="BK41">
        <f t="shared" si="8"/>
        <v>3.6650193607734066E-3</v>
      </c>
      <c r="BL41">
        <f t="shared" si="9"/>
        <v>-9.293453214142968E-4</v>
      </c>
      <c r="BM41">
        <f t="shared" si="31"/>
        <v>120.00000000000001</v>
      </c>
      <c r="BN41">
        <f t="shared" si="32"/>
        <v>-119.99999999999831</v>
      </c>
      <c r="BO41">
        <f>Data!$H$2*(1-BI41)*(1-BI41/Data!$H$3)*BM41</f>
        <v>1.1972926444526339E-8</v>
      </c>
      <c r="BP41">
        <f t="shared" si="10"/>
        <v>-120.84757040219182</v>
      </c>
      <c r="BQ41">
        <f>Data!$H$2*(1-BJ41)*(1-BJ41/Data!$H$3)*BN41</f>
        <v>-9.1075856220238755E-9</v>
      </c>
      <c r="BR41">
        <f t="shared" si="11"/>
        <v>120.73922603939454</v>
      </c>
      <c r="BS41">
        <f t="shared" si="33"/>
        <v>0</v>
      </c>
      <c r="BT41">
        <f t="shared" si="12"/>
        <v>0</v>
      </c>
      <c r="BU41">
        <f t="shared" si="13"/>
        <v>0</v>
      </c>
      <c r="BV41">
        <f t="shared" si="14"/>
        <v>0</v>
      </c>
      <c r="BW41">
        <f t="shared" si="34"/>
        <v>0</v>
      </c>
      <c r="BX41" t="str">
        <f t="shared" si="35"/>
        <v/>
      </c>
      <c r="BY41" s="66" t="str">
        <f t="shared" si="15"/>
        <v/>
      </c>
      <c r="BZ41" t="str">
        <f t="shared" si="16"/>
        <v/>
      </c>
      <c r="CA41" s="67" t="str">
        <f t="shared" si="17"/>
        <v/>
      </c>
    </row>
    <row r="42" spans="1:79" x14ac:dyDescent="0.25">
      <c r="A42">
        <v>3301</v>
      </c>
      <c r="B42">
        <v>52.5</v>
      </c>
      <c r="C42">
        <v>8600</v>
      </c>
      <c r="D42" s="3">
        <f t="shared" si="48"/>
        <v>8.3333333333333332E-3</v>
      </c>
      <c r="E42" s="3">
        <f t="shared" si="48"/>
        <v>-3.0766666666666667</v>
      </c>
      <c r="F42">
        <f>IF(A42&gt;0,IF(F41=1,1,IF(B42=Data!$H$4,1,0)),"")</f>
        <v>0</v>
      </c>
      <c r="G42">
        <v>3301</v>
      </c>
      <c r="H42">
        <v>52.5</v>
      </c>
      <c r="I42">
        <v>8600</v>
      </c>
      <c r="J42" s="3">
        <v>8.3333333333333332E-3</v>
      </c>
      <c r="K42" s="3">
        <v>-3.0766666666666667</v>
      </c>
      <c r="L42">
        <v>5941</v>
      </c>
      <c r="M42">
        <v>66</v>
      </c>
      <c r="N42">
        <v>1217</v>
      </c>
      <c r="O42" s="3">
        <v>-8.3333333333333332E-3</v>
      </c>
      <c r="P42" s="3">
        <v>0.44916666666666666</v>
      </c>
      <c r="Q42" t="str">
        <f t="shared" si="18"/>
        <v/>
      </c>
      <c r="R42" s="4">
        <f t="shared" si="19"/>
        <v>53</v>
      </c>
      <c r="S42">
        <f t="shared" si="36"/>
        <v>3361</v>
      </c>
      <c r="T42">
        <f t="shared" si="49"/>
        <v>8407.3333333333358</v>
      </c>
      <c r="U42" s="4">
        <f t="shared" si="20"/>
        <v>66</v>
      </c>
      <c r="V42">
        <f t="shared" si="37"/>
        <v>5941</v>
      </c>
      <c r="W42">
        <f t="shared" si="38"/>
        <v>1225.333333333333</v>
      </c>
      <c r="X42" t="str">
        <f t="shared" si="39"/>
        <v/>
      </c>
      <c r="Y42" t="str">
        <f t="shared" si="40"/>
        <v/>
      </c>
      <c r="Z42" t="str">
        <f t="shared" si="41"/>
        <v/>
      </c>
      <c r="AA42" t="str">
        <f t="shared" si="21"/>
        <v/>
      </c>
      <c r="AB42" t="str">
        <f t="shared" si="42"/>
        <v/>
      </c>
      <c r="AC42" t="str">
        <f t="shared" si="43"/>
        <v/>
      </c>
      <c r="AD42" t="str">
        <f t="shared" si="44"/>
        <v/>
      </c>
      <c r="AE42" t="str">
        <f t="shared" si="45"/>
        <v/>
      </c>
      <c r="AF42" s="72">
        <f>IF(AF41+$AF$1&gt;ROUND(Data!$H$4,0),AF41,AF41+$AF$1)</f>
        <v>65</v>
      </c>
      <c r="AG42">
        <f t="shared" si="22"/>
        <v>4801</v>
      </c>
      <c r="AH42">
        <f t="shared" si="23"/>
        <v>1491.3333333333321</v>
      </c>
      <c r="AI42">
        <f t="shared" si="24"/>
        <v>6061</v>
      </c>
      <c r="AJ42" s="67">
        <f t="shared" si="25"/>
        <v>1293.333333333333</v>
      </c>
      <c r="AK42" s="4">
        <f t="shared" si="46"/>
        <v>29.000000000000057</v>
      </c>
      <c r="AL42">
        <f t="shared" si="26"/>
        <v>481.00000000000682</v>
      </c>
      <c r="AM42">
        <f t="shared" si="27"/>
        <v>11703.999999999996</v>
      </c>
      <c r="AN42">
        <f>IF($AK41+$AK$1&lt;=Data!$H$4-0.5,AVERAGE(AM40:AM44),AN41)</f>
        <v>11703.579999999996</v>
      </c>
      <c r="AO42">
        <f t="shared" si="28"/>
        <v>10380.999999999993</v>
      </c>
      <c r="AP42">
        <f t="shared" si="47"/>
        <v>11129.928571428565</v>
      </c>
      <c r="AQ42">
        <f>IF($AK41+$AK$1&lt;=Data!$H$4-0.5,AVERAGE(AP40:AP44),AQ41)</f>
        <v>11129.962857142851</v>
      </c>
      <c r="AR42">
        <f>IF($AK41+$AK$1&lt;=Data!$H$4-0.5,SLOPE($AN38:$AN46,$AK38:$AK46),AR41)</f>
        <v>-76.166666666666472</v>
      </c>
      <c r="AS42">
        <f>IF($AK41+$AK$1&lt;=Data!$H$4-0.5,SLOPE($AQ38:$AQ46,$AK38:$AK46),AS41)</f>
        <v>-82.21428571428595</v>
      </c>
      <c r="AT42" t="str">
        <f>IF(AND($AK42&gt;=Results!$G$13,$AK42&lt;=Results!$G$14),Curves!AR42,"")</f>
        <v/>
      </c>
      <c r="AU42" t="str">
        <f>IF(AND($AK42&gt;=Results!$G$13,$AK42&lt;=Results!$G$14),Curves!AS42,"")</f>
        <v/>
      </c>
      <c r="AV42" t="str">
        <f t="shared" si="29"/>
        <v/>
      </c>
      <c r="AW42" t="str">
        <f>IF(AND($AK42&lt;=Results!$I$21,$AK42&gt;=Results!$I$20,$AK42&lt;=Results!$F$4),$AN42,"")</f>
        <v/>
      </c>
      <c r="AX42" t="str">
        <f t="shared" si="29"/>
        <v/>
      </c>
      <c r="AY42" t="str">
        <f>IF(AND($AK42&lt;=Results!$I$23,$AK42&gt;=Results!$I$22,$AK42&gt;=Results!$F$4),$AN42,"")</f>
        <v/>
      </c>
      <c r="AZ42" t="str">
        <f t="shared" si="0"/>
        <v/>
      </c>
      <c r="BA42" t="str">
        <f>IF(AND($AK42&lt;=Results!$I$27,$AK42&gt;=Results!$I$26,$AK42&lt;=Results!$F$4),$AQ42,"")</f>
        <v/>
      </c>
      <c r="BB42" t="str">
        <f t="shared" si="1"/>
        <v/>
      </c>
      <c r="BC42" t="str">
        <f>IF(AND($AK42&lt;=Results!$I$29,$AK42&gt;=Results!$I$28,$AK42&gt;=Results!$F$4),$AQ42,"")</f>
        <v/>
      </c>
      <c r="BD42">
        <f t="shared" si="2"/>
        <v>11635.871229611897</v>
      </c>
      <c r="BE42">
        <f t="shared" si="3"/>
        <v>2513.4302886375076</v>
      </c>
      <c r="BF42">
        <f t="shared" si="30"/>
        <v>11071.153098679459</v>
      </c>
      <c r="BG42">
        <f t="shared" si="4"/>
        <v>1379.0587589192653</v>
      </c>
      <c r="BH42">
        <f t="shared" si="5"/>
        <v>0</v>
      </c>
      <c r="BI42">
        <f t="shared" si="6"/>
        <v>1.0074222207440091</v>
      </c>
      <c r="BJ42">
        <f t="shared" si="7"/>
        <v>1.0060678070602487</v>
      </c>
      <c r="BK42">
        <f t="shared" si="8"/>
        <v>3.5174810531712398E-3</v>
      </c>
      <c r="BL42">
        <f t="shared" si="9"/>
        <v>-9.188424223593876E-4</v>
      </c>
      <c r="BM42">
        <f t="shared" si="31"/>
        <v>120</v>
      </c>
      <c r="BN42">
        <f t="shared" si="32"/>
        <v>-119.99999999999829</v>
      </c>
      <c r="BO42">
        <f>Data!$H$2*(1-BI42)*(1-BI42/Data!$H$3)*BM42</f>
        <v>1.3221446585471798E-8</v>
      </c>
      <c r="BP42">
        <f t="shared" si="10"/>
        <v>-120.89066648928109</v>
      </c>
      <c r="BQ42">
        <f>Data!$H$2*(1-BJ42)*(1-BJ42/Data!$H$3)*BN42</f>
        <v>-8.8363878048967554E-9</v>
      </c>
      <c r="BR42">
        <f t="shared" si="11"/>
        <v>120.72813684722813</v>
      </c>
      <c r="BS42">
        <f t="shared" si="33"/>
        <v>0</v>
      </c>
      <c r="BT42">
        <f t="shared" si="12"/>
        <v>0</v>
      </c>
      <c r="BU42">
        <f t="shared" si="13"/>
        <v>0</v>
      </c>
      <c r="BV42">
        <f t="shared" si="14"/>
        <v>0</v>
      </c>
      <c r="BW42">
        <f t="shared" si="34"/>
        <v>0</v>
      </c>
      <c r="BX42" t="str">
        <f t="shared" si="35"/>
        <v/>
      </c>
      <c r="BY42" s="66" t="str">
        <f t="shared" si="15"/>
        <v/>
      </c>
      <c r="BZ42" t="str">
        <f t="shared" si="16"/>
        <v/>
      </c>
      <c r="CA42" s="67" t="str">
        <f t="shared" si="17"/>
        <v/>
      </c>
    </row>
    <row r="43" spans="1:79" x14ac:dyDescent="0.25">
      <c r="A43">
        <v>3361</v>
      </c>
      <c r="B43">
        <v>53</v>
      </c>
      <c r="C43">
        <v>8404</v>
      </c>
      <c r="D43" s="3">
        <f t="shared" si="48"/>
        <v>8.3333333333333332E-3</v>
      </c>
      <c r="E43" s="3">
        <f t="shared" si="48"/>
        <v>-3.59</v>
      </c>
      <c r="F43">
        <f>IF(A43&gt;0,IF(F42=1,1,IF(B43=Data!$H$4,1,0)),"")</f>
        <v>0</v>
      </c>
      <c r="G43">
        <v>3361</v>
      </c>
      <c r="H43">
        <v>53</v>
      </c>
      <c r="I43">
        <v>8404</v>
      </c>
      <c r="J43" s="3">
        <v>8.3333333333333332E-3</v>
      </c>
      <c r="K43" s="3">
        <v>-3.59</v>
      </c>
      <c r="L43">
        <v>5821</v>
      </c>
      <c r="M43">
        <v>67</v>
      </c>
      <c r="N43">
        <v>1184</v>
      </c>
      <c r="O43" s="3">
        <v>-8.3333333333333332E-3</v>
      </c>
      <c r="P43" s="3">
        <v>0.2475</v>
      </c>
      <c r="Q43" t="str">
        <f t="shared" si="18"/>
        <v/>
      </c>
      <c r="R43" s="4">
        <f t="shared" si="19"/>
        <v>53</v>
      </c>
      <c r="S43">
        <f t="shared" si="36"/>
        <v>3361</v>
      </c>
      <c r="T43">
        <f t="shared" si="49"/>
        <v>8392.6666666666642</v>
      </c>
      <c r="U43" s="4">
        <f t="shared" si="20"/>
        <v>67</v>
      </c>
      <c r="V43">
        <f t="shared" si="37"/>
        <v>5821</v>
      </c>
      <c r="W43">
        <f t="shared" si="38"/>
        <v>1188.333333333333</v>
      </c>
      <c r="X43" t="str">
        <f t="shared" si="39"/>
        <v/>
      </c>
      <c r="Y43" t="str">
        <f t="shared" si="40"/>
        <v/>
      </c>
      <c r="Z43" t="str">
        <f t="shared" si="41"/>
        <v/>
      </c>
      <c r="AA43" t="str">
        <f t="shared" si="21"/>
        <v/>
      </c>
      <c r="AB43" t="str">
        <f t="shared" si="42"/>
        <v/>
      </c>
      <c r="AC43" t="str">
        <f t="shared" si="43"/>
        <v/>
      </c>
      <c r="AD43" t="str">
        <f t="shared" si="44"/>
        <v/>
      </c>
      <c r="AE43" t="str">
        <f t="shared" si="45"/>
        <v/>
      </c>
      <c r="AF43" s="72">
        <f>IF(AF42+$AF$1&gt;ROUND(Data!$H$4,0),AF42,AF42+$AF$1)</f>
        <v>66</v>
      </c>
      <c r="AG43">
        <f t="shared" si="22"/>
        <v>4921</v>
      </c>
      <c r="AH43">
        <f t="shared" si="23"/>
        <v>1329.6666666666661</v>
      </c>
      <c r="AI43">
        <f t="shared" si="24"/>
        <v>5941</v>
      </c>
      <c r="AJ43" s="67">
        <f t="shared" si="25"/>
        <v>1225.333333333333</v>
      </c>
      <c r="AK43" s="4">
        <f t="shared" si="46"/>
        <v>29.100000000000058</v>
      </c>
      <c r="AL43">
        <f t="shared" si="26"/>
        <v>493.00000000000699</v>
      </c>
      <c r="AM43">
        <f t="shared" si="27"/>
        <v>11696.033333333329</v>
      </c>
      <c r="AN43">
        <f>IF($AK42+$AK$1&lt;=Data!$H$4-0.5,AVERAGE(AM41:AM45),AN42)</f>
        <v>11695.89333333333</v>
      </c>
      <c r="AO43">
        <f t="shared" si="28"/>
        <v>10368.999999999993</v>
      </c>
      <c r="AP43">
        <f t="shared" si="47"/>
        <v>11121.735714285709</v>
      </c>
      <c r="AQ43">
        <f>IF($AK42+$AK$1&lt;=Data!$H$4-0.5,AVERAGE(AP41:AP45),AQ42)</f>
        <v>11121.747142857135</v>
      </c>
      <c r="AR43">
        <f>IF($AK42+$AK$1&lt;=Data!$H$4-0.5,SLOPE($AN39:$AN47,$AK39:$AK47),AR42)</f>
        <v>-77.216666666667265</v>
      </c>
      <c r="AS43">
        <f>IF($AK42+$AK$1&lt;=Data!$H$4-0.5,SLOPE($AQ39:$AQ47,$AK39:$AK47),AS42)</f>
        <v>-82.128571428570211</v>
      </c>
      <c r="AT43" t="str">
        <f>IF(AND($AK43&gt;=Results!$G$13,$AK43&lt;=Results!$G$14),Curves!AR43,"")</f>
        <v/>
      </c>
      <c r="AU43" t="str">
        <f>IF(AND($AK43&gt;=Results!$G$13,$AK43&lt;=Results!$G$14),Curves!AS43,"")</f>
        <v/>
      </c>
      <c r="AV43" t="str">
        <f t="shared" si="29"/>
        <v/>
      </c>
      <c r="AW43" t="str">
        <f>IF(AND($AK43&lt;=Results!$I$21,$AK43&gt;=Results!$I$20,$AK43&lt;=Results!$F$4),$AN43,"")</f>
        <v/>
      </c>
      <c r="AX43" t="str">
        <f t="shared" si="29"/>
        <v/>
      </c>
      <c r="AY43" t="str">
        <f>IF(AND($AK43&lt;=Results!$I$23,$AK43&gt;=Results!$I$22,$AK43&gt;=Results!$F$4),$AN43,"")</f>
        <v/>
      </c>
      <c r="AZ43" t="str">
        <f t="shared" si="0"/>
        <v/>
      </c>
      <c r="BA43" t="str">
        <f>IF(AND($AK43&lt;=Results!$I$27,$AK43&gt;=Results!$I$26,$AK43&lt;=Results!$F$4),$AQ43,"")</f>
        <v/>
      </c>
      <c r="BB43" t="str">
        <f t="shared" si="1"/>
        <v/>
      </c>
      <c r="BC43" t="str">
        <f>IF(AND($AK43&lt;=Results!$I$29,$AK43&gt;=Results!$I$28,$AK43&gt;=Results!$F$4),$AQ43,"")</f>
        <v/>
      </c>
      <c r="BD43">
        <f t="shared" si="2"/>
        <v>11625.101034813977</v>
      </c>
      <c r="BE43">
        <f t="shared" si="3"/>
        <v>2510.1144993881871</v>
      </c>
      <c r="BF43">
        <f t="shared" si="30"/>
        <v>11063.863116446566</v>
      </c>
      <c r="BG43">
        <f t="shared" si="4"/>
        <v>1378.5079579597405</v>
      </c>
      <c r="BH43">
        <f t="shared" si="5"/>
        <v>0</v>
      </c>
      <c r="BI43">
        <f t="shared" si="6"/>
        <v>1.007766582895566</v>
      </c>
      <c r="BJ43">
        <f t="shared" si="7"/>
        <v>1.0059764485104967</v>
      </c>
      <c r="BK43">
        <f t="shared" si="8"/>
        <v>3.3695806185340483E-3</v>
      </c>
      <c r="BL43">
        <f t="shared" si="9"/>
        <v>-9.0831759155139788E-4</v>
      </c>
      <c r="BM43">
        <f t="shared" si="31"/>
        <v>120.00000000000001</v>
      </c>
      <c r="BN43">
        <f t="shared" si="32"/>
        <v>-119.99999999999831</v>
      </c>
      <c r="BO43">
        <f>Data!$H$2*(1-BI43)*(1-BI43/Data!$H$3)*BM43</f>
        <v>1.4476754369687519E-8</v>
      </c>
      <c r="BP43">
        <f t="shared" si="10"/>
        <v>-120.93198994746793</v>
      </c>
      <c r="BQ43">
        <f>Data!$H$2*(1-BJ43)*(1-BJ43/Data!$H$3)*BN43</f>
        <v>-8.5723048316683204E-9</v>
      </c>
      <c r="BR43">
        <f t="shared" si="11"/>
        <v>120.7171738212579</v>
      </c>
      <c r="BS43">
        <f t="shared" si="33"/>
        <v>0</v>
      </c>
      <c r="BT43">
        <f t="shared" si="12"/>
        <v>0</v>
      </c>
      <c r="BU43">
        <f t="shared" si="13"/>
        <v>0</v>
      </c>
      <c r="BV43">
        <f t="shared" si="14"/>
        <v>0</v>
      </c>
      <c r="BW43">
        <f t="shared" si="34"/>
        <v>0</v>
      </c>
      <c r="BX43" t="str">
        <f t="shared" si="35"/>
        <v/>
      </c>
      <c r="BY43" s="66" t="str">
        <f t="shared" si="15"/>
        <v/>
      </c>
      <c r="BZ43" t="str">
        <f t="shared" si="16"/>
        <v/>
      </c>
      <c r="CA43" s="67" t="str">
        <f t="shared" si="17"/>
        <v/>
      </c>
    </row>
    <row r="44" spans="1:79" x14ac:dyDescent="0.25">
      <c r="A44">
        <v>3421</v>
      </c>
      <c r="B44">
        <v>53.5</v>
      </c>
      <c r="C44">
        <v>8174</v>
      </c>
      <c r="D44" s="3">
        <f t="shared" si="48"/>
        <v>8.3333333333333332E-3</v>
      </c>
      <c r="E44" s="3">
        <f t="shared" si="48"/>
        <v>-4.083333333333333</v>
      </c>
      <c r="F44">
        <f>IF(A44&gt;0,IF(F43=1,1,IF(B44=Data!$H$4,1,0)),"")</f>
        <v>0</v>
      </c>
      <c r="G44">
        <v>3421</v>
      </c>
      <c r="H44">
        <v>53.5</v>
      </c>
      <c r="I44">
        <v>8174</v>
      </c>
      <c r="J44" s="3">
        <v>8.3333333333333332E-3</v>
      </c>
      <c r="K44" s="3">
        <v>-4.083333333333333</v>
      </c>
      <c r="L44">
        <v>5701</v>
      </c>
      <c r="M44">
        <v>68</v>
      </c>
      <c r="N44">
        <v>1164</v>
      </c>
      <c r="O44" s="3">
        <v>-7.513661202185792E-3</v>
      </c>
      <c r="P44" s="3">
        <v>0.11912568306010929</v>
      </c>
      <c r="Q44" t="str">
        <f t="shared" si="18"/>
        <v/>
      </c>
      <c r="R44" s="4">
        <f t="shared" si="19"/>
        <v>54</v>
      </c>
      <c r="S44">
        <f t="shared" si="36"/>
        <v>3481</v>
      </c>
      <c r="T44">
        <f t="shared" si="49"/>
        <v>7917.3333333333358</v>
      </c>
      <c r="U44" s="4">
        <f t="shared" si="20"/>
        <v>68</v>
      </c>
      <c r="V44">
        <f t="shared" si="37"/>
        <v>5701</v>
      </c>
      <c r="W44">
        <f t="shared" si="38"/>
        <v>1167</v>
      </c>
      <c r="X44" t="str">
        <f t="shared" si="39"/>
        <v/>
      </c>
      <c r="Y44" t="str">
        <f t="shared" si="40"/>
        <v/>
      </c>
      <c r="Z44" t="str">
        <f t="shared" si="41"/>
        <v/>
      </c>
      <c r="AA44" t="str">
        <f t="shared" si="21"/>
        <v/>
      </c>
      <c r="AB44" t="str">
        <f t="shared" si="42"/>
        <v/>
      </c>
      <c r="AC44" t="str">
        <f t="shared" si="43"/>
        <v/>
      </c>
      <c r="AD44" t="str">
        <f t="shared" si="44"/>
        <v/>
      </c>
      <c r="AE44" t="str">
        <f t="shared" si="45"/>
        <v/>
      </c>
      <c r="AF44" s="72">
        <f>IF(AF43+$AF$1&gt;ROUND(Data!$H$4,0),AF43,AF43+$AF$1)</f>
        <v>67</v>
      </c>
      <c r="AG44">
        <f t="shared" si="22"/>
        <v>5041</v>
      </c>
      <c r="AH44">
        <f t="shared" si="23"/>
        <v>1242.833333333333</v>
      </c>
      <c r="AI44">
        <f t="shared" si="24"/>
        <v>5821</v>
      </c>
      <c r="AJ44" s="67">
        <f t="shared" si="25"/>
        <v>1188.333333333333</v>
      </c>
      <c r="AK44" s="4">
        <f t="shared" si="46"/>
        <v>29.20000000000006</v>
      </c>
      <c r="AL44">
        <f t="shared" si="26"/>
        <v>505.00000000000716</v>
      </c>
      <c r="AM44">
        <f t="shared" si="27"/>
        <v>11688.066666666662</v>
      </c>
      <c r="AN44">
        <f>IF($AK43+$AK$1&lt;=Data!$H$4-0.5,AVERAGE(AM42:AM46),AN43)</f>
        <v>11688.066666666662</v>
      </c>
      <c r="AO44">
        <f t="shared" si="28"/>
        <v>10356.999999999993</v>
      </c>
      <c r="AP44">
        <f t="shared" si="47"/>
        <v>11113.542857142851</v>
      </c>
      <c r="AQ44">
        <f>IF($AK43+$AK$1&lt;=Data!$H$4-0.5,AVERAGE(AP42:AP46),AQ43)</f>
        <v>11113.542857142849</v>
      </c>
      <c r="AR44">
        <f>IF($AK43+$AK$1&lt;=Data!$H$4-0.5,SLOPE($AN40:$AN48,$AK40:$AK48),AR43)</f>
        <v>-78.150000000000048</v>
      </c>
      <c r="AS44">
        <f>IF($AK43+$AK$1&lt;=Data!$H$4-0.5,SLOPE($AQ40:$AQ48,$AK40:$AK48),AS43)</f>
        <v>-82.052380952378726</v>
      </c>
      <c r="AT44" t="str">
        <f>IF(AND($AK44&gt;=Results!$G$13,$AK44&lt;=Results!$G$14),Curves!AR44,"")</f>
        <v/>
      </c>
      <c r="AU44" t="str">
        <f>IF(AND($AK44&gt;=Results!$G$13,$AK44&lt;=Results!$G$14),Curves!AS44,"")</f>
        <v/>
      </c>
      <c r="AV44" t="str">
        <f t="shared" si="29"/>
        <v/>
      </c>
      <c r="AW44" t="str">
        <f>IF(AND($AK44&lt;=Results!$I$21,$AK44&gt;=Results!$I$20,$AK44&lt;=Results!$F$4),$AN44,"")</f>
        <v/>
      </c>
      <c r="AX44" t="str">
        <f t="shared" si="29"/>
        <v/>
      </c>
      <c r="AY44" t="str">
        <f>IF(AND($AK44&lt;=Results!$I$23,$AK44&gt;=Results!$I$22,$AK44&gt;=Results!$F$4),$AN44,"")</f>
        <v/>
      </c>
      <c r="AZ44" t="str">
        <f t="shared" si="0"/>
        <v/>
      </c>
      <c r="BA44" t="str">
        <f>IF(AND($AK44&lt;=Results!$I$27,$AK44&gt;=Results!$I$26,$AK44&lt;=Results!$F$4),$AQ44,"")</f>
        <v/>
      </c>
      <c r="BB44" t="str">
        <f t="shared" si="1"/>
        <v/>
      </c>
      <c r="BC44" t="str">
        <f>IF(AND($AK44&lt;=Results!$I$29,$AK44&gt;=Results!$I$28,$AK44&gt;=Results!$F$4),$AQ44,"")</f>
        <v/>
      </c>
      <c r="BD44">
        <f t="shared" si="2"/>
        <v>11614.330840016057</v>
      </c>
      <c r="BE44">
        <f t="shared" si="3"/>
        <v>2506.7987101388662</v>
      </c>
      <c r="BF44">
        <f t="shared" si="30"/>
        <v>11056.573134213671</v>
      </c>
      <c r="BG44">
        <f t="shared" si="4"/>
        <v>1377.9571570002154</v>
      </c>
      <c r="BH44">
        <f t="shared" si="5"/>
        <v>0</v>
      </c>
      <c r="BI44">
        <f t="shared" si="6"/>
        <v>1.0080961368677159</v>
      </c>
      <c r="BJ44">
        <f t="shared" si="7"/>
        <v>1.0058861435419384</v>
      </c>
      <c r="BK44">
        <f t="shared" si="8"/>
        <v>3.2213168707839286E-3</v>
      </c>
      <c r="BL44">
        <f t="shared" si="9"/>
        <v>-8.9777076788032204E-4</v>
      </c>
      <c r="BM44">
        <f t="shared" si="31"/>
        <v>119.99999999999972</v>
      </c>
      <c r="BN44">
        <f t="shared" si="32"/>
        <v>-119.99999999999829</v>
      </c>
      <c r="BO44">
        <f>Data!$H$2*(1-BI44)*(1-BI44/Data!$H$3)*BM44</f>
        <v>1.5731383723389351E-8</v>
      </c>
      <c r="BP44">
        <f t="shared" si="10"/>
        <v>-120.97153642412563</v>
      </c>
      <c r="BQ44">
        <f>Data!$H$2*(1-BJ44)*(1-BJ44/Data!$H$3)*BN44</f>
        <v>-8.3152045911126137E-9</v>
      </c>
      <c r="BR44">
        <f t="shared" si="11"/>
        <v>120.70633722503089</v>
      </c>
      <c r="BS44">
        <f t="shared" si="33"/>
        <v>0</v>
      </c>
      <c r="BT44">
        <f t="shared" si="12"/>
        <v>0</v>
      </c>
      <c r="BU44">
        <f t="shared" si="13"/>
        <v>0</v>
      </c>
      <c r="BV44">
        <f t="shared" si="14"/>
        <v>0</v>
      </c>
      <c r="BW44">
        <f t="shared" si="34"/>
        <v>0</v>
      </c>
      <c r="BX44" t="str">
        <f t="shared" si="35"/>
        <v/>
      </c>
      <c r="BY44" s="66" t="str">
        <f t="shared" si="15"/>
        <v/>
      </c>
      <c r="BZ44" t="str">
        <f t="shared" si="16"/>
        <v/>
      </c>
      <c r="CA44" s="67" t="str">
        <f t="shared" si="17"/>
        <v/>
      </c>
    </row>
    <row r="45" spans="1:79" x14ac:dyDescent="0.25">
      <c r="A45">
        <v>3481</v>
      </c>
      <c r="B45">
        <v>54</v>
      </c>
      <c r="C45">
        <v>7912</v>
      </c>
      <c r="D45" s="3">
        <f t="shared" si="48"/>
        <v>8.3333333333333332E-3</v>
      </c>
      <c r="E45" s="3">
        <f t="shared" si="48"/>
        <v>-4.6016666666666666</v>
      </c>
      <c r="F45">
        <f>IF(A45&gt;0,IF(F44=1,1,IF(B45=Data!$H$4,1,0)),"")</f>
        <v>0</v>
      </c>
      <c r="G45">
        <v>3481</v>
      </c>
      <c r="H45">
        <v>54</v>
      </c>
      <c r="I45">
        <v>7912</v>
      </c>
      <c r="J45" s="3">
        <v>8.3333333333333332E-3</v>
      </c>
      <c r="K45" s="3">
        <v>-4.6016666666666666</v>
      </c>
      <c r="L45">
        <v>5581</v>
      </c>
      <c r="M45">
        <v>69</v>
      </c>
      <c r="N45">
        <v>1153</v>
      </c>
      <c r="O45" s="3">
        <v>-5.6919642857142854E-3</v>
      </c>
      <c r="P45" s="3">
        <v>5.1041666666666666E-2</v>
      </c>
      <c r="Q45" t="str">
        <f t="shared" si="18"/>
        <v/>
      </c>
      <c r="R45" s="4">
        <f t="shared" si="19"/>
        <v>54</v>
      </c>
      <c r="S45">
        <f t="shared" si="36"/>
        <v>3481</v>
      </c>
      <c r="T45">
        <f t="shared" si="49"/>
        <v>7902.3333333333358</v>
      </c>
      <c r="U45" s="4">
        <f t="shared" si="20"/>
        <v>69</v>
      </c>
      <c r="V45">
        <f t="shared" si="37"/>
        <v>5561</v>
      </c>
      <c r="W45">
        <f t="shared" si="38"/>
        <v>1156</v>
      </c>
      <c r="X45" t="str">
        <f t="shared" si="39"/>
        <v/>
      </c>
      <c r="Y45" t="str">
        <f t="shared" si="40"/>
        <v/>
      </c>
      <c r="Z45" t="str">
        <f t="shared" si="41"/>
        <v/>
      </c>
      <c r="AA45" t="str">
        <f t="shared" si="21"/>
        <v/>
      </c>
      <c r="AB45" t="str">
        <f t="shared" si="42"/>
        <v/>
      </c>
      <c r="AC45" t="str">
        <f t="shared" si="43"/>
        <v/>
      </c>
      <c r="AD45" t="str">
        <f t="shared" si="44"/>
        <v/>
      </c>
      <c r="AE45" t="str">
        <f t="shared" si="45"/>
        <v/>
      </c>
      <c r="AF45" s="72">
        <f>IF(AF44+$AF$1&gt;ROUND(Data!$H$4,0),AF44,AF44+$AF$1)</f>
        <v>68</v>
      </c>
      <c r="AG45">
        <f t="shared" si="22"/>
        <v>5161</v>
      </c>
      <c r="AH45">
        <f t="shared" si="23"/>
        <v>1197.666666666667</v>
      </c>
      <c r="AI45">
        <f t="shared" si="24"/>
        <v>5701</v>
      </c>
      <c r="AJ45" s="67">
        <f t="shared" si="25"/>
        <v>1167</v>
      </c>
      <c r="AK45" s="4">
        <f t="shared" si="46"/>
        <v>29.300000000000061</v>
      </c>
      <c r="AL45">
        <f t="shared" si="26"/>
        <v>517.00000000000728</v>
      </c>
      <c r="AM45">
        <f t="shared" si="27"/>
        <v>11680.099999999995</v>
      </c>
      <c r="AN45">
        <f>IF($AK44+$AK$1&lt;=Data!$H$4-0.5,AVERAGE(AM43:AM47),AN44)</f>
        <v>11680.099999999995</v>
      </c>
      <c r="AO45">
        <f t="shared" si="28"/>
        <v>10344.999999999993</v>
      </c>
      <c r="AP45">
        <f t="shared" si="47"/>
        <v>11105.349999999995</v>
      </c>
      <c r="AQ45">
        <f>IF($AK44+$AK$1&lt;=Data!$H$4-0.5,AVERAGE(AP43:AP47),AQ44)</f>
        <v>11105.349999999995</v>
      </c>
      <c r="AR45">
        <f>IF($AK44+$AK$1&lt;=Data!$H$4-0.5,SLOPE($AN41:$AN49,$AK41:$AK49),AR44)</f>
        <v>-78.850000000000762</v>
      </c>
      <c r="AS45">
        <f>IF($AK44+$AK$1&lt;=Data!$H$4-0.5,SLOPE($AQ41:$AQ49,$AK41:$AK49),AS44)</f>
        <v>-81.99523809523518</v>
      </c>
      <c r="AT45" t="str">
        <f>IF(AND($AK45&gt;=Results!$G$13,$AK45&lt;=Results!$G$14),Curves!AR45,"")</f>
        <v/>
      </c>
      <c r="AU45" t="str">
        <f>IF(AND($AK45&gt;=Results!$G$13,$AK45&lt;=Results!$G$14),Curves!AS45,"")</f>
        <v/>
      </c>
      <c r="AV45" t="str">
        <f t="shared" si="29"/>
        <v/>
      </c>
      <c r="AW45" t="str">
        <f>IF(AND($AK45&lt;=Results!$I$21,$AK45&gt;=Results!$I$20,$AK45&lt;=Results!$F$4),$AN45,"")</f>
        <v/>
      </c>
      <c r="AX45" t="str">
        <f t="shared" si="29"/>
        <v/>
      </c>
      <c r="AY45" t="str">
        <f>IF(AND($AK45&lt;=Results!$I$23,$AK45&gt;=Results!$I$22,$AK45&gt;=Results!$F$4),$AN45,"")</f>
        <v/>
      </c>
      <c r="AZ45" t="str">
        <f t="shared" si="0"/>
        <v/>
      </c>
      <c r="BA45" t="str">
        <f>IF(AND($AK45&lt;=Results!$I$27,$AK45&gt;=Results!$I$26,$AK45&lt;=Results!$F$4),$AQ45,"")</f>
        <v/>
      </c>
      <c r="BB45" t="str">
        <f t="shared" si="1"/>
        <v/>
      </c>
      <c r="BC45" t="str">
        <f>IF(AND($AK45&lt;=Results!$I$29,$AK45&gt;=Results!$I$28,$AK45&gt;=Results!$F$4),$AQ45,"")</f>
        <v/>
      </c>
      <c r="BD45">
        <f t="shared" si="2"/>
        <v>11603.560645218138</v>
      </c>
      <c r="BE45">
        <f t="shared" si="3"/>
        <v>2503.4829208895453</v>
      </c>
      <c r="BF45">
        <f t="shared" si="30"/>
        <v>11049.283151980779</v>
      </c>
      <c r="BG45">
        <f t="shared" si="4"/>
        <v>1377.4063560406903</v>
      </c>
      <c r="BH45">
        <f t="shared" si="5"/>
        <v>0</v>
      </c>
      <c r="BI45">
        <f t="shared" si="6"/>
        <v>1.0084108462697228</v>
      </c>
      <c r="BJ45">
        <f t="shared" si="7"/>
        <v>1.0057968943569207</v>
      </c>
      <c r="BK45">
        <f t="shared" si="8"/>
        <v>3.1496741022218441E-3</v>
      </c>
      <c r="BL45">
        <f t="shared" si="9"/>
        <v>-8.9311415527258816E-4</v>
      </c>
      <c r="BM45">
        <f t="shared" si="31"/>
        <v>120</v>
      </c>
      <c r="BN45">
        <f t="shared" si="32"/>
        <v>-119.99999999999831</v>
      </c>
      <c r="BO45">
        <f>Data!$H$2*(1-BI45)*(1-BI45/Data!$H$3)*BM45</f>
        <v>1.6978160393498271E-8</v>
      </c>
      <c r="BP45">
        <f t="shared" si="10"/>
        <v>-121.00930155236674</v>
      </c>
      <c r="BQ45">
        <f>Data!$H$2*(1-BJ45)*(1-BJ45/Data!$H$3)*BN45</f>
        <v>-8.0649562044715389E-9</v>
      </c>
      <c r="BR45">
        <f t="shared" si="11"/>
        <v>120.69562732282878</v>
      </c>
      <c r="BS45">
        <f t="shared" si="33"/>
        <v>0</v>
      </c>
      <c r="BT45">
        <f t="shared" si="12"/>
        <v>0</v>
      </c>
      <c r="BU45">
        <f t="shared" si="13"/>
        <v>0</v>
      </c>
      <c r="BV45">
        <f t="shared" si="14"/>
        <v>0</v>
      </c>
      <c r="BW45">
        <f t="shared" si="34"/>
        <v>0</v>
      </c>
      <c r="BX45" t="str">
        <f t="shared" si="35"/>
        <v/>
      </c>
      <c r="BY45" s="66" t="str">
        <f t="shared" si="15"/>
        <v/>
      </c>
      <c r="BZ45" t="str">
        <f t="shared" si="16"/>
        <v/>
      </c>
      <c r="CA45" s="67" t="str">
        <f t="shared" si="17"/>
        <v/>
      </c>
    </row>
    <row r="46" spans="1:79" x14ac:dyDescent="0.25">
      <c r="A46">
        <v>3541</v>
      </c>
      <c r="B46">
        <v>54.5</v>
      </c>
      <c r="C46">
        <v>7621</v>
      </c>
      <c r="D46" s="3">
        <f t="shared" si="48"/>
        <v>8.3333333333333332E-3</v>
      </c>
      <c r="E46" s="3">
        <f t="shared" si="48"/>
        <v>-4.9766666666666666</v>
      </c>
      <c r="F46">
        <f>IF(A46&gt;0,IF(F45=1,1,IF(B46=Data!$H$4,1,0)),"")</f>
        <v>0</v>
      </c>
      <c r="G46">
        <v>3541</v>
      </c>
      <c r="H46">
        <v>54.5</v>
      </c>
      <c r="I46">
        <v>7621</v>
      </c>
      <c r="J46" s="3">
        <v>8.3333333333333332E-3</v>
      </c>
      <c r="K46" s="3">
        <v>-4.9766666666666666</v>
      </c>
      <c r="L46">
        <v>5401</v>
      </c>
      <c r="M46">
        <v>70</v>
      </c>
      <c r="N46">
        <v>1151</v>
      </c>
      <c r="O46" s="3">
        <v>-2.9411764705882353E-3</v>
      </c>
      <c r="P46" s="3">
        <v>-8.3333333333333332E-3</v>
      </c>
      <c r="Q46" t="str">
        <f t="shared" si="18"/>
        <v/>
      </c>
      <c r="R46" s="4">
        <f t="shared" si="19"/>
        <v>55</v>
      </c>
      <c r="S46">
        <f t="shared" si="36"/>
        <v>3601</v>
      </c>
      <c r="T46">
        <f t="shared" si="49"/>
        <v>7305</v>
      </c>
      <c r="U46" s="4">
        <f t="shared" si="20"/>
        <v>70</v>
      </c>
      <c r="V46">
        <f t="shared" si="37"/>
        <v>5401</v>
      </c>
      <c r="W46">
        <f t="shared" si="38"/>
        <v>1151</v>
      </c>
      <c r="X46" t="str">
        <f t="shared" si="39"/>
        <v/>
      </c>
      <c r="Y46" t="str">
        <f t="shared" si="40"/>
        <v/>
      </c>
      <c r="Z46" t="str">
        <f t="shared" si="41"/>
        <v/>
      </c>
      <c r="AA46" t="str">
        <f t="shared" si="21"/>
        <v/>
      </c>
      <c r="AB46" t="str">
        <f t="shared" si="42"/>
        <v/>
      </c>
      <c r="AC46" t="str">
        <f t="shared" si="43"/>
        <v/>
      </c>
      <c r="AD46" t="str">
        <f t="shared" si="44"/>
        <v/>
      </c>
      <c r="AE46" t="str">
        <f t="shared" si="45"/>
        <v/>
      </c>
      <c r="AF46" s="72">
        <f>IF(AF45+$AF$1&gt;ROUND(Data!$H$4,0),AF45,AF45+$AF$1)</f>
        <v>69</v>
      </c>
      <c r="AG46">
        <f t="shared" si="22"/>
        <v>5281</v>
      </c>
      <c r="AH46">
        <f t="shared" si="23"/>
        <v>1170.166666666667</v>
      </c>
      <c r="AI46">
        <f t="shared" si="24"/>
        <v>5561</v>
      </c>
      <c r="AJ46" s="67">
        <f t="shared" si="25"/>
        <v>1156</v>
      </c>
      <c r="AK46" s="4">
        <f t="shared" si="46"/>
        <v>29.400000000000063</v>
      </c>
      <c r="AL46">
        <f t="shared" si="26"/>
        <v>529.0000000000075</v>
      </c>
      <c r="AM46">
        <f t="shared" si="27"/>
        <v>11672.133333333328</v>
      </c>
      <c r="AN46">
        <f>IF($AK45+$AK$1&lt;=Data!$H$4-0.5,AVERAGE(AM44:AM48),AN45)</f>
        <v>11672.13333333333</v>
      </c>
      <c r="AO46">
        <f t="shared" si="28"/>
        <v>10332.999999999993</v>
      </c>
      <c r="AP46">
        <f t="shared" si="47"/>
        <v>11097.157142857137</v>
      </c>
      <c r="AQ46">
        <f>IF($AK45+$AK$1&lt;=Data!$H$4-0.5,AVERAGE(AP44:AP48),AQ45)</f>
        <v>11097.157142857139</v>
      </c>
      <c r="AR46">
        <f>IF($AK45+$AK$1&lt;=Data!$H$4-0.5,SLOPE($AN42:$AN50,$AK42:$AK50),AR45)</f>
        <v>-79.316666666667601</v>
      </c>
      <c r="AS46">
        <f>IF($AK45+$AK$1&lt;=Data!$H$4-0.5,SLOPE($AQ42:$AQ50,$AK42:$AK50),AS45)</f>
        <v>-81.957142857141392</v>
      </c>
      <c r="AT46" t="str">
        <f>IF(AND($AK46&gt;=Results!$G$13,$AK46&lt;=Results!$G$14),Curves!AR46,"")</f>
        <v/>
      </c>
      <c r="AU46" t="str">
        <f>IF(AND($AK46&gt;=Results!$G$13,$AK46&lt;=Results!$G$14),Curves!AS46,"")</f>
        <v/>
      </c>
      <c r="AV46" t="str">
        <f t="shared" si="29"/>
        <v/>
      </c>
      <c r="AW46" t="str">
        <f>IF(AND($AK46&lt;=Results!$I$21,$AK46&gt;=Results!$I$20,$AK46&lt;=Results!$F$4),$AN46,"")</f>
        <v/>
      </c>
      <c r="AX46" t="str">
        <f t="shared" si="29"/>
        <v/>
      </c>
      <c r="AY46" t="str">
        <f>IF(AND($AK46&lt;=Results!$I$23,$AK46&gt;=Results!$I$22,$AK46&gt;=Results!$F$4),$AN46,"")</f>
        <v/>
      </c>
      <c r="AZ46" t="str">
        <f t="shared" si="0"/>
        <v/>
      </c>
      <c r="BA46" t="str">
        <f>IF(AND($AK46&lt;=Results!$I$27,$AK46&gt;=Results!$I$26,$AK46&lt;=Results!$F$4),$AQ46,"")</f>
        <v/>
      </c>
      <c r="BB46" t="str">
        <f t="shared" si="1"/>
        <v/>
      </c>
      <c r="BC46" t="str">
        <f>IF(AND($AK46&lt;=Results!$I$29,$AK46&gt;=Results!$I$28,$AK46&gt;=Results!$F$4),$AQ46,"")</f>
        <v/>
      </c>
      <c r="BD46">
        <f t="shared" si="2"/>
        <v>11592.790450420218</v>
      </c>
      <c r="BE46">
        <f t="shared" si="3"/>
        <v>2500.1671316402244</v>
      </c>
      <c r="BF46">
        <f t="shared" si="30"/>
        <v>11041.993169747886</v>
      </c>
      <c r="BG46">
        <f t="shared" si="4"/>
        <v>1376.8555550811654</v>
      </c>
      <c r="BH46">
        <f t="shared" si="5"/>
        <v>0</v>
      </c>
      <c r="BI46">
        <f t="shared" si="6"/>
        <v>1.0087260716881603</v>
      </c>
      <c r="BJ46">
        <f t="shared" si="7"/>
        <v>1.0057075207108839</v>
      </c>
      <c r="BK46">
        <f t="shared" si="8"/>
        <v>3.1548406174163983E-3</v>
      </c>
      <c r="BL46">
        <f t="shared" si="9"/>
        <v>-8.9436006810771193E-4</v>
      </c>
      <c r="BM46">
        <f t="shared" si="31"/>
        <v>120.00000000000055</v>
      </c>
      <c r="BN46">
        <f t="shared" si="32"/>
        <v>-119.99999999999829</v>
      </c>
      <c r="BO46">
        <f>Data!$H$2*(1-BI46)*(1-BI46/Data!$H$3)*BM46</f>
        <v>1.8274638505659178E-8</v>
      </c>
      <c r="BP46">
        <f t="shared" si="10"/>
        <v>-121.04712860257979</v>
      </c>
      <c r="BQ46">
        <f>Data!$H$2*(1-BJ46)*(1-BJ46/Data!$H$3)*BN46</f>
        <v>-7.8181902396402936E-9</v>
      </c>
      <c r="BR46">
        <f t="shared" si="11"/>
        <v>120.68490248530435</v>
      </c>
      <c r="BS46">
        <f t="shared" si="33"/>
        <v>0</v>
      </c>
      <c r="BT46">
        <f t="shared" si="12"/>
        <v>0</v>
      </c>
      <c r="BU46">
        <f t="shared" si="13"/>
        <v>0</v>
      </c>
      <c r="BV46">
        <f t="shared" si="14"/>
        <v>0</v>
      </c>
      <c r="BW46">
        <f t="shared" si="34"/>
        <v>0</v>
      </c>
      <c r="BX46" t="str">
        <f t="shared" si="35"/>
        <v/>
      </c>
      <c r="BY46" s="66" t="str">
        <f t="shared" si="15"/>
        <v/>
      </c>
      <c r="BZ46" t="str">
        <f t="shared" si="16"/>
        <v/>
      </c>
      <c r="CA46" s="67" t="str">
        <f t="shared" si="17"/>
        <v/>
      </c>
    </row>
    <row r="47" spans="1:79" x14ac:dyDescent="0.25">
      <c r="A47">
        <v>3601</v>
      </c>
      <c r="B47">
        <v>55</v>
      </c>
      <c r="C47">
        <v>7300</v>
      </c>
      <c r="D47" s="3">
        <f t="shared" si="48"/>
        <v>8.3333333333333332E-3</v>
      </c>
      <c r="E47" s="3">
        <f t="shared" si="48"/>
        <v>-5.206666666666667</v>
      </c>
      <c r="F47">
        <f>IF(A47&gt;0,IF(F46=1,1,IF(B47=Data!$H$4,1,0)),"")</f>
        <v>0</v>
      </c>
      <c r="G47">
        <v>3601</v>
      </c>
      <c r="H47">
        <v>55</v>
      </c>
      <c r="I47">
        <v>7300</v>
      </c>
      <c r="J47" s="3">
        <v>8.3333333333333332E-3</v>
      </c>
      <c r="K47" s="3">
        <v>-5.206666666666667</v>
      </c>
      <c r="O47" s="3"/>
      <c r="P47" s="3"/>
      <c r="Q47" t="str">
        <f t="shared" si="18"/>
        <v/>
      </c>
      <c r="R47" s="4">
        <f t="shared" si="19"/>
        <v>55</v>
      </c>
      <c r="S47">
        <f t="shared" si="36"/>
        <v>3601</v>
      </c>
      <c r="T47">
        <f t="shared" si="49"/>
        <v>7302.6666666666642</v>
      </c>
      <c r="U47" s="4">
        <f t="shared" si="20"/>
        <v>0</v>
      </c>
      <c r="V47" t="e">
        <f t="shared" si="37"/>
        <v>#DIV/0!</v>
      </c>
      <c r="W47" t="e">
        <f t="shared" si="38"/>
        <v>#DIV/0!</v>
      </c>
      <c r="X47" t="str">
        <f t="shared" si="39"/>
        <v/>
      </c>
      <c r="Y47" t="str">
        <f t="shared" si="40"/>
        <v/>
      </c>
      <c r="Z47" t="str">
        <f t="shared" si="41"/>
        <v/>
      </c>
      <c r="AA47" t="str">
        <f t="shared" si="21"/>
        <v/>
      </c>
      <c r="AB47" t="str">
        <f t="shared" si="42"/>
        <v/>
      </c>
      <c r="AC47" t="str">
        <f t="shared" si="43"/>
        <v/>
      </c>
      <c r="AD47" t="str">
        <f t="shared" si="44"/>
        <v/>
      </c>
      <c r="AE47" t="str">
        <f t="shared" si="45"/>
        <v/>
      </c>
      <c r="AF47" s="72">
        <f>IF(AF46+$AF$1&gt;ROUND(Data!$H$4,0),AF46,AF46+$AF$1)</f>
        <v>70</v>
      </c>
      <c r="AG47">
        <f t="shared" si="22"/>
        <v>5401</v>
      </c>
      <c r="AH47">
        <f t="shared" si="23"/>
        <v>1148</v>
      </c>
      <c r="AI47">
        <f t="shared" si="24"/>
        <v>5401</v>
      </c>
      <c r="AJ47" s="67">
        <f t="shared" si="25"/>
        <v>1151</v>
      </c>
      <c r="AK47" s="4">
        <f t="shared" si="46"/>
        <v>29.500000000000064</v>
      </c>
      <c r="AL47">
        <f t="shared" si="26"/>
        <v>541.00000000000773</v>
      </c>
      <c r="AM47">
        <f t="shared" si="27"/>
        <v>11664.166666666662</v>
      </c>
      <c r="AN47">
        <f>IF($AK46+$AK$1&lt;=Data!$H$4-0.5,AVERAGE(AM45:AM49),AN46)</f>
        <v>11664.166666666662</v>
      </c>
      <c r="AO47">
        <f t="shared" si="28"/>
        <v>10320.999999999993</v>
      </c>
      <c r="AP47">
        <f t="shared" si="47"/>
        <v>11088.964285714281</v>
      </c>
      <c r="AQ47">
        <f>IF($AK46+$AK$1&lt;=Data!$H$4-0.5,AVERAGE(AP45:AP49),AQ46)</f>
        <v>11088.964285714281</v>
      </c>
      <c r="AR47">
        <f>IF($AK46+$AK$1&lt;=Data!$H$4-0.5,SLOPE($AN43:$AN51,$AK43:$AK51),AR46)</f>
        <v>-79.626666666666793</v>
      </c>
      <c r="AS47">
        <f>IF($AK46+$AK$1&lt;=Data!$H$4-0.5,SLOPE($AQ43:$AQ51,$AK43:$AK51),AS46)</f>
        <v>-81.986031746030108</v>
      </c>
      <c r="AT47" t="str">
        <f>IF(AND($AK47&gt;=Results!$G$13,$AK47&lt;=Results!$G$14),Curves!AR47,"")</f>
        <v/>
      </c>
      <c r="AU47" t="str">
        <f>IF(AND($AK47&gt;=Results!$G$13,$AK47&lt;=Results!$G$14),Curves!AS47,"")</f>
        <v/>
      </c>
      <c r="AV47" t="str">
        <f t="shared" si="29"/>
        <v/>
      </c>
      <c r="AW47" t="str">
        <f>IF(AND($AK47&lt;=Results!$I$21,$AK47&gt;=Results!$I$20,$AK47&lt;=Results!$F$4),$AN47,"")</f>
        <v/>
      </c>
      <c r="AX47" t="str">
        <f t="shared" si="29"/>
        <v/>
      </c>
      <c r="AY47" t="str">
        <f>IF(AND($AK47&lt;=Results!$I$23,$AK47&gt;=Results!$I$22,$AK47&gt;=Results!$F$4),$AN47,"")</f>
        <v/>
      </c>
      <c r="AZ47" t="str">
        <f t="shared" si="0"/>
        <v/>
      </c>
      <c r="BA47" t="str">
        <f>IF(AND($AK47&lt;=Results!$I$27,$AK47&gt;=Results!$I$26,$AK47&lt;=Results!$F$4),$AQ47,"")</f>
        <v/>
      </c>
      <c r="BB47" t="str">
        <f t="shared" si="1"/>
        <v/>
      </c>
      <c r="BC47" t="str">
        <f>IF(AND($AK47&lt;=Results!$I$29,$AK47&gt;=Results!$I$28,$AK47&gt;=Results!$F$4),$AQ47,"")</f>
        <v/>
      </c>
      <c r="BD47">
        <f t="shared" si="2"/>
        <v>11582.020255622298</v>
      </c>
      <c r="BE47">
        <f t="shared" si="3"/>
        <v>2496.8513423909035</v>
      </c>
      <c r="BF47">
        <f t="shared" si="30"/>
        <v>11034.703187514991</v>
      </c>
      <c r="BG47">
        <f t="shared" si="4"/>
        <v>1376.3047541216404</v>
      </c>
      <c r="BH47">
        <f t="shared" si="5"/>
        <v>0</v>
      </c>
      <c r="BI47">
        <f t="shared" si="6"/>
        <v>1.0090418143932061</v>
      </c>
      <c r="BJ47">
        <f t="shared" si="7"/>
        <v>1.0056180223432991</v>
      </c>
      <c r="BK47">
        <f t="shared" si="8"/>
        <v>3.1600198552550027E-3</v>
      </c>
      <c r="BL47">
        <f t="shared" si="9"/>
        <v>-8.9560858987257482E-4</v>
      </c>
      <c r="BM47">
        <f t="shared" si="31"/>
        <v>120</v>
      </c>
      <c r="BN47">
        <f t="shared" si="32"/>
        <v>-119.99999999999831</v>
      </c>
      <c r="BO47">
        <f>Data!$H$2*(1-BI47)*(1-BI47/Data!$H$3)*BM47</f>
        <v>1.9621057805085182E-8</v>
      </c>
      <c r="BP47">
        <f t="shared" si="10"/>
        <v>-121.08501772718472</v>
      </c>
      <c r="BQ47">
        <f>Data!$H$2*(1-BJ47)*(1-BJ47/Data!$H$3)*BN47</f>
        <v>-7.5749220119538236E-9</v>
      </c>
      <c r="BR47">
        <f t="shared" si="11"/>
        <v>120.67416268119419</v>
      </c>
      <c r="BS47">
        <f t="shared" si="33"/>
        <v>0</v>
      </c>
      <c r="BT47">
        <f t="shared" si="12"/>
        <v>0</v>
      </c>
      <c r="BU47">
        <f t="shared" si="13"/>
        <v>0</v>
      </c>
      <c r="BV47">
        <f t="shared" si="14"/>
        <v>0</v>
      </c>
      <c r="BW47">
        <f t="shared" si="34"/>
        <v>0</v>
      </c>
      <c r="BX47" t="str">
        <f t="shared" si="35"/>
        <v/>
      </c>
      <c r="BY47" s="66" t="str">
        <f t="shared" si="15"/>
        <v/>
      </c>
      <c r="BZ47" t="str">
        <f t="shared" si="16"/>
        <v/>
      </c>
      <c r="CA47" s="67" t="str">
        <f t="shared" si="17"/>
        <v/>
      </c>
    </row>
    <row r="48" spans="1:79" x14ac:dyDescent="0.25">
      <c r="A48">
        <v>3661</v>
      </c>
      <c r="B48">
        <v>55.5</v>
      </c>
      <c r="C48">
        <v>6987</v>
      </c>
      <c r="D48" s="3">
        <f t="shared" si="48"/>
        <v>8.3333333333333332E-3</v>
      </c>
      <c r="E48" s="3">
        <f t="shared" si="48"/>
        <v>-5.3650000000000002</v>
      </c>
      <c r="F48">
        <f>IF(A48&gt;0,IF(F47=1,1,IF(B48=Data!$H$4,1,0)),"")</f>
        <v>0</v>
      </c>
      <c r="G48">
        <v>3661</v>
      </c>
      <c r="H48">
        <v>55.5</v>
      </c>
      <c r="I48">
        <v>6987</v>
      </c>
      <c r="J48" s="3">
        <v>8.3333333333333332E-3</v>
      </c>
      <c r="K48" s="3">
        <v>-5.3650000000000002</v>
      </c>
      <c r="O48" s="3"/>
      <c r="P48" s="3"/>
      <c r="Q48" t="str">
        <f t="shared" si="18"/>
        <v/>
      </c>
      <c r="R48" s="4">
        <f t="shared" si="19"/>
        <v>56</v>
      </c>
      <c r="S48">
        <f t="shared" si="36"/>
        <v>3721</v>
      </c>
      <c r="T48">
        <f t="shared" si="49"/>
        <v>6668.1666666666642</v>
      </c>
      <c r="U48" s="4">
        <f t="shared" si="20"/>
        <v>0</v>
      </c>
      <c r="V48" t="e">
        <f t="shared" si="37"/>
        <v>#DIV/0!</v>
      </c>
      <c r="W48" t="e">
        <f t="shared" si="38"/>
        <v>#DIV/0!</v>
      </c>
      <c r="X48" t="str">
        <f t="shared" si="39"/>
        <v/>
      </c>
      <c r="Y48" t="str">
        <f t="shared" si="40"/>
        <v/>
      </c>
      <c r="Z48" t="str">
        <f t="shared" si="41"/>
        <v/>
      </c>
      <c r="AA48" t="str">
        <f t="shared" si="21"/>
        <v/>
      </c>
      <c r="AB48" t="str">
        <f t="shared" si="42"/>
        <v/>
      </c>
      <c r="AC48" t="str">
        <f t="shared" si="43"/>
        <v/>
      </c>
      <c r="AD48" t="str">
        <f t="shared" si="44"/>
        <v/>
      </c>
      <c r="AE48" t="str">
        <f t="shared" si="45"/>
        <v/>
      </c>
      <c r="AF48" s="72">
        <f>IF(AF47+$AF$1&gt;ROUND(Data!$H$4,0),AF47,AF47+$AF$1)</f>
        <v>70</v>
      </c>
      <c r="AG48">
        <f t="shared" si="22"/>
        <v>5401</v>
      </c>
      <c r="AH48">
        <f t="shared" si="23"/>
        <v>1148</v>
      </c>
      <c r="AI48">
        <f t="shared" si="24"/>
        <v>5401</v>
      </c>
      <c r="AJ48" s="67">
        <f t="shared" si="25"/>
        <v>1151</v>
      </c>
      <c r="AK48" s="4">
        <f t="shared" si="46"/>
        <v>29.600000000000065</v>
      </c>
      <c r="AL48">
        <f t="shared" si="26"/>
        <v>553.00000000000784</v>
      </c>
      <c r="AM48">
        <f t="shared" si="27"/>
        <v>11656.199999999995</v>
      </c>
      <c r="AN48">
        <f>IF($AK47+$AK$1&lt;=Data!$H$4-0.5,AVERAGE(AM46:AM50),AN47)</f>
        <v>11656.199999999995</v>
      </c>
      <c r="AO48">
        <f t="shared" si="28"/>
        <v>10308.999999999993</v>
      </c>
      <c r="AP48">
        <f t="shared" si="47"/>
        <v>11080.771428571423</v>
      </c>
      <c r="AQ48">
        <f>IF($AK47+$AK$1&lt;=Data!$H$4-0.5,AVERAGE(AP46:AP50),AQ47)</f>
        <v>11080.771428571423</v>
      </c>
      <c r="AR48">
        <f>IF($AK47+$AK$1&lt;=Data!$H$4-0.5,SLOPE($AN44:$AN52,$AK44:$AK52),AR47)</f>
        <v>-79.866666666665935</v>
      </c>
      <c r="AS48">
        <f>IF($AK47+$AK$1&lt;=Data!$H$4-0.5,SLOPE($AQ44:$AQ52,$AK44:$AK52),AS47)</f>
        <v>-82.115476190475761</v>
      </c>
      <c r="AT48" t="str">
        <f>IF(AND($AK48&gt;=Results!$G$13,$AK48&lt;=Results!$G$14),Curves!AR48,"")</f>
        <v/>
      </c>
      <c r="AU48" t="str">
        <f>IF(AND($AK48&gt;=Results!$G$13,$AK48&lt;=Results!$G$14),Curves!AS48,"")</f>
        <v/>
      </c>
      <c r="AV48" t="str">
        <f t="shared" si="29"/>
        <v/>
      </c>
      <c r="AW48" t="str">
        <f>IF(AND($AK48&lt;=Results!$I$21,$AK48&gt;=Results!$I$20,$AK48&lt;=Results!$F$4),$AN48,"")</f>
        <v/>
      </c>
      <c r="AX48" t="str">
        <f t="shared" si="29"/>
        <v/>
      </c>
      <c r="AY48" t="str">
        <f>IF(AND($AK48&lt;=Results!$I$23,$AK48&gt;=Results!$I$22,$AK48&gt;=Results!$F$4),$AN48,"")</f>
        <v/>
      </c>
      <c r="AZ48" t="str">
        <f t="shared" si="0"/>
        <v/>
      </c>
      <c r="BA48" t="str">
        <f>IF(AND($AK48&lt;=Results!$I$27,$AK48&gt;=Results!$I$26,$AK48&lt;=Results!$F$4),$AQ48,"")</f>
        <v/>
      </c>
      <c r="BB48" t="str">
        <f t="shared" si="1"/>
        <v/>
      </c>
      <c r="BC48" t="str">
        <f>IF(AND($AK48&lt;=Results!$I$29,$AK48&gt;=Results!$I$28,$AK48&gt;=Results!$F$4),$AQ48,"")</f>
        <v/>
      </c>
      <c r="BD48">
        <f t="shared" si="2"/>
        <v>11571.250060824379</v>
      </c>
      <c r="BE48">
        <f t="shared" si="3"/>
        <v>2493.5355531415826</v>
      </c>
      <c r="BF48">
        <f t="shared" si="30"/>
        <v>11027.413205282099</v>
      </c>
      <c r="BG48">
        <f t="shared" si="4"/>
        <v>1375.7539531621153</v>
      </c>
      <c r="BH48">
        <f t="shared" si="5"/>
        <v>0</v>
      </c>
      <c r="BI48">
        <f t="shared" si="6"/>
        <v>1.0093580756592113</v>
      </c>
      <c r="BJ48">
        <f t="shared" si="7"/>
        <v>1.0055283989929094</v>
      </c>
      <c r="BK48">
        <f t="shared" si="8"/>
        <v>3.1652118575508756E-3</v>
      </c>
      <c r="BL48">
        <f t="shared" si="9"/>
        <v>-8.9685972785912113E-4</v>
      </c>
      <c r="BM48">
        <f t="shared" si="31"/>
        <v>119.99999999999942</v>
      </c>
      <c r="BN48">
        <f t="shared" si="32"/>
        <v>-119.99999999999829</v>
      </c>
      <c r="BO48">
        <f>Data!$H$2*(1-BI48)*(1-BI48/Data!$H$3)*BM48</f>
        <v>2.1017659210445502E-8</v>
      </c>
      <c r="BP48">
        <f t="shared" si="10"/>
        <v>-121.12296907910476</v>
      </c>
      <c r="BQ48">
        <f>Data!$H$2*(1-BJ48)*(1-BJ48/Data!$H$3)*BN48</f>
        <v>-7.3351669019521771E-9</v>
      </c>
      <c r="BR48">
        <f t="shared" si="11"/>
        <v>120.66340787914741</v>
      </c>
      <c r="BS48">
        <f t="shared" si="33"/>
        <v>0</v>
      </c>
      <c r="BT48">
        <f t="shared" si="12"/>
        <v>0</v>
      </c>
      <c r="BU48">
        <f t="shared" si="13"/>
        <v>0</v>
      </c>
      <c r="BV48">
        <f t="shared" si="14"/>
        <v>0</v>
      </c>
      <c r="BW48">
        <f t="shared" si="34"/>
        <v>0</v>
      </c>
      <c r="BX48" t="str">
        <f t="shared" si="35"/>
        <v/>
      </c>
      <c r="BY48" s="66" t="str">
        <f t="shared" si="15"/>
        <v/>
      </c>
      <c r="BZ48" t="str">
        <f t="shared" si="16"/>
        <v/>
      </c>
      <c r="CA48" s="67" t="str">
        <f t="shared" si="17"/>
        <v/>
      </c>
    </row>
    <row r="49" spans="1:79" x14ac:dyDescent="0.25">
      <c r="A49">
        <v>3721</v>
      </c>
      <c r="B49">
        <v>56</v>
      </c>
      <c r="C49">
        <v>6667</v>
      </c>
      <c r="D49" s="3">
        <f t="shared" si="48"/>
        <v>8.3333333333333332E-3</v>
      </c>
      <c r="E49" s="3">
        <f t="shared" si="48"/>
        <v>-5.4683333333333337</v>
      </c>
      <c r="F49">
        <f>IF(A49&gt;0,IF(F48=1,1,IF(B49=Data!$H$4,1,0)),"")</f>
        <v>0</v>
      </c>
      <c r="G49">
        <v>3721</v>
      </c>
      <c r="H49">
        <v>56</v>
      </c>
      <c r="I49">
        <v>6667</v>
      </c>
      <c r="J49" s="3">
        <v>8.3333333333333332E-3</v>
      </c>
      <c r="K49" s="3">
        <v>-5.4683333333333337</v>
      </c>
      <c r="O49" s="3"/>
      <c r="P49" s="3"/>
      <c r="Q49" t="str">
        <f t="shared" si="18"/>
        <v/>
      </c>
      <c r="R49" s="4">
        <f t="shared" si="19"/>
        <v>56</v>
      </c>
      <c r="S49">
        <f t="shared" si="36"/>
        <v>3721</v>
      </c>
      <c r="T49">
        <f t="shared" si="49"/>
        <v>6660.6666666666642</v>
      </c>
      <c r="U49" s="4">
        <f t="shared" si="20"/>
        <v>0</v>
      </c>
      <c r="V49" t="e">
        <f t="shared" si="37"/>
        <v>#DIV/0!</v>
      </c>
      <c r="W49" t="e">
        <f t="shared" si="38"/>
        <v>#DIV/0!</v>
      </c>
      <c r="X49" t="str">
        <f t="shared" si="39"/>
        <v/>
      </c>
      <c r="Y49" t="str">
        <f t="shared" si="40"/>
        <v/>
      </c>
      <c r="Z49" t="str">
        <f t="shared" si="41"/>
        <v/>
      </c>
      <c r="AA49" t="str">
        <f t="shared" si="21"/>
        <v/>
      </c>
      <c r="AB49" t="str">
        <f t="shared" si="42"/>
        <v/>
      </c>
      <c r="AC49" t="str">
        <f t="shared" si="43"/>
        <v/>
      </c>
      <c r="AD49" t="str">
        <f t="shared" si="44"/>
        <v/>
      </c>
      <c r="AE49" t="str">
        <f t="shared" si="45"/>
        <v/>
      </c>
      <c r="AF49" s="72">
        <f>IF(AF48+$AF$1&gt;ROUND(Data!$H$4,0),AF48,AF48+$AF$1)</f>
        <v>70</v>
      </c>
      <c r="AG49">
        <f t="shared" ref="AG49:AG79" si="50">IF(MATCH(AF49,$AA$3:$AA$1010,0)&lt;898,AVERAGE(AG48,AG50),VLOOKUP(AF49,$R$2:$T$301,2,FALSE))</f>
        <v>5401</v>
      </c>
      <c r="AH49">
        <f t="shared" ref="AH49:AH79" si="51">IF(MATCH(AF49,$AA$3:$AA$1010,0)&lt;898,AVERAGE(AH48,AH50),VLOOKUP(AF49,$R$2:$T$301,3,FALSE))</f>
        <v>1148</v>
      </c>
      <c r="AI49">
        <f t="shared" ref="AI49:AI79" si="52">IF(MATCH(AF49,$AE$3:$AE$1010,0)&lt;898,AVERAGE(AI48,AI50),VLOOKUP(AF49,$U$2:$W$301,2,FALSE))</f>
        <v>5401</v>
      </c>
      <c r="AJ49" s="67">
        <f t="shared" ref="AJ49:AJ79" si="53">IF(MATCH(AF49,$AE$3:$AE$1010,0)&lt;898,AVERAGE(AJ48,AJ50),VLOOKUP(AF49,$U$2:$W$301,3,FALSE))</f>
        <v>1151</v>
      </c>
      <c r="AK49" s="4">
        <f t="shared" si="46"/>
        <v>29.700000000000067</v>
      </c>
      <c r="AL49">
        <f t="shared" si="26"/>
        <v>565.00000000000796</v>
      </c>
      <c r="AM49">
        <f t="shared" si="27"/>
        <v>11648.233333333328</v>
      </c>
      <c r="AN49">
        <f>IF($AK48+$AK$1&lt;=Data!$H$4-0.5,AVERAGE(AM47:AM51),AN48)</f>
        <v>11648.233333333328</v>
      </c>
      <c r="AO49">
        <f t="shared" si="28"/>
        <v>10296.999999999993</v>
      </c>
      <c r="AP49">
        <f t="shared" si="47"/>
        <v>11072.578571428565</v>
      </c>
      <c r="AQ49">
        <f>IF($AK48+$AK$1&lt;=Data!$H$4-0.5,AVERAGE(AP47:AP51),AQ48)</f>
        <v>11072.578571428565</v>
      </c>
      <c r="AR49">
        <f>IF($AK48+$AK$1&lt;=Data!$H$4-0.5,SLOPE($AN45:$AN53,$AK45:$AK53),AR48)</f>
        <v>-80.133333333332686</v>
      </c>
      <c r="AS49">
        <f>IF($AK48+$AK$1&lt;=Data!$H$4-0.5,SLOPE($AQ45:$AQ53,$AK45:$AK53),AS48)</f>
        <v>-82.364682539683642</v>
      </c>
      <c r="AT49" t="str">
        <f>IF(AND($AK49&gt;=Results!$G$13,$AK49&lt;=Results!$G$14),Curves!AR49,"")</f>
        <v/>
      </c>
      <c r="AU49" t="str">
        <f>IF(AND($AK49&gt;=Results!$G$13,$AK49&lt;=Results!$G$14),Curves!AS49,"")</f>
        <v/>
      </c>
      <c r="AV49" t="str">
        <f t="shared" si="29"/>
        <v/>
      </c>
      <c r="AW49" t="str">
        <f>IF(AND($AK49&lt;=Results!$I$21,$AK49&gt;=Results!$I$20,$AK49&lt;=Results!$F$4),$AN49,"")</f>
        <v/>
      </c>
      <c r="AX49" t="str">
        <f t="shared" si="29"/>
        <v/>
      </c>
      <c r="AY49" t="str">
        <f>IF(AND($AK49&lt;=Results!$I$23,$AK49&gt;=Results!$I$22,$AK49&gt;=Results!$F$4),$AN49,"")</f>
        <v/>
      </c>
      <c r="AZ49" t="str">
        <f t="shared" si="0"/>
        <v/>
      </c>
      <c r="BA49" t="str">
        <f>IF(AND($AK49&lt;=Results!$I$27,$AK49&gt;=Results!$I$26,$AK49&lt;=Results!$F$4),$AQ49,"")</f>
        <v/>
      </c>
      <c r="BB49" t="str">
        <f t="shared" si="1"/>
        <v/>
      </c>
      <c r="BC49" t="str">
        <f>IF(AND($AK49&lt;=Results!$I$29,$AK49&gt;=Results!$I$28,$AK49&gt;=Results!$F$4),$AQ49,"")</f>
        <v/>
      </c>
      <c r="BD49">
        <f t="shared" si="2"/>
        <v>11560.479866026459</v>
      </c>
      <c r="BE49">
        <f t="shared" si="3"/>
        <v>2490.2197638922621</v>
      </c>
      <c r="BF49">
        <f t="shared" si="30"/>
        <v>11020.123223049206</v>
      </c>
      <c r="BG49">
        <f t="shared" si="4"/>
        <v>1375.2031522025904</v>
      </c>
      <c r="BH49">
        <f t="shared" si="5"/>
        <v>0</v>
      </c>
      <c r="BI49">
        <f t="shared" si="6"/>
        <v>1.0096748567647162</v>
      </c>
      <c r="BJ49">
        <f t="shared" si="7"/>
        <v>1.0054386503977273</v>
      </c>
      <c r="BK49">
        <f t="shared" si="8"/>
        <v>3.17041666627933E-3</v>
      </c>
      <c r="BL49">
        <f t="shared" si="9"/>
        <v>-8.9811348937928034E-4</v>
      </c>
      <c r="BM49">
        <f t="shared" si="31"/>
        <v>120</v>
      </c>
      <c r="BN49">
        <f t="shared" si="32"/>
        <v>-119.99999999999831</v>
      </c>
      <c r="BO49">
        <f>Data!$H$2*(1-BI49)*(1-BI49/Data!$H$3)*BM49</f>
        <v>2.2464684820266158E-8</v>
      </c>
      <c r="BP49">
        <f t="shared" si="10"/>
        <v>-121.16098281176595</v>
      </c>
      <c r="BQ49">
        <f>Data!$H$2*(1-BJ49)*(1-BJ49/Data!$H$3)*BN49</f>
        <v>-7.0989403556876976E-9</v>
      </c>
      <c r="BR49">
        <f t="shared" si="11"/>
        <v>120.65263804772557</v>
      </c>
      <c r="BS49">
        <f t="shared" si="33"/>
        <v>0</v>
      </c>
      <c r="BT49">
        <f t="shared" si="12"/>
        <v>0</v>
      </c>
      <c r="BU49">
        <f t="shared" si="13"/>
        <v>0</v>
      </c>
      <c r="BV49">
        <f t="shared" si="14"/>
        <v>0</v>
      </c>
      <c r="BW49">
        <f t="shared" si="34"/>
        <v>0</v>
      </c>
      <c r="BX49" t="str">
        <f t="shared" si="35"/>
        <v/>
      </c>
      <c r="BY49" s="66" t="str">
        <f t="shared" si="15"/>
        <v/>
      </c>
      <c r="BZ49" t="str">
        <f t="shared" si="16"/>
        <v/>
      </c>
      <c r="CA49" s="67" t="str">
        <f t="shared" si="17"/>
        <v/>
      </c>
    </row>
    <row r="50" spans="1:79" x14ac:dyDescent="0.25">
      <c r="A50">
        <v>3781</v>
      </c>
      <c r="B50">
        <v>56.5</v>
      </c>
      <c r="C50">
        <v>6328</v>
      </c>
      <c r="D50" s="3">
        <f t="shared" si="48"/>
        <v>8.3333333333333332E-3</v>
      </c>
      <c r="E50" s="3">
        <f t="shared" si="48"/>
        <v>-5.6</v>
      </c>
      <c r="F50">
        <f>IF(A50&gt;0,IF(F49=1,1,IF(B50=Data!$H$4,1,0)),"")</f>
        <v>0</v>
      </c>
      <c r="G50">
        <v>3781</v>
      </c>
      <c r="H50">
        <v>56.5</v>
      </c>
      <c r="I50">
        <v>6328</v>
      </c>
      <c r="J50" s="3">
        <v>8.3333333333333332E-3</v>
      </c>
      <c r="K50" s="3">
        <v>-5.6</v>
      </c>
      <c r="O50" s="3"/>
      <c r="P50" s="3"/>
      <c r="Q50" t="str">
        <f t="shared" si="18"/>
        <v/>
      </c>
      <c r="R50" s="4">
        <f t="shared" si="19"/>
        <v>57</v>
      </c>
      <c r="S50">
        <f t="shared" si="36"/>
        <v>3841</v>
      </c>
      <c r="T50">
        <f t="shared" si="49"/>
        <v>5989</v>
      </c>
      <c r="U50" s="4">
        <f t="shared" si="20"/>
        <v>0</v>
      </c>
      <c r="V50" t="e">
        <f t="shared" si="37"/>
        <v>#DIV/0!</v>
      </c>
      <c r="W50" t="e">
        <f t="shared" si="38"/>
        <v>#DIV/0!</v>
      </c>
      <c r="X50" t="str">
        <f t="shared" si="39"/>
        <v/>
      </c>
      <c r="Y50" t="str">
        <f t="shared" si="40"/>
        <v/>
      </c>
      <c r="Z50" t="str">
        <f t="shared" si="41"/>
        <v/>
      </c>
      <c r="AA50" t="str">
        <f t="shared" si="21"/>
        <v/>
      </c>
      <c r="AB50" t="str">
        <f t="shared" si="42"/>
        <v/>
      </c>
      <c r="AC50" t="str">
        <f t="shared" si="43"/>
        <v/>
      </c>
      <c r="AD50" t="str">
        <f t="shared" si="44"/>
        <v/>
      </c>
      <c r="AE50" t="str">
        <f t="shared" si="45"/>
        <v/>
      </c>
      <c r="AF50" s="72">
        <f>IF(AF49+$AF$1&gt;ROUND(Data!$H$4,0),AF49,AF49+$AF$1)</f>
        <v>70</v>
      </c>
      <c r="AG50">
        <f>IF(MATCH(AF50,$AA$3:$AA$1010,0)&lt;898,AVERAGE(AG49,AG51),VLOOKUP(AF50,$R$2:$T$301,2,FALSE))</f>
        <v>5401</v>
      </c>
      <c r="AH50">
        <f>IF(MATCH(AF50,$AA$3:$AA$1010,0)&lt;898,AVERAGE(AH49,AH51),VLOOKUP(AF50,$R$2:$T$301,3,FALSE))</f>
        <v>1148</v>
      </c>
      <c r="AI50">
        <f>IF(MATCH(AF50,$AE$3:$AE$1010,0)&lt;898,AVERAGE(AI49,AI51),VLOOKUP(AF50,$U$2:$W$301,2,FALSE))</f>
        <v>5401</v>
      </c>
      <c r="AJ50" s="67">
        <f>IF(MATCH(AF50,$AE$3:$AE$1010,0)&lt;898,AVERAGE(AJ49,AJ51),VLOOKUP(AF50,$U$2:$W$301,3,FALSE))</f>
        <v>1151</v>
      </c>
      <c r="AK50" s="4">
        <f t="shared" si="46"/>
        <v>29.800000000000068</v>
      </c>
      <c r="AL50">
        <f t="shared" si="26"/>
        <v>577.00000000000819</v>
      </c>
      <c r="AM50">
        <f t="shared" si="27"/>
        <v>11640.266666666661</v>
      </c>
      <c r="AN50">
        <f>IF($AK49+$AK$1&lt;=Data!$H$4-0.5,AVERAGE(AM48:AM52),AN49)</f>
        <v>11640.266666666661</v>
      </c>
      <c r="AO50">
        <f t="shared" si="28"/>
        <v>10284.999999999993</v>
      </c>
      <c r="AP50">
        <f t="shared" si="47"/>
        <v>11064.385714285709</v>
      </c>
      <c r="AQ50">
        <f>IF($AK49+$AK$1&lt;=Data!$H$4-0.5,AVERAGE(AP48:AP52),AQ49)</f>
        <v>11064.385714285707</v>
      </c>
      <c r="AR50">
        <f>IF($AK49+$AK$1&lt;=Data!$H$4-0.5,SLOPE($AN46:$AN54,$AK46:$AK54),AR49)</f>
        <v>-80.533333333333218</v>
      </c>
      <c r="AS50">
        <f>IF($AK49+$AK$1&lt;=Data!$H$4-0.5,SLOPE($AQ46:$AQ54,$AK46:$AK54),AS49)</f>
        <v>-82.738492063493482</v>
      </c>
      <c r="AT50" t="str">
        <f>IF(AND($AK50&gt;=Results!$G$13,$AK50&lt;=Results!$G$14),Curves!AR50,"")</f>
        <v/>
      </c>
      <c r="AU50" t="str">
        <f>IF(AND($AK50&gt;=Results!$G$13,$AK50&lt;=Results!$G$14),Curves!AS50,"")</f>
        <v/>
      </c>
      <c r="AV50" t="str">
        <f t="shared" si="29"/>
        <v/>
      </c>
      <c r="AW50" t="str">
        <f>IF(AND($AK50&lt;=Results!$I$21,$AK50&gt;=Results!$I$20,$AK50&lt;=Results!$F$4),$AN50,"")</f>
        <v/>
      </c>
      <c r="AX50" t="str">
        <f t="shared" si="29"/>
        <v/>
      </c>
      <c r="AY50" t="str">
        <f>IF(AND($AK50&lt;=Results!$I$23,$AK50&gt;=Results!$I$22,$AK50&gt;=Results!$F$4),$AN50,"")</f>
        <v/>
      </c>
      <c r="AZ50" t="str">
        <f t="shared" si="0"/>
        <v/>
      </c>
      <c r="BA50" t="str">
        <f>IF(AND($AK50&lt;=Results!$I$27,$AK50&gt;=Results!$I$26,$AK50&lt;=Results!$F$4),$AQ50,"")</f>
        <v/>
      </c>
      <c r="BB50" t="str">
        <f t="shared" si="1"/>
        <v/>
      </c>
      <c r="BC50" t="str">
        <f>IF(AND($AK50&lt;=Results!$I$29,$AK50&gt;=Results!$I$28,$AK50&gt;=Results!$F$4),$AQ50,"")</f>
        <v/>
      </c>
      <c r="BD50">
        <f t="shared" si="2"/>
        <v>11549.70967122854</v>
      </c>
      <c r="BE50">
        <f t="shared" si="3"/>
        <v>2486.9039746429412</v>
      </c>
      <c r="BF50">
        <f t="shared" si="30"/>
        <v>11012.833240816313</v>
      </c>
      <c r="BG50">
        <f t="shared" si="4"/>
        <v>1374.6523512430654</v>
      </c>
      <c r="BH50">
        <f t="shared" si="5"/>
        <v>0</v>
      </c>
      <c r="BI50">
        <f t="shared" si="6"/>
        <v>1.0099921589924672</v>
      </c>
      <c r="BJ50">
        <f t="shared" si="7"/>
        <v>1.0053487762950335</v>
      </c>
      <c r="BK50">
        <f t="shared" si="8"/>
        <v>3.1314615480559473E-3</v>
      </c>
      <c r="BL50">
        <f t="shared" si="9"/>
        <v>-9.3818125966869991E-4</v>
      </c>
      <c r="BM50">
        <f t="shared" si="31"/>
        <v>120.00000000000055</v>
      </c>
      <c r="BN50">
        <f t="shared" si="32"/>
        <v>-120.00000000000739</v>
      </c>
      <c r="BO50">
        <f>Data!$H$2*(1-BI50)*(1-BI50/Data!$H$3)*BM50</f>
        <v>2.3962377919378426E-8</v>
      </c>
      <c r="BP50">
        <f t="shared" si="10"/>
        <v>-121.19905907909663</v>
      </c>
      <c r="BQ50">
        <f>Data!$H$2*(1-BJ50)*(1-BJ50/Data!$H$3)*BN50</f>
        <v>-6.8662578850353667E-9</v>
      </c>
      <c r="BR50">
        <f t="shared" si="11"/>
        <v>120.64185315541145</v>
      </c>
      <c r="BS50">
        <f t="shared" si="33"/>
        <v>0</v>
      </c>
      <c r="BT50">
        <f t="shared" si="12"/>
        <v>0</v>
      </c>
      <c r="BU50">
        <f t="shared" si="13"/>
        <v>0</v>
      </c>
      <c r="BV50">
        <f t="shared" si="14"/>
        <v>0</v>
      </c>
      <c r="BW50">
        <f t="shared" si="34"/>
        <v>0</v>
      </c>
      <c r="BX50" t="str">
        <f t="shared" si="35"/>
        <v/>
      </c>
      <c r="BY50" s="66" t="str">
        <f t="shared" si="15"/>
        <v/>
      </c>
      <c r="BZ50" t="str">
        <f t="shared" si="16"/>
        <v/>
      </c>
      <c r="CA50" s="67" t="str">
        <f t="shared" si="17"/>
        <v/>
      </c>
    </row>
    <row r="51" spans="1:79" x14ac:dyDescent="0.25">
      <c r="A51">
        <v>3841</v>
      </c>
      <c r="B51">
        <v>57</v>
      </c>
      <c r="C51">
        <v>5989</v>
      </c>
      <c r="D51" s="3">
        <f t="shared" si="48"/>
        <v>8.3333333333333332E-3</v>
      </c>
      <c r="E51" s="3">
        <f t="shared" si="48"/>
        <v>-5.68</v>
      </c>
      <c r="F51">
        <f>IF(A51&gt;0,IF(F50=1,1,IF(B51=Data!$H$4,1,0)),"")</f>
        <v>0</v>
      </c>
      <c r="G51">
        <v>3841</v>
      </c>
      <c r="H51">
        <v>57</v>
      </c>
      <c r="I51">
        <v>5989</v>
      </c>
      <c r="J51" s="3">
        <v>8.3333333333333332E-3</v>
      </c>
      <c r="K51" s="3">
        <v>-5.68</v>
      </c>
      <c r="O51" s="3"/>
      <c r="P51" s="3"/>
      <c r="Q51" t="str">
        <f t="shared" si="18"/>
        <v/>
      </c>
      <c r="R51" s="4">
        <f t="shared" si="19"/>
        <v>57</v>
      </c>
      <c r="S51">
        <f t="shared" si="36"/>
        <v>3841</v>
      </c>
      <c r="T51">
        <f t="shared" si="49"/>
        <v>5987.6666666666642</v>
      </c>
      <c r="U51" s="4">
        <f t="shared" si="20"/>
        <v>0</v>
      </c>
      <c r="V51" t="e">
        <f t="shared" si="37"/>
        <v>#DIV/0!</v>
      </c>
      <c r="W51" t="e">
        <f t="shared" si="38"/>
        <v>#DIV/0!</v>
      </c>
      <c r="X51" t="str">
        <f t="shared" si="39"/>
        <v/>
      </c>
      <c r="Y51" t="str">
        <f t="shared" si="40"/>
        <v/>
      </c>
      <c r="Z51" t="str">
        <f t="shared" si="41"/>
        <v/>
      </c>
      <c r="AA51" t="str">
        <f t="shared" si="21"/>
        <v/>
      </c>
      <c r="AB51" t="str">
        <f t="shared" si="42"/>
        <v/>
      </c>
      <c r="AC51" t="str">
        <f t="shared" si="43"/>
        <v/>
      </c>
      <c r="AD51" t="str">
        <f t="shared" si="44"/>
        <v/>
      </c>
      <c r="AE51" t="str">
        <f t="shared" si="45"/>
        <v/>
      </c>
      <c r="AF51" s="72">
        <f>IF(AF50+$AF$1&gt;ROUND(Data!$H$4,0),AF50,AF50+$AF$1)</f>
        <v>70</v>
      </c>
      <c r="AG51">
        <f t="shared" si="50"/>
        <v>5401</v>
      </c>
      <c r="AH51">
        <f t="shared" si="51"/>
        <v>1148</v>
      </c>
      <c r="AI51">
        <f t="shared" si="52"/>
        <v>5401</v>
      </c>
      <c r="AJ51" s="67">
        <f t="shared" si="53"/>
        <v>1151</v>
      </c>
      <c r="AK51" s="4">
        <f t="shared" si="46"/>
        <v>29.90000000000007</v>
      </c>
      <c r="AL51">
        <f t="shared" si="26"/>
        <v>589.00000000000841</v>
      </c>
      <c r="AM51">
        <f t="shared" si="27"/>
        <v>11632.299999999996</v>
      </c>
      <c r="AN51">
        <f>IF($AK50+$AK$1&lt;=Data!$H$4-0.5,AVERAGE(AM49:AM53),AN50)</f>
        <v>11632.219999999996</v>
      </c>
      <c r="AO51">
        <f t="shared" si="28"/>
        <v>10272.999999999991</v>
      </c>
      <c r="AP51">
        <f t="shared" si="47"/>
        <v>11056.192857142851</v>
      </c>
      <c r="AQ51">
        <f>IF($AK50+$AK$1&lt;=Data!$H$4-0.5,AVERAGE(AP49:AP53),AQ50)</f>
        <v>11056.118095238089</v>
      </c>
      <c r="AR51">
        <f>IF($AK50+$AK$1&lt;=Data!$H$4-0.5,SLOPE($AN47:$AN55,$AK47:$AK55),AR50)</f>
        <v>-81.066666666666052</v>
      </c>
      <c r="AS51">
        <f>IF($AK50+$AK$1&lt;=Data!$H$4-0.5,SLOPE($AQ47:$AQ55,$AK47:$AK55),AS50)</f>
        <v>-83.236904761904668</v>
      </c>
      <c r="AT51" t="str">
        <f>IF(AND($AK51&gt;=Results!$G$13,$AK51&lt;=Results!$G$14),Curves!AR51,"")</f>
        <v/>
      </c>
      <c r="AU51" t="str">
        <f>IF(AND($AK51&gt;=Results!$G$13,$AK51&lt;=Results!$G$14),Curves!AS51,"")</f>
        <v/>
      </c>
      <c r="AV51" t="str">
        <f t="shared" si="29"/>
        <v/>
      </c>
      <c r="AW51" t="str">
        <f>IF(AND($AK51&lt;=Results!$I$21,$AK51&gt;=Results!$I$20,$AK51&lt;=Results!$F$4),$AN51,"")</f>
        <v/>
      </c>
      <c r="AX51" t="str">
        <f t="shared" si="29"/>
        <v/>
      </c>
      <c r="AY51" t="str">
        <f>IF(AND($AK51&lt;=Results!$I$23,$AK51&gt;=Results!$I$22,$AK51&gt;=Results!$F$4),$AN51,"")</f>
        <v/>
      </c>
      <c r="AZ51" t="str">
        <f t="shared" si="0"/>
        <v/>
      </c>
      <c r="BA51" t="str">
        <f>IF(AND($AK51&lt;=Results!$I$27,$AK51&gt;=Results!$I$26,$AK51&lt;=Results!$F$4),$AQ51,"")</f>
        <v/>
      </c>
      <c r="BB51" t="str">
        <f t="shared" si="1"/>
        <v/>
      </c>
      <c r="BC51" t="str">
        <f>IF(AND($AK51&lt;=Results!$I$29,$AK51&gt;=Results!$I$28,$AK51&gt;=Results!$F$4),$AQ51,"")</f>
        <v/>
      </c>
      <c r="BD51">
        <f t="shared" si="2"/>
        <v>11538.93947643062</v>
      </c>
      <c r="BE51">
        <f t="shared" si="3"/>
        <v>2483.5881853936203</v>
      </c>
      <c r="BF51">
        <f t="shared" si="30"/>
        <v>11005.543258583421</v>
      </c>
      <c r="BG51">
        <f t="shared" si="4"/>
        <v>1374.1015502835403</v>
      </c>
      <c r="BH51">
        <f t="shared" si="5"/>
        <v>0</v>
      </c>
      <c r="BI51">
        <f t="shared" si="6"/>
        <v>1.0103011490743274</v>
      </c>
      <c r="BJ51">
        <f t="shared" si="7"/>
        <v>1.0052510141457935</v>
      </c>
      <c r="BK51">
        <f t="shared" si="8"/>
        <v>3.0482373656503651E-3</v>
      </c>
      <c r="BL51">
        <f t="shared" si="9"/>
        <v>-1.0171445728468368E-3</v>
      </c>
      <c r="BM51">
        <f t="shared" si="31"/>
        <v>120</v>
      </c>
      <c r="BN51">
        <f t="shared" si="32"/>
        <v>-120.00000000000742</v>
      </c>
      <c r="BO51">
        <f>Data!$H$2*(1-BI51)*(1-BI51/Data!$H$3)*BM51</f>
        <v>2.5467281340364109E-8</v>
      </c>
      <c r="BP51">
        <f t="shared" si="10"/>
        <v>-121.23613788891929</v>
      </c>
      <c r="BQ51">
        <f>Data!$H$2*(1-BJ51)*(1-BJ51/Data!$H$3)*BN51</f>
        <v>-6.6175558942381411E-9</v>
      </c>
      <c r="BR51">
        <f t="shared" si="11"/>
        <v>120.63012169750269</v>
      </c>
      <c r="BS51">
        <f t="shared" si="33"/>
        <v>0</v>
      </c>
      <c r="BT51">
        <f t="shared" si="12"/>
        <v>0</v>
      </c>
      <c r="BU51">
        <f t="shared" si="13"/>
        <v>0</v>
      </c>
      <c r="BV51">
        <f t="shared" si="14"/>
        <v>0</v>
      </c>
      <c r="BW51">
        <f t="shared" si="34"/>
        <v>0</v>
      </c>
      <c r="BX51" t="str">
        <f t="shared" si="35"/>
        <v/>
      </c>
      <c r="BY51" s="66" t="str">
        <f t="shared" si="15"/>
        <v/>
      </c>
      <c r="BZ51" t="str">
        <f t="shared" si="16"/>
        <v/>
      </c>
      <c r="CA51" s="67" t="str">
        <f t="shared" si="17"/>
        <v/>
      </c>
    </row>
    <row r="52" spans="1:79" x14ac:dyDescent="0.25">
      <c r="A52">
        <v>3901</v>
      </c>
      <c r="B52">
        <v>57.5</v>
      </c>
      <c r="C52">
        <v>5646</v>
      </c>
      <c r="D52" s="3">
        <f t="shared" si="48"/>
        <v>8.3333333333333332E-3</v>
      </c>
      <c r="E52" s="3">
        <f t="shared" si="48"/>
        <v>-5.7149999999999999</v>
      </c>
      <c r="F52">
        <f>IF(A52&gt;0,IF(F51=1,1,IF(B52=Data!$H$4,1,0)),"")</f>
        <v>0</v>
      </c>
      <c r="G52">
        <v>3901</v>
      </c>
      <c r="H52">
        <v>57.5</v>
      </c>
      <c r="I52">
        <v>5646</v>
      </c>
      <c r="J52" s="3">
        <v>8.3333333333333332E-3</v>
      </c>
      <c r="K52" s="3">
        <v>-5.7149999999999999</v>
      </c>
      <c r="O52" s="3"/>
      <c r="P52" s="3"/>
      <c r="Q52" t="str">
        <f t="shared" si="18"/>
        <v/>
      </c>
      <c r="R52" s="4">
        <f t="shared" si="19"/>
        <v>58</v>
      </c>
      <c r="S52">
        <f t="shared" si="36"/>
        <v>3961</v>
      </c>
      <c r="T52">
        <f t="shared" si="49"/>
        <v>5303.8333333333358</v>
      </c>
      <c r="U52" s="4">
        <f t="shared" si="20"/>
        <v>0</v>
      </c>
      <c r="V52" t="e">
        <f t="shared" si="37"/>
        <v>#DIV/0!</v>
      </c>
      <c r="W52" t="e">
        <f t="shared" si="38"/>
        <v>#DIV/0!</v>
      </c>
      <c r="X52" t="str">
        <f t="shared" si="39"/>
        <v/>
      </c>
      <c r="Y52" t="str">
        <f t="shared" si="40"/>
        <v/>
      </c>
      <c r="Z52" t="str">
        <f t="shared" si="41"/>
        <v/>
      </c>
      <c r="AA52" t="str">
        <f t="shared" si="21"/>
        <v/>
      </c>
      <c r="AB52" t="str">
        <f t="shared" si="42"/>
        <v/>
      </c>
      <c r="AC52" t="str">
        <f t="shared" si="43"/>
        <v/>
      </c>
      <c r="AD52" t="str">
        <f t="shared" si="44"/>
        <v/>
      </c>
      <c r="AE52" t="str">
        <f t="shared" si="45"/>
        <v/>
      </c>
      <c r="AF52" s="72">
        <f>IF(AF51+$AF$1&gt;ROUND(Data!$H$4,0),AF51,AF51+$AF$1)</f>
        <v>70</v>
      </c>
      <c r="AG52">
        <f>IF(MATCH(AF52,$AA$3:$AA$1010,0)&lt;898,AVERAGE(AG51,AG53),VLOOKUP(AF52,$R$2:$T$301,2,FALSE))</f>
        <v>5401</v>
      </c>
      <c r="AH52">
        <f>IF(MATCH(AF52,$AA$3:$AA$1010,0)&lt;898,AVERAGE(AH51,AH53),VLOOKUP(AF52,$R$2:$T$301,3,FALSE))</f>
        <v>1148</v>
      </c>
      <c r="AI52">
        <f>IF(MATCH(AF52,$AE$3:$AE$1010,0)&lt;898,AVERAGE(AI51,AI53),VLOOKUP(AF52,$U$2:$W$301,2,FALSE))</f>
        <v>5401</v>
      </c>
      <c r="AJ52" s="67">
        <f>IF(MATCH(AF52,$AE$3:$AE$1010,0)&lt;898,AVERAGE(AJ51,AJ53),VLOOKUP(AF52,$U$2:$W$301,3,FALSE))</f>
        <v>1151</v>
      </c>
      <c r="AK52" s="4">
        <f t="shared" si="46"/>
        <v>30.000000000000071</v>
      </c>
      <c r="AL52">
        <f t="shared" si="26"/>
        <v>601.00000000000853</v>
      </c>
      <c r="AM52">
        <f t="shared" si="27"/>
        <v>11624.333333333328</v>
      </c>
      <c r="AN52">
        <f>IF($AK51+$AK$1&lt;=Data!$H$4-0.5,AVERAGE(AM50:AM54),AN51)</f>
        <v>11624.093333333329</v>
      </c>
      <c r="AO52">
        <f t="shared" si="28"/>
        <v>10260.999999999991</v>
      </c>
      <c r="AP52">
        <f t="shared" si="47"/>
        <v>11047.999999999995</v>
      </c>
      <c r="AQ52">
        <f>IF($AK51+$AK$1&lt;=Data!$H$4-0.5,AVERAGE(AP50:AP54),AQ51)</f>
        <v>11047.775714285708</v>
      </c>
      <c r="AR52">
        <f>IF($AK51+$AK$1&lt;=Data!$H$4-0.5,SLOPE($AN48:$AN56,$AK48:$AK56),AR51)</f>
        <v>-81.666666666667012</v>
      </c>
      <c r="AS52">
        <f>IF($AK51+$AK$1&lt;=Data!$H$4-0.5,SLOPE($AQ48:$AQ56,$AK48:$AK56),AS51)</f>
        <v>-83.797619047618369</v>
      </c>
      <c r="AT52" t="str">
        <f>IF(AND($AK52&gt;=Results!$G$13,$AK52&lt;=Results!$G$14),Curves!AR52,"")</f>
        <v/>
      </c>
      <c r="AU52" t="str">
        <f>IF(AND($AK52&gt;=Results!$G$13,$AK52&lt;=Results!$G$14),Curves!AS52,"")</f>
        <v/>
      </c>
      <c r="AV52" t="str">
        <f t="shared" si="29"/>
        <v/>
      </c>
      <c r="AW52" t="str">
        <f>IF(AND($AK52&lt;=Results!$I$21,$AK52&gt;=Results!$I$20,$AK52&lt;=Results!$F$4),$AN52,"")</f>
        <v/>
      </c>
      <c r="AX52" t="str">
        <f t="shared" si="29"/>
        <v/>
      </c>
      <c r="AY52" t="str">
        <f>IF(AND($AK52&lt;=Results!$I$23,$AK52&gt;=Results!$I$22,$AK52&gt;=Results!$F$4),$AN52,"")</f>
        <v/>
      </c>
      <c r="AZ52" t="str">
        <f t="shared" si="0"/>
        <v/>
      </c>
      <c r="BA52" t="str">
        <f>IF(AND($AK52&lt;=Results!$I$27,$AK52&gt;=Results!$I$26,$AK52&lt;=Results!$F$4),$AQ52,"")</f>
        <v/>
      </c>
      <c r="BB52" t="str">
        <f t="shared" si="1"/>
        <v/>
      </c>
      <c r="BC52" t="str">
        <f>IF(AND($AK52&lt;=Results!$I$29,$AK52&gt;=Results!$I$28,$AK52&gt;=Results!$F$4),$AQ52,"")</f>
        <v/>
      </c>
      <c r="BD52">
        <f t="shared" si="2"/>
        <v>11528.169281632699</v>
      </c>
      <c r="BE52">
        <f t="shared" si="3"/>
        <v>2480.2723961442994</v>
      </c>
      <c r="BF52">
        <f t="shared" si="30"/>
        <v>10998.253276350526</v>
      </c>
      <c r="BG52">
        <f t="shared" si="4"/>
        <v>1373.5507493240154</v>
      </c>
      <c r="BH52">
        <f t="shared" si="5"/>
        <v>0</v>
      </c>
      <c r="BI52">
        <f t="shared" si="6"/>
        <v>1.0106018064655973</v>
      </c>
      <c r="BJ52">
        <f t="shared" si="7"/>
        <v>1.0051453473804641</v>
      </c>
      <c r="BK52">
        <f t="shared" si="8"/>
        <v>2.9648073974441599E-3</v>
      </c>
      <c r="BL52">
        <f t="shared" si="9"/>
        <v>-1.0962738136621585E-3</v>
      </c>
      <c r="BM52">
        <f t="shared" si="31"/>
        <v>119.99999999999942</v>
      </c>
      <c r="BN52">
        <f t="shared" si="32"/>
        <v>-119.99999999999829</v>
      </c>
      <c r="BO52">
        <f>Data!$H$2*(1-BI52)*(1-BI52/Data!$H$3)*BM52</f>
        <v>2.697559208015511E-8</v>
      </c>
      <c r="BP52">
        <f t="shared" si="10"/>
        <v>-121.27221677587109</v>
      </c>
      <c r="BQ52">
        <f>Data!$H$2*(1-BJ52)*(1-BJ52/Data!$H$3)*BN52</f>
        <v>-6.3539039197556821E-9</v>
      </c>
      <c r="BR52">
        <f t="shared" si="11"/>
        <v>120.61744168565399</v>
      </c>
      <c r="BS52">
        <f t="shared" si="33"/>
        <v>0</v>
      </c>
      <c r="BT52">
        <f t="shared" si="12"/>
        <v>0</v>
      </c>
      <c r="BU52">
        <f t="shared" si="13"/>
        <v>0</v>
      </c>
      <c r="BV52">
        <f t="shared" si="14"/>
        <v>0</v>
      </c>
      <c r="BW52">
        <f t="shared" si="34"/>
        <v>0</v>
      </c>
      <c r="BX52" t="str">
        <f t="shared" si="35"/>
        <v/>
      </c>
      <c r="BY52" s="66" t="str">
        <f t="shared" si="15"/>
        <v/>
      </c>
      <c r="BZ52" t="str">
        <f t="shared" si="16"/>
        <v/>
      </c>
      <c r="CA52" s="67" t="str">
        <f t="shared" si="17"/>
        <v/>
      </c>
    </row>
    <row r="53" spans="1:79" x14ac:dyDescent="0.25">
      <c r="A53">
        <v>3961</v>
      </c>
      <c r="B53">
        <v>58</v>
      </c>
      <c r="C53">
        <v>5304</v>
      </c>
      <c r="D53" s="3">
        <f t="shared" si="48"/>
        <v>8.3333333333333332E-3</v>
      </c>
      <c r="E53" s="3">
        <f t="shared" si="48"/>
        <v>-5.753333333333333</v>
      </c>
      <c r="F53">
        <f>IF(A53&gt;0,IF(F52=1,1,IF(B53=Data!$H$4,1,0)),"")</f>
        <v>0</v>
      </c>
      <c r="G53">
        <v>3961</v>
      </c>
      <c r="H53">
        <v>58</v>
      </c>
      <c r="I53">
        <v>5304</v>
      </c>
      <c r="J53" s="3">
        <v>8.3333333333333332E-3</v>
      </c>
      <c r="K53" s="3">
        <v>-5.753333333333333</v>
      </c>
      <c r="O53" s="3"/>
      <c r="P53" s="3"/>
      <c r="Q53">
        <f t="shared" si="18"/>
        <v>58</v>
      </c>
      <c r="R53" s="4">
        <f t="shared" si="19"/>
        <v>58</v>
      </c>
      <c r="S53">
        <f t="shared" si="36"/>
        <v>3961</v>
      </c>
      <c r="T53">
        <f t="shared" si="49"/>
        <v>5302</v>
      </c>
      <c r="U53" s="4">
        <f t="shared" si="20"/>
        <v>0</v>
      </c>
      <c r="V53" t="e">
        <f t="shared" si="37"/>
        <v>#DIV/0!</v>
      </c>
      <c r="W53" t="e">
        <f t="shared" si="38"/>
        <v>#DIV/0!</v>
      </c>
      <c r="X53" t="str">
        <f t="shared" si="39"/>
        <v/>
      </c>
      <c r="Y53" t="str">
        <f t="shared" si="40"/>
        <v/>
      </c>
      <c r="Z53" t="str">
        <f t="shared" si="41"/>
        <v/>
      </c>
      <c r="AA53" t="str">
        <f t="shared" si="21"/>
        <v/>
      </c>
      <c r="AB53" t="str">
        <f t="shared" si="42"/>
        <v/>
      </c>
      <c r="AC53" t="str">
        <f t="shared" si="43"/>
        <v/>
      </c>
      <c r="AD53" t="str">
        <f t="shared" si="44"/>
        <v/>
      </c>
      <c r="AE53" t="str">
        <f t="shared" si="45"/>
        <v/>
      </c>
      <c r="AF53" s="72">
        <f>IF(AF52+$AF$1&gt;ROUND(Data!$H$4,0),AF52,AF52+$AF$1)</f>
        <v>70</v>
      </c>
      <c r="AG53">
        <f t="shared" si="50"/>
        <v>5401</v>
      </c>
      <c r="AH53">
        <f t="shared" si="51"/>
        <v>1148</v>
      </c>
      <c r="AI53">
        <f t="shared" si="52"/>
        <v>5401</v>
      </c>
      <c r="AJ53" s="67">
        <f t="shared" si="53"/>
        <v>1151</v>
      </c>
      <c r="AK53" s="4">
        <f t="shared" si="46"/>
        <v>30.100000000000072</v>
      </c>
      <c r="AL53">
        <f t="shared" si="26"/>
        <v>613.00000000000864</v>
      </c>
      <c r="AM53">
        <f t="shared" si="27"/>
        <v>11615.966666666662</v>
      </c>
      <c r="AN53">
        <f>IF($AK52+$AK$1&lt;=Data!$H$4-0.5,AVERAGE(AM51:AM55),AN52)</f>
        <v>11615.886666666662</v>
      </c>
      <c r="AO53">
        <f t="shared" si="28"/>
        <v>10248.999999999991</v>
      </c>
      <c r="AP53">
        <f t="shared" si="47"/>
        <v>11039.433333333327</v>
      </c>
      <c r="AQ53">
        <f>IF($AK52+$AK$1&lt;=Data!$H$4-0.5,AVERAGE(AP51:AP55),AQ52)</f>
        <v>11039.358571428565</v>
      </c>
      <c r="AR53">
        <f>IF($AK52+$AK$1&lt;=Data!$H$4-0.5,SLOPE($AN49:$AN57,$AK49:$AK57),AR52)</f>
        <v>-82.266666666669195</v>
      </c>
      <c r="AS53">
        <f>IF($AK52+$AK$1&lt;=Data!$H$4-0.5,SLOPE($AQ49:$AQ57,$AK49:$AK57),AS52)</f>
        <v>-84.358333333331771</v>
      </c>
      <c r="AT53" t="str">
        <f>IF(AND($AK53&gt;=Results!$G$13,$AK53&lt;=Results!$G$14),Curves!AR53,"")</f>
        <v/>
      </c>
      <c r="AU53" t="str">
        <f>IF(AND($AK53&gt;=Results!$G$13,$AK53&lt;=Results!$G$14),Curves!AS53,"")</f>
        <v/>
      </c>
      <c r="AV53" t="str">
        <f t="shared" si="29"/>
        <v/>
      </c>
      <c r="AW53" t="str">
        <f>IF(AND($AK53&lt;=Results!$I$21,$AK53&gt;=Results!$I$20,$AK53&lt;=Results!$F$4),$AN53,"")</f>
        <v/>
      </c>
      <c r="AX53" t="str">
        <f t="shared" si="29"/>
        <v/>
      </c>
      <c r="AY53" t="str">
        <f>IF(AND($AK53&lt;=Results!$I$23,$AK53&gt;=Results!$I$22,$AK53&gt;=Results!$F$4),$AN53,"")</f>
        <v/>
      </c>
      <c r="AZ53" t="str">
        <f t="shared" si="0"/>
        <v/>
      </c>
      <c r="BA53" t="str">
        <f>IF(AND($AK53&lt;=Results!$I$27,$AK53&gt;=Results!$I$26,$AK53&lt;=Results!$F$4),$AQ53,"")</f>
        <v/>
      </c>
      <c r="BB53" t="str">
        <f t="shared" si="1"/>
        <v/>
      </c>
      <c r="BC53" t="str">
        <f>IF(AND($AK53&lt;=Results!$I$29,$AK53&gt;=Results!$I$28,$AK53&gt;=Results!$F$4),$AQ53,"")</f>
        <v/>
      </c>
      <c r="BD53">
        <f t="shared" si="2"/>
        <v>11517.399086834781</v>
      </c>
      <c r="BE53">
        <f t="shared" si="3"/>
        <v>2476.9566068949789</v>
      </c>
      <c r="BF53">
        <f t="shared" si="30"/>
        <v>10990.963294117633</v>
      </c>
      <c r="BG53">
        <f t="shared" si="4"/>
        <v>1372.9999483644904</v>
      </c>
      <c r="BH53">
        <f t="shared" si="5"/>
        <v>0</v>
      </c>
      <c r="BI53">
        <f t="shared" si="6"/>
        <v>1.0108941105538163</v>
      </c>
      <c r="BJ53">
        <f t="shared" si="7"/>
        <v>1.0050317593830611</v>
      </c>
      <c r="BK53">
        <f t="shared" si="8"/>
        <v>2.8811709644271525E-3</v>
      </c>
      <c r="BL53">
        <f t="shared" si="9"/>
        <v>-1.1755694473303104E-3</v>
      </c>
      <c r="BM53">
        <f t="shared" si="31"/>
        <v>120</v>
      </c>
      <c r="BN53">
        <f t="shared" si="32"/>
        <v>-119.99999999999831</v>
      </c>
      <c r="BO53">
        <f>Data!$H$2*(1-BI53)*(1-BI53/Data!$H$3)*BM53</f>
        <v>2.8483594742105115E-8</v>
      </c>
      <c r="BP53">
        <f t="shared" si="10"/>
        <v>-121.30729326645795</v>
      </c>
      <c r="BQ53">
        <f>Data!$H$2*(1-BJ53)*(1-BJ53/Data!$H$3)*BN53</f>
        <v>-6.0764645973655531E-9</v>
      </c>
      <c r="BR53">
        <f t="shared" si="11"/>
        <v>120.60381112596563</v>
      </c>
      <c r="BS53">
        <f t="shared" si="33"/>
        <v>0</v>
      </c>
      <c r="BT53">
        <f t="shared" si="12"/>
        <v>0</v>
      </c>
      <c r="BU53">
        <f t="shared" si="13"/>
        <v>0</v>
      </c>
      <c r="BV53">
        <f t="shared" si="14"/>
        <v>0</v>
      </c>
      <c r="BW53">
        <f t="shared" si="34"/>
        <v>0</v>
      </c>
      <c r="BX53" t="str">
        <f t="shared" si="35"/>
        <v/>
      </c>
      <c r="BY53" s="66" t="str">
        <f t="shared" si="15"/>
        <v/>
      </c>
      <c r="BZ53" t="str">
        <f t="shared" si="16"/>
        <v/>
      </c>
      <c r="CA53" s="67" t="str">
        <f t="shared" si="17"/>
        <v/>
      </c>
    </row>
    <row r="54" spans="1:79" x14ac:dyDescent="0.25">
      <c r="A54">
        <v>4021</v>
      </c>
      <c r="B54">
        <v>58.5</v>
      </c>
      <c r="C54">
        <v>4956</v>
      </c>
      <c r="D54" s="3">
        <f t="shared" si="48"/>
        <v>8.3333333333333332E-3</v>
      </c>
      <c r="E54" s="3">
        <f t="shared" si="48"/>
        <v>-5.746666666666667</v>
      </c>
      <c r="F54">
        <f>IF(A54&gt;0,IF(F53=1,1,IF(B54=Data!$H$4,1,0)),"")</f>
        <v>0</v>
      </c>
      <c r="G54">
        <v>4021</v>
      </c>
      <c r="H54">
        <v>58.5</v>
      </c>
      <c r="I54">
        <v>4956</v>
      </c>
      <c r="J54" s="3">
        <v>8.3333333333333332E-3</v>
      </c>
      <c r="K54" s="3">
        <v>-5.746666666666667</v>
      </c>
      <c r="O54" s="3"/>
      <c r="P54" s="3"/>
      <c r="Q54" t="str">
        <f t="shared" si="18"/>
        <v/>
      </c>
      <c r="R54" s="4">
        <f t="shared" si="19"/>
        <v>59</v>
      </c>
      <c r="S54">
        <f t="shared" si="36"/>
        <v>4081</v>
      </c>
      <c r="T54">
        <f t="shared" si="49"/>
        <v>4608</v>
      </c>
      <c r="U54" s="4">
        <f t="shared" si="20"/>
        <v>0</v>
      </c>
      <c r="V54" t="e">
        <f t="shared" si="37"/>
        <v>#DIV/0!</v>
      </c>
      <c r="W54" t="e">
        <f t="shared" si="38"/>
        <v>#DIV/0!</v>
      </c>
      <c r="X54" t="str">
        <f t="shared" si="39"/>
        <v/>
      </c>
      <c r="Y54" t="str">
        <f t="shared" si="40"/>
        <v/>
      </c>
      <c r="Z54" t="str">
        <f t="shared" si="41"/>
        <v/>
      </c>
      <c r="AA54" t="str">
        <f t="shared" si="21"/>
        <v/>
      </c>
      <c r="AB54" t="str">
        <f t="shared" si="42"/>
        <v/>
      </c>
      <c r="AC54" t="str">
        <f t="shared" si="43"/>
        <v/>
      </c>
      <c r="AD54" t="str">
        <f t="shared" si="44"/>
        <v/>
      </c>
      <c r="AE54" t="str">
        <f t="shared" si="45"/>
        <v/>
      </c>
      <c r="AF54" s="72">
        <f>IF(AF53+$AF$1&gt;ROUND(Data!$H$4,0),AF53,AF53+$AF$1)</f>
        <v>70</v>
      </c>
      <c r="AG54">
        <f>IF(MATCH(AF54,$AA$3:$AA$1010,0)&lt;898,AVERAGE(AG53,AG55),VLOOKUP(AF54,$R$2:$T$301,2,FALSE))</f>
        <v>5401</v>
      </c>
      <c r="AH54">
        <f>IF(MATCH(AF54,$AA$3:$AA$1010,0)&lt;898,AVERAGE(AH53,AH55),VLOOKUP(AF54,$R$2:$T$301,3,FALSE))</f>
        <v>1148</v>
      </c>
      <c r="AI54">
        <f>IF(MATCH(AF54,$AE$3:$AE$1010,0)&lt;898,AVERAGE(AI53,AI55),VLOOKUP(AF54,$U$2:$W$301,2,FALSE))</f>
        <v>5401</v>
      </c>
      <c r="AJ54" s="67">
        <f>IF(MATCH(AF54,$AE$3:$AE$1010,0)&lt;898,AVERAGE(AJ53,AJ55),VLOOKUP(AF54,$U$2:$W$301,3,FALSE))</f>
        <v>1151</v>
      </c>
      <c r="AK54" s="4">
        <f t="shared" si="46"/>
        <v>30.200000000000074</v>
      </c>
      <c r="AL54">
        <f t="shared" si="26"/>
        <v>625.00000000000887</v>
      </c>
      <c r="AM54">
        <f t="shared" si="27"/>
        <v>11607.599999999995</v>
      </c>
      <c r="AN54">
        <f>IF($AK53+$AK$1&lt;=Data!$H$4-0.5,AVERAGE(AM52:AM56),AN53)</f>
        <v>11607.599999999995</v>
      </c>
      <c r="AO54">
        <f t="shared" si="28"/>
        <v>10236.999999999991</v>
      </c>
      <c r="AP54">
        <f t="shared" si="47"/>
        <v>11030.866666666661</v>
      </c>
      <c r="AQ54">
        <f>IF($AK53+$AK$1&lt;=Data!$H$4-0.5,AVERAGE(AP52:AP56),AQ53)</f>
        <v>11030.86666666666</v>
      </c>
      <c r="AR54">
        <f>IF($AK53+$AK$1&lt;=Data!$H$4-0.5,SLOPE($AN50:$AN58,$AK50:$AK58),AR53)</f>
        <v>-82.800000000003251</v>
      </c>
      <c r="AS54">
        <f>IF($AK53+$AK$1&lt;=Data!$H$4-0.5,SLOPE($AQ50:$AQ58,$AK50:$AK58),AS53)</f>
        <v>-84.856746031744777</v>
      </c>
      <c r="AT54" t="str">
        <f>IF(AND($AK54&gt;=Results!$G$13,$AK54&lt;=Results!$G$14),Curves!AR54,"")</f>
        <v/>
      </c>
      <c r="AU54" t="str">
        <f>IF(AND($AK54&gt;=Results!$G$13,$AK54&lt;=Results!$G$14),Curves!AS54,"")</f>
        <v/>
      </c>
      <c r="AV54" t="str">
        <f t="shared" si="29"/>
        <v/>
      </c>
      <c r="AW54" t="str">
        <f>IF(AND($AK54&lt;=Results!$I$21,$AK54&gt;=Results!$I$20,$AK54&lt;=Results!$F$4),$AN54,"")</f>
        <v/>
      </c>
      <c r="AX54" t="str">
        <f t="shared" si="29"/>
        <v/>
      </c>
      <c r="AY54" t="str">
        <f>IF(AND($AK54&lt;=Results!$I$23,$AK54&gt;=Results!$I$22,$AK54&gt;=Results!$F$4),$AN54,"")</f>
        <v/>
      </c>
      <c r="AZ54" t="str">
        <f t="shared" si="0"/>
        <v/>
      </c>
      <c r="BA54" t="str">
        <f>IF(AND($AK54&lt;=Results!$I$27,$AK54&gt;=Results!$I$26,$AK54&lt;=Results!$F$4),$AQ54,"")</f>
        <v/>
      </c>
      <c r="BB54" t="str">
        <f t="shared" si="1"/>
        <v/>
      </c>
      <c r="BC54" t="str">
        <f>IF(AND($AK54&lt;=Results!$I$29,$AK54&gt;=Results!$I$28,$AK54&gt;=Results!$F$4),$AQ54,"")</f>
        <v/>
      </c>
      <c r="BD54">
        <f t="shared" si="2"/>
        <v>11506.628892036861</v>
      </c>
      <c r="BE54">
        <f t="shared" si="3"/>
        <v>2473.640817645658</v>
      </c>
      <c r="BF54">
        <f t="shared" si="30"/>
        <v>10983.673311884741</v>
      </c>
      <c r="BG54">
        <f t="shared" si="4"/>
        <v>1372.4491474049653</v>
      </c>
      <c r="BH54">
        <f t="shared" si="5"/>
        <v>0</v>
      </c>
      <c r="BI54">
        <f t="shared" si="6"/>
        <v>1.0111780406584827</v>
      </c>
      <c r="BJ54">
        <f t="shared" si="7"/>
        <v>1.0049102334909981</v>
      </c>
      <c r="BK54">
        <f t="shared" si="8"/>
        <v>2.7973273847814051E-3</v>
      </c>
      <c r="BL54">
        <f t="shared" si="9"/>
        <v>-1.2550319406967423E-3</v>
      </c>
      <c r="BM54">
        <f t="shared" si="31"/>
        <v>120.00000000000055</v>
      </c>
      <c r="BN54">
        <f t="shared" si="32"/>
        <v>-119.99999999999829</v>
      </c>
      <c r="BO54">
        <f>Data!$H$2*(1-BI54)*(1-BI54/Data!$H$3)*BM54</f>
        <v>2.9987662311046369E-8</v>
      </c>
      <c r="BP54">
        <f t="shared" si="10"/>
        <v>-121.34136487901849</v>
      </c>
      <c r="BQ54">
        <f>Data!$H$2*(1-BJ54)*(1-BJ54/Data!$H$3)*BN54</f>
        <v>-5.7864943046684801E-9</v>
      </c>
      <c r="BR54">
        <f t="shared" si="11"/>
        <v>120.58922801891805</v>
      </c>
      <c r="BS54">
        <f t="shared" si="33"/>
        <v>0</v>
      </c>
      <c r="BT54">
        <f t="shared" si="12"/>
        <v>0</v>
      </c>
      <c r="BU54">
        <f t="shared" si="13"/>
        <v>0</v>
      </c>
      <c r="BV54">
        <f t="shared" si="14"/>
        <v>0</v>
      </c>
      <c r="BW54">
        <f t="shared" si="34"/>
        <v>0</v>
      </c>
      <c r="BX54" t="str">
        <f t="shared" si="35"/>
        <v/>
      </c>
      <c r="BY54" s="66" t="str">
        <f t="shared" si="15"/>
        <v/>
      </c>
      <c r="BZ54" t="str">
        <f t="shared" si="16"/>
        <v/>
      </c>
      <c r="CA54" s="67" t="str">
        <f t="shared" si="17"/>
        <v/>
      </c>
    </row>
    <row r="55" spans="1:79" x14ac:dyDescent="0.25">
      <c r="A55">
        <v>4081</v>
      </c>
      <c r="B55">
        <v>59</v>
      </c>
      <c r="C55">
        <v>4608</v>
      </c>
      <c r="D55" s="3">
        <f t="shared" si="48"/>
        <v>8.3333333333333332E-3</v>
      </c>
      <c r="E55" s="3">
        <f t="shared" si="48"/>
        <v>-5.7033333333333331</v>
      </c>
      <c r="F55">
        <f>IF(A55&gt;0,IF(F54=1,1,IF(B55=Data!$H$4,1,0)),"")</f>
        <v>0</v>
      </c>
      <c r="G55">
        <v>4081</v>
      </c>
      <c r="H55">
        <v>59</v>
      </c>
      <c r="I55">
        <v>4608</v>
      </c>
      <c r="J55" s="3">
        <v>8.3333333333333332E-3</v>
      </c>
      <c r="K55" s="3">
        <v>-5.7033333333333331</v>
      </c>
      <c r="O55" s="3"/>
      <c r="P55" s="3"/>
      <c r="Q55" t="str">
        <f t="shared" si="18"/>
        <v/>
      </c>
      <c r="R55" s="4">
        <f t="shared" si="19"/>
        <v>59</v>
      </c>
      <c r="S55">
        <f t="shared" si="36"/>
        <v>4081</v>
      </c>
      <c r="T55">
        <f t="shared" si="49"/>
        <v>4611.3333333333358</v>
      </c>
      <c r="U55" s="4">
        <f t="shared" si="20"/>
        <v>0</v>
      </c>
      <c r="V55" t="e">
        <f t="shared" si="37"/>
        <v>#DIV/0!</v>
      </c>
      <c r="W55" t="e">
        <f t="shared" si="38"/>
        <v>#DIV/0!</v>
      </c>
      <c r="X55" t="str">
        <f t="shared" si="39"/>
        <v/>
      </c>
      <c r="Y55" t="str">
        <f t="shared" si="40"/>
        <v/>
      </c>
      <c r="Z55" t="str">
        <f t="shared" si="41"/>
        <v/>
      </c>
      <c r="AA55" t="str">
        <f t="shared" si="21"/>
        <v/>
      </c>
      <c r="AB55" t="str">
        <f t="shared" si="42"/>
        <v/>
      </c>
      <c r="AC55" t="str">
        <f t="shared" si="43"/>
        <v/>
      </c>
      <c r="AD55" t="str">
        <f t="shared" si="44"/>
        <v/>
      </c>
      <c r="AE55" t="str">
        <f t="shared" si="45"/>
        <v/>
      </c>
      <c r="AF55" s="72">
        <f>IF(AF54+$AF$1&gt;ROUND(Data!$H$4,0),AF54,AF54+$AF$1)</f>
        <v>70</v>
      </c>
      <c r="AG55">
        <f t="shared" si="50"/>
        <v>5401</v>
      </c>
      <c r="AH55">
        <f t="shared" si="51"/>
        <v>1148</v>
      </c>
      <c r="AI55">
        <f t="shared" si="52"/>
        <v>5401</v>
      </c>
      <c r="AJ55" s="67">
        <f t="shared" si="53"/>
        <v>1151</v>
      </c>
      <c r="AK55" s="4">
        <f t="shared" si="46"/>
        <v>30.300000000000075</v>
      </c>
      <c r="AL55">
        <f t="shared" si="26"/>
        <v>637.00000000000909</v>
      </c>
      <c r="AM55">
        <f t="shared" si="27"/>
        <v>11599.233333333328</v>
      </c>
      <c r="AN55">
        <f>IF($AK54+$AK$1&lt;=Data!$H$4-0.5,AVERAGE(AM53:AM57),AN54)</f>
        <v>11599.233333333328</v>
      </c>
      <c r="AO55">
        <f t="shared" si="28"/>
        <v>10224.999999999991</v>
      </c>
      <c r="AP55">
        <f t="shared" si="47"/>
        <v>11022.299999999994</v>
      </c>
      <c r="AQ55">
        <f>IF($AK54+$AK$1&lt;=Data!$H$4-0.5,AVERAGE(AP53:AP57),AQ54)</f>
        <v>11022.299999999994</v>
      </c>
      <c r="AR55">
        <f>IF($AK54+$AK$1&lt;=Data!$H$4-0.5,SLOPE($AN51:$AN59,$AK51:$AK59),AR54)</f>
        <v>-83.200000000004096</v>
      </c>
      <c r="AS55">
        <f>IF($AK54+$AK$1&lt;=Data!$H$4-0.5,SLOPE($AQ51:$AQ59,$AK51:$AK59),AS54)</f>
        <v>-85.230555555554631</v>
      </c>
      <c r="AT55" t="str">
        <f>IF(AND($AK55&gt;=Results!$G$13,$AK55&lt;=Results!$G$14),Curves!AR55,"")</f>
        <v/>
      </c>
      <c r="AU55" t="str">
        <f>IF(AND($AK55&gt;=Results!$G$13,$AK55&lt;=Results!$G$14),Curves!AS55,"")</f>
        <v/>
      </c>
      <c r="AV55" t="str">
        <f t="shared" si="29"/>
        <v/>
      </c>
      <c r="AW55" t="str">
        <f>IF(AND($AK55&lt;=Results!$I$21,$AK55&gt;=Results!$I$20,$AK55&lt;=Results!$F$4),$AN55,"")</f>
        <v/>
      </c>
      <c r="AX55" t="str">
        <f t="shared" si="29"/>
        <v/>
      </c>
      <c r="AY55" t="str">
        <f>IF(AND($AK55&lt;=Results!$I$23,$AK55&gt;=Results!$I$22,$AK55&gt;=Results!$F$4),$AN55,"")</f>
        <v/>
      </c>
      <c r="AZ55" t="str">
        <f t="shared" si="0"/>
        <v/>
      </c>
      <c r="BA55" t="str">
        <f>IF(AND($AK55&lt;=Results!$I$27,$AK55&gt;=Results!$I$26,$AK55&lt;=Results!$F$4),$AQ55,"")</f>
        <v/>
      </c>
      <c r="BB55" t="str">
        <f t="shared" si="1"/>
        <v/>
      </c>
      <c r="BC55" t="str">
        <f>IF(AND($AK55&lt;=Results!$I$29,$AK55&gt;=Results!$I$28,$AK55&gt;=Results!$F$4),$AQ55,"")</f>
        <v/>
      </c>
      <c r="BD55">
        <f t="shared" si="2"/>
        <v>11495.858697238942</v>
      </c>
      <c r="BE55">
        <f t="shared" si="3"/>
        <v>2470.3250283963371</v>
      </c>
      <c r="BF55">
        <f t="shared" si="30"/>
        <v>10976.383329651848</v>
      </c>
      <c r="BG55">
        <f t="shared" si="4"/>
        <v>1371.8983464454404</v>
      </c>
      <c r="BH55">
        <f t="shared" si="5"/>
        <v>0</v>
      </c>
      <c r="BI55">
        <f t="shared" si="6"/>
        <v>1.0114535760307726</v>
      </c>
      <c r="BJ55">
        <f t="shared" si="7"/>
        <v>1.0047807529949218</v>
      </c>
      <c r="BK55">
        <f t="shared" si="8"/>
        <v>2.7576313169929865E-3</v>
      </c>
      <c r="BL55">
        <f t="shared" si="9"/>
        <v>-1.2957141248026533E-3</v>
      </c>
      <c r="BM55">
        <f t="shared" si="31"/>
        <v>120</v>
      </c>
      <c r="BN55">
        <f t="shared" si="32"/>
        <v>-119.99999999999831</v>
      </c>
      <c r="BO55">
        <f>Data!$H$2*(1-BI55)*(1-BI55/Data!$H$3)*BM55</f>
        <v>3.1484256934245115E-8</v>
      </c>
      <c r="BP55">
        <f t="shared" si="10"/>
        <v>-121.37442912369271</v>
      </c>
      <c r="BQ55">
        <f>Data!$H$2*(1-BJ55)*(1-BJ55/Data!$H$3)*BN55</f>
        <v>-5.4853438076287224E-9</v>
      </c>
      <c r="BR55">
        <f t="shared" si="11"/>
        <v>120.57369035938891</v>
      </c>
      <c r="BS55">
        <f t="shared" si="33"/>
        <v>0</v>
      </c>
      <c r="BT55">
        <f t="shared" si="12"/>
        <v>0</v>
      </c>
      <c r="BU55">
        <f t="shared" si="13"/>
        <v>0</v>
      </c>
      <c r="BV55">
        <f t="shared" si="14"/>
        <v>0</v>
      </c>
      <c r="BW55">
        <f t="shared" si="34"/>
        <v>0</v>
      </c>
      <c r="BX55" t="str">
        <f t="shared" si="35"/>
        <v/>
      </c>
      <c r="BY55" s="66" t="str">
        <f t="shared" si="15"/>
        <v/>
      </c>
      <c r="BZ55" t="str">
        <f t="shared" si="16"/>
        <v/>
      </c>
      <c r="CA55" s="67" t="str">
        <f t="shared" si="17"/>
        <v/>
      </c>
    </row>
    <row r="56" spans="1:79" x14ac:dyDescent="0.25">
      <c r="A56">
        <v>4141</v>
      </c>
      <c r="B56">
        <v>59.5</v>
      </c>
      <c r="C56">
        <v>4270</v>
      </c>
      <c r="D56" s="3">
        <f t="shared" si="48"/>
        <v>8.3333333333333332E-3</v>
      </c>
      <c r="E56" s="3">
        <f t="shared" si="48"/>
        <v>-5.6033333333333335</v>
      </c>
      <c r="F56">
        <f>IF(A56&gt;0,IF(F55=1,1,IF(B56=Data!$H$4,1,0)),"")</f>
        <v>0</v>
      </c>
      <c r="G56">
        <v>4141</v>
      </c>
      <c r="H56">
        <v>59.5</v>
      </c>
      <c r="I56">
        <v>4270</v>
      </c>
      <c r="J56" s="3">
        <v>8.3333333333333332E-3</v>
      </c>
      <c r="K56" s="3">
        <v>-5.6033333333333335</v>
      </c>
      <c r="O56" s="3"/>
      <c r="P56" s="3"/>
      <c r="Q56" t="str">
        <f t="shared" si="18"/>
        <v/>
      </c>
      <c r="R56" s="4">
        <f t="shared" si="19"/>
        <v>60</v>
      </c>
      <c r="S56">
        <f t="shared" si="36"/>
        <v>4201</v>
      </c>
      <c r="T56">
        <f t="shared" si="49"/>
        <v>3935.3333333333358</v>
      </c>
      <c r="U56" s="4">
        <f t="shared" si="20"/>
        <v>0</v>
      </c>
      <c r="V56" t="e">
        <f t="shared" si="37"/>
        <v>#DIV/0!</v>
      </c>
      <c r="W56" t="e">
        <f t="shared" si="38"/>
        <v>#DIV/0!</v>
      </c>
      <c r="X56" t="str">
        <f t="shared" si="39"/>
        <v/>
      </c>
      <c r="Y56" t="str">
        <f t="shared" si="40"/>
        <v/>
      </c>
      <c r="Z56" t="str">
        <f t="shared" si="41"/>
        <v/>
      </c>
      <c r="AA56" t="str">
        <f t="shared" si="21"/>
        <v/>
      </c>
      <c r="AB56" t="str">
        <f t="shared" si="42"/>
        <v/>
      </c>
      <c r="AC56" t="str">
        <f t="shared" si="43"/>
        <v/>
      </c>
      <c r="AD56" t="str">
        <f t="shared" si="44"/>
        <v/>
      </c>
      <c r="AE56" t="str">
        <f t="shared" si="45"/>
        <v/>
      </c>
      <c r="AF56" s="72">
        <f>IF(AF55+$AF$1&gt;ROUND(Data!$H$4,0),AF55,AF55+$AF$1)</f>
        <v>70</v>
      </c>
      <c r="AG56">
        <f>IF(MATCH(AF56,$AA$3:$AA$1010,0)&lt;898,AVERAGE(AG55,AG57),VLOOKUP(AF56,$R$2:$T$301,2,FALSE))</f>
        <v>5401</v>
      </c>
      <c r="AH56">
        <f>IF(MATCH(AF56,$AA$3:$AA$1010,0)&lt;898,AVERAGE(AH55,AH57),VLOOKUP(AF56,$R$2:$T$301,3,FALSE))</f>
        <v>1148</v>
      </c>
      <c r="AI56">
        <f>IF(MATCH(AF56,$AE$3:$AE$1010,0)&lt;898,AVERAGE(AI55,AI57),VLOOKUP(AF56,$U$2:$W$301,2,FALSE))</f>
        <v>5401</v>
      </c>
      <c r="AJ56" s="67">
        <f>IF(MATCH(AF56,$AE$3:$AE$1010,0)&lt;898,AVERAGE(AJ55,AJ57),VLOOKUP(AF56,$U$2:$W$301,3,FALSE))</f>
        <v>1151</v>
      </c>
      <c r="AK56" s="4">
        <f t="shared" si="46"/>
        <v>30.400000000000077</v>
      </c>
      <c r="AL56">
        <f t="shared" si="26"/>
        <v>649.00000000000921</v>
      </c>
      <c r="AM56">
        <f t="shared" si="27"/>
        <v>11590.86666666666</v>
      </c>
      <c r="AN56">
        <f>IF($AK55+$AK$1&lt;=Data!$H$4-0.5,AVERAGE(AM54:AM58),AN55)</f>
        <v>11590.86666666666</v>
      </c>
      <c r="AO56">
        <f t="shared" si="28"/>
        <v>10212.999999999991</v>
      </c>
      <c r="AP56">
        <f t="shared" si="47"/>
        <v>11013.733333333326</v>
      </c>
      <c r="AQ56">
        <f>IF($AK55+$AK$1&lt;=Data!$H$4-0.5,AVERAGE(AP54:AP58),AQ55)</f>
        <v>11013.733333333326</v>
      </c>
      <c r="AR56">
        <f>IF($AK55+$AK$1&lt;=Data!$H$4-0.5,SLOPE($AN52:$AN60,$AK52:$AK60),AR55)</f>
        <v>-83.466666666670207</v>
      </c>
      <c r="AS56">
        <f>IF($AK55+$AK$1&lt;=Data!$H$4-0.5,SLOPE($AQ52:$AQ60,$AK52:$AK60),AS55)</f>
        <v>-85.479761904760991</v>
      </c>
      <c r="AT56" t="str">
        <f>IF(AND($AK56&gt;=Results!$G$13,$AK56&lt;=Results!$G$14),Curves!AR56,"")</f>
        <v/>
      </c>
      <c r="AU56" t="str">
        <f>IF(AND($AK56&gt;=Results!$G$13,$AK56&lt;=Results!$G$14),Curves!AS56,"")</f>
        <v/>
      </c>
      <c r="AV56" t="str">
        <f t="shared" si="29"/>
        <v/>
      </c>
      <c r="AW56" t="str">
        <f>IF(AND($AK56&lt;=Results!$I$21,$AK56&gt;=Results!$I$20,$AK56&lt;=Results!$F$4),$AN56,"")</f>
        <v/>
      </c>
      <c r="AX56" t="str">
        <f t="shared" si="29"/>
        <v/>
      </c>
      <c r="AY56" t="str">
        <f>IF(AND($AK56&lt;=Results!$I$23,$AK56&gt;=Results!$I$22,$AK56&gt;=Results!$F$4),$AN56,"")</f>
        <v/>
      </c>
      <c r="AZ56" t="str">
        <f t="shared" si="0"/>
        <v/>
      </c>
      <c r="BA56" t="str">
        <f>IF(AND($AK56&lt;=Results!$I$27,$AK56&gt;=Results!$I$26,$AK56&lt;=Results!$F$4),$AQ56,"")</f>
        <v/>
      </c>
      <c r="BB56" t="str">
        <f t="shared" si="1"/>
        <v/>
      </c>
      <c r="BC56" t="str">
        <f>IF(AND($AK56&lt;=Results!$I$29,$AK56&gt;=Results!$I$28,$AK56&gt;=Results!$F$4),$AQ56,"")</f>
        <v/>
      </c>
      <c r="BD56">
        <f t="shared" si="2"/>
        <v>11485.088502441022</v>
      </c>
      <c r="BE56">
        <f t="shared" si="3"/>
        <v>2467.0092391470162</v>
      </c>
      <c r="BF56">
        <f t="shared" si="30"/>
        <v>10969.093347418955</v>
      </c>
      <c r="BG56">
        <f t="shared" si="4"/>
        <v>1371.3475454859154</v>
      </c>
      <c r="BH56">
        <f t="shared" si="5"/>
        <v>0</v>
      </c>
      <c r="BI56">
        <f t="shared" si="6"/>
        <v>1.0117295669218813</v>
      </c>
      <c r="BJ56">
        <f t="shared" si="7"/>
        <v>1.0046510906660375</v>
      </c>
      <c r="BK56">
        <f t="shared" si="8"/>
        <v>2.7621921578801661E-3</v>
      </c>
      <c r="BL56">
        <f t="shared" si="9"/>
        <v>-1.2975343693699495E-3</v>
      </c>
      <c r="BM56">
        <f t="shared" si="31"/>
        <v>119.99999999999942</v>
      </c>
      <c r="BN56">
        <f t="shared" si="32"/>
        <v>-119.99999999999829</v>
      </c>
      <c r="BO56">
        <f>Data!$H$2*(1-BI56)*(1-BI56/Data!$H$3)*BM56</f>
        <v>3.3019857641974004E-8</v>
      </c>
      <c r="BP56">
        <f t="shared" si="10"/>
        <v>-121.40754803062516</v>
      </c>
      <c r="BQ56">
        <f>Data!$H$2*(1-BJ56)*(1-BJ56/Data!$H$3)*BN56</f>
        <v>-5.1918346520882643E-9</v>
      </c>
      <c r="BR56">
        <f t="shared" si="11"/>
        <v>120.55813087992279</v>
      </c>
      <c r="BS56">
        <f t="shared" si="33"/>
        <v>0</v>
      </c>
      <c r="BT56">
        <f t="shared" si="12"/>
        <v>0</v>
      </c>
      <c r="BU56">
        <f t="shared" si="13"/>
        <v>0</v>
      </c>
      <c r="BV56">
        <f t="shared" si="14"/>
        <v>0</v>
      </c>
      <c r="BW56">
        <f t="shared" si="34"/>
        <v>0</v>
      </c>
      <c r="BX56" t="str">
        <f t="shared" si="35"/>
        <v/>
      </c>
      <c r="BY56" s="66" t="str">
        <f t="shared" si="15"/>
        <v/>
      </c>
      <c r="BZ56" t="str">
        <f t="shared" si="16"/>
        <v/>
      </c>
      <c r="CA56" s="67" t="str">
        <f t="shared" si="17"/>
        <v/>
      </c>
    </row>
    <row r="57" spans="1:79" x14ac:dyDescent="0.25">
      <c r="A57">
        <v>4201</v>
      </c>
      <c r="B57">
        <v>60</v>
      </c>
      <c r="C57">
        <v>3936</v>
      </c>
      <c r="D57" s="3">
        <f t="shared" si="48"/>
        <v>8.3333333333333332E-3</v>
      </c>
      <c r="E57" s="3">
        <f t="shared" si="48"/>
        <v>-5.5016666666666669</v>
      </c>
      <c r="F57">
        <f>IF(A57&gt;0,IF(F56=1,1,IF(B57=Data!$H$4,1,0)),"")</f>
        <v>0</v>
      </c>
      <c r="G57">
        <v>4201</v>
      </c>
      <c r="H57">
        <v>60</v>
      </c>
      <c r="I57">
        <v>3936</v>
      </c>
      <c r="J57" s="3">
        <v>8.3333333333333332E-3</v>
      </c>
      <c r="K57" s="3">
        <v>-5.5016666666666669</v>
      </c>
      <c r="O57" s="3"/>
      <c r="P57" s="3"/>
      <c r="Q57" t="str">
        <f t="shared" si="18"/>
        <v/>
      </c>
      <c r="R57" s="4">
        <f t="shared" si="19"/>
        <v>60</v>
      </c>
      <c r="S57">
        <f t="shared" si="36"/>
        <v>4201</v>
      </c>
      <c r="T57">
        <f t="shared" si="49"/>
        <v>3939</v>
      </c>
      <c r="U57" s="4">
        <f t="shared" si="20"/>
        <v>0</v>
      </c>
      <c r="V57" t="e">
        <f t="shared" si="37"/>
        <v>#DIV/0!</v>
      </c>
      <c r="W57" t="e">
        <f t="shared" si="38"/>
        <v>#DIV/0!</v>
      </c>
      <c r="X57" t="str">
        <f t="shared" si="39"/>
        <v/>
      </c>
      <c r="Y57" t="str">
        <f t="shared" si="40"/>
        <v/>
      </c>
      <c r="Z57" t="str">
        <f t="shared" si="41"/>
        <v/>
      </c>
      <c r="AA57" t="str">
        <f t="shared" si="21"/>
        <v/>
      </c>
      <c r="AB57" t="str">
        <f t="shared" si="42"/>
        <v/>
      </c>
      <c r="AC57" t="str">
        <f t="shared" si="43"/>
        <v/>
      </c>
      <c r="AD57" t="str">
        <f t="shared" si="44"/>
        <v/>
      </c>
      <c r="AE57" t="str">
        <f t="shared" si="45"/>
        <v/>
      </c>
      <c r="AF57" s="72">
        <f>IF(AF56+$AF$1&gt;ROUND(Data!$H$4,0),AF56,AF56+$AF$1)</f>
        <v>70</v>
      </c>
      <c r="AG57">
        <f t="shared" si="50"/>
        <v>5401</v>
      </c>
      <c r="AH57">
        <f t="shared" si="51"/>
        <v>1148</v>
      </c>
      <c r="AI57">
        <f t="shared" si="52"/>
        <v>5401</v>
      </c>
      <c r="AJ57" s="67">
        <f t="shared" si="53"/>
        <v>1151</v>
      </c>
      <c r="AK57" s="4">
        <f t="shared" si="46"/>
        <v>30.500000000000078</v>
      </c>
      <c r="AL57">
        <f t="shared" si="26"/>
        <v>661.00000000000932</v>
      </c>
      <c r="AM57">
        <f t="shared" si="27"/>
        <v>11582.499999999993</v>
      </c>
      <c r="AN57">
        <f>IF($AK56+$AK$1&lt;=Data!$H$4-0.5,AVERAGE(AM55:AM59),AN56)</f>
        <v>11582.499999999991</v>
      </c>
      <c r="AO57">
        <f t="shared" si="28"/>
        <v>10200.999999999991</v>
      </c>
      <c r="AP57">
        <f t="shared" si="47"/>
        <v>11005.166666666661</v>
      </c>
      <c r="AQ57">
        <f>IF($AK56+$AK$1&lt;=Data!$H$4-0.5,AVERAGE(AP55:AP59),AQ56)</f>
        <v>11005.166666666661</v>
      </c>
      <c r="AR57">
        <f>IF($AK56+$AK$1&lt;=Data!$H$4-0.5,SLOPE($AN53:$AN61,$AK53:$AK61),AR56)</f>
        <v>-83.755555555559425</v>
      </c>
      <c r="AS57">
        <f>IF($AK56+$AK$1&lt;=Data!$H$4-0.5,SLOPE($AQ53:$AQ61,$AK53:$AK61),AS56)</f>
        <v>-85.572380952380016</v>
      </c>
      <c r="AT57" t="str">
        <f>IF(AND($AK57&gt;=Results!$G$13,$AK57&lt;=Results!$G$14),Curves!AR57,"")</f>
        <v/>
      </c>
      <c r="AU57" t="str">
        <f>IF(AND($AK57&gt;=Results!$G$13,$AK57&lt;=Results!$G$14),Curves!AS57,"")</f>
        <v/>
      </c>
      <c r="AV57" t="str">
        <f t="shared" si="29"/>
        <v/>
      </c>
      <c r="AW57" t="str">
        <f>IF(AND($AK57&lt;=Results!$I$21,$AK57&gt;=Results!$I$20,$AK57&lt;=Results!$F$4),$AN57,"")</f>
        <v/>
      </c>
      <c r="AX57" t="str">
        <f t="shared" si="29"/>
        <v/>
      </c>
      <c r="AY57" t="str">
        <f>IF(AND($AK57&lt;=Results!$I$23,$AK57&gt;=Results!$I$22,$AK57&gt;=Results!$F$4),$AN57,"")</f>
        <v/>
      </c>
      <c r="AZ57" t="str">
        <f t="shared" si="0"/>
        <v/>
      </c>
      <c r="BA57" t="str">
        <f>IF(AND($AK57&lt;=Results!$I$27,$AK57&gt;=Results!$I$26,$AK57&lt;=Results!$F$4),$AQ57,"")</f>
        <v/>
      </c>
      <c r="BB57" t="str">
        <f t="shared" si="1"/>
        <v/>
      </c>
      <c r="BC57" t="str">
        <f>IF(AND($AK57&lt;=Results!$I$29,$AK57&gt;=Results!$I$28,$AK57&gt;=Results!$F$4),$AQ57,"")</f>
        <v/>
      </c>
      <c r="BD57">
        <f t="shared" si="2"/>
        <v>11474.318307643101</v>
      </c>
      <c r="BE57">
        <f t="shared" si="3"/>
        <v>2463.6934498976952</v>
      </c>
      <c r="BF57">
        <f t="shared" si="30"/>
        <v>10961.803365186061</v>
      </c>
      <c r="BG57">
        <f t="shared" si="4"/>
        <v>1370.7967445263903</v>
      </c>
      <c r="BH57">
        <f t="shared" si="5"/>
        <v>0</v>
      </c>
      <c r="BI57">
        <f t="shared" si="6"/>
        <v>1.0120060144623486</v>
      </c>
      <c r="BJ57">
        <f t="shared" si="7"/>
        <v>1.0045212461210478</v>
      </c>
      <c r="BK57">
        <f t="shared" si="8"/>
        <v>2.7667643228834358E-3</v>
      </c>
      <c r="BL57">
        <f t="shared" si="9"/>
        <v>-1.2993584523090891E-3</v>
      </c>
      <c r="BM57">
        <f t="shared" si="31"/>
        <v>120</v>
      </c>
      <c r="BN57">
        <f t="shared" si="32"/>
        <v>-119.99999999999831</v>
      </c>
      <c r="BO57">
        <f>Data!$H$2*(1-BI57)*(1-BI57/Data!$H$3)*BM57</f>
        <v>3.4594651984829774E-8</v>
      </c>
      <c r="BP57">
        <f t="shared" si="10"/>
        <v>-121.44072173548183</v>
      </c>
      <c r="BQ57">
        <f>Data!$H$2*(1-BJ57)*(1-BJ57/Data!$H$3)*BN57</f>
        <v>-4.9059999569013947E-9</v>
      </c>
      <c r="BR57">
        <f t="shared" si="11"/>
        <v>120.54254953452403</v>
      </c>
      <c r="BS57">
        <f t="shared" si="33"/>
        <v>0</v>
      </c>
      <c r="BT57">
        <f t="shared" si="12"/>
        <v>0</v>
      </c>
      <c r="BU57">
        <f t="shared" si="13"/>
        <v>0</v>
      </c>
      <c r="BV57">
        <f t="shared" si="14"/>
        <v>0</v>
      </c>
      <c r="BW57">
        <f t="shared" si="34"/>
        <v>0</v>
      </c>
      <c r="BX57" t="str">
        <f t="shared" si="35"/>
        <v/>
      </c>
      <c r="BY57" s="66" t="str">
        <f t="shared" si="15"/>
        <v/>
      </c>
      <c r="BZ57" t="str">
        <f t="shared" si="16"/>
        <v/>
      </c>
      <c r="CA57" s="67" t="str">
        <f t="shared" si="17"/>
        <v/>
      </c>
    </row>
    <row r="58" spans="1:79" x14ac:dyDescent="0.25">
      <c r="A58">
        <v>4261</v>
      </c>
      <c r="B58">
        <v>60.5</v>
      </c>
      <c r="C58">
        <v>3611</v>
      </c>
      <c r="D58" s="3">
        <f t="shared" si="48"/>
        <v>8.3333333333333332E-3</v>
      </c>
      <c r="E58" s="3">
        <f t="shared" si="48"/>
        <v>-5.4016666666666664</v>
      </c>
      <c r="F58">
        <f>IF(A58&gt;0,IF(F57=1,1,IF(B58=Data!$H$4,1,0)),"")</f>
        <v>0</v>
      </c>
      <c r="G58">
        <v>4261</v>
      </c>
      <c r="H58">
        <v>60.5</v>
      </c>
      <c r="I58">
        <v>3611</v>
      </c>
      <c r="J58" s="3">
        <v>8.3333333333333332E-3</v>
      </c>
      <c r="K58" s="3">
        <v>-5.4016666666666664</v>
      </c>
      <c r="O58" s="3"/>
      <c r="P58" s="3"/>
      <c r="Q58" t="str">
        <f t="shared" si="18"/>
        <v/>
      </c>
      <c r="R58" s="4">
        <f t="shared" si="19"/>
        <v>61</v>
      </c>
      <c r="S58">
        <f t="shared" si="36"/>
        <v>4321</v>
      </c>
      <c r="T58">
        <f t="shared" si="49"/>
        <v>3286.8333333333358</v>
      </c>
      <c r="U58" s="4">
        <f t="shared" si="20"/>
        <v>0</v>
      </c>
      <c r="V58" t="e">
        <f t="shared" si="37"/>
        <v>#DIV/0!</v>
      </c>
      <c r="W58" t="e">
        <f t="shared" si="38"/>
        <v>#DIV/0!</v>
      </c>
      <c r="X58" t="str">
        <f t="shared" si="39"/>
        <v/>
      </c>
      <c r="Y58" t="str">
        <f t="shared" si="40"/>
        <v/>
      </c>
      <c r="Z58" t="str">
        <f t="shared" si="41"/>
        <v/>
      </c>
      <c r="AA58" t="str">
        <f t="shared" si="21"/>
        <v/>
      </c>
      <c r="AB58" t="str">
        <f t="shared" si="42"/>
        <v/>
      </c>
      <c r="AC58" t="str">
        <f t="shared" si="43"/>
        <v/>
      </c>
      <c r="AD58" t="str">
        <f t="shared" si="44"/>
        <v/>
      </c>
      <c r="AE58" t="str">
        <f t="shared" si="45"/>
        <v/>
      </c>
      <c r="AF58" s="72">
        <f>IF(AF57+$AF$1&gt;ROUND(Data!$H$4,0),AF57,AF57+$AF$1)</f>
        <v>70</v>
      </c>
      <c r="AG58">
        <f>IF(MATCH(AF58,$AA$3:$AA$1010,0)&lt;898,AVERAGE(AG57,AG59),VLOOKUP(AF58,$R$2:$T$301,2,FALSE))</f>
        <v>5401</v>
      </c>
      <c r="AH58">
        <f>IF(MATCH(AF58,$AA$3:$AA$1010,0)&lt;898,AVERAGE(AH57,AH59),VLOOKUP(AF58,$R$2:$T$301,3,FALSE))</f>
        <v>1148</v>
      </c>
      <c r="AI58">
        <f>IF(MATCH(AF58,$AE$3:$AE$1010,0)&lt;898,AVERAGE(AI57,AI59),VLOOKUP(AF58,$U$2:$W$301,2,FALSE))</f>
        <v>5401</v>
      </c>
      <c r="AJ58" s="67">
        <f>IF(MATCH(AF58,$AE$3:$AE$1010,0)&lt;898,AVERAGE(AJ57,AJ59),VLOOKUP(AF58,$U$2:$W$301,3,FALSE))</f>
        <v>1151</v>
      </c>
      <c r="AK58" s="4">
        <f t="shared" si="46"/>
        <v>30.60000000000008</v>
      </c>
      <c r="AL58">
        <f t="shared" si="26"/>
        <v>673.00000000000955</v>
      </c>
      <c r="AM58">
        <f t="shared" si="27"/>
        <v>11574.133333333326</v>
      </c>
      <c r="AN58">
        <f>IF($AK57+$AK$1&lt;=Data!$H$4-0.5,AVERAGE(AM56:AM60),AN57)</f>
        <v>11574.133333333326</v>
      </c>
      <c r="AO58">
        <f t="shared" si="28"/>
        <v>10188.999999999991</v>
      </c>
      <c r="AP58">
        <f t="shared" si="47"/>
        <v>10996.599999999993</v>
      </c>
      <c r="AQ58">
        <f>IF($AK57+$AK$1&lt;=Data!$H$4-0.5,AVERAGE(AP56:AP60),AQ57)</f>
        <v>10996.599999999993</v>
      </c>
      <c r="AR58">
        <f>IF($AK57+$AK$1&lt;=Data!$H$4-0.5,SLOPE($AN54:$AN62,$AK54:$AK62),AR57)</f>
        <v>-84.200000000003456</v>
      </c>
      <c r="AS58">
        <f>IF($AK57+$AK$1&lt;=Data!$H$4-0.5,SLOPE($AQ54:$AQ62,$AK54:$AK62),AS57)</f>
        <v>-85.499999999998167</v>
      </c>
      <c r="AT58" t="str">
        <f>IF(AND($AK58&gt;=Results!$G$13,$AK58&lt;=Results!$G$14),Curves!AR58,"")</f>
        <v/>
      </c>
      <c r="AU58" t="str">
        <f>IF(AND($AK58&gt;=Results!$G$13,$AK58&lt;=Results!$G$14),Curves!AS58,"")</f>
        <v/>
      </c>
      <c r="AV58" t="str">
        <f t="shared" si="29"/>
        <v/>
      </c>
      <c r="AW58" t="str">
        <f>IF(AND($AK58&lt;=Results!$I$21,$AK58&gt;=Results!$I$20,$AK58&lt;=Results!$F$4),$AN58,"")</f>
        <v/>
      </c>
      <c r="AX58" t="str">
        <f t="shared" si="29"/>
        <v/>
      </c>
      <c r="AY58" t="str">
        <f>IF(AND($AK58&lt;=Results!$I$23,$AK58&gt;=Results!$I$22,$AK58&gt;=Results!$F$4),$AN58,"")</f>
        <v/>
      </c>
      <c r="AZ58" t="str">
        <f t="shared" si="0"/>
        <v/>
      </c>
      <c r="BA58" t="str">
        <f>IF(AND($AK58&lt;=Results!$I$27,$AK58&gt;=Results!$I$26,$AK58&lt;=Results!$F$4),$AQ58,"")</f>
        <v/>
      </c>
      <c r="BB58" t="str">
        <f t="shared" si="1"/>
        <v/>
      </c>
      <c r="BC58" t="str">
        <f>IF(AND($AK58&lt;=Results!$I$29,$AK58&gt;=Results!$I$28,$AK58&gt;=Results!$F$4),$AQ58,"")</f>
        <v/>
      </c>
      <c r="BD58">
        <f t="shared" si="2"/>
        <v>11463.548112845183</v>
      </c>
      <c r="BE58">
        <f t="shared" si="3"/>
        <v>2460.3776606483743</v>
      </c>
      <c r="BF58">
        <f t="shared" si="30"/>
        <v>10954.513382953168</v>
      </c>
      <c r="BG58">
        <f t="shared" si="4"/>
        <v>1370.2459435668654</v>
      </c>
      <c r="BH58">
        <f t="shared" si="5"/>
        <v>0</v>
      </c>
      <c r="BI58">
        <f t="shared" si="6"/>
        <v>1.012282919786458</v>
      </c>
      <c r="BJ58">
        <f t="shared" si="7"/>
        <v>1.0043912189755757</v>
      </c>
      <c r="BK58">
        <f t="shared" si="8"/>
        <v>2.7713478495216709E-3</v>
      </c>
      <c r="BL58">
        <f t="shared" si="9"/>
        <v>-1.3011863844169893E-3</v>
      </c>
      <c r="BM58">
        <f t="shared" si="31"/>
        <v>120.00000000000055</v>
      </c>
      <c r="BN58">
        <f t="shared" si="32"/>
        <v>-119.99999999999829</v>
      </c>
      <c r="BO58">
        <f>Data!$H$2*(1-BI58)*(1-BI58/Data!$H$3)*BM58</f>
        <v>3.6208828435334987E-8</v>
      </c>
      <c r="BP58">
        <f t="shared" si="10"/>
        <v>-121.47395037437552</v>
      </c>
      <c r="BQ58">
        <f>Data!$H$2*(1-BJ58)*(1-BJ58/Data!$H$3)*BN58</f>
        <v>-4.6278729819494096E-9</v>
      </c>
      <c r="BR58">
        <f t="shared" si="11"/>
        <v>120.52694627706737</v>
      </c>
      <c r="BS58">
        <f t="shared" si="33"/>
        <v>0</v>
      </c>
      <c r="BT58">
        <f t="shared" si="12"/>
        <v>0</v>
      </c>
      <c r="BU58">
        <f t="shared" si="13"/>
        <v>0</v>
      </c>
      <c r="BV58">
        <f t="shared" si="14"/>
        <v>0</v>
      </c>
      <c r="BW58">
        <f t="shared" si="34"/>
        <v>0</v>
      </c>
      <c r="BX58" t="str">
        <f t="shared" si="35"/>
        <v/>
      </c>
      <c r="BY58" s="66" t="str">
        <f t="shared" si="15"/>
        <v/>
      </c>
      <c r="BZ58" t="str">
        <f t="shared" si="16"/>
        <v/>
      </c>
      <c r="CA58" s="67" t="str">
        <f t="shared" si="17"/>
        <v/>
      </c>
    </row>
    <row r="59" spans="1:79" x14ac:dyDescent="0.25">
      <c r="A59">
        <v>4321</v>
      </c>
      <c r="B59">
        <v>61</v>
      </c>
      <c r="C59">
        <v>3287</v>
      </c>
      <c r="D59" s="3">
        <f t="shared" si="48"/>
        <v>8.3333333333333332E-3</v>
      </c>
      <c r="E59" s="3">
        <f t="shared" si="48"/>
        <v>-5.2149999999999999</v>
      </c>
      <c r="F59">
        <f>IF(A59&gt;0,IF(F58=1,1,IF(B59=Data!$H$4,1,0)),"")</f>
        <v>0</v>
      </c>
      <c r="G59">
        <v>4321</v>
      </c>
      <c r="H59">
        <v>61</v>
      </c>
      <c r="I59">
        <v>3287</v>
      </c>
      <c r="J59" s="3">
        <v>8.3333333333333332E-3</v>
      </c>
      <c r="K59" s="3">
        <v>-5.2149999999999999</v>
      </c>
      <c r="O59" s="3"/>
      <c r="P59" s="3"/>
      <c r="Q59" t="str">
        <f t="shared" si="18"/>
        <v/>
      </c>
      <c r="R59" s="4">
        <f t="shared" si="19"/>
        <v>61</v>
      </c>
      <c r="S59">
        <f t="shared" si="36"/>
        <v>4321</v>
      </c>
      <c r="T59">
        <f t="shared" si="49"/>
        <v>3290.6666666666642</v>
      </c>
      <c r="U59" s="4">
        <f t="shared" si="20"/>
        <v>0</v>
      </c>
      <c r="V59" t="e">
        <f t="shared" si="37"/>
        <v>#DIV/0!</v>
      </c>
      <c r="W59" t="e">
        <f t="shared" si="38"/>
        <v>#DIV/0!</v>
      </c>
      <c r="X59" t="str">
        <f t="shared" si="39"/>
        <v/>
      </c>
      <c r="Y59" t="str">
        <f t="shared" si="40"/>
        <v/>
      </c>
      <c r="Z59" t="str">
        <f t="shared" si="41"/>
        <v/>
      </c>
      <c r="AA59" t="str">
        <f t="shared" si="21"/>
        <v/>
      </c>
      <c r="AB59" t="str">
        <f t="shared" si="42"/>
        <v/>
      </c>
      <c r="AC59" t="str">
        <f t="shared" si="43"/>
        <v/>
      </c>
      <c r="AD59" t="str">
        <f t="shared" si="44"/>
        <v/>
      </c>
      <c r="AE59" t="str">
        <f t="shared" si="45"/>
        <v/>
      </c>
      <c r="AF59" s="72">
        <f>IF(AF58+$AF$1&gt;ROUND(Data!$H$4,0),AF58,AF58+$AF$1)</f>
        <v>70</v>
      </c>
      <c r="AG59">
        <f t="shared" si="50"/>
        <v>5401</v>
      </c>
      <c r="AH59">
        <f t="shared" si="51"/>
        <v>1148</v>
      </c>
      <c r="AI59">
        <f t="shared" si="52"/>
        <v>5401</v>
      </c>
      <c r="AJ59" s="67">
        <f t="shared" si="53"/>
        <v>1151</v>
      </c>
      <c r="AK59" s="4">
        <f t="shared" si="46"/>
        <v>30.700000000000081</v>
      </c>
      <c r="AL59">
        <f t="shared" si="26"/>
        <v>685.00000000000978</v>
      </c>
      <c r="AM59">
        <f t="shared" si="27"/>
        <v>11565.766666666659</v>
      </c>
      <c r="AN59">
        <f>IF($AK58+$AK$1&lt;=Data!$H$4-0.5,AVERAGE(AM57:AM61),AN58)</f>
        <v>11565.766666666659</v>
      </c>
      <c r="AO59">
        <f t="shared" si="28"/>
        <v>10176.999999999991</v>
      </c>
      <c r="AP59">
        <f t="shared" si="47"/>
        <v>10988.033333333327</v>
      </c>
      <c r="AQ59">
        <f>IF($AK58+$AK$1&lt;=Data!$H$4-0.5,AVERAGE(AP57:AP61),AQ58)</f>
        <v>10988.033333333327</v>
      </c>
      <c r="AR59">
        <f>IF($AK58+$AK$1&lt;=Data!$H$4-0.5,SLOPE($AN55:$AN63,$AK55:$AK63),AR58)</f>
        <v>-84.911111111114536</v>
      </c>
      <c r="AS59">
        <f>IF($AK58+$AK$1&lt;=Data!$H$4-0.5,SLOPE($AQ55:$AQ63,$AK55:$AK63),AS58)</f>
        <v>-85.277777777776151</v>
      </c>
      <c r="AT59" t="str">
        <f>IF(AND($AK59&gt;=Results!$G$13,$AK59&lt;=Results!$G$14),Curves!AR59,"")</f>
        <v/>
      </c>
      <c r="AU59" t="str">
        <f>IF(AND($AK59&gt;=Results!$G$13,$AK59&lt;=Results!$G$14),Curves!AS59,"")</f>
        <v/>
      </c>
      <c r="AV59" t="str">
        <f t="shared" si="29"/>
        <v/>
      </c>
      <c r="AW59" t="str">
        <f>IF(AND($AK59&lt;=Results!$I$21,$AK59&gt;=Results!$I$20,$AK59&lt;=Results!$F$4),$AN59,"")</f>
        <v/>
      </c>
      <c r="AX59" t="str">
        <f t="shared" si="29"/>
        <v/>
      </c>
      <c r="AY59" t="str">
        <f>IF(AND($AK59&lt;=Results!$I$23,$AK59&gt;=Results!$I$22,$AK59&gt;=Results!$F$4),$AN59,"")</f>
        <v/>
      </c>
      <c r="AZ59" t="str">
        <f t="shared" si="0"/>
        <v/>
      </c>
      <c r="BA59" t="str">
        <f>IF(AND($AK59&lt;=Results!$I$27,$AK59&gt;=Results!$I$26,$AK59&lt;=Results!$F$4),$AQ59,"")</f>
        <v/>
      </c>
      <c r="BB59" t="str">
        <f t="shared" si="1"/>
        <v/>
      </c>
      <c r="BC59" t="str">
        <f>IF(AND($AK59&lt;=Results!$I$29,$AK59&gt;=Results!$I$28,$AK59&gt;=Results!$F$4),$AQ59,"")</f>
        <v/>
      </c>
      <c r="BD59">
        <f t="shared" si="2"/>
        <v>11452.777918047263</v>
      </c>
      <c r="BE59">
        <f t="shared" si="3"/>
        <v>2457.0618713990539</v>
      </c>
      <c r="BF59">
        <f t="shared" si="30"/>
        <v>10947.223400720275</v>
      </c>
      <c r="BG59">
        <f t="shared" si="4"/>
        <v>1369.6951426073404</v>
      </c>
      <c r="BH59">
        <f t="shared" si="5"/>
        <v>0</v>
      </c>
      <c r="BI59">
        <f t="shared" si="6"/>
        <v>1.012560284032253</v>
      </c>
      <c r="BJ59">
        <f t="shared" si="7"/>
        <v>1.0042610088441644</v>
      </c>
      <c r="BK59">
        <f t="shared" si="8"/>
        <v>2.7759427754680708E-3</v>
      </c>
      <c r="BL59">
        <f t="shared" si="9"/>
        <v>-1.3030181765294284E-3</v>
      </c>
      <c r="BM59">
        <f t="shared" si="31"/>
        <v>120</v>
      </c>
      <c r="BN59">
        <f t="shared" si="32"/>
        <v>-119.99999999999831</v>
      </c>
      <c r="BO59">
        <f>Data!$H$2*(1-BI59)*(1-BI59/Data!$H$3)*BM59</f>
        <v>3.7862576393008448E-8</v>
      </c>
      <c r="BP59">
        <f t="shared" si="10"/>
        <v>-121.50723408387036</v>
      </c>
      <c r="BQ59">
        <f>Data!$H$2*(1-BJ59)*(1-BJ59/Data!$H$3)*BN59</f>
        <v>-4.3574871288111941E-9</v>
      </c>
      <c r="BR59">
        <f t="shared" si="11"/>
        <v>120.51132106129802</v>
      </c>
      <c r="BS59">
        <f t="shared" si="33"/>
        <v>0</v>
      </c>
      <c r="BT59">
        <f t="shared" si="12"/>
        <v>0</v>
      </c>
      <c r="BU59">
        <f t="shared" si="13"/>
        <v>0</v>
      </c>
      <c r="BV59">
        <f t="shared" si="14"/>
        <v>0</v>
      </c>
      <c r="BW59">
        <f t="shared" si="34"/>
        <v>0</v>
      </c>
      <c r="BX59" t="str">
        <f t="shared" si="35"/>
        <v/>
      </c>
      <c r="BY59" s="66" t="str">
        <f t="shared" si="15"/>
        <v/>
      </c>
      <c r="BZ59" t="str">
        <f t="shared" si="16"/>
        <v/>
      </c>
      <c r="CA59" s="67" t="str">
        <f t="shared" si="17"/>
        <v/>
      </c>
    </row>
    <row r="60" spans="1:79" x14ac:dyDescent="0.25">
      <c r="A60">
        <v>4381</v>
      </c>
      <c r="B60">
        <v>61.5</v>
      </c>
      <c r="C60">
        <v>2974</v>
      </c>
      <c r="D60" s="3">
        <f t="shared" si="48"/>
        <v>8.3333333333333332E-3</v>
      </c>
      <c r="E60" s="3">
        <f t="shared" si="48"/>
        <v>-4.9749999999999996</v>
      </c>
      <c r="F60">
        <f>IF(A60&gt;0,IF(F59=1,1,IF(B60=Data!$H$4,1,0)),"")</f>
        <v>0</v>
      </c>
      <c r="G60">
        <v>4381</v>
      </c>
      <c r="H60">
        <v>61.5</v>
      </c>
      <c r="I60">
        <v>2974</v>
      </c>
      <c r="J60" s="3">
        <v>8.3333333333333332E-3</v>
      </c>
      <c r="K60" s="3">
        <v>-4.9749999999999996</v>
      </c>
      <c r="O60" s="3"/>
      <c r="P60" s="3"/>
      <c r="Q60" t="str">
        <f t="shared" si="18"/>
        <v/>
      </c>
      <c r="R60" s="4">
        <f t="shared" si="19"/>
        <v>62</v>
      </c>
      <c r="S60">
        <f t="shared" si="36"/>
        <v>4441</v>
      </c>
      <c r="T60">
        <f t="shared" si="49"/>
        <v>2685.1666666666642</v>
      </c>
      <c r="U60" s="4">
        <f t="shared" si="20"/>
        <v>0</v>
      </c>
      <c r="V60" t="e">
        <f t="shared" si="37"/>
        <v>#DIV/0!</v>
      </c>
      <c r="W60" t="e">
        <f t="shared" si="38"/>
        <v>#DIV/0!</v>
      </c>
      <c r="X60" t="str">
        <f t="shared" si="39"/>
        <v/>
      </c>
      <c r="Y60" t="str">
        <f t="shared" si="40"/>
        <v/>
      </c>
      <c r="Z60" t="str">
        <f t="shared" si="41"/>
        <v/>
      </c>
      <c r="AA60" t="str">
        <f t="shared" si="21"/>
        <v/>
      </c>
      <c r="AB60" t="str">
        <f t="shared" si="42"/>
        <v/>
      </c>
      <c r="AC60" t="str">
        <f t="shared" si="43"/>
        <v/>
      </c>
      <c r="AD60" t="str">
        <f t="shared" si="44"/>
        <v/>
      </c>
      <c r="AE60" t="str">
        <f t="shared" si="45"/>
        <v/>
      </c>
      <c r="AF60" s="72">
        <f>IF(AF59+$AF$1&gt;ROUND(Data!$H$4,0),AF59,AF59+$AF$1)</f>
        <v>70</v>
      </c>
      <c r="AG60">
        <f>IF(MATCH(AF60,$AA$3:$AA$1010,0)&lt;898,AVERAGE(AG59,AG61),VLOOKUP(AF60,$R$2:$T$301,2,FALSE))</f>
        <v>5401</v>
      </c>
      <c r="AH60">
        <f>IF(MATCH(AF60,$AA$3:$AA$1010,0)&lt;898,AVERAGE(AH59,AH61),VLOOKUP(AF60,$R$2:$T$301,3,FALSE))</f>
        <v>1148</v>
      </c>
      <c r="AI60">
        <f>IF(MATCH(AF60,$AE$3:$AE$1010,0)&lt;898,AVERAGE(AI59,AI61),VLOOKUP(AF60,$U$2:$W$301,2,FALSE))</f>
        <v>5401</v>
      </c>
      <c r="AJ60" s="67">
        <f>IF(MATCH(AF60,$AE$3:$AE$1010,0)&lt;898,AVERAGE(AJ59,AJ61),VLOOKUP(AF60,$U$2:$W$301,3,FALSE))</f>
        <v>1151</v>
      </c>
      <c r="AK60" s="4">
        <f t="shared" si="46"/>
        <v>30.800000000000082</v>
      </c>
      <c r="AL60">
        <f t="shared" si="26"/>
        <v>697.00000000000989</v>
      </c>
      <c r="AM60">
        <f t="shared" si="27"/>
        <v>11557.399999999992</v>
      </c>
      <c r="AN60">
        <f>IF($AK59+$AK$1&lt;=Data!$H$4-0.5,AVERAGE(AM58:AM62),AN59)</f>
        <v>11557.399999999992</v>
      </c>
      <c r="AO60">
        <f t="shared" si="28"/>
        <v>10164.999999999991</v>
      </c>
      <c r="AP60">
        <f t="shared" si="47"/>
        <v>10979.46666666666</v>
      </c>
      <c r="AQ60">
        <f>IF($AK59+$AK$1&lt;=Data!$H$4-0.5,AVERAGE(AP58:AP62),AQ59)</f>
        <v>10979.46666666666</v>
      </c>
      <c r="AR60">
        <f>IF($AK59+$AK$1&lt;=Data!$H$4-0.5,SLOPE($AN56:$AN64,$AK56:$AK64),AR59)</f>
        <v>-85.977777777778698</v>
      </c>
      <c r="AS60">
        <f>IF($AK59+$AK$1&lt;=Data!$H$4-0.5,SLOPE($AQ56:$AQ64,$AK56:$AK64),AS59)</f>
        <v>-84.94444444444315</v>
      </c>
      <c r="AT60" t="str">
        <f>IF(AND($AK60&gt;=Results!$G$13,$AK60&lt;=Results!$G$14),Curves!AR60,"")</f>
        <v/>
      </c>
      <c r="AU60" t="str">
        <f>IF(AND($AK60&gt;=Results!$G$13,$AK60&lt;=Results!$G$14),Curves!AS60,"")</f>
        <v/>
      </c>
      <c r="AV60" t="str">
        <f t="shared" si="29"/>
        <v/>
      </c>
      <c r="AW60" t="str">
        <f>IF(AND($AK60&lt;=Results!$I$21,$AK60&gt;=Results!$I$20,$AK60&lt;=Results!$F$4),$AN60,"")</f>
        <v/>
      </c>
      <c r="AX60" t="str">
        <f t="shared" si="29"/>
        <v/>
      </c>
      <c r="AY60" t="str">
        <f>IF(AND($AK60&lt;=Results!$I$23,$AK60&gt;=Results!$I$22,$AK60&gt;=Results!$F$4),$AN60,"")</f>
        <v/>
      </c>
      <c r="AZ60" t="str">
        <f t="shared" si="0"/>
        <v/>
      </c>
      <c r="BA60" t="str">
        <f>IF(AND($AK60&lt;=Results!$I$27,$AK60&gt;=Results!$I$26,$AK60&lt;=Results!$F$4),$AQ60,"")</f>
        <v/>
      </c>
      <c r="BB60" t="str">
        <f t="shared" si="1"/>
        <v/>
      </c>
      <c r="BC60" t="str">
        <f>IF(AND($AK60&lt;=Results!$I$29,$AK60&gt;=Results!$I$28,$AK60&gt;=Results!$F$4),$AQ60,"")</f>
        <v/>
      </c>
      <c r="BD60">
        <f t="shared" si="2"/>
        <v>11442.007723249342</v>
      </c>
      <c r="BE60">
        <f t="shared" si="3"/>
        <v>2453.746082149733</v>
      </c>
      <c r="BF60">
        <f t="shared" si="30"/>
        <v>10939.933418487381</v>
      </c>
      <c r="BG60">
        <f t="shared" si="4"/>
        <v>1369.1443416478153</v>
      </c>
      <c r="BH60">
        <f t="shared" si="5"/>
        <v>0</v>
      </c>
      <c r="BI60">
        <f t="shared" si="6"/>
        <v>1.0128381083415516</v>
      </c>
      <c r="BJ60">
        <f t="shared" si="7"/>
        <v>1.0041306153402698</v>
      </c>
      <c r="BK60">
        <f t="shared" si="8"/>
        <v>2.6617773356762582E-3</v>
      </c>
      <c r="BL60">
        <f t="shared" si="9"/>
        <v>-1.2700011006794116E-3</v>
      </c>
      <c r="BM60">
        <f t="shared" si="31"/>
        <v>119.99999999999942</v>
      </c>
      <c r="BN60">
        <f t="shared" si="32"/>
        <v>-120.00000000000739</v>
      </c>
      <c r="BO60">
        <f>Data!$H$2*(1-BI60)*(1-BI60/Data!$H$3)*BM60</f>
        <v>3.9556086189460049E-8</v>
      </c>
      <c r="BP60">
        <f t="shared" si="10"/>
        <v>-121.5405730009856</v>
      </c>
      <c r="BQ60">
        <f>Data!$H$2*(1-BJ60)*(1-BJ60/Data!$H$3)*BN60</f>
        <v>-4.0948759414256118E-9</v>
      </c>
      <c r="BR60">
        <f t="shared" si="11"/>
        <v>120.4956738408398</v>
      </c>
      <c r="BS60">
        <f t="shared" si="33"/>
        <v>0</v>
      </c>
      <c r="BT60">
        <f t="shared" si="12"/>
        <v>0</v>
      </c>
      <c r="BU60">
        <f t="shared" si="13"/>
        <v>0</v>
      </c>
      <c r="BV60">
        <f t="shared" si="14"/>
        <v>0</v>
      </c>
      <c r="BW60">
        <f t="shared" si="34"/>
        <v>0</v>
      </c>
      <c r="BX60" t="str">
        <f t="shared" si="35"/>
        <v/>
      </c>
      <c r="BY60" s="66" t="str">
        <f t="shared" si="15"/>
        <v/>
      </c>
      <c r="BZ60" t="str">
        <f t="shared" si="16"/>
        <v/>
      </c>
      <c r="CA60" s="67" t="str">
        <f t="shared" si="17"/>
        <v/>
      </c>
    </row>
    <row r="61" spans="1:79" x14ac:dyDescent="0.25">
      <c r="A61">
        <v>4441</v>
      </c>
      <c r="B61">
        <v>62</v>
      </c>
      <c r="C61">
        <v>2690</v>
      </c>
      <c r="D61" s="3">
        <f t="shared" si="48"/>
        <v>8.3333333333333332E-3</v>
      </c>
      <c r="E61" s="3">
        <f t="shared" si="48"/>
        <v>-4.6483333333333334</v>
      </c>
      <c r="F61">
        <f>IF(A61&gt;0,IF(F60=1,1,IF(B61=Data!$H$4,1,0)),"")</f>
        <v>0</v>
      </c>
      <c r="G61">
        <v>4441</v>
      </c>
      <c r="H61">
        <v>62</v>
      </c>
      <c r="I61">
        <v>2690</v>
      </c>
      <c r="J61" s="3">
        <v>8.3333333333333332E-3</v>
      </c>
      <c r="K61" s="3">
        <v>-4.6483333333333334</v>
      </c>
      <c r="O61" s="3"/>
      <c r="P61" s="3"/>
      <c r="Q61" t="str">
        <f t="shared" si="18"/>
        <v/>
      </c>
      <c r="R61" s="4">
        <f t="shared" si="19"/>
        <v>62</v>
      </c>
      <c r="S61">
        <f t="shared" si="36"/>
        <v>4441</v>
      </c>
      <c r="T61">
        <f t="shared" si="49"/>
        <v>2693.6666666666642</v>
      </c>
      <c r="U61" s="4">
        <f t="shared" si="20"/>
        <v>0</v>
      </c>
      <c r="V61" t="e">
        <f t="shared" si="37"/>
        <v>#DIV/0!</v>
      </c>
      <c r="W61" t="e">
        <f t="shared" si="38"/>
        <v>#DIV/0!</v>
      </c>
      <c r="X61" t="str">
        <f t="shared" si="39"/>
        <v/>
      </c>
      <c r="Y61" t="str">
        <f t="shared" si="40"/>
        <v/>
      </c>
      <c r="Z61" t="str">
        <f t="shared" si="41"/>
        <v/>
      </c>
      <c r="AA61" t="str">
        <f t="shared" si="21"/>
        <v/>
      </c>
      <c r="AB61" t="str">
        <f t="shared" si="42"/>
        <v/>
      </c>
      <c r="AC61" t="str">
        <f t="shared" si="43"/>
        <v/>
      </c>
      <c r="AD61" t="str">
        <f t="shared" si="44"/>
        <v/>
      </c>
      <c r="AE61" t="str">
        <f t="shared" si="45"/>
        <v/>
      </c>
      <c r="AF61" s="72">
        <f>IF(AF60+$AF$1&gt;ROUND(Data!$H$4,0),AF60,AF60+$AF$1)</f>
        <v>70</v>
      </c>
      <c r="AG61">
        <f t="shared" si="50"/>
        <v>5401</v>
      </c>
      <c r="AH61">
        <f t="shared" si="51"/>
        <v>1148</v>
      </c>
      <c r="AI61">
        <f t="shared" si="52"/>
        <v>5401</v>
      </c>
      <c r="AJ61" s="67">
        <f t="shared" si="53"/>
        <v>1151</v>
      </c>
      <c r="AK61" s="4">
        <f t="shared" si="46"/>
        <v>30.900000000000084</v>
      </c>
      <c r="AL61">
        <f t="shared" si="26"/>
        <v>709.00000000001</v>
      </c>
      <c r="AM61">
        <f t="shared" si="27"/>
        <v>11549.033333333326</v>
      </c>
      <c r="AN61">
        <f>IF($AK60+$AK$1&lt;=Data!$H$4-0.5,AVERAGE(AM59:AM63),AN60)</f>
        <v>11548.819999999991</v>
      </c>
      <c r="AO61">
        <f t="shared" si="28"/>
        <v>10152.999999999989</v>
      </c>
      <c r="AP61">
        <f t="shared" si="47"/>
        <v>10970.899999999994</v>
      </c>
      <c r="AQ61">
        <f>IF($AK60+$AK$1&lt;=Data!$H$4-0.5,AVERAGE(AP59:AP63),AQ60)</f>
        <v>10970.96666666666</v>
      </c>
      <c r="AR61">
        <f>IF($AK60+$AK$1&lt;=Data!$H$4-0.5,SLOPE($AN57:$AN65,$AK57:$AK65),AR60)</f>
        <v>-87.399999999998997</v>
      </c>
      <c r="AS61">
        <f>IF($AK60+$AK$1&lt;=Data!$H$4-0.5,SLOPE($AQ57:$AQ65,$AK57:$AK65),AS60)</f>
        <v>-84.499999999999702</v>
      </c>
      <c r="AT61" t="str">
        <f>IF(AND($AK61&gt;=Results!$G$13,$AK61&lt;=Results!$G$14),Curves!AR61,"")</f>
        <v/>
      </c>
      <c r="AU61" t="str">
        <f>IF(AND($AK61&gt;=Results!$G$13,$AK61&lt;=Results!$G$14),Curves!AS61,"")</f>
        <v/>
      </c>
      <c r="AV61" t="str">
        <f t="shared" si="29"/>
        <v/>
      </c>
      <c r="AW61" t="str">
        <f>IF(AND($AK61&lt;=Results!$I$21,$AK61&gt;=Results!$I$20,$AK61&lt;=Results!$F$4),$AN61,"")</f>
        <v/>
      </c>
      <c r="AX61" t="str">
        <f t="shared" si="29"/>
        <v/>
      </c>
      <c r="AY61" t="str">
        <f>IF(AND($AK61&lt;=Results!$I$23,$AK61&gt;=Results!$I$22,$AK61&gt;=Results!$F$4),$AN61,"")</f>
        <v/>
      </c>
      <c r="AZ61" t="str">
        <f t="shared" si="0"/>
        <v/>
      </c>
      <c r="BA61" t="str">
        <f>IF(AND($AK61&lt;=Results!$I$27,$AK61&gt;=Results!$I$26,$AK61&lt;=Results!$F$4),$AQ61,"")</f>
        <v/>
      </c>
      <c r="BB61" t="str">
        <f t="shared" si="1"/>
        <v/>
      </c>
      <c r="BC61" t="str">
        <f>IF(AND($AK61&lt;=Results!$I$29,$AK61&gt;=Results!$I$28,$AK61&gt;=Results!$F$4),$AQ61,"")</f>
        <v/>
      </c>
      <c r="BD61">
        <f t="shared" si="2"/>
        <v>11431.237528451424</v>
      </c>
      <c r="BE61">
        <f t="shared" si="3"/>
        <v>2450.430292900412</v>
      </c>
      <c r="BF61">
        <f t="shared" si="30"/>
        <v>10932.643436254488</v>
      </c>
      <c r="BG61">
        <f t="shared" si="4"/>
        <v>1368.5935406882904</v>
      </c>
      <c r="BH61">
        <f t="shared" si="5"/>
        <v>0</v>
      </c>
      <c r="BI61">
        <f t="shared" si="6"/>
        <v>1.0130926394993882</v>
      </c>
      <c r="BJ61">
        <f t="shared" si="7"/>
        <v>1.0040070086240285</v>
      </c>
      <c r="BK61">
        <f t="shared" si="8"/>
        <v>2.4285555673464122E-3</v>
      </c>
      <c r="BL61">
        <f t="shared" si="9"/>
        <v>-1.2020614402618976E-3</v>
      </c>
      <c r="BM61">
        <f t="shared" si="31"/>
        <v>120</v>
      </c>
      <c r="BN61">
        <f t="shared" si="32"/>
        <v>-120.00000000000742</v>
      </c>
      <c r="BO61">
        <f>Data!$H$2*(1-BI61)*(1-BI61/Data!$H$3)*BM61</f>
        <v>4.1140130174625714E-8</v>
      </c>
      <c r="BP61">
        <f t="shared" si="10"/>
        <v>-121.57111673992658</v>
      </c>
      <c r="BQ61">
        <f>Data!$H$2*(1-BJ61)*(1-BJ61/Data!$H$3)*BN61</f>
        <v>-3.8534683471294933E-9</v>
      </c>
      <c r="BR61">
        <f t="shared" si="11"/>
        <v>120.48084103489086</v>
      </c>
      <c r="BS61">
        <f t="shared" si="33"/>
        <v>0</v>
      </c>
      <c r="BT61">
        <f t="shared" si="12"/>
        <v>0</v>
      </c>
      <c r="BU61">
        <f t="shared" si="13"/>
        <v>0</v>
      </c>
      <c r="BV61">
        <f t="shared" si="14"/>
        <v>0</v>
      </c>
      <c r="BW61">
        <f t="shared" si="34"/>
        <v>0</v>
      </c>
      <c r="BX61" t="str">
        <f t="shared" si="35"/>
        <v/>
      </c>
      <c r="BY61" s="66" t="str">
        <f t="shared" si="15"/>
        <v/>
      </c>
      <c r="BZ61" t="str">
        <f t="shared" si="16"/>
        <v/>
      </c>
      <c r="CA61" s="67" t="str">
        <f t="shared" si="17"/>
        <v/>
      </c>
    </row>
    <row r="62" spans="1:79" x14ac:dyDescent="0.25">
      <c r="A62">
        <v>4501</v>
      </c>
      <c r="B62">
        <v>62.5</v>
      </c>
      <c r="C62">
        <v>2417</v>
      </c>
      <c r="D62" s="3">
        <f t="shared" si="48"/>
        <v>8.3333333333333332E-3</v>
      </c>
      <c r="E62" s="3">
        <f t="shared" si="48"/>
        <v>-4.2549999999999999</v>
      </c>
      <c r="F62">
        <f>IF(A62&gt;0,IF(F61=1,1,IF(B62=Data!$H$4,1,0)),"")</f>
        <v>0</v>
      </c>
      <c r="G62">
        <v>4501</v>
      </c>
      <c r="H62">
        <v>62.5</v>
      </c>
      <c r="I62">
        <v>2417</v>
      </c>
      <c r="J62" s="3">
        <v>8.3333333333333332E-3</v>
      </c>
      <c r="K62" s="3">
        <v>-4.2549999999999999</v>
      </c>
      <c r="O62" s="3"/>
      <c r="P62" s="3"/>
      <c r="Q62" t="str">
        <f t="shared" si="18"/>
        <v/>
      </c>
      <c r="R62" s="4">
        <f t="shared" si="19"/>
        <v>63</v>
      </c>
      <c r="S62">
        <f t="shared" si="36"/>
        <v>4561</v>
      </c>
      <c r="T62">
        <f t="shared" si="49"/>
        <v>2166.5</v>
      </c>
      <c r="U62" s="4">
        <f t="shared" si="20"/>
        <v>0</v>
      </c>
      <c r="V62" t="e">
        <f t="shared" si="37"/>
        <v>#DIV/0!</v>
      </c>
      <c r="W62" t="e">
        <f t="shared" si="38"/>
        <v>#DIV/0!</v>
      </c>
      <c r="X62" t="str">
        <f t="shared" si="39"/>
        <v/>
      </c>
      <c r="Y62" t="str">
        <f t="shared" si="40"/>
        <v/>
      </c>
      <c r="Z62" t="str">
        <f t="shared" si="41"/>
        <v/>
      </c>
      <c r="AA62" t="str">
        <f t="shared" si="21"/>
        <v/>
      </c>
      <c r="AB62" t="str">
        <f t="shared" si="42"/>
        <v/>
      </c>
      <c r="AC62" t="str">
        <f t="shared" si="43"/>
        <v/>
      </c>
      <c r="AD62" t="str">
        <f t="shared" si="44"/>
        <v/>
      </c>
      <c r="AE62" t="str">
        <f t="shared" si="45"/>
        <v/>
      </c>
      <c r="AF62" s="72">
        <f>IF(AF61+$AF$1&gt;ROUND(Data!$H$4,0),AF61,AF61+$AF$1)</f>
        <v>70</v>
      </c>
      <c r="AG62">
        <f>IF(MATCH(AF62,$AA$3:$AA$1010,0)&lt;898,AVERAGE(AG61,AG63),VLOOKUP(AF62,$R$2:$T$301,2,FALSE))</f>
        <v>5401</v>
      </c>
      <c r="AH62">
        <f>IF(MATCH(AF62,$AA$3:$AA$1010,0)&lt;898,AVERAGE(AH61,AH63),VLOOKUP(AF62,$R$2:$T$301,3,FALSE))</f>
        <v>1148</v>
      </c>
      <c r="AI62">
        <f>IF(MATCH(AF62,$AE$3:$AE$1010,0)&lt;898,AVERAGE(AI61,AI63),VLOOKUP(AF62,$U$2:$W$301,2,FALSE))</f>
        <v>5401</v>
      </c>
      <c r="AJ62" s="67">
        <f>IF(MATCH(AF62,$AE$3:$AE$1010,0)&lt;898,AVERAGE(AJ61,AJ63),VLOOKUP(AF62,$U$2:$W$301,3,FALSE))</f>
        <v>1151</v>
      </c>
      <c r="AK62" s="4">
        <f t="shared" si="46"/>
        <v>31.000000000000085</v>
      </c>
      <c r="AL62">
        <f t="shared" si="26"/>
        <v>721.00000000001023</v>
      </c>
      <c r="AM62">
        <f t="shared" si="27"/>
        <v>11540.666666666659</v>
      </c>
      <c r="AN62">
        <f>IF($AK61+$AK$1&lt;=Data!$H$4-0.5,AVERAGE(AM60:AM64),AN61)</f>
        <v>11540.026666666658</v>
      </c>
      <c r="AO62">
        <f t="shared" si="28"/>
        <v>10140.999999999989</v>
      </c>
      <c r="AP62">
        <f t="shared" si="47"/>
        <v>10962.333333333327</v>
      </c>
      <c r="AQ62">
        <f>IF($AK61+$AK$1&lt;=Data!$H$4-0.5,AVERAGE(AP60:AP64),AQ61)</f>
        <v>10962.533333333327</v>
      </c>
      <c r="AR62">
        <f>IF($AK61+$AK$1&lt;=Data!$H$4-0.5,SLOPE($AN58:$AN66,$AK58:$AK66),AR61)</f>
        <v>-88.999999999999332</v>
      </c>
      <c r="AS62">
        <f>IF($AK61+$AK$1&lt;=Data!$H$4-0.5,SLOPE($AQ58:$AQ66,$AK58:$AK66),AS61)</f>
        <v>-84.000000000000014</v>
      </c>
      <c r="AT62" t="str">
        <f>IF(AND($AK62&gt;=Results!$G$13,$AK62&lt;=Results!$G$14),Curves!AR62,"")</f>
        <v/>
      </c>
      <c r="AU62" t="str">
        <f>IF(AND($AK62&gt;=Results!$G$13,$AK62&lt;=Results!$G$14),Curves!AS62,"")</f>
        <v/>
      </c>
      <c r="AV62" t="str">
        <f t="shared" si="29"/>
        <v/>
      </c>
      <c r="AW62" t="str">
        <f>IF(AND($AK62&lt;=Results!$I$21,$AK62&gt;=Results!$I$20,$AK62&lt;=Results!$F$4),$AN62,"")</f>
        <v/>
      </c>
      <c r="AX62" t="str">
        <f t="shared" si="29"/>
        <v/>
      </c>
      <c r="AY62" t="str">
        <f>IF(AND($AK62&lt;=Results!$I$23,$AK62&gt;=Results!$I$22,$AK62&gt;=Results!$F$4),$AN62,"")</f>
        <v/>
      </c>
      <c r="AZ62" t="str">
        <f t="shared" si="0"/>
        <v/>
      </c>
      <c r="BA62" t="str">
        <f>IF(AND($AK62&lt;=Results!$I$27,$AK62&gt;=Results!$I$26,$AK62&lt;=Results!$F$4),$AQ62,"")</f>
        <v/>
      </c>
      <c r="BB62" t="str">
        <f t="shared" si="1"/>
        <v/>
      </c>
      <c r="BC62" t="str">
        <f>IF(AND($AK62&lt;=Results!$I$29,$AK62&gt;=Results!$I$28,$AK62&gt;=Results!$F$4),$AQ62,"")</f>
        <v/>
      </c>
      <c r="BD62">
        <f t="shared" si="2"/>
        <v>11420.467333653503</v>
      </c>
      <c r="BE62">
        <f t="shared" si="3"/>
        <v>2447.1145036510916</v>
      </c>
      <c r="BF62">
        <f t="shared" si="30"/>
        <v>10925.353454021595</v>
      </c>
      <c r="BG62">
        <f t="shared" si="4"/>
        <v>1368.0427397287654</v>
      </c>
      <c r="BH62">
        <f t="shared" si="5"/>
        <v>0</v>
      </c>
      <c r="BI62">
        <f t="shared" si="6"/>
        <v>1.0133238194550209</v>
      </c>
      <c r="BJ62">
        <f t="shared" si="7"/>
        <v>1.0038902030522174</v>
      </c>
      <c r="BK62">
        <f t="shared" si="8"/>
        <v>2.1947523263065837E-3</v>
      </c>
      <c r="BL62">
        <f t="shared" si="9"/>
        <v>-1.1339780094643376E-3</v>
      </c>
      <c r="BM62">
        <f t="shared" si="31"/>
        <v>120.00000000000055</v>
      </c>
      <c r="BN62">
        <f t="shared" si="32"/>
        <v>-119.99999999999829</v>
      </c>
      <c r="BO62">
        <f>Data!$H$2*(1-BI62)*(1-BI62/Data!$H$3)*BM62</f>
        <v>4.2605799568798774E-8</v>
      </c>
      <c r="BP62">
        <f t="shared" si="10"/>
        <v>-121.59885833460308</v>
      </c>
      <c r="BQ62">
        <f>Data!$H$2*(1-BJ62)*(1-BJ62/Data!$H$3)*BN62</f>
        <v>-3.6320831489955888E-9</v>
      </c>
      <c r="BR62">
        <f t="shared" si="11"/>
        <v>120.46682436626438</v>
      </c>
      <c r="BS62">
        <f t="shared" si="33"/>
        <v>0</v>
      </c>
      <c r="BT62">
        <f t="shared" si="12"/>
        <v>0</v>
      </c>
      <c r="BU62">
        <f t="shared" si="13"/>
        <v>0</v>
      </c>
      <c r="BV62">
        <f t="shared" si="14"/>
        <v>0</v>
      </c>
      <c r="BW62">
        <f t="shared" si="34"/>
        <v>0</v>
      </c>
      <c r="BX62" t="str">
        <f t="shared" si="35"/>
        <v/>
      </c>
      <c r="BY62" s="66" t="str">
        <f t="shared" si="15"/>
        <v/>
      </c>
      <c r="BZ62" t="str">
        <f t="shared" si="16"/>
        <v/>
      </c>
      <c r="CA62" s="67" t="str">
        <f t="shared" si="17"/>
        <v/>
      </c>
    </row>
    <row r="63" spans="1:79" x14ac:dyDescent="0.25">
      <c r="A63">
        <v>4561</v>
      </c>
      <c r="B63">
        <v>63</v>
      </c>
      <c r="C63">
        <v>2171</v>
      </c>
      <c r="D63" s="3">
        <f t="shared" si="48"/>
        <v>8.3333333333333332E-3</v>
      </c>
      <c r="E63" s="3">
        <f t="shared" si="48"/>
        <v>-3.8333333333333335</v>
      </c>
      <c r="F63">
        <f>IF(A63&gt;0,IF(F62=1,1,IF(B63=Data!$H$4,1,0)),"")</f>
        <v>0</v>
      </c>
      <c r="G63">
        <v>4561</v>
      </c>
      <c r="H63">
        <v>63</v>
      </c>
      <c r="I63">
        <v>2171</v>
      </c>
      <c r="J63" s="3">
        <v>8.3333333333333332E-3</v>
      </c>
      <c r="K63" s="3">
        <v>-3.8333333333333335</v>
      </c>
      <c r="O63" s="3"/>
      <c r="P63" s="3"/>
      <c r="Q63" t="str">
        <f t="shared" si="18"/>
        <v/>
      </c>
      <c r="R63" s="4">
        <f t="shared" si="19"/>
        <v>63</v>
      </c>
      <c r="S63">
        <f t="shared" si="36"/>
        <v>4561</v>
      </c>
      <c r="T63">
        <f t="shared" si="49"/>
        <v>2181.6666666666679</v>
      </c>
      <c r="U63" s="4">
        <f t="shared" si="20"/>
        <v>0</v>
      </c>
      <c r="V63" t="e">
        <f t="shared" si="37"/>
        <v>#DIV/0!</v>
      </c>
      <c r="W63" t="e">
        <f t="shared" si="38"/>
        <v>#DIV/0!</v>
      </c>
      <c r="X63" t="str">
        <f t="shared" si="39"/>
        <v/>
      </c>
      <c r="Y63" t="str">
        <f t="shared" si="40"/>
        <v/>
      </c>
      <c r="Z63" t="str">
        <f t="shared" si="41"/>
        <v/>
      </c>
      <c r="AA63" t="str">
        <f t="shared" si="21"/>
        <v/>
      </c>
      <c r="AB63" t="str">
        <f t="shared" si="42"/>
        <v/>
      </c>
      <c r="AC63" t="str">
        <f t="shared" si="43"/>
        <v/>
      </c>
      <c r="AD63" t="str">
        <f t="shared" si="44"/>
        <v/>
      </c>
      <c r="AE63" t="str">
        <f t="shared" si="45"/>
        <v/>
      </c>
      <c r="AF63" s="72">
        <f>IF(AF62+$AF$1&gt;ROUND(Data!$H$4,0),AF62,AF62+$AF$1)</f>
        <v>70</v>
      </c>
      <c r="AG63">
        <f t="shared" si="50"/>
        <v>5401</v>
      </c>
      <c r="AH63">
        <f t="shared" si="51"/>
        <v>1148</v>
      </c>
      <c r="AI63">
        <f t="shared" si="52"/>
        <v>5401</v>
      </c>
      <c r="AJ63" s="67">
        <f t="shared" si="53"/>
        <v>1151</v>
      </c>
      <c r="AK63" s="4">
        <f t="shared" si="46"/>
        <v>31.100000000000087</v>
      </c>
      <c r="AL63">
        <f t="shared" si="26"/>
        <v>733.00000000001046</v>
      </c>
      <c r="AM63">
        <f t="shared" si="27"/>
        <v>11531.233333333324</v>
      </c>
      <c r="AN63">
        <f>IF($AK62+$AK$1&lt;=Data!$H$4-0.5,AVERAGE(AM61:AM65),AN62)</f>
        <v>11531.01999999999</v>
      </c>
      <c r="AO63">
        <f t="shared" si="28"/>
        <v>10128.999999999989</v>
      </c>
      <c r="AP63">
        <f t="shared" si="47"/>
        <v>10954.099999999993</v>
      </c>
      <c r="AQ63">
        <f>IF($AK62+$AK$1&lt;=Data!$H$4-0.5,AVERAGE(AP61:AP65),AQ62)</f>
        <v>10954.166666666661</v>
      </c>
      <c r="AR63">
        <f>IF($AK62+$AK$1&lt;=Data!$H$4-0.5,SLOPE($AN59:$AN67,$AK59:$AK67),AR62)</f>
        <v>-90.599999999999071</v>
      </c>
      <c r="AS63">
        <f>IF($AK62+$AK$1&lt;=Data!$H$4-0.5,SLOPE($AQ59:$AQ67,$AK59:$AK67),AS62)</f>
        <v>-83.500000000000924</v>
      </c>
      <c r="AT63" t="str">
        <f>IF(AND($AK63&gt;=Results!$G$13,$AK63&lt;=Results!$G$14),Curves!AR63,"")</f>
        <v/>
      </c>
      <c r="AU63" t="str">
        <f>IF(AND($AK63&gt;=Results!$G$13,$AK63&lt;=Results!$G$14),Curves!AS63,"")</f>
        <v/>
      </c>
      <c r="AV63" t="str">
        <f t="shared" si="29"/>
        <v/>
      </c>
      <c r="AW63" t="str">
        <f>IF(AND($AK63&lt;=Results!$I$21,$AK63&gt;=Results!$I$20,$AK63&lt;=Results!$F$4),$AN63,"")</f>
        <v/>
      </c>
      <c r="AX63" t="str">
        <f t="shared" si="29"/>
        <v/>
      </c>
      <c r="AY63" t="str">
        <f>IF(AND($AK63&lt;=Results!$I$23,$AK63&gt;=Results!$I$22,$AK63&gt;=Results!$F$4),$AN63,"")</f>
        <v/>
      </c>
      <c r="AZ63" t="str">
        <f t="shared" si="0"/>
        <v/>
      </c>
      <c r="BA63" t="str">
        <f>IF(AND($AK63&lt;=Results!$I$27,$AK63&gt;=Results!$I$26,$AK63&lt;=Results!$F$4),$AQ63,"")</f>
        <v/>
      </c>
      <c r="BB63" t="str">
        <f t="shared" si="1"/>
        <v/>
      </c>
      <c r="BC63" t="str">
        <f>IF(AND($AK63&lt;=Results!$I$29,$AK63&gt;=Results!$I$28,$AK63&gt;=Results!$F$4),$AQ63,"")</f>
        <v/>
      </c>
      <c r="BD63">
        <f t="shared" si="2"/>
        <v>11409.697138855583</v>
      </c>
      <c r="BE63">
        <f t="shared" si="3"/>
        <v>2443.7987144017707</v>
      </c>
      <c r="BF63">
        <f t="shared" si="30"/>
        <v>10918.063471788702</v>
      </c>
      <c r="BG63">
        <f t="shared" si="4"/>
        <v>1367.4919387692403</v>
      </c>
      <c r="BH63">
        <f t="shared" si="5"/>
        <v>0</v>
      </c>
      <c r="BI63">
        <f t="shared" si="6"/>
        <v>1.0135315899646495</v>
      </c>
      <c r="BJ63">
        <f t="shared" si="7"/>
        <v>1.0037802130221356</v>
      </c>
      <c r="BK63">
        <f t="shared" si="8"/>
        <v>1.9603656779631773E-3</v>
      </c>
      <c r="BL63">
        <f t="shared" si="9"/>
        <v>-1.0657504023481161E-3</v>
      </c>
      <c r="BM63">
        <f t="shared" si="31"/>
        <v>120</v>
      </c>
      <c r="BN63">
        <f t="shared" si="32"/>
        <v>-119.99999999999831</v>
      </c>
      <c r="BO63">
        <f>Data!$H$2*(1-BI63)*(1-BI63/Data!$H$3)*BM63</f>
        <v>4.3944942473136969E-8</v>
      </c>
      <c r="BP63">
        <f t="shared" si="10"/>
        <v>-121.62379079575794</v>
      </c>
      <c r="BQ63">
        <f>Data!$H$2*(1-BJ63)*(1-BJ63/Data!$H$3)*BN63</f>
        <v>-3.4296025182536136E-9</v>
      </c>
      <c r="BR63">
        <f t="shared" si="11"/>
        <v>120.45362556265458</v>
      </c>
      <c r="BS63">
        <f t="shared" si="33"/>
        <v>0</v>
      </c>
      <c r="BT63">
        <f t="shared" si="12"/>
        <v>0</v>
      </c>
      <c r="BU63">
        <f t="shared" si="13"/>
        <v>0</v>
      </c>
      <c r="BV63">
        <f t="shared" si="14"/>
        <v>0</v>
      </c>
      <c r="BW63">
        <f t="shared" si="34"/>
        <v>0</v>
      </c>
      <c r="BX63" t="str">
        <f t="shared" si="35"/>
        <v/>
      </c>
      <c r="BY63" s="66" t="str">
        <f t="shared" si="15"/>
        <v/>
      </c>
      <c r="BZ63" t="str">
        <f t="shared" si="16"/>
        <v/>
      </c>
      <c r="CA63" s="67" t="str">
        <f t="shared" si="17"/>
        <v/>
      </c>
    </row>
    <row r="64" spans="1:79" x14ac:dyDescent="0.25">
      <c r="A64">
        <v>4621</v>
      </c>
      <c r="B64">
        <v>63.5</v>
      </c>
      <c r="C64">
        <v>1957</v>
      </c>
      <c r="D64" s="3">
        <f t="shared" si="48"/>
        <v>8.3333333333333332E-3</v>
      </c>
      <c r="E64" s="3">
        <f t="shared" si="48"/>
        <v>-3.3283333333333331</v>
      </c>
      <c r="F64">
        <f>IF(A64&gt;0,IF(F63=1,1,IF(B64=Data!$H$4,1,0)),"")</f>
        <v>0</v>
      </c>
      <c r="G64">
        <v>4621</v>
      </c>
      <c r="H64">
        <v>63.5</v>
      </c>
      <c r="I64">
        <v>1957</v>
      </c>
      <c r="J64" s="3">
        <v>8.3333333333333332E-3</v>
      </c>
      <c r="K64" s="3">
        <v>-3.3283333333333331</v>
      </c>
      <c r="O64" s="3"/>
      <c r="P64" s="3"/>
      <c r="Q64" t="str">
        <f t="shared" si="18"/>
        <v/>
      </c>
      <c r="R64" s="4">
        <f t="shared" si="19"/>
        <v>64</v>
      </c>
      <c r="S64">
        <f t="shared" si="36"/>
        <v>4681</v>
      </c>
      <c r="T64">
        <f t="shared" si="49"/>
        <v>1765.5</v>
      </c>
      <c r="U64" s="4">
        <f t="shared" si="20"/>
        <v>0</v>
      </c>
      <c r="V64" t="e">
        <f t="shared" si="37"/>
        <v>#DIV/0!</v>
      </c>
      <c r="W64" t="e">
        <f t="shared" si="38"/>
        <v>#DIV/0!</v>
      </c>
      <c r="X64" t="str">
        <f t="shared" si="39"/>
        <v/>
      </c>
      <c r="Y64" t="str">
        <f t="shared" si="40"/>
        <v/>
      </c>
      <c r="Z64" t="str">
        <f t="shared" si="41"/>
        <v/>
      </c>
      <c r="AA64" t="str">
        <f t="shared" si="21"/>
        <v/>
      </c>
      <c r="AB64" t="str">
        <f t="shared" si="42"/>
        <v/>
      </c>
      <c r="AC64" t="str">
        <f t="shared" si="43"/>
        <v/>
      </c>
      <c r="AD64" t="str">
        <f t="shared" si="44"/>
        <v/>
      </c>
      <c r="AE64" t="str">
        <f t="shared" si="45"/>
        <v/>
      </c>
      <c r="AF64" s="72">
        <f>IF(AF63+$AF$1&gt;ROUND(Data!$H$4,0),AF63,AF63+$AF$1)</f>
        <v>70</v>
      </c>
      <c r="AG64">
        <f>IF(MATCH(AF64,$AA$3:$AA$1010,0)&lt;898,AVERAGE(AG63,AG65),VLOOKUP(AF64,$R$2:$T$301,2,FALSE))</f>
        <v>5401</v>
      </c>
      <c r="AH64">
        <f>IF(MATCH(AF64,$AA$3:$AA$1010,0)&lt;898,AVERAGE(AH63,AH65),VLOOKUP(AF64,$R$2:$T$301,3,FALSE))</f>
        <v>1148</v>
      </c>
      <c r="AI64">
        <f>IF(MATCH(AF64,$AE$3:$AE$1010,0)&lt;898,AVERAGE(AI63,AI65),VLOOKUP(AF64,$U$2:$W$301,2,FALSE))</f>
        <v>5401</v>
      </c>
      <c r="AJ64" s="67">
        <f>IF(MATCH(AF64,$AE$3:$AE$1010,0)&lt;898,AVERAGE(AJ63,AJ65),VLOOKUP(AF64,$U$2:$W$301,3,FALSE))</f>
        <v>1151</v>
      </c>
      <c r="AK64" s="4">
        <f t="shared" si="46"/>
        <v>31.200000000000088</v>
      </c>
      <c r="AL64">
        <f t="shared" si="26"/>
        <v>745.00000000001057</v>
      </c>
      <c r="AM64">
        <f t="shared" si="27"/>
        <v>11521.799999999992</v>
      </c>
      <c r="AN64">
        <f>IF($AK63+$AK$1&lt;=Data!$H$4-0.5,AVERAGE(AM62:AM66),AN63)</f>
        <v>11521.799999999992</v>
      </c>
      <c r="AO64">
        <f t="shared" si="28"/>
        <v>10116.999999999989</v>
      </c>
      <c r="AP64">
        <f t="shared" si="47"/>
        <v>10945.86666666666</v>
      </c>
      <c r="AQ64">
        <f>IF($AK63+$AK$1&lt;=Data!$H$4-0.5,AVERAGE(AP62:AP66),AQ63)</f>
        <v>10945.86666666666</v>
      </c>
      <c r="AR64">
        <f>IF($AK63+$AK$1&lt;=Data!$H$4-0.5,SLOPE($AN60:$AN68,$AK60:$AK68),AR63)</f>
        <v>-92.022222222221501</v>
      </c>
      <c r="AS64">
        <f>IF($AK63+$AK$1&lt;=Data!$H$4-0.5,SLOPE($AQ60:$AQ68,$AK60:$AK68),AS63)</f>
        <v>-83.055555555556595</v>
      </c>
      <c r="AT64" t="str">
        <f>IF(AND($AK64&gt;=Results!$G$13,$AK64&lt;=Results!$G$14),Curves!AR64,"")</f>
        <v/>
      </c>
      <c r="AU64" t="str">
        <f>IF(AND($AK64&gt;=Results!$G$13,$AK64&lt;=Results!$G$14),Curves!AS64,"")</f>
        <v/>
      </c>
      <c r="AV64" t="str">
        <f t="shared" si="29"/>
        <v/>
      </c>
      <c r="AW64" t="str">
        <f>IF(AND($AK64&lt;=Results!$I$21,$AK64&gt;=Results!$I$20,$AK64&lt;=Results!$F$4),$AN64,"")</f>
        <v/>
      </c>
      <c r="AX64" t="str">
        <f t="shared" si="29"/>
        <v/>
      </c>
      <c r="AY64" t="str">
        <f>IF(AND($AK64&lt;=Results!$I$23,$AK64&gt;=Results!$I$22,$AK64&gt;=Results!$F$4),$AN64,"")</f>
        <v/>
      </c>
      <c r="AZ64" t="str">
        <f t="shared" si="0"/>
        <v/>
      </c>
      <c r="BA64" t="str">
        <f>IF(AND($AK64&lt;=Results!$I$27,$AK64&gt;=Results!$I$26,$AK64&lt;=Results!$F$4),$AQ64,"")</f>
        <v/>
      </c>
      <c r="BB64" t="str">
        <f t="shared" si="1"/>
        <v/>
      </c>
      <c r="BC64" t="str">
        <f>IF(AND($AK64&lt;=Results!$I$29,$AK64&gt;=Results!$I$28,$AK64&gt;=Results!$F$4),$AQ64,"")</f>
        <v/>
      </c>
      <c r="BD64">
        <f t="shared" si="2"/>
        <v>11398.926944057665</v>
      </c>
      <c r="BE64">
        <f t="shared" si="3"/>
        <v>2440.4829251524498</v>
      </c>
      <c r="BF64">
        <f t="shared" si="30"/>
        <v>10910.77348955581</v>
      </c>
      <c r="BG64">
        <f t="shared" si="4"/>
        <v>1366.9411378097154</v>
      </c>
      <c r="BH64">
        <f t="shared" si="5"/>
        <v>0</v>
      </c>
      <c r="BI64">
        <f t="shared" si="6"/>
        <v>1.0137158925906136</v>
      </c>
      <c r="BJ64">
        <f t="shared" si="7"/>
        <v>1.0036770529717478</v>
      </c>
      <c r="BK64">
        <f t="shared" si="8"/>
        <v>1.7253936796701483E-3</v>
      </c>
      <c r="BL64">
        <f t="shared" si="9"/>
        <v>-9.9737821154020868E-4</v>
      </c>
      <c r="BM64">
        <f t="shared" si="31"/>
        <v>119.99999999999942</v>
      </c>
      <c r="BN64">
        <f t="shared" si="32"/>
        <v>-119.99999999999829</v>
      </c>
      <c r="BO64">
        <f>Data!$H$2*(1-BI64)*(1-BI64/Data!$H$3)*BM64</f>
        <v>4.5150170293739325E-8</v>
      </c>
      <c r="BP64">
        <f t="shared" si="10"/>
        <v>-121.64590711087304</v>
      </c>
      <c r="BQ64">
        <f>Data!$H$2*(1-BJ64)*(1-BJ64/Data!$H$3)*BN64</f>
        <v>-3.2449724536894052E-9</v>
      </c>
      <c r="BR64">
        <f t="shared" si="11"/>
        <v>120.44124635660802</v>
      </c>
      <c r="BS64">
        <f t="shared" si="33"/>
        <v>0</v>
      </c>
      <c r="BT64">
        <f t="shared" si="12"/>
        <v>0</v>
      </c>
      <c r="BU64">
        <f t="shared" si="13"/>
        <v>0</v>
      </c>
      <c r="BV64">
        <f t="shared" si="14"/>
        <v>0</v>
      </c>
      <c r="BW64">
        <f t="shared" si="34"/>
        <v>0</v>
      </c>
      <c r="BX64" t="str">
        <f t="shared" si="35"/>
        <v/>
      </c>
      <c r="BY64" s="66" t="str">
        <f t="shared" si="15"/>
        <v/>
      </c>
      <c r="BZ64" t="str">
        <f t="shared" si="16"/>
        <v/>
      </c>
      <c r="CA64" s="67" t="str">
        <f t="shared" si="17"/>
        <v/>
      </c>
    </row>
    <row r="65" spans="1:79" x14ac:dyDescent="0.25">
      <c r="A65">
        <v>4681</v>
      </c>
      <c r="B65">
        <v>64</v>
      </c>
      <c r="C65">
        <v>1770</v>
      </c>
      <c r="D65" s="3">
        <f t="shared" si="48"/>
        <v>8.3333333333333332E-3</v>
      </c>
      <c r="E65" s="3">
        <f t="shared" si="48"/>
        <v>-2.8133333333333335</v>
      </c>
      <c r="F65">
        <f>IF(A65&gt;0,IF(F64=1,1,IF(B65=Data!$H$4,1,0)),"")</f>
        <v>0</v>
      </c>
      <c r="G65">
        <v>4681</v>
      </c>
      <c r="H65">
        <v>64</v>
      </c>
      <c r="I65">
        <v>1770</v>
      </c>
      <c r="J65" s="3">
        <v>8.3333333333333332E-3</v>
      </c>
      <c r="K65" s="3">
        <v>-2.8133333333333335</v>
      </c>
      <c r="O65" s="3"/>
      <c r="P65" s="3"/>
      <c r="Q65" t="str">
        <f t="shared" si="18"/>
        <v/>
      </c>
      <c r="R65" s="4">
        <f t="shared" si="19"/>
        <v>64</v>
      </c>
      <c r="S65">
        <f t="shared" si="36"/>
        <v>4681</v>
      </c>
      <c r="T65">
        <f t="shared" si="49"/>
        <v>1782</v>
      </c>
      <c r="U65" s="4">
        <f t="shared" si="20"/>
        <v>0</v>
      </c>
      <c r="V65" t="e">
        <f t="shared" si="37"/>
        <v>#DIV/0!</v>
      </c>
      <c r="W65" t="e">
        <f t="shared" si="38"/>
        <v>#DIV/0!</v>
      </c>
      <c r="X65" t="str">
        <f t="shared" si="39"/>
        <v/>
      </c>
      <c r="Y65" t="str">
        <f t="shared" si="40"/>
        <v/>
      </c>
      <c r="Z65" t="str">
        <f t="shared" si="41"/>
        <v/>
      </c>
      <c r="AA65" t="str">
        <f t="shared" si="21"/>
        <v/>
      </c>
      <c r="AB65" t="str">
        <f t="shared" si="42"/>
        <v/>
      </c>
      <c r="AC65" t="str">
        <f t="shared" si="43"/>
        <v/>
      </c>
      <c r="AD65" t="str">
        <f t="shared" si="44"/>
        <v/>
      </c>
      <c r="AE65" t="str">
        <f t="shared" si="45"/>
        <v/>
      </c>
      <c r="AF65" s="72">
        <f>IF(AF64+$AF$1&gt;ROUND(Data!$H$4,0),AF64,AF64+$AF$1)</f>
        <v>70</v>
      </c>
      <c r="AG65">
        <f t="shared" si="50"/>
        <v>5401</v>
      </c>
      <c r="AH65">
        <f t="shared" si="51"/>
        <v>1148</v>
      </c>
      <c r="AI65">
        <f t="shared" si="52"/>
        <v>5401</v>
      </c>
      <c r="AJ65" s="67">
        <f t="shared" si="53"/>
        <v>1151</v>
      </c>
      <c r="AK65" s="4">
        <f t="shared" si="46"/>
        <v>31.30000000000009</v>
      </c>
      <c r="AL65">
        <f t="shared" si="26"/>
        <v>757.00000000001069</v>
      </c>
      <c r="AM65">
        <f t="shared" si="27"/>
        <v>11512.366666666658</v>
      </c>
      <c r="AN65">
        <f>IF($AK64+$AK$1&lt;=Data!$H$4-0.5,AVERAGE(AM63:AM67),AN64)</f>
        <v>11512.36666666666</v>
      </c>
      <c r="AO65">
        <f t="shared" si="28"/>
        <v>10104.999999999989</v>
      </c>
      <c r="AP65">
        <f t="shared" si="47"/>
        <v>10937.633333333326</v>
      </c>
      <c r="AQ65">
        <f>IF($AK64+$AK$1&lt;=Data!$H$4-0.5,AVERAGE(AP63:AP67),AQ64)</f>
        <v>10937.633333333326</v>
      </c>
      <c r="AR65">
        <f>IF($AK64+$AK$1&lt;=Data!$H$4-0.5,SLOPE($AN61:$AN69,$AK61:$AK69),AR64)</f>
        <v>-93.088888888887496</v>
      </c>
      <c r="AS65">
        <f>IF($AK64+$AK$1&lt;=Data!$H$4-0.5,SLOPE($AQ61:$AQ69,$AK61:$AK69),AS64)</f>
        <v>-82.722222222223877</v>
      </c>
      <c r="AT65" t="str">
        <f>IF(AND($AK65&gt;=Results!$G$13,$AK65&lt;=Results!$G$14),Curves!AR65,"")</f>
        <v/>
      </c>
      <c r="AU65" t="str">
        <f>IF(AND($AK65&gt;=Results!$G$13,$AK65&lt;=Results!$G$14),Curves!AS65,"")</f>
        <v/>
      </c>
      <c r="AV65" t="str">
        <f t="shared" si="29"/>
        <v/>
      </c>
      <c r="AW65" t="str">
        <f>IF(AND($AK65&lt;=Results!$I$21,$AK65&gt;=Results!$I$20,$AK65&lt;=Results!$F$4),$AN65,"")</f>
        <v/>
      </c>
      <c r="AX65" t="str">
        <f t="shared" si="29"/>
        <v/>
      </c>
      <c r="AY65" t="str">
        <f>IF(AND($AK65&lt;=Results!$I$23,$AK65&gt;=Results!$I$22,$AK65&gt;=Results!$F$4),$AN65,"")</f>
        <v/>
      </c>
      <c r="AZ65" t="str">
        <f t="shared" si="0"/>
        <v/>
      </c>
      <c r="BA65" t="str">
        <f>IF(AND($AK65&lt;=Results!$I$27,$AK65&gt;=Results!$I$26,$AK65&lt;=Results!$F$4),$AQ65,"")</f>
        <v/>
      </c>
      <c r="BB65" t="str">
        <f t="shared" si="1"/>
        <v/>
      </c>
      <c r="BC65" t="str">
        <f>IF(AND($AK65&lt;=Results!$I$29,$AK65&gt;=Results!$I$28,$AK65&gt;=Results!$F$4),$AQ65,"")</f>
        <v/>
      </c>
      <c r="BD65">
        <f t="shared" si="2"/>
        <v>11388.156749259744</v>
      </c>
      <c r="BE65">
        <f t="shared" si="3"/>
        <v>2437.1671359031288</v>
      </c>
      <c r="BF65">
        <f t="shared" si="30"/>
        <v>10903.483507322915</v>
      </c>
      <c r="BG65">
        <f t="shared" si="4"/>
        <v>1366.3903368501904</v>
      </c>
      <c r="BH65">
        <f t="shared" si="5"/>
        <v>0</v>
      </c>
      <c r="BI65">
        <f t="shared" si="6"/>
        <v>1.0138766687005836</v>
      </c>
      <c r="BJ65">
        <f t="shared" si="7"/>
        <v>1.0035807373798276</v>
      </c>
      <c r="BK65">
        <f t="shared" si="8"/>
        <v>1.6091011629959288E-3</v>
      </c>
      <c r="BL65">
        <f t="shared" si="9"/>
        <v>-9.6383699383360865E-4</v>
      </c>
      <c r="BM65">
        <f t="shared" si="31"/>
        <v>120</v>
      </c>
      <c r="BN65">
        <f t="shared" si="32"/>
        <v>-119.99999999999831</v>
      </c>
      <c r="BO65">
        <f>Data!$H$2*(1-BI65)*(1-BI65/Data!$H$3)*BM65</f>
        <v>4.6214864214181383E-8</v>
      </c>
      <c r="BP65">
        <f t="shared" si="10"/>
        <v>-121.66520024407004</v>
      </c>
      <c r="BQ65">
        <f>Data!$H$2*(1-BJ65)*(1-BJ65/Data!$H$3)*BN65</f>
        <v>-3.077203243990596E-9</v>
      </c>
      <c r="BR65">
        <f t="shared" si="11"/>
        <v>120.42968848557761</v>
      </c>
      <c r="BS65">
        <f t="shared" si="33"/>
        <v>0</v>
      </c>
      <c r="BT65">
        <f t="shared" si="12"/>
        <v>0</v>
      </c>
      <c r="BU65">
        <f t="shared" si="13"/>
        <v>0</v>
      </c>
      <c r="BV65">
        <f t="shared" si="14"/>
        <v>0</v>
      </c>
      <c r="BW65">
        <f t="shared" si="34"/>
        <v>0</v>
      </c>
      <c r="BX65" t="str">
        <f t="shared" si="35"/>
        <v/>
      </c>
      <c r="BY65" s="66" t="str">
        <f t="shared" si="15"/>
        <v/>
      </c>
      <c r="BZ65" t="str">
        <f t="shared" si="16"/>
        <v/>
      </c>
      <c r="CA65" s="67" t="str">
        <f t="shared" si="17"/>
        <v/>
      </c>
    </row>
    <row r="66" spans="1:79" x14ac:dyDescent="0.25">
      <c r="A66">
        <v>4741</v>
      </c>
      <c r="B66">
        <v>64.5</v>
      </c>
      <c r="C66">
        <v>1619</v>
      </c>
      <c r="D66" s="3">
        <f t="shared" si="48"/>
        <v>8.3333333333333332E-3</v>
      </c>
      <c r="E66" s="3">
        <f t="shared" si="48"/>
        <v>-2.3066666666666666</v>
      </c>
      <c r="F66">
        <f>IF(A66&gt;0,IF(F65=1,1,IF(B66=Data!$H$4,1,0)),"")</f>
        <v>0</v>
      </c>
      <c r="G66">
        <v>4741</v>
      </c>
      <c r="H66">
        <v>64.5</v>
      </c>
      <c r="I66">
        <v>1619</v>
      </c>
      <c r="J66" s="3">
        <v>8.3333333333333332E-3</v>
      </c>
      <c r="K66" s="3">
        <v>-2.3066666666666666</v>
      </c>
      <c r="O66" s="3"/>
      <c r="P66" s="3"/>
      <c r="Q66" t="str">
        <f t="shared" si="18"/>
        <v/>
      </c>
      <c r="R66" s="4">
        <f t="shared" si="19"/>
        <v>65</v>
      </c>
      <c r="S66">
        <f t="shared" si="36"/>
        <v>4801</v>
      </c>
      <c r="T66">
        <f t="shared" si="49"/>
        <v>1491.3333333333321</v>
      </c>
      <c r="U66" s="4">
        <f t="shared" si="20"/>
        <v>0</v>
      </c>
      <c r="V66" t="e">
        <f t="shared" si="37"/>
        <v>#DIV/0!</v>
      </c>
      <c r="W66" t="e">
        <f t="shared" si="38"/>
        <v>#DIV/0!</v>
      </c>
      <c r="X66" t="str">
        <f t="shared" si="39"/>
        <v/>
      </c>
      <c r="Y66" t="str">
        <f t="shared" si="40"/>
        <v/>
      </c>
      <c r="Z66" t="str">
        <f t="shared" si="41"/>
        <v/>
      </c>
      <c r="AA66" t="str">
        <f t="shared" si="21"/>
        <v/>
      </c>
      <c r="AB66" t="str">
        <f t="shared" si="42"/>
        <v/>
      </c>
      <c r="AC66" t="str">
        <f t="shared" si="43"/>
        <v/>
      </c>
      <c r="AD66" t="str">
        <f t="shared" si="44"/>
        <v/>
      </c>
      <c r="AE66" t="str">
        <f t="shared" si="45"/>
        <v/>
      </c>
      <c r="AF66" s="72">
        <f>IF(AF65+$AF$1&gt;ROUND(Data!$H$4,0),AF65,AF65+$AF$1)</f>
        <v>70</v>
      </c>
      <c r="AG66">
        <f>IF(MATCH(AF66,$AA$3:$AA$1010,0)&lt;898,AVERAGE(AG65,AG67),VLOOKUP(AF66,$R$2:$T$301,2,FALSE))</f>
        <v>5401</v>
      </c>
      <c r="AH66">
        <f>IF(MATCH(AF66,$AA$3:$AA$1010,0)&lt;898,AVERAGE(AH65,AH67),VLOOKUP(AF66,$R$2:$T$301,3,FALSE))</f>
        <v>1148</v>
      </c>
      <c r="AI66">
        <f>IF(MATCH(AF66,$AE$3:$AE$1010,0)&lt;898,AVERAGE(AI65,AI67),VLOOKUP(AF66,$U$2:$W$301,2,FALSE))</f>
        <v>5401</v>
      </c>
      <c r="AJ66" s="67">
        <f>IF(MATCH(AF66,$AE$3:$AE$1010,0)&lt;898,AVERAGE(AJ65,AJ67),VLOOKUP(AF66,$U$2:$W$301,3,FALSE))</f>
        <v>1151</v>
      </c>
      <c r="AK66" s="4">
        <f t="shared" si="46"/>
        <v>31.400000000000091</v>
      </c>
      <c r="AL66">
        <f t="shared" si="26"/>
        <v>769.00000000001091</v>
      </c>
      <c r="AM66">
        <f t="shared" si="27"/>
        <v>11502.933333333325</v>
      </c>
      <c r="AN66">
        <f>IF($AK65+$AK$1&lt;=Data!$H$4-0.5,AVERAGE(AM64:AM68),AN65)</f>
        <v>11502.933333333325</v>
      </c>
      <c r="AO66">
        <f t="shared" si="28"/>
        <v>10092.999999999989</v>
      </c>
      <c r="AP66">
        <f t="shared" si="47"/>
        <v>10929.399999999992</v>
      </c>
      <c r="AQ66">
        <f>IF($AK65+$AK$1&lt;=Data!$H$4-0.5,AVERAGE(AP64:AP68),AQ65)</f>
        <v>10929.399999999992</v>
      </c>
      <c r="AR66">
        <f>IF($AK65+$AK$1&lt;=Data!$H$4-0.5,SLOPE($AN62:$AN70,$AK62:$AK70),AR65)</f>
        <v>-93.799999999999741</v>
      </c>
      <c r="AS66">
        <f>IF($AK65+$AK$1&lt;=Data!$H$4-0.5,SLOPE($AQ62:$AQ70,$AK62:$AK70),AS65)</f>
        <v>-82.500000000002146</v>
      </c>
      <c r="AT66" t="str">
        <f>IF(AND($AK66&gt;=Results!$G$13,$AK66&lt;=Results!$G$14),Curves!AR66,"")</f>
        <v/>
      </c>
      <c r="AU66" t="str">
        <f>IF(AND($AK66&gt;=Results!$G$13,$AK66&lt;=Results!$G$14),Curves!AS66,"")</f>
        <v/>
      </c>
      <c r="AV66" t="str">
        <f t="shared" si="29"/>
        <v/>
      </c>
      <c r="AW66" t="str">
        <f>IF(AND($AK66&lt;=Results!$I$21,$AK66&gt;=Results!$I$20,$AK66&lt;=Results!$F$4),$AN66,"")</f>
        <v/>
      </c>
      <c r="AX66" t="str">
        <f t="shared" si="29"/>
        <v/>
      </c>
      <c r="AY66" t="str">
        <f>IF(AND($AK66&lt;=Results!$I$23,$AK66&gt;=Results!$I$22,$AK66&gt;=Results!$F$4),$AN66,"")</f>
        <v/>
      </c>
      <c r="AZ66" t="str">
        <f t="shared" ref="AZ66:AZ129" si="54">IF(BA66="","",$AK66)</f>
        <v/>
      </c>
      <c r="BA66" t="str">
        <f>IF(AND($AK66&lt;=Results!$I$27,$AK66&gt;=Results!$I$26,$AK66&lt;=Results!$F$4),$AQ66,"")</f>
        <v/>
      </c>
      <c r="BB66" t="str">
        <f t="shared" ref="BB66:BB129" si="55">IF(BC66="","",$AK66)</f>
        <v/>
      </c>
      <c r="BC66" t="str">
        <f>IF(AND($AK66&lt;=Results!$I$29,$AK66&gt;=Results!$I$28,$AK66&gt;=Results!$F$4),$AQ66,"")</f>
        <v/>
      </c>
      <c r="BD66">
        <f t="shared" ref="BD66:BD129" si="56">IF($AV$513&gt;0,INTERCEPT($AW$2:$AW$512,$AV$2:$AV$512)+$AK66*SLOPE($AW$2:$AW$512,$AV$2:$AV$512),INTERCEPT($AN$2:$AN$30,$AK$2:$AK$30)+$AK66*SLOPE($AN$2:$AN$30,$AK$2:$AK$30))</f>
        <v>11377.386554461824</v>
      </c>
      <c r="BE66">
        <f t="shared" ref="BE66:BE129" si="57">IF($AX$513&gt;0,INTERCEPT($AY$2:$AY$512,$AX$2:$AX$512)+$AK66*SLOPE($AY$2:$AY$512,$AX$2:$AX$512),INTERCEPT($AN$460:$AN$512,$AK$460:$AK$512)+$AK66*SLOPE($AN$460:$AN$512,$AK$460:$AK$512))</f>
        <v>2433.8513466538079</v>
      </c>
      <c r="BF66">
        <f t="shared" ref="BF66:BF129" si="58">IF($AZ$513&gt;0,INTERCEPT($BA$2:$BA$512,$AZ$2:$AZ$512)+$AK66*SLOPE($BA$2:$BA$512,$AZ$2:$AZ$512),INTERCEPT($AQ$2:$AQ$30,$AK$2:$AK$30)+$AK66*SLOPE($AQ$2:$AQ$30,$AK$2:$AK$30))</f>
        <v>10896.193525090022</v>
      </c>
      <c r="BG66">
        <f t="shared" ref="BG66:BG129" si="59">IF($BB$513&gt;0,INTERCEPT($BC$2:$BC$512,$BB$2:$BB$512)+$AK66*SLOPE($BC$2:$BC$512,$BB$2:$BB$512),INTERCEPT($AQ$460:$AQ$512,$AK$460:$AK$512)+$AK66*SLOPE($AQ$460:$AQ$512,$AK$460:$AK$512))</f>
        <v>1365.8395358906653</v>
      </c>
      <c r="BH66">
        <f t="shared" ref="BH66:BH129" si="60">IF(OR(BJ66=0.5,AND(BJ66&gt;0.5,BJ67&lt;0.5)),$AK$1*(0.5-BJ66)/(BJ67-BJ66)+AK66,0)</f>
        <v>0</v>
      </c>
      <c r="BI66">
        <f t="shared" ref="BI66:BI129" si="61">1-(AN66-BD66)/(BE66-BD66)</f>
        <v>1.0140377128232128</v>
      </c>
      <c r="BJ66">
        <f t="shared" ref="BJ66:BJ129" si="62">1-(AQ66-BF66)/(BG66-BF66)</f>
        <v>1.0034842855729811</v>
      </c>
      <c r="BK66">
        <f t="shared" ref="BK66:BK129" si="63">SLOPE($BI65:$BI67,$AK65:$AK67)</f>
        <v>1.6117846431950901E-3</v>
      </c>
      <c r="BL66">
        <f t="shared" ref="BL66:BL129" si="64">SLOPE($BJ65:$BJ67,$AK65:$AK67)</f>
        <v>-9.6520058894043758E-4</v>
      </c>
      <c r="BM66">
        <f t="shared" si="31"/>
        <v>120.00000000000055</v>
      </c>
      <c r="BN66">
        <f t="shared" si="32"/>
        <v>-119.99999999999829</v>
      </c>
      <c r="BO66">
        <f>Data!$H$2*(1-BI66)*(1-BI66/Data!$H$3)*BM66</f>
        <v>4.7293771513678257E-8</v>
      </c>
      <c r="BP66">
        <f t="shared" ref="BP66:BP129" si="65">-BI66*BM66</f>
        <v>-121.68452553878609</v>
      </c>
      <c r="BQ66">
        <f>Data!$H$2*(1-BJ66)*(1-BJ66/Data!$H$3)*BN66</f>
        <v>-2.9136590289801459E-9</v>
      </c>
      <c r="BR66">
        <f t="shared" ref="BR66:BR129" si="66">-BJ66*BN66</f>
        <v>120.41811426875601</v>
      </c>
      <c r="BS66">
        <f t="shared" ref="BS66:BS129" si="67">IF(AND(BI66&gt;0.4,BI66&lt;0.6),(BL66-BT66*BR66)/BQ66,0)</f>
        <v>0</v>
      </c>
      <c r="BT66">
        <f t="shared" ref="BT66:BT129" si="68">IF(AND(BI66&gt;0.4,BI66&lt;0.6),(BQ66*BK66-BO66*BL66)/(BQ66*BP66-BO66*BR66),0)</f>
        <v>0</v>
      </c>
      <c r="BU66">
        <f t="shared" ref="BU66:BU129" si="69">IF(AND(BI66&gt;0.4,BI66&lt;0.6),1/(273.15+AK66),0)</f>
        <v>0</v>
      </c>
      <c r="BV66">
        <f t="shared" ref="BV66:BV129" si="70">IF(BS66&lt;=0,0,LN(BS66))</f>
        <v>0</v>
      </c>
      <c r="BW66">
        <f t="shared" si="34"/>
        <v>0</v>
      </c>
      <c r="BX66" t="str">
        <f t="shared" si="35"/>
        <v/>
      </c>
      <c r="BY66" s="66" t="str">
        <f t="shared" ref="BY66:BY129" si="71">IF(BU66=0,"",BI66)</f>
        <v/>
      </c>
      <c r="BZ66" t="str">
        <f t="shared" ref="BZ66:BZ129" si="72">IF(BU66=0,"",BV66)</f>
        <v/>
      </c>
      <c r="CA66" s="67" t="str">
        <f t="shared" ref="CA66:CA129" si="73">IF(BU66=0,"",BW66)</f>
        <v/>
      </c>
    </row>
    <row r="67" spans="1:79" x14ac:dyDescent="0.25">
      <c r="A67">
        <v>4801</v>
      </c>
      <c r="B67">
        <v>65</v>
      </c>
      <c r="C67">
        <v>1496</v>
      </c>
      <c r="D67" s="3">
        <f t="shared" si="48"/>
        <v>8.3333333333333332E-3</v>
      </c>
      <c r="E67" s="3">
        <f t="shared" si="48"/>
        <v>-1.8149999999999999</v>
      </c>
      <c r="F67">
        <f>IF(A67&gt;0,IF(F66=1,1,IF(B67=Data!$H$4,1,0)),"")</f>
        <v>0</v>
      </c>
      <c r="G67">
        <v>4801</v>
      </c>
      <c r="H67">
        <v>65</v>
      </c>
      <c r="I67">
        <v>1496</v>
      </c>
      <c r="J67" s="3">
        <v>8.3333333333333332E-3</v>
      </c>
      <c r="K67" s="3">
        <v>-1.8149999999999999</v>
      </c>
      <c r="O67" s="3"/>
      <c r="P67" s="3"/>
      <c r="Q67" t="str">
        <f t="shared" ref="Q67:Q130" si="74">IF(MAX(ABS(MIN($K:$K)),ABS(MAX($K:$K)))=ABS(K67),H67,"")</f>
        <v/>
      </c>
      <c r="R67" s="4">
        <f t="shared" ref="R67:R130" si="75">IF(H67=0,"",ROUND(H67,0))</f>
        <v>65</v>
      </c>
      <c r="S67">
        <f t="shared" si="36"/>
        <v>4801</v>
      </c>
      <c r="T67">
        <f t="shared" si="49"/>
        <v>1505.6666666666661</v>
      </c>
      <c r="U67" s="4">
        <f t="shared" ref="U67:U130" si="76">ROUND(M67,0)</f>
        <v>0</v>
      </c>
      <c r="V67" t="e">
        <f t="shared" si="37"/>
        <v>#DIV/0!</v>
      </c>
      <c r="W67" t="e">
        <f t="shared" si="38"/>
        <v>#DIV/0!</v>
      </c>
      <c r="X67" t="str">
        <f t="shared" si="39"/>
        <v/>
      </c>
      <c r="Y67" t="str">
        <f t="shared" si="40"/>
        <v/>
      </c>
      <c r="Z67" t="str">
        <f t="shared" si="41"/>
        <v/>
      </c>
      <c r="AA67" t="str">
        <f t="shared" ref="AA67:AA130" si="77">X67</f>
        <v/>
      </c>
      <c r="AB67" t="str">
        <f t="shared" si="42"/>
        <v/>
      </c>
      <c r="AC67" t="str">
        <f t="shared" si="43"/>
        <v/>
      </c>
      <c r="AD67" t="str">
        <f t="shared" si="44"/>
        <v/>
      </c>
      <c r="AE67" t="str">
        <f t="shared" si="45"/>
        <v/>
      </c>
      <c r="AF67" s="72">
        <f>IF(AF66+$AF$1&gt;ROUND(Data!$H$4,0),AF66,AF66+$AF$1)</f>
        <v>70</v>
      </c>
      <c r="AG67">
        <f t="shared" si="50"/>
        <v>5401</v>
      </c>
      <c r="AH67">
        <f t="shared" si="51"/>
        <v>1148</v>
      </c>
      <c r="AI67">
        <f t="shared" si="52"/>
        <v>5401</v>
      </c>
      <c r="AJ67" s="67">
        <f t="shared" si="53"/>
        <v>1151</v>
      </c>
      <c r="AK67" s="4">
        <f t="shared" si="46"/>
        <v>31.500000000000092</v>
      </c>
      <c r="AL67">
        <f t="shared" ref="AL67:AL130" si="78">IF($AK67=ROUND($AK67,0),VLOOKUP($AK67,$AF$2:$AJ$112,2),($AK67-FLOOR($AK67,1))/(CEILING($AK67,1)-FLOOR($AK67,1))*(VLOOKUP(CEILING($AK67,1),$AF$2:$AJ$112,2,FALSE)-VLOOKUP(FLOOR($AK67,1),$AF$2:$AJ$112,2,FALSE))+VLOOKUP(FLOOR($AK67,1),$AF$2:$AJ$112,2,FALSE))</f>
        <v>781.00000000001114</v>
      </c>
      <c r="AM67">
        <f t="shared" ref="AM67:AM130" si="79">IF($AK67=ROUND($AK67,0),VLOOKUP($AK67,$AF$2:$AJ$112,3),($AK67-FLOOR($AK67,1))/(CEILING($AK67,1)-FLOOR($AK67,1))*(VLOOKUP(CEILING($AK67,1),$AF$2:$AJ$112,3,FALSE)-VLOOKUP(FLOOR($AK67,1),$AF$2:$AJ$112,3,FALSE))+VLOOKUP(FLOOR($AK67,1),$AF$2:$AJ$112,3,FALSE))</f>
        <v>11493.499999999991</v>
      </c>
      <c r="AN67">
        <f>IF($AK66+$AK$1&lt;=Data!$H$4-0.5,AVERAGE(AM65:AM69),AN66)</f>
        <v>11493.499999999991</v>
      </c>
      <c r="AO67">
        <f t="shared" ref="AO67:AO130" si="80">IF($AK67=ROUND($AK67,0),VLOOKUP($AK67,$AF$2:$AJ$112,4),($AK67-FLOOR($AK67,1))/(CEILING($AK67,1)-FLOOR($AK67,1))*(VLOOKUP(CEILING($AK67,1),$AF$2:$AJ$112,4,FALSE)-VLOOKUP(FLOOR($AK67,1),$AF$2:$AJ$112,4,FALSE))+VLOOKUP(FLOOR($AK67,1),$AF$2:$AJ$112,4,FALSE))</f>
        <v>10080.999999999989</v>
      </c>
      <c r="AP67">
        <f t="shared" si="47"/>
        <v>10921.166666666659</v>
      </c>
      <c r="AQ67">
        <f>IF($AK66+$AK$1&lt;=Data!$H$4-0.5,AVERAGE(AP65:AP69),AQ66)</f>
        <v>10921.166666666659</v>
      </c>
      <c r="AR67">
        <f>IF($AK66+$AK$1&lt;=Data!$H$4-0.5,SLOPE($AN63:$AN71,$AK63:$AK71),AR66)</f>
        <v>-94.391111111111826</v>
      </c>
      <c r="AS67">
        <f>IF($AK66+$AK$1&lt;=Data!$H$4-0.5,SLOPE($AQ63:$AQ71,$AK63:$AK71),AS66)</f>
        <v>-82.373333333335466</v>
      </c>
      <c r="AT67" t="str">
        <f>IF(AND($AK67&gt;=Results!$G$13,$AK67&lt;=Results!$G$14),Curves!AR67,"")</f>
        <v/>
      </c>
      <c r="AU67" t="str">
        <f>IF(AND($AK67&gt;=Results!$G$13,$AK67&lt;=Results!$G$14),Curves!AS67,"")</f>
        <v/>
      </c>
      <c r="AV67" t="str">
        <f t="shared" ref="AV67:AX130" si="81">IF(AW67="","",$AK67)</f>
        <v/>
      </c>
      <c r="AW67" t="str">
        <f>IF(AND($AK67&lt;=Results!$I$21,$AK67&gt;=Results!$I$20,$AK67&lt;=Results!$F$4),$AN67,"")</f>
        <v/>
      </c>
      <c r="AX67" t="str">
        <f t="shared" si="81"/>
        <v/>
      </c>
      <c r="AY67" t="str">
        <f>IF(AND($AK67&lt;=Results!$I$23,$AK67&gt;=Results!$I$22,$AK67&gt;=Results!$F$4),$AN67,"")</f>
        <v/>
      </c>
      <c r="AZ67" t="str">
        <f t="shared" si="54"/>
        <v/>
      </c>
      <c r="BA67" t="str">
        <f>IF(AND($AK67&lt;=Results!$I$27,$AK67&gt;=Results!$I$26,$AK67&lt;=Results!$F$4),$AQ67,"")</f>
        <v/>
      </c>
      <c r="BB67" t="str">
        <f t="shared" si="55"/>
        <v/>
      </c>
      <c r="BC67" t="str">
        <f>IF(AND($AK67&lt;=Results!$I$29,$AK67&gt;=Results!$I$28,$AK67&gt;=Results!$F$4),$AQ67,"")</f>
        <v/>
      </c>
      <c r="BD67">
        <f t="shared" si="56"/>
        <v>11366.616359663905</v>
      </c>
      <c r="BE67">
        <f t="shared" si="57"/>
        <v>2430.535557404487</v>
      </c>
      <c r="BF67">
        <f t="shared" si="58"/>
        <v>10888.90354285713</v>
      </c>
      <c r="BG67">
        <f t="shared" si="59"/>
        <v>1365.2887349311404</v>
      </c>
      <c r="BH67">
        <f t="shared" si="60"/>
        <v>0</v>
      </c>
      <c r="BI67">
        <f t="shared" si="61"/>
        <v>1.0141990256292226</v>
      </c>
      <c r="BJ67">
        <f t="shared" si="62"/>
        <v>1.0033876972620395</v>
      </c>
      <c r="BK67">
        <f t="shared" si="63"/>
        <v>1.6144748418134064E-3</v>
      </c>
      <c r="BL67">
        <f t="shared" si="64"/>
        <v>-9.6656707982976952E-4</v>
      </c>
      <c r="BM67">
        <f t="shared" ref="BM67:BM130" si="82">SLOPE(AL66:AL68,AK66:AK68)</f>
        <v>120</v>
      </c>
      <c r="BN67">
        <f t="shared" ref="BN67:BN130" si="83">SLOPE(AO66:AO68,AK66:AK68)</f>
        <v>-119.99999999999831</v>
      </c>
      <c r="BO67">
        <f>Data!$H$2*(1-BI67)*(1-BI67/Data!$H$3)*BM67</f>
        <v>4.8386958916636823E-8</v>
      </c>
      <c r="BP67">
        <f t="shared" si="65"/>
        <v>-121.70388307550671</v>
      </c>
      <c r="BQ67">
        <f>Data!$H$2*(1-BJ67)*(1-BJ67/Data!$H$3)*BN67</f>
        <v>-2.7543582574150917E-9</v>
      </c>
      <c r="BR67">
        <f t="shared" si="66"/>
        <v>120.40652367144304</v>
      </c>
      <c r="BS67">
        <f t="shared" si="67"/>
        <v>0</v>
      </c>
      <c r="BT67">
        <f t="shared" si="68"/>
        <v>0</v>
      </c>
      <c r="BU67">
        <f t="shared" si="69"/>
        <v>0</v>
      </c>
      <c r="BV67">
        <f t="shared" si="70"/>
        <v>0</v>
      </c>
      <c r="BW67">
        <f t="shared" ref="BW67:BW130" si="84">IF(BT67&lt;=0,0,LN(BT67))</f>
        <v>0</v>
      </c>
      <c r="BX67" t="str">
        <f t="shared" ref="BX67:BX130" si="85">IF(BU67=0,"",BU67)</f>
        <v/>
      </c>
      <c r="BY67" s="66" t="str">
        <f t="shared" si="71"/>
        <v/>
      </c>
      <c r="BZ67" t="str">
        <f t="shared" si="72"/>
        <v/>
      </c>
      <c r="CA67" s="67" t="str">
        <f t="shared" si="73"/>
        <v/>
      </c>
    </row>
    <row r="68" spans="1:79" x14ac:dyDescent="0.25">
      <c r="A68">
        <v>4861</v>
      </c>
      <c r="B68">
        <v>65.5</v>
      </c>
      <c r="C68">
        <v>1402</v>
      </c>
      <c r="D68" s="3">
        <f t="shared" si="48"/>
        <v>8.3333333333333332E-3</v>
      </c>
      <c r="E68" s="3">
        <f t="shared" si="48"/>
        <v>-1.39</v>
      </c>
      <c r="F68">
        <f>IF(A68&gt;0,IF(F67=1,1,IF(B68=Data!$H$4,1,0)),"")</f>
        <v>0</v>
      </c>
      <c r="G68">
        <v>4861</v>
      </c>
      <c r="H68">
        <v>65.5</v>
      </c>
      <c r="I68">
        <v>1402</v>
      </c>
      <c r="J68" s="3">
        <v>8.3333333333333332E-3</v>
      </c>
      <c r="K68" s="3">
        <v>-1.39</v>
      </c>
      <c r="O68" s="3"/>
      <c r="P68" s="3"/>
      <c r="Q68" t="str">
        <f t="shared" si="74"/>
        <v/>
      </c>
      <c r="R68" s="4">
        <f t="shared" si="75"/>
        <v>66</v>
      </c>
      <c r="S68">
        <f t="shared" ref="S68:S131" si="86">INTERCEPT($G67:$G69,$H67:$H69)+SLOPE($G67:$G69,$H67:$H69)*$R68</f>
        <v>4921</v>
      </c>
      <c r="T68">
        <f t="shared" si="49"/>
        <v>1329.6666666666661</v>
      </c>
      <c r="U68" s="4">
        <f t="shared" si="76"/>
        <v>0</v>
      </c>
      <c r="V68" t="e">
        <f t="shared" ref="V68:V131" si="87">INTERCEPT($L67:$L69,$M67:$M69)+SLOPE($L67:$L69,$M67:$M69)*$U68</f>
        <v>#DIV/0!</v>
      </c>
      <c r="W68" t="e">
        <f t="shared" ref="W68:W131" si="88">INTERCEPT($N67:$N69,$M67:$M69)+SLOPE($N67:$N69,$M67:$M69)*$U68</f>
        <v>#DIV/0!</v>
      </c>
      <c r="X68" t="str">
        <f t="shared" ref="X68:X131" si="89">IF($R68-$R67&gt;1,$R67+1,"")</f>
        <v/>
      </c>
      <c r="Y68" t="str">
        <f t="shared" ref="Y68:Y131" si="90">IF($R68-$R67&gt;2,$R67+2,"")</f>
        <v/>
      </c>
      <c r="Z68" t="str">
        <f t="shared" ref="Z68:Z131" si="91">IF($R68-$R67&gt;3,$R67+3,"")</f>
        <v/>
      </c>
      <c r="AA68" t="str">
        <f t="shared" si="77"/>
        <v/>
      </c>
      <c r="AB68" t="str">
        <f t="shared" ref="AB68:AB131" si="92">IF($U68-$U67&gt;1,$U67+1,"")</f>
        <v/>
      </c>
      <c r="AC68" t="str">
        <f t="shared" ref="AC68:AC131" si="93">IF($U68-$U67&gt;2,$U67+2,"")</f>
        <v/>
      </c>
      <c r="AD68" t="str">
        <f t="shared" ref="AD68:AD131" si="94">IF($U68-$U67&gt;3,$U67+3,"")</f>
        <v/>
      </c>
      <c r="AE68" t="str">
        <f t="shared" ref="AE68:AE131" si="95">AB68</f>
        <v/>
      </c>
      <c r="AF68" s="72">
        <f>IF(AF67+$AF$1&gt;ROUND(Data!$H$4,0),AF67,AF67+$AF$1)</f>
        <v>70</v>
      </c>
      <c r="AG68">
        <f>IF(MATCH(AF68,$AA$3:$AA$1010,0)&lt;898,AVERAGE(AG67,AG69),VLOOKUP(AF68,$R$2:$T$301,2,FALSE))</f>
        <v>5401</v>
      </c>
      <c r="AH68">
        <f>IF(MATCH(AF68,$AA$3:$AA$1010,0)&lt;898,AVERAGE(AH67,AH69),VLOOKUP(AF68,$R$2:$T$301,3,FALSE))</f>
        <v>1148</v>
      </c>
      <c r="AI68">
        <f>IF(MATCH(AF68,$AE$3:$AE$1010,0)&lt;898,AVERAGE(AI67,AI69),VLOOKUP(AF68,$U$2:$W$301,2,FALSE))</f>
        <v>5401</v>
      </c>
      <c r="AJ68" s="67">
        <f>IF(MATCH(AF68,$AE$3:$AE$1010,0)&lt;898,AVERAGE(AJ67,AJ69),VLOOKUP(AF68,$U$2:$W$301,3,FALSE))</f>
        <v>1151</v>
      </c>
      <c r="AK68" s="4">
        <f t="shared" ref="AK68:AK131" si="96">IF($AK67+$AK$1&lt;=MAX($AF$2:$AF$113),AK67+$AK$1,AK67)</f>
        <v>31.600000000000094</v>
      </c>
      <c r="AL68">
        <f t="shared" si="78"/>
        <v>793.00000000001125</v>
      </c>
      <c r="AM68">
        <f t="shared" si="79"/>
        <v>11484.066666666658</v>
      </c>
      <c r="AN68">
        <f>IF($AK67+$AK$1&lt;=Data!$H$4-0.5,AVERAGE(AM66:AM70),AN67)</f>
        <v>11484.066666666657</v>
      </c>
      <c r="AO68">
        <f t="shared" si="80"/>
        <v>10068.999999999989</v>
      </c>
      <c r="AP68">
        <f t="shared" ref="AP68:AP131" si="97">IF($AK68=ROUND($AK67,0),VLOOKUP($AK67,$AF$2:$AJ$112,5),($AK68-FLOOR($AK68,1))/(CEILING($AK68,1)-FLOOR($AK68,1))*(VLOOKUP(CEILING($AK68,1),$AF$2:$AJ$112,5,FALSE)-VLOOKUP(FLOOR($AK68,1),$AF$2:$AJ$112,5,FALSE))+VLOOKUP(FLOOR($AK68,1),$AF$2:$AJ$112,5,FALSE))</f>
        <v>10912.933333333325</v>
      </c>
      <c r="AQ68">
        <f>IF($AK67+$AK$1&lt;=Data!$H$4-0.5,AVERAGE(AP66:AP70),AQ67)</f>
        <v>10912.933333333325</v>
      </c>
      <c r="AR68">
        <f>IF($AK67+$AK$1&lt;=Data!$H$4-0.5,SLOPE($AN64:$AN72,$AK64:$AK72),AR67)</f>
        <v>-95.083333333335617</v>
      </c>
      <c r="AS68">
        <f>IF($AK67+$AK$1&lt;=Data!$H$4-0.5,SLOPE($AQ64:$AQ72,$AK64:$AK72),AS67)</f>
        <v>-82.316666666666649</v>
      </c>
      <c r="AT68" t="str">
        <f>IF(AND($AK68&gt;=Results!$G$13,$AK68&lt;=Results!$G$14),Curves!AR68,"")</f>
        <v/>
      </c>
      <c r="AU68" t="str">
        <f>IF(AND($AK68&gt;=Results!$G$13,$AK68&lt;=Results!$G$14),Curves!AS68,"")</f>
        <v/>
      </c>
      <c r="AV68" t="str">
        <f t="shared" si="81"/>
        <v/>
      </c>
      <c r="AW68" t="str">
        <f>IF(AND($AK68&lt;=Results!$I$21,$AK68&gt;=Results!$I$20,$AK68&lt;=Results!$F$4),$AN68,"")</f>
        <v/>
      </c>
      <c r="AX68" t="str">
        <f t="shared" si="81"/>
        <v/>
      </c>
      <c r="AY68" t="str">
        <f>IF(AND($AK68&lt;=Results!$I$23,$AK68&gt;=Results!$I$22,$AK68&gt;=Results!$F$4),$AN68,"")</f>
        <v/>
      </c>
      <c r="AZ68" t="str">
        <f t="shared" si="54"/>
        <v/>
      </c>
      <c r="BA68" t="str">
        <f>IF(AND($AK68&lt;=Results!$I$27,$AK68&gt;=Results!$I$26,$AK68&lt;=Results!$F$4),$AQ68,"")</f>
        <v/>
      </c>
      <c r="BB68" t="str">
        <f t="shared" si="55"/>
        <v/>
      </c>
      <c r="BC68" t="str">
        <f>IF(AND($AK68&lt;=Results!$I$29,$AK68&gt;=Results!$I$28,$AK68&gt;=Results!$F$4),$AQ68,"")</f>
        <v/>
      </c>
      <c r="BD68">
        <f t="shared" si="56"/>
        <v>11355.846164865985</v>
      </c>
      <c r="BE68">
        <f t="shared" si="57"/>
        <v>2427.2197681551661</v>
      </c>
      <c r="BF68">
        <f t="shared" si="58"/>
        <v>10881.613560624235</v>
      </c>
      <c r="BG68">
        <f t="shared" si="59"/>
        <v>1364.7379339716153</v>
      </c>
      <c r="BH68">
        <f t="shared" si="60"/>
        <v>0</v>
      </c>
      <c r="BI68">
        <f t="shared" si="61"/>
        <v>1.0143606077915754</v>
      </c>
      <c r="BJ68">
        <f t="shared" si="62"/>
        <v>1.0032909721570151</v>
      </c>
      <c r="BK68">
        <f t="shared" si="63"/>
        <v>1.6171717812984757E-3</v>
      </c>
      <c r="BL68">
        <f t="shared" si="64"/>
        <v>-9.6793647470615207E-4</v>
      </c>
      <c r="BM68">
        <f t="shared" si="82"/>
        <v>119.99999999999942</v>
      </c>
      <c r="BN68">
        <f t="shared" si="83"/>
        <v>-119.99999999999829</v>
      </c>
      <c r="BO68">
        <f>Data!$H$2*(1-BI68)*(1-BI68/Data!$H$3)*BM68</f>
        <v>4.9494493474429501E-8</v>
      </c>
      <c r="BP68">
        <f t="shared" si="65"/>
        <v>-121.72327293498846</v>
      </c>
      <c r="BQ68">
        <f>Data!$H$2*(1-BJ68)*(1-BJ68/Data!$H$3)*BN68</f>
        <v>-2.5993194571796733E-9</v>
      </c>
      <c r="BR68">
        <f t="shared" si="66"/>
        <v>120.3949166588401</v>
      </c>
      <c r="BS68">
        <f t="shared" si="67"/>
        <v>0</v>
      </c>
      <c r="BT68">
        <f t="shared" si="68"/>
        <v>0</v>
      </c>
      <c r="BU68">
        <f t="shared" si="69"/>
        <v>0</v>
      </c>
      <c r="BV68">
        <f t="shared" si="70"/>
        <v>0</v>
      </c>
      <c r="BW68">
        <f t="shared" si="84"/>
        <v>0</v>
      </c>
      <c r="BX68" t="str">
        <f t="shared" si="85"/>
        <v/>
      </c>
      <c r="BY68" s="66" t="str">
        <f t="shared" si="71"/>
        <v/>
      </c>
      <c r="BZ68" t="str">
        <f t="shared" si="72"/>
        <v/>
      </c>
      <c r="CA68" s="67" t="str">
        <f t="shared" si="73"/>
        <v/>
      </c>
    </row>
    <row r="69" spans="1:79" x14ac:dyDescent="0.25">
      <c r="A69">
        <v>4921</v>
      </c>
      <c r="B69">
        <v>66</v>
      </c>
      <c r="C69">
        <v>1334</v>
      </c>
      <c r="D69" s="3">
        <f t="shared" ref="D69:E132" si="98">SLOPE(B67:B71,$A67:$A71)</f>
        <v>8.3333333333333332E-3</v>
      </c>
      <c r="E69" s="3">
        <f t="shared" si="98"/>
        <v>-1.0349999999999999</v>
      </c>
      <c r="F69">
        <f>IF(A69&gt;0,IF(F68=1,1,IF(B69=Data!$H$4,1,0)),"")</f>
        <v>0</v>
      </c>
      <c r="G69">
        <v>4921</v>
      </c>
      <c r="H69">
        <v>66</v>
      </c>
      <c r="I69">
        <v>1334</v>
      </c>
      <c r="J69" s="3">
        <v>8.3333333333333332E-3</v>
      </c>
      <c r="K69" s="3">
        <v>-1.0349999999999999</v>
      </c>
      <c r="O69" s="3"/>
      <c r="P69" s="3"/>
      <c r="Q69" t="str">
        <f t="shared" si="74"/>
        <v/>
      </c>
      <c r="R69" s="4">
        <f t="shared" si="75"/>
        <v>66</v>
      </c>
      <c r="S69">
        <f t="shared" si="86"/>
        <v>4921</v>
      </c>
      <c r="T69">
        <f t="shared" ref="T69:T132" si="99">INTERCEPT($I68:$I70,$H68:$H70)+SLOPE($I68:$I70,$H68:$H70)*$R69</f>
        <v>1339.6666666666661</v>
      </c>
      <c r="U69" s="4">
        <f t="shared" si="76"/>
        <v>0</v>
      </c>
      <c r="V69" t="e">
        <f t="shared" si="87"/>
        <v>#DIV/0!</v>
      </c>
      <c r="W69" t="e">
        <f t="shared" si="88"/>
        <v>#DIV/0!</v>
      </c>
      <c r="X69" t="str">
        <f t="shared" si="89"/>
        <v/>
      </c>
      <c r="Y69" t="str">
        <f t="shared" si="90"/>
        <v/>
      </c>
      <c r="Z69" t="str">
        <f t="shared" si="91"/>
        <v/>
      </c>
      <c r="AA69" t="str">
        <f t="shared" si="77"/>
        <v/>
      </c>
      <c r="AB69" t="str">
        <f t="shared" si="92"/>
        <v/>
      </c>
      <c r="AC69" t="str">
        <f t="shared" si="93"/>
        <v/>
      </c>
      <c r="AD69" t="str">
        <f t="shared" si="94"/>
        <v/>
      </c>
      <c r="AE69" t="str">
        <f t="shared" si="95"/>
        <v/>
      </c>
      <c r="AF69" s="72">
        <f>IF(AF68+$AF$1&gt;ROUND(Data!$H$4,0),AF68,AF68+$AF$1)</f>
        <v>70</v>
      </c>
      <c r="AG69">
        <f t="shared" si="50"/>
        <v>5401</v>
      </c>
      <c r="AH69">
        <f t="shared" si="51"/>
        <v>1148</v>
      </c>
      <c r="AI69">
        <f t="shared" si="52"/>
        <v>5401</v>
      </c>
      <c r="AJ69" s="67">
        <f t="shared" si="53"/>
        <v>1151</v>
      </c>
      <c r="AK69" s="4">
        <f t="shared" si="96"/>
        <v>31.700000000000095</v>
      </c>
      <c r="AL69">
        <f t="shared" si="78"/>
        <v>805.00000000001137</v>
      </c>
      <c r="AM69">
        <f t="shared" si="79"/>
        <v>11474.633333333324</v>
      </c>
      <c r="AN69">
        <f>IF($AK68+$AK$1&lt;=Data!$H$4-0.5,AVERAGE(AM67:AM71),AN68)</f>
        <v>11474.633333333324</v>
      </c>
      <c r="AO69">
        <f t="shared" si="80"/>
        <v>10056.999999999989</v>
      </c>
      <c r="AP69">
        <f t="shared" si="97"/>
        <v>10904.699999999992</v>
      </c>
      <c r="AQ69">
        <f>IF($AK68+$AK$1&lt;=Data!$H$4-0.5,AVERAGE(AP67:AP71),AQ68)</f>
        <v>10904.699999999992</v>
      </c>
      <c r="AR69">
        <f>IF($AK68+$AK$1&lt;=Data!$H$4-0.5,SLOPE($AN65:$AN73,$AK65:$AK73),AR68)</f>
        <v>-96.08333333333438</v>
      </c>
      <c r="AS69">
        <f>IF($AK68+$AK$1&lt;=Data!$H$4-0.5,SLOPE($AQ65:$AQ73,$AK65:$AK73),AS68)</f>
        <v>-82.294444444442931</v>
      </c>
      <c r="AT69" t="str">
        <f>IF(AND($AK69&gt;=Results!$G$13,$AK69&lt;=Results!$G$14),Curves!AR69,"")</f>
        <v/>
      </c>
      <c r="AU69" t="str">
        <f>IF(AND($AK69&gt;=Results!$G$13,$AK69&lt;=Results!$G$14),Curves!AS69,"")</f>
        <v/>
      </c>
      <c r="AV69" t="str">
        <f t="shared" si="81"/>
        <v/>
      </c>
      <c r="AW69" t="str">
        <f>IF(AND($AK69&lt;=Results!$I$21,$AK69&gt;=Results!$I$20,$AK69&lt;=Results!$F$4),$AN69,"")</f>
        <v/>
      </c>
      <c r="AX69" t="str">
        <f t="shared" si="81"/>
        <v/>
      </c>
      <c r="AY69" t="str">
        <f>IF(AND($AK69&lt;=Results!$I$23,$AK69&gt;=Results!$I$22,$AK69&gt;=Results!$F$4),$AN69,"")</f>
        <v/>
      </c>
      <c r="AZ69" t="str">
        <f t="shared" si="54"/>
        <v/>
      </c>
      <c r="BA69" t="str">
        <f>IF(AND($AK69&lt;=Results!$I$27,$AK69&gt;=Results!$I$26,$AK69&lt;=Results!$F$4),$AQ69,"")</f>
        <v/>
      </c>
      <c r="BB69" t="str">
        <f t="shared" si="55"/>
        <v/>
      </c>
      <c r="BC69" t="str">
        <f>IF(AND($AK69&lt;=Results!$I$29,$AK69&gt;=Results!$I$28,$AK69&gt;=Results!$F$4),$AQ69,"")</f>
        <v/>
      </c>
      <c r="BD69">
        <f t="shared" si="56"/>
        <v>11345.075970068065</v>
      </c>
      <c r="BE69">
        <f t="shared" si="57"/>
        <v>2423.9039789058452</v>
      </c>
      <c r="BF69">
        <f t="shared" si="58"/>
        <v>10874.323578391342</v>
      </c>
      <c r="BG69">
        <f t="shared" si="59"/>
        <v>1364.1871330120903</v>
      </c>
      <c r="BH69">
        <f t="shared" si="60"/>
        <v>0</v>
      </c>
      <c r="BI69">
        <f t="shared" si="61"/>
        <v>1.0145224599854823</v>
      </c>
      <c r="BJ69">
        <f t="shared" si="62"/>
        <v>1.0031941099670982</v>
      </c>
      <c r="BK69">
        <f t="shared" si="63"/>
        <v>1.6198754841856059E-3</v>
      </c>
      <c r="BL69">
        <f t="shared" si="64"/>
        <v>-9.6930878180633028E-4</v>
      </c>
      <c r="BM69">
        <f t="shared" si="82"/>
        <v>120</v>
      </c>
      <c r="BN69">
        <f t="shared" si="83"/>
        <v>-119.99999999999831</v>
      </c>
      <c r="BO69">
        <f>Data!$H$2*(1-BI69)*(1-BI69/Data!$H$3)*BM69</f>
        <v>5.0616442567184256E-8</v>
      </c>
      <c r="BP69">
        <f t="shared" si="65"/>
        <v>-121.74269519825788</v>
      </c>
      <c r="BQ69">
        <f>Data!$H$2*(1-BJ69)*(1-BJ69/Data!$H$3)*BN69</f>
        <v>-2.4485612356598749E-9</v>
      </c>
      <c r="BR69">
        <f t="shared" si="66"/>
        <v>120.38329319605009</v>
      </c>
      <c r="BS69">
        <f t="shared" si="67"/>
        <v>0</v>
      </c>
      <c r="BT69">
        <f t="shared" si="68"/>
        <v>0</v>
      </c>
      <c r="BU69">
        <f t="shared" si="69"/>
        <v>0</v>
      </c>
      <c r="BV69">
        <f t="shared" si="70"/>
        <v>0</v>
      </c>
      <c r="BW69">
        <f t="shared" si="84"/>
        <v>0</v>
      </c>
      <c r="BX69" t="str">
        <f t="shared" si="85"/>
        <v/>
      </c>
      <c r="BY69" s="66" t="str">
        <f t="shared" si="71"/>
        <v/>
      </c>
      <c r="BZ69" t="str">
        <f t="shared" si="72"/>
        <v/>
      </c>
      <c r="CA69" s="67" t="str">
        <f t="shared" si="73"/>
        <v/>
      </c>
    </row>
    <row r="70" spans="1:79" x14ac:dyDescent="0.25">
      <c r="A70">
        <v>4981</v>
      </c>
      <c r="B70">
        <v>66.5</v>
      </c>
      <c r="C70">
        <v>1283</v>
      </c>
      <c r="D70" s="3">
        <f t="shared" si="98"/>
        <v>8.3333333333333332E-3</v>
      </c>
      <c r="E70" s="3">
        <f t="shared" si="98"/>
        <v>-0.76166666666666671</v>
      </c>
      <c r="F70">
        <f>IF(A70&gt;0,IF(F69=1,1,IF(B70=Data!$H$4,1,0)),"")</f>
        <v>0</v>
      </c>
      <c r="G70">
        <v>4981</v>
      </c>
      <c r="H70">
        <v>66.5</v>
      </c>
      <c r="I70">
        <v>1283</v>
      </c>
      <c r="J70" s="3">
        <v>8.3333333333333332E-3</v>
      </c>
      <c r="K70" s="3">
        <v>-0.76166666666666671</v>
      </c>
      <c r="O70" s="3"/>
      <c r="P70" s="3"/>
      <c r="Q70" t="str">
        <f t="shared" si="74"/>
        <v/>
      </c>
      <c r="R70" s="4">
        <f t="shared" si="75"/>
        <v>67</v>
      </c>
      <c r="S70">
        <f t="shared" si="86"/>
        <v>5041</v>
      </c>
      <c r="T70">
        <f t="shared" si="99"/>
        <v>1242.833333333333</v>
      </c>
      <c r="U70" s="4">
        <f t="shared" si="76"/>
        <v>0</v>
      </c>
      <c r="V70" t="e">
        <f t="shared" si="87"/>
        <v>#DIV/0!</v>
      </c>
      <c r="W70" t="e">
        <f t="shared" si="88"/>
        <v>#DIV/0!</v>
      </c>
      <c r="X70" t="str">
        <f t="shared" si="89"/>
        <v/>
      </c>
      <c r="Y70" t="str">
        <f t="shared" si="90"/>
        <v/>
      </c>
      <c r="Z70" t="str">
        <f t="shared" si="91"/>
        <v/>
      </c>
      <c r="AA70" t="str">
        <f t="shared" si="77"/>
        <v/>
      </c>
      <c r="AB70" t="str">
        <f t="shared" si="92"/>
        <v/>
      </c>
      <c r="AC70" t="str">
        <f t="shared" si="93"/>
        <v/>
      </c>
      <c r="AD70" t="str">
        <f t="shared" si="94"/>
        <v/>
      </c>
      <c r="AE70" t="str">
        <f t="shared" si="95"/>
        <v/>
      </c>
      <c r="AF70" s="72">
        <f>IF(AF69+$AF$1&gt;ROUND(Data!$H$4,0),AF69,AF69+$AF$1)</f>
        <v>70</v>
      </c>
      <c r="AG70">
        <f>IF(MATCH(AF70,$AA$3:$AA$1010,0)&lt;898,AVERAGE(AG69,AG71),VLOOKUP(AF70,$R$2:$T$301,2,FALSE))</f>
        <v>5401</v>
      </c>
      <c r="AH70">
        <f>IF(MATCH(AF70,$AA$3:$AA$1010,0)&lt;898,AVERAGE(AH69,AH71),VLOOKUP(AF70,$R$2:$T$301,3,FALSE))</f>
        <v>1148</v>
      </c>
      <c r="AI70">
        <f>IF(MATCH(AF70,$AE$3:$AE$1010,0)&lt;898,AVERAGE(AI69,AI71),VLOOKUP(AF70,$U$2:$W$301,2,FALSE))</f>
        <v>5401</v>
      </c>
      <c r="AJ70" s="67">
        <f>IF(MATCH(AF70,$AE$3:$AE$1010,0)&lt;898,AVERAGE(AJ69,AJ71),VLOOKUP(AF70,$U$2:$W$301,3,FALSE))</f>
        <v>1151</v>
      </c>
      <c r="AK70" s="4">
        <f t="shared" si="96"/>
        <v>31.800000000000097</v>
      </c>
      <c r="AL70">
        <f t="shared" si="78"/>
        <v>817.0000000000116</v>
      </c>
      <c r="AM70">
        <f t="shared" si="79"/>
        <v>11465.199999999992</v>
      </c>
      <c r="AN70">
        <f>IF($AK69+$AK$1&lt;=Data!$H$4-0.5,AVERAGE(AM68:AM72),AN69)</f>
        <v>11465.19999999999</v>
      </c>
      <c r="AO70">
        <f t="shared" si="80"/>
        <v>10044.999999999989</v>
      </c>
      <c r="AP70">
        <f t="shared" si="97"/>
        <v>10896.466666666658</v>
      </c>
      <c r="AQ70">
        <f>IF($AK69+$AK$1&lt;=Data!$H$4-0.5,AVERAGE(AP68:AP72),AQ69)</f>
        <v>10896.466666666658</v>
      </c>
      <c r="AR70">
        <f>IF($AK69+$AK$1&lt;=Data!$H$4-0.5,SLOPE($AN66:$AN74,$AK66:$AK74),AR69)</f>
        <v>-97.583333333333471</v>
      </c>
      <c r="AS70">
        <f>IF($AK69+$AK$1&lt;=Data!$H$4-0.5,SLOPE($AQ66:$AQ74,$AK66:$AK74),AS69)</f>
        <v>-82.261111111109784</v>
      </c>
      <c r="AT70" t="str">
        <f>IF(AND($AK70&gt;=Results!$G$13,$AK70&lt;=Results!$G$14),Curves!AR70,"")</f>
        <v/>
      </c>
      <c r="AU70" t="str">
        <f>IF(AND($AK70&gt;=Results!$G$13,$AK70&lt;=Results!$G$14),Curves!AS70,"")</f>
        <v/>
      </c>
      <c r="AV70" t="str">
        <f t="shared" si="81"/>
        <v/>
      </c>
      <c r="AW70" t="str">
        <f>IF(AND($AK70&lt;=Results!$I$21,$AK70&gt;=Results!$I$20,$AK70&lt;=Results!$F$4),$AN70,"")</f>
        <v/>
      </c>
      <c r="AX70" t="str">
        <f t="shared" si="81"/>
        <v/>
      </c>
      <c r="AY70" t="str">
        <f>IF(AND($AK70&lt;=Results!$I$23,$AK70&gt;=Results!$I$22,$AK70&gt;=Results!$F$4),$AN70,"")</f>
        <v/>
      </c>
      <c r="AZ70" t="str">
        <f t="shared" si="54"/>
        <v/>
      </c>
      <c r="BA70" t="str">
        <f>IF(AND($AK70&lt;=Results!$I$27,$AK70&gt;=Results!$I$26,$AK70&lt;=Results!$F$4),$AQ70,"")</f>
        <v/>
      </c>
      <c r="BB70" t="str">
        <f t="shared" si="55"/>
        <v/>
      </c>
      <c r="BC70" t="str">
        <f>IF(AND($AK70&lt;=Results!$I$29,$AK70&gt;=Results!$I$28,$AK70&gt;=Results!$F$4),$AQ70,"")</f>
        <v/>
      </c>
      <c r="BD70">
        <f t="shared" si="56"/>
        <v>11334.305775270146</v>
      </c>
      <c r="BE70">
        <f t="shared" si="57"/>
        <v>2420.5881896565247</v>
      </c>
      <c r="BF70">
        <f t="shared" si="58"/>
        <v>10867.03359615845</v>
      </c>
      <c r="BG70">
        <f t="shared" si="59"/>
        <v>1363.6363320525654</v>
      </c>
      <c r="BH70">
        <f t="shared" si="60"/>
        <v>0</v>
      </c>
      <c r="BI70">
        <f t="shared" si="61"/>
        <v>1.0146845828884126</v>
      </c>
      <c r="BJ70">
        <f t="shared" si="62"/>
        <v>1.0030971104006539</v>
      </c>
      <c r="BK70">
        <f t="shared" si="63"/>
        <v>1.4541651697197247E-3</v>
      </c>
      <c r="BL70">
        <f t="shared" si="64"/>
        <v>-9.6717400270839038E-4</v>
      </c>
      <c r="BM70">
        <f t="shared" si="82"/>
        <v>120.00000000000055</v>
      </c>
      <c r="BN70">
        <f t="shared" si="83"/>
        <v>-119.99999999999829</v>
      </c>
      <c r="BO70">
        <f>Data!$H$2*(1-BI70)*(1-BI70/Data!$H$3)*BM70</f>
        <v>5.1752873905598436E-8</v>
      </c>
      <c r="BP70">
        <f t="shared" si="65"/>
        <v>-121.76214994661007</v>
      </c>
      <c r="BQ70">
        <f>Data!$H$2*(1-BJ70)*(1-BJ70/Data!$H$3)*BN70</f>
        <v>-2.3021022801211588E-9</v>
      </c>
      <c r="BR70">
        <f t="shared" si="66"/>
        <v>120.37165324807675</v>
      </c>
      <c r="BS70">
        <f t="shared" si="67"/>
        <v>0</v>
      </c>
      <c r="BT70">
        <f t="shared" si="68"/>
        <v>0</v>
      </c>
      <c r="BU70">
        <f t="shared" si="69"/>
        <v>0</v>
      </c>
      <c r="BV70">
        <f t="shared" si="70"/>
        <v>0</v>
      </c>
      <c r="BW70">
        <f t="shared" si="84"/>
        <v>0</v>
      </c>
      <c r="BX70" t="str">
        <f t="shared" si="85"/>
        <v/>
      </c>
      <c r="BY70" s="66" t="str">
        <f t="shared" si="71"/>
        <v/>
      </c>
      <c r="BZ70" t="str">
        <f t="shared" si="72"/>
        <v/>
      </c>
      <c r="CA70" s="67" t="str">
        <f t="shared" si="73"/>
        <v/>
      </c>
    </row>
    <row r="71" spans="1:79" x14ac:dyDescent="0.25">
      <c r="A71">
        <v>5041</v>
      </c>
      <c r="B71">
        <v>67</v>
      </c>
      <c r="C71">
        <v>1245</v>
      </c>
      <c r="D71" s="3">
        <f t="shared" si="98"/>
        <v>8.3333333333333332E-3</v>
      </c>
      <c r="E71" s="3">
        <f t="shared" si="98"/>
        <v>-0.55833333333333335</v>
      </c>
      <c r="F71">
        <f>IF(A71&gt;0,IF(F70=1,1,IF(B71=Data!$H$4,1,0)),"")</f>
        <v>0</v>
      </c>
      <c r="G71">
        <v>5041</v>
      </c>
      <c r="H71">
        <v>67</v>
      </c>
      <c r="I71">
        <v>1245</v>
      </c>
      <c r="J71" s="3">
        <v>8.3333333333333332E-3</v>
      </c>
      <c r="K71" s="3">
        <v>-0.55833333333333335</v>
      </c>
      <c r="O71" s="3"/>
      <c r="P71" s="3"/>
      <c r="Q71" t="str">
        <f t="shared" si="74"/>
        <v/>
      </c>
      <c r="R71" s="4">
        <f t="shared" si="75"/>
        <v>67</v>
      </c>
      <c r="S71">
        <f t="shared" si="86"/>
        <v>5041</v>
      </c>
      <c r="T71">
        <f t="shared" si="99"/>
        <v>1248.666666666667</v>
      </c>
      <c r="U71" s="4">
        <f t="shared" si="76"/>
        <v>0</v>
      </c>
      <c r="V71" t="e">
        <f t="shared" si="87"/>
        <v>#DIV/0!</v>
      </c>
      <c r="W71" t="e">
        <f t="shared" si="88"/>
        <v>#DIV/0!</v>
      </c>
      <c r="X71" t="str">
        <f t="shared" si="89"/>
        <v/>
      </c>
      <c r="Y71" t="str">
        <f t="shared" si="90"/>
        <v/>
      </c>
      <c r="Z71" t="str">
        <f t="shared" si="91"/>
        <v/>
      </c>
      <c r="AA71" t="str">
        <f t="shared" si="77"/>
        <v/>
      </c>
      <c r="AB71" t="str">
        <f t="shared" si="92"/>
        <v/>
      </c>
      <c r="AC71" t="str">
        <f t="shared" si="93"/>
        <v/>
      </c>
      <c r="AD71" t="str">
        <f t="shared" si="94"/>
        <v/>
      </c>
      <c r="AE71" t="str">
        <f t="shared" si="95"/>
        <v/>
      </c>
      <c r="AF71" s="72">
        <f>IF(AF70+$AF$1&gt;ROUND(Data!$H$4,0),AF70,AF70+$AF$1)</f>
        <v>70</v>
      </c>
      <c r="AG71">
        <f t="shared" si="50"/>
        <v>5401</v>
      </c>
      <c r="AH71">
        <f t="shared" si="51"/>
        <v>1148</v>
      </c>
      <c r="AI71">
        <f t="shared" si="52"/>
        <v>5401</v>
      </c>
      <c r="AJ71" s="67">
        <f t="shared" si="53"/>
        <v>1151</v>
      </c>
      <c r="AK71" s="4">
        <f t="shared" si="96"/>
        <v>31.900000000000098</v>
      </c>
      <c r="AL71">
        <f t="shared" si="78"/>
        <v>829.00000000001182</v>
      </c>
      <c r="AM71">
        <f t="shared" si="79"/>
        <v>11455.766666666657</v>
      </c>
      <c r="AN71">
        <f>IF($AK70+$AK$1&lt;=Data!$H$4-0.5,AVERAGE(AM69:AM73),AN70)</f>
        <v>11455.466666666656</v>
      </c>
      <c r="AO71">
        <f t="shared" si="80"/>
        <v>10032.999999999989</v>
      </c>
      <c r="AP71">
        <f t="shared" si="97"/>
        <v>10888.233333333324</v>
      </c>
      <c r="AQ71">
        <f>IF($AK70+$AK$1&lt;=Data!$H$4-0.5,AVERAGE(AP69:AP73),AQ70)</f>
        <v>10888.239999999991</v>
      </c>
      <c r="AR71">
        <f>IF($AK70+$AK$1&lt;=Data!$H$4-0.5,SLOPE($AN67:$AN75,$AK67:$AK75),AR70)</f>
        <v>-99.583333333333442</v>
      </c>
      <c r="AS71">
        <f>IF($AK70+$AK$1&lt;=Data!$H$4-0.5,SLOPE($AQ67:$AQ75,$AK67:$AK75),AS70)</f>
        <v>-82.216666666665986</v>
      </c>
      <c r="AT71" t="str">
        <f>IF(AND($AK71&gt;=Results!$G$13,$AK71&lt;=Results!$G$14),Curves!AR71,"")</f>
        <v/>
      </c>
      <c r="AU71" t="str">
        <f>IF(AND($AK71&gt;=Results!$G$13,$AK71&lt;=Results!$G$14),Curves!AS71,"")</f>
        <v/>
      </c>
      <c r="AV71" t="str">
        <f t="shared" si="81"/>
        <v/>
      </c>
      <c r="AW71" t="str">
        <f>IF(AND($AK71&lt;=Results!$I$21,$AK71&gt;=Results!$I$20,$AK71&lt;=Results!$F$4),$AN71,"")</f>
        <v/>
      </c>
      <c r="AX71" t="str">
        <f t="shared" si="81"/>
        <v/>
      </c>
      <c r="AY71" t="str">
        <f>IF(AND($AK71&lt;=Results!$I$23,$AK71&gt;=Results!$I$22,$AK71&gt;=Results!$F$4),$AN71,"")</f>
        <v/>
      </c>
      <c r="AZ71" t="str">
        <f t="shared" si="54"/>
        <v/>
      </c>
      <c r="BA71" t="str">
        <f>IF(AND($AK71&lt;=Results!$I$27,$AK71&gt;=Results!$I$26,$AK71&lt;=Results!$F$4),$AQ71,"")</f>
        <v/>
      </c>
      <c r="BB71" t="str">
        <f t="shared" si="55"/>
        <v/>
      </c>
      <c r="BC71" t="str">
        <f>IF(AND($AK71&lt;=Results!$I$29,$AK71&gt;=Results!$I$28,$AK71&gt;=Results!$F$4),$AQ71,"")</f>
        <v/>
      </c>
      <c r="BD71">
        <f t="shared" si="56"/>
        <v>11323.535580472226</v>
      </c>
      <c r="BE71">
        <f t="shared" si="57"/>
        <v>2417.2724004072038</v>
      </c>
      <c r="BF71">
        <f t="shared" si="58"/>
        <v>10859.743613925557</v>
      </c>
      <c r="BG71">
        <f t="shared" si="59"/>
        <v>1363.0855310930403</v>
      </c>
      <c r="BH71">
        <f t="shared" si="60"/>
        <v>0</v>
      </c>
      <c r="BI71">
        <f t="shared" si="61"/>
        <v>1.0148132930194262</v>
      </c>
      <c r="BJ71">
        <f t="shared" si="62"/>
        <v>1.0030006751665566</v>
      </c>
      <c r="BK71">
        <f t="shared" si="63"/>
        <v>1.1196176094962881E-3</v>
      </c>
      <c r="BL71">
        <f t="shared" si="64"/>
        <v>-9.6152466790398771E-4</v>
      </c>
      <c r="BM71">
        <f t="shared" si="82"/>
        <v>120</v>
      </c>
      <c r="BN71">
        <f t="shared" si="83"/>
        <v>-120.00000000000742</v>
      </c>
      <c r="BO71">
        <f>Data!$H$2*(1-BI71)*(1-BI71/Data!$H$3)*BM71</f>
        <v>5.2664076019051742E-8</v>
      </c>
      <c r="BP71">
        <f t="shared" si="65"/>
        <v>-121.77759516233115</v>
      </c>
      <c r="BQ71">
        <f>Data!$H$2*(1-BJ71)*(1-BJ71/Data!$H$3)*BN71</f>
        <v>-2.1609723492455432E-9</v>
      </c>
      <c r="BR71">
        <f t="shared" si="66"/>
        <v>120.36008101999423</v>
      </c>
      <c r="BS71">
        <f t="shared" si="67"/>
        <v>0</v>
      </c>
      <c r="BT71">
        <f t="shared" si="68"/>
        <v>0</v>
      </c>
      <c r="BU71">
        <f t="shared" si="69"/>
        <v>0</v>
      </c>
      <c r="BV71">
        <f t="shared" si="70"/>
        <v>0</v>
      </c>
      <c r="BW71">
        <f t="shared" si="84"/>
        <v>0</v>
      </c>
      <c r="BX71" t="str">
        <f t="shared" si="85"/>
        <v/>
      </c>
      <c r="BY71" s="66" t="str">
        <f t="shared" si="71"/>
        <v/>
      </c>
      <c r="BZ71" t="str">
        <f t="shared" si="72"/>
        <v/>
      </c>
      <c r="CA71" s="67" t="str">
        <f t="shared" si="73"/>
        <v/>
      </c>
    </row>
    <row r="72" spans="1:79" x14ac:dyDescent="0.25">
      <c r="A72">
        <v>5101</v>
      </c>
      <c r="B72">
        <v>67.5</v>
      </c>
      <c r="C72">
        <v>1218</v>
      </c>
      <c r="D72" s="3">
        <f t="shared" si="98"/>
        <v>8.3333333333333332E-3</v>
      </c>
      <c r="E72" s="3">
        <f t="shared" si="98"/>
        <v>-0.40333333333333332</v>
      </c>
      <c r="F72">
        <f>IF(A72&gt;0,IF(F71=1,1,IF(B72=Data!$H$4,1,0)),"")</f>
        <v>0</v>
      </c>
      <c r="G72">
        <v>5101</v>
      </c>
      <c r="H72">
        <v>67.5</v>
      </c>
      <c r="I72">
        <v>1218</v>
      </c>
      <c r="J72" s="3">
        <v>8.3333333333333332E-3</v>
      </c>
      <c r="K72" s="3">
        <v>-0.40333333333333332</v>
      </c>
      <c r="O72" s="3"/>
      <c r="P72" s="3"/>
      <c r="Q72" t="str">
        <f t="shared" si="74"/>
        <v/>
      </c>
      <c r="R72" s="4">
        <f t="shared" si="75"/>
        <v>68</v>
      </c>
      <c r="S72">
        <f t="shared" si="86"/>
        <v>5161</v>
      </c>
      <c r="T72">
        <f t="shared" si="99"/>
        <v>1197.666666666667</v>
      </c>
      <c r="U72" s="4">
        <f t="shared" si="76"/>
        <v>0</v>
      </c>
      <c r="V72" t="e">
        <f t="shared" si="87"/>
        <v>#DIV/0!</v>
      </c>
      <c r="W72" t="e">
        <f t="shared" si="88"/>
        <v>#DIV/0!</v>
      </c>
      <c r="X72" t="str">
        <f t="shared" si="89"/>
        <v/>
      </c>
      <c r="Y72" t="str">
        <f t="shared" si="90"/>
        <v/>
      </c>
      <c r="Z72" t="str">
        <f t="shared" si="91"/>
        <v/>
      </c>
      <c r="AA72" t="str">
        <f t="shared" si="77"/>
        <v/>
      </c>
      <c r="AB72" t="str">
        <f t="shared" si="92"/>
        <v/>
      </c>
      <c r="AC72" t="str">
        <f t="shared" si="93"/>
        <v/>
      </c>
      <c r="AD72" t="str">
        <f t="shared" si="94"/>
        <v/>
      </c>
      <c r="AE72" t="str">
        <f t="shared" si="95"/>
        <v/>
      </c>
      <c r="AF72" s="72">
        <f>IF(AF71+$AF$1&gt;ROUND(Data!$H$4,0),AF71,AF71+$AF$1)</f>
        <v>70</v>
      </c>
      <c r="AG72">
        <f>IF(MATCH(AF72,$AA$3:$AA$1010,0)&lt;898,AVERAGE(AG71,AG73),VLOOKUP(AF72,$R$2:$T$301,2,FALSE))</f>
        <v>5401</v>
      </c>
      <c r="AH72">
        <f>IF(MATCH(AF72,$AA$3:$AA$1010,0)&lt;898,AVERAGE(AH71,AH73),VLOOKUP(AF72,$R$2:$T$301,3,FALSE))</f>
        <v>1148</v>
      </c>
      <c r="AI72">
        <f>IF(MATCH(AF72,$AE$3:$AE$1010,0)&lt;898,AVERAGE(AI71,AI73),VLOOKUP(AF72,$U$2:$W$301,2,FALSE))</f>
        <v>5401</v>
      </c>
      <c r="AJ72" s="67">
        <f>IF(MATCH(AF72,$AE$3:$AE$1010,0)&lt;898,AVERAGE(AJ71,AJ73),VLOOKUP(AF72,$U$2:$W$301,3,FALSE))</f>
        <v>1151</v>
      </c>
      <c r="AK72" s="4">
        <f t="shared" si="96"/>
        <v>32.000000000000099</v>
      </c>
      <c r="AL72">
        <f t="shared" si="78"/>
        <v>841.00000000001194</v>
      </c>
      <c r="AM72">
        <f t="shared" si="79"/>
        <v>11446.333333333323</v>
      </c>
      <c r="AN72">
        <f>IF($AK71+$AK$1&lt;=Data!$H$4-0.5,AVERAGE(AM70:AM74),AN71)</f>
        <v>11445.433333333323</v>
      </c>
      <c r="AO72">
        <f t="shared" si="80"/>
        <v>10020.999999999987</v>
      </c>
      <c r="AP72">
        <f t="shared" si="97"/>
        <v>10879.999999999993</v>
      </c>
      <c r="AQ72">
        <f>IF($AK71+$AK$1&lt;=Data!$H$4-0.5,AVERAGE(AP70:AP74),AQ71)</f>
        <v>10880.019999999993</v>
      </c>
      <c r="AR72">
        <f>IF($AK71+$AK$1&lt;=Data!$H$4-0.5,SLOPE($AN68:$AN76,$AK68:$AK76),AR71)</f>
        <v>-101.8333333333331</v>
      </c>
      <c r="AS72">
        <f>IF($AK71+$AK$1&lt;=Data!$H$4-0.5,SLOPE($AQ68:$AQ76,$AK68:$AK76),AS71)</f>
        <v>-82.16666666666579</v>
      </c>
      <c r="AT72" t="str">
        <f>IF(AND($AK72&gt;=Results!$G$13,$AK72&lt;=Results!$G$14),Curves!AR72,"")</f>
        <v/>
      </c>
      <c r="AU72" t="str">
        <f>IF(AND($AK72&gt;=Results!$G$13,$AK72&lt;=Results!$G$14),Curves!AS72,"")</f>
        <v/>
      </c>
      <c r="AV72" t="str">
        <f t="shared" si="81"/>
        <v/>
      </c>
      <c r="AW72" t="str">
        <f>IF(AND($AK72&lt;=Results!$I$21,$AK72&gt;=Results!$I$20,$AK72&lt;=Results!$F$4),$AN72,"")</f>
        <v/>
      </c>
      <c r="AX72" t="str">
        <f t="shared" si="81"/>
        <v/>
      </c>
      <c r="AY72" t="str">
        <f>IF(AND($AK72&lt;=Results!$I$23,$AK72&gt;=Results!$I$22,$AK72&gt;=Results!$F$4),$AN72,"")</f>
        <v/>
      </c>
      <c r="AZ72" t="str">
        <f t="shared" si="54"/>
        <v/>
      </c>
      <c r="BA72" t="str">
        <f>IF(AND($AK72&lt;=Results!$I$27,$AK72&gt;=Results!$I$26,$AK72&lt;=Results!$F$4),$AQ72,"")</f>
        <v/>
      </c>
      <c r="BB72" t="str">
        <f t="shared" si="55"/>
        <v/>
      </c>
      <c r="BC72" t="str">
        <f>IF(AND($AK72&lt;=Results!$I$29,$AK72&gt;=Results!$I$28,$AK72&gt;=Results!$F$4),$AQ72,"")</f>
        <v/>
      </c>
      <c r="BD72">
        <f t="shared" si="56"/>
        <v>11312.765385674305</v>
      </c>
      <c r="BE72">
        <f t="shared" si="57"/>
        <v>2413.9566111578829</v>
      </c>
      <c r="BF72">
        <f t="shared" si="58"/>
        <v>10852.453631692664</v>
      </c>
      <c r="BG72">
        <f t="shared" si="59"/>
        <v>1362.5347301335153</v>
      </c>
      <c r="BH72">
        <f t="shared" si="60"/>
        <v>0</v>
      </c>
      <c r="BI72">
        <f t="shared" si="61"/>
        <v>1.0149085064103118</v>
      </c>
      <c r="BJ72">
        <f t="shared" si="62"/>
        <v>1.0029048054670731</v>
      </c>
      <c r="BK72">
        <f t="shared" si="63"/>
        <v>7.8422895919859619E-4</v>
      </c>
      <c r="BL72">
        <f t="shared" si="64"/>
        <v>-9.5586329334594632E-4</v>
      </c>
      <c r="BM72">
        <f t="shared" si="82"/>
        <v>119.99999999999942</v>
      </c>
      <c r="BN72">
        <f t="shared" si="83"/>
        <v>-120.00000000000739</v>
      </c>
      <c r="BO72">
        <f>Data!$H$2*(1-BI72)*(1-BI72/Data!$H$3)*BM72</f>
        <v>5.334325521271387E-8</v>
      </c>
      <c r="BP72">
        <f t="shared" si="65"/>
        <v>-121.78902076923683</v>
      </c>
      <c r="BQ72">
        <f>Data!$H$2*(1-BJ72)*(1-BJ72/Data!$H$3)*BN72</f>
        <v>-2.0250947523691296E-9</v>
      </c>
      <c r="BR72">
        <f t="shared" si="66"/>
        <v>120.34857665605618</v>
      </c>
      <c r="BS72">
        <f t="shared" si="67"/>
        <v>0</v>
      </c>
      <c r="BT72">
        <f t="shared" si="68"/>
        <v>0</v>
      </c>
      <c r="BU72">
        <f t="shared" si="69"/>
        <v>0</v>
      </c>
      <c r="BV72">
        <f t="shared" si="70"/>
        <v>0</v>
      </c>
      <c r="BW72">
        <f t="shared" si="84"/>
        <v>0</v>
      </c>
      <c r="BX72" t="str">
        <f t="shared" si="85"/>
        <v/>
      </c>
      <c r="BY72" s="66" t="str">
        <f t="shared" si="71"/>
        <v/>
      </c>
      <c r="BZ72" t="str">
        <f t="shared" si="72"/>
        <v/>
      </c>
      <c r="CA72" s="67" t="str">
        <f t="shared" si="73"/>
        <v/>
      </c>
    </row>
    <row r="73" spans="1:79" x14ac:dyDescent="0.25">
      <c r="A73">
        <v>5161</v>
      </c>
      <c r="B73">
        <v>68</v>
      </c>
      <c r="C73">
        <v>1199</v>
      </c>
      <c r="D73" s="3">
        <f t="shared" si="98"/>
        <v>8.3333333333333332E-3</v>
      </c>
      <c r="E73" s="3">
        <f t="shared" si="98"/>
        <v>-0.30499999999999999</v>
      </c>
      <c r="F73">
        <f>IF(A73&gt;0,IF(F72=1,1,IF(B73=Data!$H$4,1,0)),"")</f>
        <v>0</v>
      </c>
      <c r="G73">
        <v>5161</v>
      </c>
      <c r="H73">
        <v>68</v>
      </c>
      <c r="I73">
        <v>1199</v>
      </c>
      <c r="J73" s="3">
        <v>8.3333333333333332E-3</v>
      </c>
      <c r="K73" s="3">
        <v>-0.30499999999999999</v>
      </c>
      <c r="O73" s="3"/>
      <c r="P73" s="3"/>
      <c r="Q73" t="str">
        <f t="shared" si="74"/>
        <v/>
      </c>
      <c r="R73" s="4">
        <f t="shared" si="75"/>
        <v>68</v>
      </c>
      <c r="S73">
        <f t="shared" si="86"/>
        <v>5161</v>
      </c>
      <c r="T73">
        <f t="shared" si="99"/>
        <v>1200.666666666667</v>
      </c>
      <c r="U73" s="4">
        <f t="shared" si="76"/>
        <v>0</v>
      </c>
      <c r="V73" t="e">
        <f t="shared" si="87"/>
        <v>#DIV/0!</v>
      </c>
      <c r="W73" t="e">
        <f t="shared" si="88"/>
        <v>#DIV/0!</v>
      </c>
      <c r="X73" t="str">
        <f t="shared" si="89"/>
        <v/>
      </c>
      <c r="Y73" t="str">
        <f t="shared" si="90"/>
        <v/>
      </c>
      <c r="Z73" t="str">
        <f t="shared" si="91"/>
        <v/>
      </c>
      <c r="AA73" t="str">
        <f t="shared" si="77"/>
        <v/>
      </c>
      <c r="AB73" t="str">
        <f t="shared" si="92"/>
        <v/>
      </c>
      <c r="AC73" t="str">
        <f t="shared" si="93"/>
        <v/>
      </c>
      <c r="AD73" t="str">
        <f t="shared" si="94"/>
        <v/>
      </c>
      <c r="AE73" t="str">
        <f t="shared" si="95"/>
        <v/>
      </c>
      <c r="AF73" s="72">
        <f>IF(AF72+$AF$1&gt;ROUND(Data!$H$4,0),AF72,AF72+$AF$1)</f>
        <v>70</v>
      </c>
      <c r="AG73">
        <f t="shared" si="50"/>
        <v>5401</v>
      </c>
      <c r="AH73">
        <f t="shared" si="51"/>
        <v>1148</v>
      </c>
      <c r="AI73">
        <f t="shared" si="52"/>
        <v>5401</v>
      </c>
      <c r="AJ73" s="67">
        <f t="shared" si="53"/>
        <v>1151</v>
      </c>
      <c r="AK73" s="4">
        <f t="shared" si="96"/>
        <v>32.100000000000101</v>
      </c>
      <c r="AL73">
        <f t="shared" si="78"/>
        <v>853.00000000001205</v>
      </c>
      <c r="AM73">
        <f t="shared" si="79"/>
        <v>11435.399999999989</v>
      </c>
      <c r="AN73">
        <f>IF($AK72+$AK$1&lt;=Data!$H$4-0.5,AVERAGE(AM71:AM75),AN72)</f>
        <v>11435.099999999991</v>
      </c>
      <c r="AO73">
        <f t="shared" si="80"/>
        <v>10008.999999999987</v>
      </c>
      <c r="AP73">
        <f t="shared" si="97"/>
        <v>10871.799999999992</v>
      </c>
      <c r="AQ73">
        <f>IF($AK72+$AK$1&lt;=Data!$H$4-0.5,AVERAGE(AP71:AP75),AQ72)</f>
        <v>10871.80666666666</v>
      </c>
      <c r="AR73">
        <f>IF($AK72+$AK$1&lt;=Data!$H$4-0.5,SLOPE($AN69:$AN77,$AK69:$AK77),AR72)</f>
        <v>-104.08333333333398</v>
      </c>
      <c r="AS73">
        <f>IF($AK72+$AK$1&lt;=Data!$H$4-0.5,SLOPE($AQ69:$AQ77,$AK69:$AK77),AS72)</f>
        <v>-82.116666666666219</v>
      </c>
      <c r="AT73" t="str">
        <f>IF(AND($AK73&gt;=Results!$G$13,$AK73&lt;=Results!$G$14),Curves!AR73,"")</f>
        <v/>
      </c>
      <c r="AU73" t="str">
        <f>IF(AND($AK73&gt;=Results!$G$13,$AK73&lt;=Results!$G$14),Curves!AS73,"")</f>
        <v/>
      </c>
      <c r="AV73" t="str">
        <f t="shared" si="81"/>
        <v/>
      </c>
      <c r="AW73" t="str">
        <f>IF(AND($AK73&lt;=Results!$I$21,$AK73&gt;=Results!$I$20,$AK73&lt;=Results!$F$4),$AN73,"")</f>
        <v/>
      </c>
      <c r="AX73" t="str">
        <f t="shared" si="81"/>
        <v/>
      </c>
      <c r="AY73" t="str">
        <f>IF(AND($AK73&lt;=Results!$I$23,$AK73&gt;=Results!$I$22,$AK73&gt;=Results!$F$4),$AN73,"")</f>
        <v/>
      </c>
      <c r="AZ73" t="str">
        <f t="shared" si="54"/>
        <v/>
      </c>
      <c r="BA73" t="str">
        <f>IF(AND($AK73&lt;=Results!$I$27,$AK73&gt;=Results!$I$26,$AK73&lt;=Results!$F$4),$AQ73,"")</f>
        <v/>
      </c>
      <c r="BB73" t="str">
        <f t="shared" si="55"/>
        <v/>
      </c>
      <c r="BC73" t="str">
        <f>IF(AND($AK73&lt;=Results!$I$29,$AK73&gt;=Results!$I$28,$AK73&gt;=Results!$F$4),$AQ73,"")</f>
        <v/>
      </c>
      <c r="BD73">
        <f t="shared" si="56"/>
        <v>11301.995190876387</v>
      </c>
      <c r="BE73">
        <f t="shared" si="57"/>
        <v>2410.6408219085624</v>
      </c>
      <c r="BF73">
        <f t="shared" si="58"/>
        <v>10845.16364945977</v>
      </c>
      <c r="BG73">
        <f t="shared" si="59"/>
        <v>1361.9839291739904</v>
      </c>
      <c r="BH73">
        <f t="shared" si="60"/>
        <v>0</v>
      </c>
      <c r="BI73">
        <f t="shared" si="61"/>
        <v>1.014970138811266</v>
      </c>
      <c r="BJ73">
        <f t="shared" si="62"/>
        <v>1.0028095025078874</v>
      </c>
      <c r="BK73">
        <f t="shared" si="63"/>
        <v>4.4799639700054321E-4</v>
      </c>
      <c r="BL73">
        <f t="shared" si="64"/>
        <v>-9.5018984479831891E-4</v>
      </c>
      <c r="BM73">
        <f t="shared" si="82"/>
        <v>119.99999999999997</v>
      </c>
      <c r="BN73">
        <f t="shared" si="83"/>
        <v>-119.99999999999829</v>
      </c>
      <c r="BO73">
        <f>Data!$H$2*(1-BI73)*(1-BI73/Data!$H$3)*BM73</f>
        <v>5.3785213446857161E-8</v>
      </c>
      <c r="BP73">
        <f t="shared" si="65"/>
        <v>-121.79641665735188</v>
      </c>
      <c r="BQ73">
        <f>Data!$H$2*(1-BJ73)*(1-BJ73/Data!$H$3)*BN73</f>
        <v>-1.8943930420380643E-9</v>
      </c>
      <c r="BR73">
        <f t="shared" si="66"/>
        <v>120.33714030094477</v>
      </c>
      <c r="BS73">
        <f t="shared" si="67"/>
        <v>0</v>
      </c>
      <c r="BT73">
        <f t="shared" si="68"/>
        <v>0</v>
      </c>
      <c r="BU73">
        <f t="shared" si="69"/>
        <v>0</v>
      </c>
      <c r="BV73">
        <f t="shared" si="70"/>
        <v>0</v>
      </c>
      <c r="BW73">
        <f t="shared" si="84"/>
        <v>0</v>
      </c>
      <c r="BX73" t="str">
        <f t="shared" si="85"/>
        <v/>
      </c>
      <c r="BY73" s="66" t="str">
        <f t="shared" si="71"/>
        <v/>
      </c>
      <c r="BZ73" t="str">
        <f t="shared" si="72"/>
        <v/>
      </c>
      <c r="CA73" s="67" t="str">
        <f t="shared" si="73"/>
        <v/>
      </c>
    </row>
    <row r="74" spans="1:79" x14ac:dyDescent="0.25">
      <c r="A74">
        <v>5221</v>
      </c>
      <c r="B74">
        <v>68.5</v>
      </c>
      <c r="C74">
        <v>1185</v>
      </c>
      <c r="D74" s="3">
        <f t="shared" si="98"/>
        <v>8.3333333333333332E-3</v>
      </c>
      <c r="E74" s="3">
        <f t="shared" si="98"/>
        <v>-0.245</v>
      </c>
      <c r="F74">
        <f>IF(A74&gt;0,IF(F73=1,1,IF(B74=Data!$H$4,1,0)),"")</f>
        <v>0</v>
      </c>
      <c r="G74">
        <v>5221</v>
      </c>
      <c r="H74">
        <v>68.5</v>
      </c>
      <c r="I74">
        <v>1185</v>
      </c>
      <c r="J74" s="3">
        <v>8.3333333333333332E-3</v>
      </c>
      <c r="K74" s="3">
        <v>-0.245</v>
      </c>
      <c r="O74" s="3"/>
      <c r="P74" s="3"/>
      <c r="Q74" t="str">
        <f t="shared" si="74"/>
        <v/>
      </c>
      <c r="R74" s="4">
        <f t="shared" si="75"/>
        <v>69</v>
      </c>
      <c r="S74">
        <f t="shared" si="86"/>
        <v>5281</v>
      </c>
      <c r="T74">
        <f t="shared" si="99"/>
        <v>1170.166666666667</v>
      </c>
      <c r="U74" s="4">
        <f t="shared" si="76"/>
        <v>0</v>
      </c>
      <c r="V74" t="e">
        <f t="shared" si="87"/>
        <v>#DIV/0!</v>
      </c>
      <c r="W74" t="e">
        <f t="shared" si="88"/>
        <v>#DIV/0!</v>
      </c>
      <c r="X74" t="str">
        <f t="shared" si="89"/>
        <v/>
      </c>
      <c r="Y74" t="str">
        <f t="shared" si="90"/>
        <v/>
      </c>
      <c r="Z74" t="str">
        <f t="shared" si="91"/>
        <v/>
      </c>
      <c r="AA74" t="str">
        <f t="shared" si="77"/>
        <v/>
      </c>
      <c r="AB74" t="str">
        <f t="shared" si="92"/>
        <v/>
      </c>
      <c r="AC74" t="str">
        <f t="shared" si="93"/>
        <v/>
      </c>
      <c r="AD74" t="str">
        <f t="shared" si="94"/>
        <v/>
      </c>
      <c r="AE74" t="str">
        <f t="shared" si="95"/>
        <v/>
      </c>
      <c r="AF74" s="72">
        <f>IF(AF73+$AF$1&gt;ROUND(Data!$H$4,0),AF73,AF73+$AF$1)</f>
        <v>70</v>
      </c>
      <c r="AG74">
        <f>IF(MATCH(AF74,$AA$3:$AA$1010,0)&lt;898,AVERAGE(AG73,AG75),VLOOKUP(AF74,$R$2:$T$301,2,FALSE))</f>
        <v>5401</v>
      </c>
      <c r="AH74">
        <f>IF(MATCH(AF74,$AA$3:$AA$1010,0)&lt;898,AVERAGE(AH73,AH75),VLOOKUP(AF74,$R$2:$T$301,3,FALSE))</f>
        <v>1148</v>
      </c>
      <c r="AI74">
        <f>IF(MATCH(AF74,$AE$3:$AE$1010,0)&lt;898,AVERAGE(AI73,AI75),VLOOKUP(AF74,$U$2:$W$301,2,FALSE))</f>
        <v>5401</v>
      </c>
      <c r="AJ74" s="67">
        <f>IF(MATCH(AF74,$AE$3:$AE$1010,0)&lt;898,AVERAGE(AJ73,AJ75),VLOOKUP(AF74,$U$2:$W$301,3,FALSE))</f>
        <v>1151</v>
      </c>
      <c r="AK74" s="4">
        <f t="shared" si="96"/>
        <v>32.200000000000102</v>
      </c>
      <c r="AL74">
        <f t="shared" si="78"/>
        <v>865.00000000001228</v>
      </c>
      <c r="AM74">
        <f t="shared" si="79"/>
        <v>11424.466666666656</v>
      </c>
      <c r="AN74">
        <f>IF($AK73+$AK$1&lt;=Data!$H$4-0.5,AVERAGE(AM72:AM76),AN73)</f>
        <v>11424.466666666656</v>
      </c>
      <c r="AO74">
        <f t="shared" si="80"/>
        <v>9996.9999999999873</v>
      </c>
      <c r="AP74">
        <f t="shared" si="97"/>
        <v>10863.599999999991</v>
      </c>
      <c r="AQ74">
        <f>IF($AK73+$AK$1&lt;=Data!$H$4-0.5,AVERAGE(AP72:AP76),AQ73)</f>
        <v>10863.599999999991</v>
      </c>
      <c r="AR74">
        <f>IF($AK73+$AK$1&lt;=Data!$H$4-0.5,SLOPE($AN70:$AN78,$AK70:$AK78),AR73)</f>
        <v>-106.0833333333333</v>
      </c>
      <c r="AS74">
        <f>IF($AK73+$AK$1&lt;=Data!$H$4-0.5,SLOPE($AQ70:$AQ78,$AK70:$AK78),AS73)</f>
        <v>-82.072222222221498</v>
      </c>
      <c r="AT74" t="str">
        <f>IF(AND($AK74&gt;=Results!$G$13,$AK74&lt;=Results!$G$14),Curves!AR74,"")</f>
        <v/>
      </c>
      <c r="AU74" t="str">
        <f>IF(AND($AK74&gt;=Results!$G$13,$AK74&lt;=Results!$G$14),Curves!AS74,"")</f>
        <v/>
      </c>
      <c r="AV74" t="str">
        <f t="shared" si="81"/>
        <v/>
      </c>
      <c r="AW74" t="str">
        <f>IF(AND($AK74&lt;=Results!$I$21,$AK74&gt;=Results!$I$20,$AK74&lt;=Results!$F$4),$AN74,"")</f>
        <v/>
      </c>
      <c r="AX74" t="str">
        <f t="shared" si="81"/>
        <v/>
      </c>
      <c r="AY74" t="str">
        <f>IF(AND($AK74&lt;=Results!$I$23,$AK74&gt;=Results!$I$22,$AK74&gt;=Results!$F$4),$AN74,"")</f>
        <v/>
      </c>
      <c r="AZ74" t="str">
        <f t="shared" si="54"/>
        <v/>
      </c>
      <c r="BA74" t="str">
        <f>IF(AND($AK74&lt;=Results!$I$27,$AK74&gt;=Results!$I$26,$AK74&lt;=Results!$F$4),$AQ74,"")</f>
        <v/>
      </c>
      <c r="BB74" t="str">
        <f t="shared" si="55"/>
        <v/>
      </c>
      <c r="BC74" t="str">
        <f>IF(AND($AK74&lt;=Results!$I$29,$AK74&gt;=Results!$I$28,$AK74&gt;=Results!$F$4),$AQ74,"")</f>
        <v/>
      </c>
      <c r="BD74">
        <f t="shared" si="56"/>
        <v>11291.224996078467</v>
      </c>
      <c r="BE74">
        <f t="shared" si="57"/>
        <v>2407.3250326592415</v>
      </c>
      <c r="BF74">
        <f t="shared" si="58"/>
        <v>10837.873667226877</v>
      </c>
      <c r="BG74">
        <f t="shared" si="59"/>
        <v>1361.4331282144653</v>
      </c>
      <c r="BH74">
        <f t="shared" si="60"/>
        <v>0</v>
      </c>
      <c r="BI74">
        <f t="shared" si="61"/>
        <v>1.0149981056897119</v>
      </c>
      <c r="BJ74">
        <f t="shared" si="62"/>
        <v>1.0027147674981134</v>
      </c>
      <c r="BK74">
        <f t="shared" si="63"/>
        <v>1.1091708923549445E-4</v>
      </c>
      <c r="BL74">
        <f t="shared" si="64"/>
        <v>-9.4450428790081352E-4</v>
      </c>
      <c r="BM74">
        <f t="shared" si="82"/>
        <v>120.00000000000055</v>
      </c>
      <c r="BN74">
        <f t="shared" si="83"/>
        <v>-119.99999999999829</v>
      </c>
      <c r="BO74">
        <f>Data!$H$2*(1-BI74)*(1-BI74/Data!$H$3)*BM74</f>
        <v>5.3986361827144948E-8</v>
      </c>
      <c r="BP74">
        <f t="shared" si="65"/>
        <v>-121.79977268276599</v>
      </c>
      <c r="BQ74">
        <f>Data!$H$2*(1-BJ74)*(1-BJ74/Data!$H$3)*BN74</f>
        <v>-1.7687910165150563E-9</v>
      </c>
      <c r="BR74">
        <f t="shared" si="66"/>
        <v>120.3257720997719</v>
      </c>
      <c r="BS74">
        <f t="shared" si="67"/>
        <v>0</v>
      </c>
      <c r="BT74">
        <f t="shared" si="68"/>
        <v>0</v>
      </c>
      <c r="BU74">
        <f t="shared" si="69"/>
        <v>0</v>
      </c>
      <c r="BV74">
        <f t="shared" si="70"/>
        <v>0</v>
      </c>
      <c r="BW74">
        <f t="shared" si="84"/>
        <v>0</v>
      </c>
      <c r="BX74" t="str">
        <f t="shared" si="85"/>
        <v/>
      </c>
      <c r="BY74" s="66" t="str">
        <f t="shared" si="71"/>
        <v/>
      </c>
      <c r="BZ74" t="str">
        <f t="shared" si="72"/>
        <v/>
      </c>
      <c r="CA74" s="67" t="str">
        <f t="shared" si="73"/>
        <v/>
      </c>
    </row>
    <row r="75" spans="1:79" x14ac:dyDescent="0.25">
      <c r="A75">
        <v>5281</v>
      </c>
      <c r="B75">
        <v>69</v>
      </c>
      <c r="C75">
        <v>1170</v>
      </c>
      <c r="D75" s="3">
        <f t="shared" si="98"/>
        <v>8.3333333333333332E-3</v>
      </c>
      <c r="E75" s="3">
        <f t="shared" si="98"/>
        <v>-0.20333333333333334</v>
      </c>
      <c r="F75">
        <f>IF(A75&gt;0,IF(F74=1,1,IF(B75=Data!$H$4,1,0)),"")</f>
        <v>0</v>
      </c>
      <c r="G75">
        <v>5281</v>
      </c>
      <c r="H75">
        <v>69</v>
      </c>
      <c r="I75">
        <v>1170</v>
      </c>
      <c r="J75" s="3">
        <v>8.3333333333333332E-3</v>
      </c>
      <c r="K75" s="3">
        <v>-0.20333333333333334</v>
      </c>
      <c r="O75" s="3"/>
      <c r="P75" s="3"/>
      <c r="Q75" t="str">
        <f t="shared" si="74"/>
        <v/>
      </c>
      <c r="R75" s="4">
        <f t="shared" si="75"/>
        <v>69</v>
      </c>
      <c r="S75">
        <f t="shared" si="86"/>
        <v>5281</v>
      </c>
      <c r="T75">
        <f t="shared" si="99"/>
        <v>1171.333333333333</v>
      </c>
      <c r="U75" s="4">
        <f t="shared" si="76"/>
        <v>0</v>
      </c>
      <c r="V75" t="e">
        <f t="shared" si="87"/>
        <v>#DIV/0!</v>
      </c>
      <c r="W75" t="e">
        <f t="shared" si="88"/>
        <v>#DIV/0!</v>
      </c>
      <c r="X75" t="str">
        <f t="shared" si="89"/>
        <v/>
      </c>
      <c r="Y75" t="str">
        <f t="shared" si="90"/>
        <v/>
      </c>
      <c r="Z75" t="str">
        <f t="shared" si="91"/>
        <v/>
      </c>
      <c r="AA75" t="str">
        <f t="shared" si="77"/>
        <v/>
      </c>
      <c r="AB75" t="str">
        <f t="shared" si="92"/>
        <v/>
      </c>
      <c r="AC75" t="str">
        <f t="shared" si="93"/>
        <v/>
      </c>
      <c r="AD75" t="str">
        <f t="shared" si="94"/>
        <v/>
      </c>
      <c r="AE75" t="str">
        <f t="shared" si="95"/>
        <v/>
      </c>
      <c r="AF75" s="72">
        <f>IF(AF74+$AF$1&gt;ROUND(Data!$H$4,0),AF74,AF74+$AF$1)</f>
        <v>70</v>
      </c>
      <c r="AG75">
        <f t="shared" si="50"/>
        <v>5401</v>
      </c>
      <c r="AH75">
        <f t="shared" si="51"/>
        <v>1148</v>
      </c>
      <c r="AI75">
        <f t="shared" si="52"/>
        <v>5401</v>
      </c>
      <c r="AJ75" s="67">
        <f t="shared" si="53"/>
        <v>1151</v>
      </c>
      <c r="AK75" s="4">
        <f t="shared" si="96"/>
        <v>32.300000000000104</v>
      </c>
      <c r="AL75">
        <f t="shared" si="78"/>
        <v>877.00000000001251</v>
      </c>
      <c r="AM75">
        <f t="shared" si="79"/>
        <v>11413.533333333322</v>
      </c>
      <c r="AN75">
        <f>IF($AK74+$AK$1&lt;=Data!$H$4-0.5,AVERAGE(AM73:AM77),AN74)</f>
        <v>11413.533333333322</v>
      </c>
      <c r="AO75">
        <f t="shared" si="80"/>
        <v>9984.9999999999873</v>
      </c>
      <c r="AP75">
        <f t="shared" si="97"/>
        <v>10855.399999999992</v>
      </c>
      <c r="AQ75">
        <f>IF($AK74+$AK$1&lt;=Data!$H$4-0.5,AVERAGE(AP73:AP77),AQ74)</f>
        <v>10855.399999999991</v>
      </c>
      <c r="AR75">
        <f>IF($AK74+$AK$1&lt;=Data!$H$4-0.5,SLOPE($AN71:$AN79,$AK71:$AK79),AR74)</f>
        <v>-107.58333333333394</v>
      </c>
      <c r="AS75">
        <f>IF($AK74+$AK$1&lt;=Data!$H$4-0.5,SLOPE($AQ71:$AQ79,$AK71:$AK79),AS74)</f>
        <v>-82.038888888889886</v>
      </c>
      <c r="AT75" t="str">
        <f>IF(AND($AK75&gt;=Results!$G$13,$AK75&lt;=Results!$G$14),Curves!AR75,"")</f>
        <v/>
      </c>
      <c r="AU75" t="str">
        <f>IF(AND($AK75&gt;=Results!$G$13,$AK75&lt;=Results!$G$14),Curves!AS75,"")</f>
        <v/>
      </c>
      <c r="AV75" t="str">
        <f t="shared" si="81"/>
        <v/>
      </c>
      <c r="AW75" t="str">
        <f>IF(AND($AK75&lt;=Results!$I$21,$AK75&gt;=Results!$I$20,$AK75&lt;=Results!$F$4),$AN75,"")</f>
        <v/>
      </c>
      <c r="AX75" t="str">
        <f t="shared" si="81"/>
        <v/>
      </c>
      <c r="AY75" t="str">
        <f>IF(AND($AK75&lt;=Results!$I$23,$AK75&gt;=Results!$I$22,$AK75&gt;=Results!$F$4),$AN75,"")</f>
        <v/>
      </c>
      <c r="AZ75" t="str">
        <f t="shared" si="54"/>
        <v/>
      </c>
      <c r="BA75" t="str">
        <f>IF(AND($AK75&lt;=Results!$I$27,$AK75&gt;=Results!$I$26,$AK75&lt;=Results!$F$4),$AQ75,"")</f>
        <v/>
      </c>
      <c r="BB75" t="str">
        <f t="shared" si="55"/>
        <v/>
      </c>
      <c r="BC75" t="str">
        <f>IF(AND($AK75&lt;=Results!$I$29,$AK75&gt;=Results!$I$28,$AK75&gt;=Results!$F$4),$AQ75,"")</f>
        <v/>
      </c>
      <c r="BD75">
        <f t="shared" si="56"/>
        <v>11280.454801280546</v>
      </c>
      <c r="BE75">
        <f t="shared" si="57"/>
        <v>2404.0092434099206</v>
      </c>
      <c r="BF75">
        <f t="shared" si="58"/>
        <v>10830.583684993984</v>
      </c>
      <c r="BG75">
        <f t="shared" si="59"/>
        <v>1360.8823272549403</v>
      </c>
      <c r="BH75">
        <f t="shared" si="60"/>
        <v>0</v>
      </c>
      <c r="BI75">
        <f t="shared" si="61"/>
        <v>1.0149923222291131</v>
      </c>
      <c r="BJ75">
        <f t="shared" si="62"/>
        <v>1.0026206016503072</v>
      </c>
      <c r="BK75">
        <f t="shared" si="63"/>
        <v>-5.7883216095787892E-5</v>
      </c>
      <c r="BL75">
        <f t="shared" si="64"/>
        <v>-9.4232909335632874E-4</v>
      </c>
      <c r="BM75">
        <f t="shared" si="82"/>
        <v>119.99999999999997</v>
      </c>
      <c r="BN75">
        <f t="shared" si="83"/>
        <v>-119.99999999999829</v>
      </c>
      <c r="BO75">
        <f>Data!$H$2*(1-BI75)*(1-BI75/Data!$H$3)*BM75</f>
        <v>5.3944734197173844E-8</v>
      </c>
      <c r="BP75">
        <f t="shared" si="65"/>
        <v>-121.79907866749353</v>
      </c>
      <c r="BQ75">
        <f>Data!$H$2*(1-BJ75)*(1-BJ75/Data!$H$3)*BN75</f>
        <v>-1.6482127223022496E-9</v>
      </c>
      <c r="BR75">
        <f t="shared" si="66"/>
        <v>120.31447219803515</v>
      </c>
      <c r="BS75">
        <f t="shared" si="67"/>
        <v>0</v>
      </c>
      <c r="BT75">
        <f t="shared" si="68"/>
        <v>0</v>
      </c>
      <c r="BU75">
        <f t="shared" si="69"/>
        <v>0</v>
      </c>
      <c r="BV75">
        <f t="shared" si="70"/>
        <v>0</v>
      </c>
      <c r="BW75">
        <f t="shared" si="84"/>
        <v>0</v>
      </c>
      <c r="BX75" t="str">
        <f t="shared" si="85"/>
        <v/>
      </c>
      <c r="BY75" s="66" t="str">
        <f t="shared" si="71"/>
        <v/>
      </c>
      <c r="BZ75" t="str">
        <f t="shared" si="72"/>
        <v/>
      </c>
      <c r="CA75" s="67" t="str">
        <f t="shared" si="73"/>
        <v/>
      </c>
    </row>
    <row r="76" spans="1:79" x14ac:dyDescent="0.25">
      <c r="A76">
        <v>5341</v>
      </c>
      <c r="B76">
        <v>69.5</v>
      </c>
      <c r="C76">
        <v>1159</v>
      </c>
      <c r="D76" s="3">
        <f t="shared" si="98"/>
        <v>1.2578616352201257E-3</v>
      </c>
      <c r="E76" s="3">
        <f t="shared" si="98"/>
        <v>-8.1918238993710688E-2</v>
      </c>
      <c r="F76">
        <f>IF(A76&gt;0,IF(F75=1,1,IF(B76=Data!$H$4,1,0)),"")</f>
        <v>0</v>
      </c>
      <c r="G76">
        <v>5341</v>
      </c>
      <c r="H76">
        <v>69.5</v>
      </c>
      <c r="I76">
        <v>1159</v>
      </c>
      <c r="J76" s="3">
        <v>1.2578616352201257E-3</v>
      </c>
      <c r="K76" s="3">
        <v>-8.1918238993710688E-2</v>
      </c>
      <c r="O76" s="3"/>
      <c r="P76" s="3"/>
      <c r="Q76" t="str">
        <f t="shared" si="74"/>
        <v/>
      </c>
      <c r="R76" s="4">
        <f t="shared" si="75"/>
        <v>70</v>
      </c>
      <c r="S76">
        <f t="shared" si="86"/>
        <v>5401</v>
      </c>
      <c r="T76">
        <f t="shared" si="99"/>
        <v>1148</v>
      </c>
      <c r="U76" s="4">
        <f t="shared" si="76"/>
        <v>0</v>
      </c>
      <c r="V76" t="e">
        <f t="shared" si="87"/>
        <v>#DIV/0!</v>
      </c>
      <c r="W76" t="e">
        <f t="shared" si="88"/>
        <v>#DIV/0!</v>
      </c>
      <c r="X76" t="str">
        <f t="shared" si="89"/>
        <v/>
      </c>
      <c r="Y76" t="str">
        <f t="shared" si="90"/>
        <v/>
      </c>
      <c r="Z76" t="str">
        <f t="shared" si="91"/>
        <v/>
      </c>
      <c r="AA76" t="str">
        <f t="shared" si="77"/>
        <v/>
      </c>
      <c r="AB76" t="str">
        <f t="shared" si="92"/>
        <v/>
      </c>
      <c r="AC76" t="str">
        <f t="shared" si="93"/>
        <v/>
      </c>
      <c r="AD76" t="str">
        <f t="shared" si="94"/>
        <v/>
      </c>
      <c r="AE76" t="str">
        <f t="shared" si="95"/>
        <v/>
      </c>
      <c r="AF76" s="72">
        <f>IF(AF75+$AF$1&gt;ROUND(Data!$H$4,0),AF75,AF75+$AF$1)</f>
        <v>70</v>
      </c>
      <c r="AG76">
        <f>IF(MATCH(AF76,$AA$3:$AA$1010,0)&lt;898,AVERAGE(AG75,AG77),VLOOKUP(AF76,$R$2:$T$301,2,FALSE))</f>
        <v>5401</v>
      </c>
      <c r="AH76">
        <f>IF(MATCH(AF76,$AA$3:$AA$1010,0)&lt;898,AVERAGE(AH75,AH77),VLOOKUP(AF76,$R$2:$T$301,3,FALSE))</f>
        <v>1148</v>
      </c>
      <c r="AI76">
        <f>IF(MATCH(AF76,$AE$3:$AE$1010,0)&lt;898,AVERAGE(AI75,AI77),VLOOKUP(AF76,$U$2:$W$301,2,FALSE))</f>
        <v>5401</v>
      </c>
      <c r="AJ76" s="67">
        <f>IF(MATCH(AF76,$AE$3:$AE$1010,0)&lt;898,AVERAGE(AJ75,AJ77),VLOOKUP(AF76,$U$2:$W$301,3,FALSE))</f>
        <v>1151</v>
      </c>
      <c r="AK76" s="4">
        <f t="shared" si="96"/>
        <v>32.400000000000105</v>
      </c>
      <c r="AL76">
        <f t="shared" si="78"/>
        <v>889.00000000001262</v>
      </c>
      <c r="AM76">
        <f t="shared" si="79"/>
        <v>11402.599999999989</v>
      </c>
      <c r="AN76">
        <f>IF($AK75+$AK$1&lt;=Data!$H$4-0.5,AVERAGE(AM74:AM78),AN75)</f>
        <v>11402.599999999989</v>
      </c>
      <c r="AO76">
        <f t="shared" si="80"/>
        <v>9972.9999999999873</v>
      </c>
      <c r="AP76">
        <f t="shared" si="97"/>
        <v>10847.199999999992</v>
      </c>
      <c r="AQ76">
        <f>IF($AK75+$AK$1&lt;=Data!$H$4-0.5,AVERAGE(AP74:AP78),AQ75)</f>
        <v>10847.199999999992</v>
      </c>
      <c r="AR76">
        <f>IF($AK75+$AK$1&lt;=Data!$H$4-0.5,SLOPE($AN72:$AN80,$AK72:$AK80),AR75)</f>
        <v>-108.58333333333509</v>
      </c>
      <c r="AS76">
        <f>IF($AK75+$AK$1&lt;=Data!$H$4-0.5,SLOPE($AQ72:$AQ80,$AK72:$AK80),AS75)</f>
        <v>-82.016666666668883</v>
      </c>
      <c r="AT76" t="str">
        <f>IF(AND($AK76&gt;=Results!$G$13,$AK76&lt;=Results!$G$14),Curves!AR76,"")</f>
        <v/>
      </c>
      <c r="AU76" t="str">
        <f>IF(AND($AK76&gt;=Results!$G$13,$AK76&lt;=Results!$G$14),Curves!AS76,"")</f>
        <v/>
      </c>
      <c r="AV76" t="str">
        <f t="shared" si="81"/>
        <v/>
      </c>
      <c r="AW76" t="str">
        <f>IF(AND($AK76&lt;=Results!$I$21,$AK76&gt;=Results!$I$20,$AK76&lt;=Results!$F$4),$AN76,"")</f>
        <v/>
      </c>
      <c r="AX76" t="str">
        <f t="shared" si="81"/>
        <v/>
      </c>
      <c r="AY76" t="str">
        <f>IF(AND($AK76&lt;=Results!$I$23,$AK76&gt;=Results!$I$22,$AK76&gt;=Results!$F$4),$AN76,"")</f>
        <v/>
      </c>
      <c r="AZ76" t="str">
        <f t="shared" si="54"/>
        <v/>
      </c>
      <c r="BA76" t="str">
        <f>IF(AND($AK76&lt;=Results!$I$27,$AK76&gt;=Results!$I$26,$AK76&lt;=Results!$F$4),$AQ76,"")</f>
        <v/>
      </c>
      <c r="BB76" t="str">
        <f t="shared" si="55"/>
        <v/>
      </c>
      <c r="BC76" t="str">
        <f>IF(AND($AK76&lt;=Results!$I$29,$AK76&gt;=Results!$I$28,$AK76&gt;=Results!$F$4),$AQ76,"")</f>
        <v/>
      </c>
      <c r="BD76">
        <f t="shared" si="56"/>
        <v>11269.684606482628</v>
      </c>
      <c r="BE76">
        <f t="shared" si="57"/>
        <v>2400.6934541605997</v>
      </c>
      <c r="BF76">
        <f t="shared" si="58"/>
        <v>10823.29370276109</v>
      </c>
      <c r="BG76">
        <f t="shared" si="59"/>
        <v>1360.3315262954154</v>
      </c>
      <c r="BH76">
        <f t="shared" si="60"/>
        <v>0</v>
      </c>
      <c r="BI76">
        <f t="shared" si="61"/>
        <v>1.0149865290464928</v>
      </c>
      <c r="BJ76">
        <f t="shared" si="62"/>
        <v>1.0025263016794421</v>
      </c>
      <c r="BK76">
        <f t="shared" si="63"/>
        <v>-5.7980558982872201E-5</v>
      </c>
      <c r="BL76">
        <f t="shared" si="64"/>
        <v>-9.4367175773378597E-4</v>
      </c>
      <c r="BM76">
        <f t="shared" si="82"/>
        <v>119.99999999999942</v>
      </c>
      <c r="BN76">
        <f t="shared" si="83"/>
        <v>-119.99999999999829</v>
      </c>
      <c r="BO76">
        <f>Data!$H$2*(1-BI76)*(1-BI76/Data!$H$3)*BM76</f>
        <v>5.3903052686728971E-8</v>
      </c>
      <c r="BP76">
        <f t="shared" si="65"/>
        <v>-121.79838348557854</v>
      </c>
      <c r="BQ76">
        <f>Data!$H$2*(1-BJ76)*(1-BJ76/Data!$H$3)*BN76</f>
        <v>-1.5317280421324791E-9</v>
      </c>
      <c r="BR76">
        <f t="shared" si="66"/>
        <v>120.30315620153135</v>
      </c>
      <c r="BS76">
        <f t="shared" si="67"/>
        <v>0</v>
      </c>
      <c r="BT76">
        <f t="shared" si="68"/>
        <v>0</v>
      </c>
      <c r="BU76">
        <f t="shared" si="69"/>
        <v>0</v>
      </c>
      <c r="BV76">
        <f t="shared" si="70"/>
        <v>0</v>
      </c>
      <c r="BW76">
        <f t="shared" si="84"/>
        <v>0</v>
      </c>
      <c r="BX76" t="str">
        <f t="shared" si="85"/>
        <v/>
      </c>
      <c r="BY76" s="66" t="str">
        <f t="shared" si="71"/>
        <v/>
      </c>
      <c r="BZ76" t="str">
        <f t="shared" si="72"/>
        <v/>
      </c>
      <c r="CA76" s="67" t="str">
        <f t="shared" si="73"/>
        <v/>
      </c>
    </row>
    <row r="77" spans="1:79" x14ac:dyDescent="0.25">
      <c r="A77">
        <v>5401</v>
      </c>
      <c r="B77">
        <v>70</v>
      </c>
      <c r="C77">
        <v>1151</v>
      </c>
      <c r="D77" s="3">
        <f t="shared" si="98"/>
        <v>-2.9411764705882353E-3</v>
      </c>
      <c r="E77" s="3">
        <f t="shared" si="98"/>
        <v>-8.3333333333333332E-3</v>
      </c>
      <c r="F77">
        <f>IF(A77&gt;0,IF(F76=1,1,IF(B77=Data!$H$4,1,0)),"")</f>
        <v>1</v>
      </c>
      <c r="J77" s="3"/>
      <c r="K77" s="3"/>
      <c r="O77" s="3"/>
      <c r="P77" s="3"/>
      <c r="Q77" t="str">
        <f t="shared" si="74"/>
        <v/>
      </c>
      <c r="R77" s="4" t="str">
        <f t="shared" si="75"/>
        <v/>
      </c>
      <c r="S77" t="e">
        <f t="shared" si="86"/>
        <v>#DIV/0!</v>
      </c>
      <c r="T77" t="e">
        <f t="shared" si="99"/>
        <v>#DIV/0!</v>
      </c>
      <c r="U77" s="4">
        <f t="shared" si="76"/>
        <v>0</v>
      </c>
      <c r="V77" t="e">
        <f t="shared" si="87"/>
        <v>#DIV/0!</v>
      </c>
      <c r="W77" t="e">
        <f t="shared" si="88"/>
        <v>#DIV/0!</v>
      </c>
      <c r="X77" t="e">
        <f t="shared" si="89"/>
        <v>#VALUE!</v>
      </c>
      <c r="Y77" t="e">
        <f t="shared" si="90"/>
        <v>#VALUE!</v>
      </c>
      <c r="Z77" t="e">
        <f t="shared" si="91"/>
        <v>#VALUE!</v>
      </c>
      <c r="AA77" t="e">
        <f t="shared" si="77"/>
        <v>#VALUE!</v>
      </c>
      <c r="AB77" t="str">
        <f t="shared" si="92"/>
        <v/>
      </c>
      <c r="AC77" t="str">
        <f t="shared" si="93"/>
        <v/>
      </c>
      <c r="AD77" t="str">
        <f t="shared" si="94"/>
        <v/>
      </c>
      <c r="AE77" t="str">
        <f t="shared" si="95"/>
        <v/>
      </c>
      <c r="AF77" s="72">
        <f>IF(AF76+$AF$1&gt;ROUND(Data!$H$4,0),AF76,AF76+$AF$1)</f>
        <v>70</v>
      </c>
      <c r="AG77">
        <f t="shared" si="50"/>
        <v>5401</v>
      </c>
      <c r="AH77">
        <f t="shared" si="51"/>
        <v>1148</v>
      </c>
      <c r="AI77">
        <f t="shared" si="52"/>
        <v>5401</v>
      </c>
      <c r="AJ77" s="67">
        <f t="shared" si="53"/>
        <v>1151</v>
      </c>
      <c r="AK77" s="4">
        <f t="shared" si="96"/>
        <v>32.500000000000107</v>
      </c>
      <c r="AL77">
        <f t="shared" si="78"/>
        <v>901.00000000001273</v>
      </c>
      <c r="AM77">
        <f t="shared" si="79"/>
        <v>11391.666666666655</v>
      </c>
      <c r="AN77">
        <f>IF($AK76+$AK$1&lt;=Data!$H$4-0.5,AVERAGE(AM75:AM79),AN76)</f>
        <v>11391.666666666655</v>
      </c>
      <c r="AO77">
        <f t="shared" si="80"/>
        <v>9960.9999999999873</v>
      </c>
      <c r="AP77">
        <f t="shared" si="97"/>
        <v>10838.999999999991</v>
      </c>
      <c r="AQ77">
        <f>IF($AK76+$AK$1&lt;=Data!$H$4-0.5,AVERAGE(AP75:AP79),AQ76)</f>
        <v>10838.999999999991</v>
      </c>
      <c r="AR77">
        <f>IF($AK76+$AK$1&lt;=Data!$H$4-0.5,SLOPE($AN73:$AN81,$AK73:$AK81),AR76)</f>
        <v>-109.62666666666937</v>
      </c>
      <c r="AS77">
        <f>IF($AK76+$AK$1&lt;=Data!$H$4-0.5,SLOPE($AQ73:$AQ81,$AK73:$AK81),AS76)</f>
        <v>-81.920000000000414</v>
      </c>
      <c r="AT77" t="str">
        <f>IF(AND($AK77&gt;=Results!$G$13,$AK77&lt;=Results!$G$14),Curves!AR77,"")</f>
        <v/>
      </c>
      <c r="AU77" t="str">
        <f>IF(AND($AK77&gt;=Results!$G$13,$AK77&lt;=Results!$G$14),Curves!AS77,"")</f>
        <v/>
      </c>
      <c r="AV77" t="str">
        <f t="shared" si="81"/>
        <v/>
      </c>
      <c r="AW77" t="str">
        <f>IF(AND($AK77&lt;=Results!$I$21,$AK77&gt;=Results!$I$20,$AK77&lt;=Results!$F$4),$AN77,"")</f>
        <v/>
      </c>
      <c r="AX77" t="str">
        <f t="shared" si="81"/>
        <v/>
      </c>
      <c r="AY77" t="str">
        <f>IF(AND($AK77&lt;=Results!$I$23,$AK77&gt;=Results!$I$22,$AK77&gt;=Results!$F$4),$AN77,"")</f>
        <v/>
      </c>
      <c r="AZ77" t="str">
        <f t="shared" si="54"/>
        <v/>
      </c>
      <c r="BA77" t="str">
        <f>IF(AND($AK77&lt;=Results!$I$27,$AK77&gt;=Results!$I$26,$AK77&lt;=Results!$F$4),$AQ77,"")</f>
        <v/>
      </c>
      <c r="BB77" t="str">
        <f t="shared" si="55"/>
        <v/>
      </c>
      <c r="BC77" t="str">
        <f>IF(AND($AK77&lt;=Results!$I$29,$AK77&gt;=Results!$I$28,$AK77&gt;=Results!$F$4),$AQ77,"")</f>
        <v/>
      </c>
      <c r="BD77">
        <f t="shared" si="56"/>
        <v>11258.914411684707</v>
      </c>
      <c r="BE77">
        <f t="shared" si="57"/>
        <v>2397.3776649112788</v>
      </c>
      <c r="BF77">
        <f t="shared" si="58"/>
        <v>10816.003720528197</v>
      </c>
      <c r="BG77">
        <f t="shared" si="59"/>
        <v>1359.7807253358903</v>
      </c>
      <c r="BH77">
        <f t="shared" si="60"/>
        <v>0</v>
      </c>
      <c r="BI77">
        <f t="shared" si="61"/>
        <v>1.0149807261173165</v>
      </c>
      <c r="BJ77">
        <f t="shared" si="62"/>
        <v>1.0024318672987604</v>
      </c>
      <c r="BK77">
        <f t="shared" si="63"/>
        <v>-5.8078147630035443E-5</v>
      </c>
      <c r="BL77">
        <f t="shared" si="64"/>
        <v>-9.4501729377304044E-4</v>
      </c>
      <c r="BM77">
        <f t="shared" si="82"/>
        <v>119.99999999999997</v>
      </c>
      <c r="BN77">
        <f t="shared" si="83"/>
        <v>-119.99999999999829</v>
      </c>
      <c r="BO77">
        <f>Data!$H$2*(1-BI77)*(1-BI77/Data!$H$3)*BM77</f>
        <v>5.3861317200491594E-8</v>
      </c>
      <c r="BP77">
        <f t="shared" si="65"/>
        <v>-121.79768713407795</v>
      </c>
      <c r="BQ77">
        <f>Data!$H$2*(1-BJ77)*(1-BJ77/Data!$H$3)*BN77</f>
        <v>-1.4193548541072724E-9</v>
      </c>
      <c r="BR77">
        <f t="shared" si="66"/>
        <v>120.29182407584955</v>
      </c>
      <c r="BS77">
        <f t="shared" si="67"/>
        <v>0</v>
      </c>
      <c r="BT77">
        <f t="shared" si="68"/>
        <v>0</v>
      </c>
      <c r="BU77">
        <f t="shared" si="69"/>
        <v>0</v>
      </c>
      <c r="BV77">
        <f t="shared" si="70"/>
        <v>0</v>
      </c>
      <c r="BW77">
        <f t="shared" si="84"/>
        <v>0</v>
      </c>
      <c r="BX77" t="str">
        <f t="shared" si="85"/>
        <v/>
      </c>
      <c r="BY77" s="66" t="str">
        <f t="shared" si="71"/>
        <v/>
      </c>
      <c r="BZ77" t="str">
        <f t="shared" si="72"/>
        <v/>
      </c>
      <c r="CA77" s="67" t="str">
        <f t="shared" si="73"/>
        <v/>
      </c>
    </row>
    <row r="78" spans="1:79" x14ac:dyDescent="0.25">
      <c r="A78">
        <v>5581</v>
      </c>
      <c r="B78">
        <v>69</v>
      </c>
      <c r="C78">
        <v>1153</v>
      </c>
      <c r="D78" s="3">
        <f t="shared" si="98"/>
        <v>-5.6919642857142854E-3</v>
      </c>
      <c r="E78" s="3">
        <f t="shared" si="98"/>
        <v>5.1041666666666666E-2</v>
      </c>
      <c r="F78">
        <f>IF(A78&gt;0,IF(F77=1,1,IF(B78=Data!$H$4,1,0)),"")</f>
        <v>1</v>
      </c>
      <c r="O78" s="3"/>
      <c r="P78" s="3"/>
      <c r="Q78" t="str">
        <f t="shared" si="74"/>
        <v/>
      </c>
      <c r="R78" s="4" t="str">
        <f t="shared" si="75"/>
        <v/>
      </c>
      <c r="S78" t="e">
        <f t="shared" si="86"/>
        <v>#DIV/0!</v>
      </c>
      <c r="T78" t="e">
        <f t="shared" si="99"/>
        <v>#DIV/0!</v>
      </c>
      <c r="U78" s="4">
        <f t="shared" si="76"/>
        <v>0</v>
      </c>
      <c r="V78" t="e">
        <f t="shared" si="87"/>
        <v>#DIV/0!</v>
      </c>
      <c r="W78" t="e">
        <f t="shared" si="88"/>
        <v>#DIV/0!</v>
      </c>
      <c r="X78" t="e">
        <f t="shared" si="89"/>
        <v>#VALUE!</v>
      </c>
      <c r="Y78" t="e">
        <f t="shared" si="90"/>
        <v>#VALUE!</v>
      </c>
      <c r="Z78" t="e">
        <f t="shared" si="91"/>
        <v>#VALUE!</v>
      </c>
      <c r="AA78" t="e">
        <f t="shared" si="77"/>
        <v>#VALUE!</v>
      </c>
      <c r="AB78" t="str">
        <f t="shared" si="92"/>
        <v/>
      </c>
      <c r="AC78" t="str">
        <f t="shared" si="93"/>
        <v/>
      </c>
      <c r="AD78" t="str">
        <f t="shared" si="94"/>
        <v/>
      </c>
      <c r="AE78" t="str">
        <f t="shared" si="95"/>
        <v/>
      </c>
      <c r="AF78" s="72">
        <f>IF(AF77+$AF$1&gt;ROUND(Data!$H$4,0),AF77,AF77+$AF$1)</f>
        <v>70</v>
      </c>
      <c r="AG78">
        <f>IF(MATCH(AF78,$AA$3:$AA$1010,0)&lt;898,AVERAGE(AG77,AG79),VLOOKUP(AF78,$R$2:$T$301,2,FALSE))</f>
        <v>5401</v>
      </c>
      <c r="AH78">
        <f>IF(MATCH(AF78,$AA$3:$AA$1010,0)&lt;898,AVERAGE(AH77,AH79),VLOOKUP(AF78,$R$2:$T$301,3,FALSE))</f>
        <v>1148</v>
      </c>
      <c r="AI78">
        <f>IF(MATCH(AF78,$AE$3:$AE$1010,0)&lt;898,AVERAGE(AI77,AI79),VLOOKUP(AF78,$U$2:$W$301,2,FALSE))</f>
        <v>5401</v>
      </c>
      <c r="AJ78" s="67">
        <f>IF(MATCH(AF78,$AE$3:$AE$1010,0)&lt;898,AVERAGE(AJ77,AJ79),VLOOKUP(AF78,$U$2:$W$301,3,FALSE))</f>
        <v>1151</v>
      </c>
      <c r="AK78" s="4">
        <f t="shared" si="96"/>
        <v>32.600000000000108</v>
      </c>
      <c r="AL78">
        <f t="shared" si="78"/>
        <v>913.00000000001296</v>
      </c>
      <c r="AM78">
        <f t="shared" si="79"/>
        <v>11380.733333333323</v>
      </c>
      <c r="AN78">
        <f>IF($AK77+$AK$1&lt;=Data!$H$4-0.5,AVERAGE(AM76:AM80),AN77)</f>
        <v>11380.733333333323</v>
      </c>
      <c r="AO78">
        <f t="shared" si="80"/>
        <v>9948.9999999999873</v>
      </c>
      <c r="AP78">
        <f t="shared" si="97"/>
        <v>10830.799999999992</v>
      </c>
      <c r="AQ78">
        <f>IF($AK77+$AK$1&lt;=Data!$H$4-0.5,AVERAGE(AP76:AP80),AQ77)</f>
        <v>10830.799999999992</v>
      </c>
      <c r="AR78">
        <f>IF($AK77+$AK$1&lt;=Data!$H$4-0.5,SLOPE($AN74:$AN82,$AK74:$AK82),AR77)</f>
        <v>-111.18333333333575</v>
      </c>
      <c r="AS78">
        <f>IF($AK77+$AK$1&lt;=Data!$H$4-0.5,SLOPE($AQ74:$AQ82,$AK74:$AK82),AS77)</f>
        <v>-81.683333333330424</v>
      </c>
      <c r="AT78" t="str">
        <f>IF(AND($AK78&gt;=Results!$G$13,$AK78&lt;=Results!$G$14),Curves!AR78,"")</f>
        <v/>
      </c>
      <c r="AU78" t="str">
        <f>IF(AND($AK78&gt;=Results!$G$13,$AK78&lt;=Results!$G$14),Curves!AS78,"")</f>
        <v/>
      </c>
      <c r="AV78" t="str">
        <f t="shared" si="81"/>
        <v/>
      </c>
      <c r="AW78" t="str">
        <f>IF(AND($AK78&lt;=Results!$I$21,$AK78&gt;=Results!$I$20,$AK78&lt;=Results!$F$4),$AN78,"")</f>
        <v/>
      </c>
      <c r="AX78" t="str">
        <f t="shared" si="81"/>
        <v/>
      </c>
      <c r="AY78" t="str">
        <f>IF(AND($AK78&lt;=Results!$I$23,$AK78&gt;=Results!$I$22,$AK78&gt;=Results!$F$4),$AN78,"")</f>
        <v/>
      </c>
      <c r="AZ78" t="str">
        <f t="shared" si="54"/>
        <v/>
      </c>
      <c r="BA78" t="str">
        <f>IF(AND($AK78&lt;=Results!$I$27,$AK78&gt;=Results!$I$26,$AK78&lt;=Results!$F$4),$AQ78,"")</f>
        <v/>
      </c>
      <c r="BB78" t="str">
        <f t="shared" si="55"/>
        <v/>
      </c>
      <c r="BC78" t="str">
        <f>IF(AND($AK78&lt;=Results!$I$29,$AK78&gt;=Results!$I$28,$AK78&gt;=Results!$F$4),$AQ78,"")</f>
        <v/>
      </c>
      <c r="BD78">
        <f t="shared" si="56"/>
        <v>11248.144216886787</v>
      </c>
      <c r="BE78">
        <f t="shared" si="57"/>
        <v>2394.0618756619579</v>
      </c>
      <c r="BF78">
        <f t="shared" si="58"/>
        <v>10808.713738295304</v>
      </c>
      <c r="BG78">
        <f t="shared" si="59"/>
        <v>1359.2299243763653</v>
      </c>
      <c r="BH78">
        <f t="shared" si="60"/>
        <v>0</v>
      </c>
      <c r="BI78">
        <f t="shared" si="61"/>
        <v>1.0149749134169668</v>
      </c>
      <c r="BJ78">
        <f t="shared" si="62"/>
        <v>1.0023372982206875</v>
      </c>
      <c r="BK78">
        <f t="shared" si="63"/>
        <v>-5.8175982868834685E-5</v>
      </c>
      <c r="BL78">
        <f t="shared" si="64"/>
        <v>-9.4636570966864829E-4</v>
      </c>
      <c r="BM78">
        <f t="shared" si="82"/>
        <v>120.00000000000055</v>
      </c>
      <c r="BN78">
        <f t="shared" si="83"/>
        <v>-119.99999999999829</v>
      </c>
      <c r="BO78">
        <f>Data!$H$2*(1-BI78)*(1-BI78/Data!$H$3)*BM78</f>
        <v>5.3819527642956604E-8</v>
      </c>
      <c r="BP78">
        <f t="shared" si="65"/>
        <v>-121.79698961003658</v>
      </c>
      <c r="BQ78">
        <f>Data!$H$2*(1-BJ78)*(1-BJ78/Data!$H$3)*BN78</f>
        <v>-1.3111111133829429E-9</v>
      </c>
      <c r="BR78">
        <f t="shared" si="66"/>
        <v>120.28047578648079</v>
      </c>
      <c r="BS78">
        <f t="shared" si="67"/>
        <v>0</v>
      </c>
      <c r="BT78">
        <f t="shared" si="68"/>
        <v>0</v>
      </c>
      <c r="BU78">
        <f t="shared" si="69"/>
        <v>0</v>
      </c>
      <c r="BV78">
        <f t="shared" si="70"/>
        <v>0</v>
      </c>
      <c r="BW78">
        <f t="shared" si="84"/>
        <v>0</v>
      </c>
      <c r="BX78" t="str">
        <f t="shared" si="85"/>
        <v/>
      </c>
      <c r="BY78" s="66" t="str">
        <f t="shared" si="71"/>
        <v/>
      </c>
      <c r="BZ78" t="str">
        <f t="shared" si="72"/>
        <v/>
      </c>
      <c r="CA78" s="67" t="str">
        <f t="shared" si="73"/>
        <v/>
      </c>
    </row>
    <row r="79" spans="1:79" x14ac:dyDescent="0.25">
      <c r="A79">
        <v>5701</v>
      </c>
      <c r="B79">
        <v>68</v>
      </c>
      <c r="C79">
        <v>1164</v>
      </c>
      <c r="D79" s="3">
        <f t="shared" si="98"/>
        <v>-7.513661202185792E-3</v>
      </c>
      <c r="E79" s="3">
        <f t="shared" si="98"/>
        <v>0.11912568306010929</v>
      </c>
      <c r="F79">
        <f>IF(A79&gt;0,IF(F78=1,1,IF(B79=Data!$H$4,1,0)),"")</f>
        <v>1</v>
      </c>
      <c r="O79" s="3"/>
      <c r="P79" s="3"/>
      <c r="Q79" t="str">
        <f t="shared" si="74"/>
        <v/>
      </c>
      <c r="R79" s="4" t="str">
        <f t="shared" si="75"/>
        <v/>
      </c>
      <c r="S79" t="e">
        <f t="shared" si="86"/>
        <v>#DIV/0!</v>
      </c>
      <c r="T79" t="e">
        <f t="shared" si="99"/>
        <v>#DIV/0!</v>
      </c>
      <c r="U79" s="4">
        <f t="shared" si="76"/>
        <v>0</v>
      </c>
      <c r="V79" t="e">
        <f t="shared" si="87"/>
        <v>#DIV/0!</v>
      </c>
      <c r="W79" t="e">
        <f t="shared" si="88"/>
        <v>#DIV/0!</v>
      </c>
      <c r="X79" t="e">
        <f t="shared" si="89"/>
        <v>#VALUE!</v>
      </c>
      <c r="Y79" t="e">
        <f t="shared" si="90"/>
        <v>#VALUE!</v>
      </c>
      <c r="Z79" t="e">
        <f t="shared" si="91"/>
        <v>#VALUE!</v>
      </c>
      <c r="AA79" t="e">
        <f t="shared" si="77"/>
        <v>#VALUE!</v>
      </c>
      <c r="AB79" t="str">
        <f t="shared" si="92"/>
        <v/>
      </c>
      <c r="AC79" t="str">
        <f t="shared" si="93"/>
        <v/>
      </c>
      <c r="AD79" t="str">
        <f t="shared" si="94"/>
        <v/>
      </c>
      <c r="AE79" t="str">
        <f t="shared" si="95"/>
        <v/>
      </c>
      <c r="AF79" s="72">
        <f>IF(AF78+$AF$1&gt;ROUND(Data!$H$4,0),AF78,AF78+$AF$1)</f>
        <v>70</v>
      </c>
      <c r="AG79">
        <f t="shared" si="50"/>
        <v>5401</v>
      </c>
      <c r="AH79">
        <f t="shared" si="51"/>
        <v>1148</v>
      </c>
      <c r="AI79">
        <f t="shared" si="52"/>
        <v>5401</v>
      </c>
      <c r="AJ79" s="67">
        <f t="shared" si="53"/>
        <v>1151</v>
      </c>
      <c r="AK79" s="4">
        <f t="shared" si="96"/>
        <v>32.700000000000109</v>
      </c>
      <c r="AL79">
        <f t="shared" si="78"/>
        <v>925.00000000001319</v>
      </c>
      <c r="AM79">
        <f t="shared" si="79"/>
        <v>11369.799999999988</v>
      </c>
      <c r="AN79">
        <f>IF($AK78+$AK$1&lt;=Data!$H$4-0.5,AVERAGE(AM77:AM81),AN78)</f>
        <v>11369.799999999988</v>
      </c>
      <c r="AO79">
        <f t="shared" si="80"/>
        <v>9936.9999999999873</v>
      </c>
      <c r="AP79">
        <f t="shared" si="97"/>
        <v>10822.599999999991</v>
      </c>
      <c r="AQ79">
        <f>IF($AK78+$AK$1&lt;=Data!$H$4-0.5,AVERAGE(AP77:AP81),AQ78)</f>
        <v>10822.599999999989</v>
      </c>
      <c r="AR79">
        <f>IF($AK78+$AK$1&lt;=Data!$H$4-0.5,SLOPE($AN75:$AN83,$AK75:$AK83),AR78)</f>
        <v>-113.65000000000288</v>
      </c>
      <c r="AS79">
        <f>IF($AK78+$AK$1&lt;=Data!$H$4-0.5,SLOPE($AQ75:$AQ83,$AK75:$AK83),AS78)</f>
        <v>-81.261111111107681</v>
      </c>
      <c r="AT79" t="str">
        <f>IF(AND($AK79&gt;=Results!$G$13,$AK79&lt;=Results!$G$14),Curves!AR79,"")</f>
        <v/>
      </c>
      <c r="AU79" t="str">
        <f>IF(AND($AK79&gt;=Results!$G$13,$AK79&lt;=Results!$G$14),Curves!AS79,"")</f>
        <v/>
      </c>
      <c r="AV79" t="str">
        <f t="shared" si="81"/>
        <v/>
      </c>
      <c r="AW79" t="str">
        <f>IF(AND($AK79&lt;=Results!$I$21,$AK79&gt;=Results!$I$20,$AK79&lt;=Results!$F$4),$AN79,"")</f>
        <v/>
      </c>
      <c r="AX79" t="str">
        <f t="shared" si="81"/>
        <v/>
      </c>
      <c r="AY79" t="str">
        <f>IF(AND($AK79&lt;=Results!$I$23,$AK79&gt;=Results!$I$22,$AK79&gt;=Results!$F$4),$AN79,"")</f>
        <v/>
      </c>
      <c r="AZ79" t="str">
        <f t="shared" si="54"/>
        <v/>
      </c>
      <c r="BA79" t="str">
        <f>IF(AND($AK79&lt;=Results!$I$27,$AK79&gt;=Results!$I$26,$AK79&lt;=Results!$F$4),$AQ79,"")</f>
        <v/>
      </c>
      <c r="BB79" t="str">
        <f t="shared" si="55"/>
        <v/>
      </c>
      <c r="BC79" t="str">
        <f>IF(AND($AK79&lt;=Results!$I$29,$AK79&gt;=Results!$I$28,$AK79&gt;=Results!$F$4),$AQ79,"")</f>
        <v/>
      </c>
      <c r="BD79">
        <f t="shared" si="56"/>
        <v>11237.374022088869</v>
      </c>
      <c r="BE79">
        <f t="shared" si="57"/>
        <v>2390.7460864126369</v>
      </c>
      <c r="BF79">
        <f t="shared" si="58"/>
        <v>10801.423756062411</v>
      </c>
      <c r="BG79">
        <f t="shared" si="59"/>
        <v>1358.6791234168404</v>
      </c>
      <c r="BH79">
        <f t="shared" si="60"/>
        <v>0</v>
      </c>
      <c r="BI79">
        <f t="shared" si="61"/>
        <v>1.0149690909207427</v>
      </c>
      <c r="BJ79">
        <f t="shared" si="62"/>
        <v>1.0022425941568267</v>
      </c>
      <c r="BK79">
        <f t="shared" si="63"/>
        <v>-5.8274065527496303E-5</v>
      </c>
      <c r="BL79">
        <f t="shared" si="64"/>
        <v>-9.4771701364292126E-4</v>
      </c>
      <c r="BM79">
        <f t="shared" si="82"/>
        <v>119.99999999999997</v>
      </c>
      <c r="BN79">
        <f t="shared" si="83"/>
        <v>-119.99999999999829</v>
      </c>
      <c r="BO79">
        <f>Data!$H$2*(1-BI79)*(1-BI79/Data!$H$3)*BM79</f>
        <v>5.3777683918430918E-8</v>
      </c>
      <c r="BP79">
        <f t="shared" si="65"/>
        <v>-121.79629091048909</v>
      </c>
      <c r="BQ79">
        <f>Data!$H$2*(1-BJ79)*(1-BJ79/Data!$H$3)*BN79</f>
        <v>-1.20701485253597E-9</v>
      </c>
      <c r="BR79">
        <f t="shared" si="66"/>
        <v>120.26911129881749</v>
      </c>
      <c r="BS79">
        <f t="shared" si="67"/>
        <v>0</v>
      </c>
      <c r="BT79">
        <f t="shared" si="68"/>
        <v>0</v>
      </c>
      <c r="BU79">
        <f t="shared" si="69"/>
        <v>0</v>
      </c>
      <c r="BV79">
        <f t="shared" si="70"/>
        <v>0</v>
      </c>
      <c r="BW79">
        <f t="shared" si="84"/>
        <v>0</v>
      </c>
      <c r="BX79" t="str">
        <f t="shared" si="85"/>
        <v/>
      </c>
      <c r="BY79" s="66" t="str">
        <f t="shared" si="71"/>
        <v/>
      </c>
      <c r="BZ79" t="str">
        <f t="shared" si="72"/>
        <v/>
      </c>
      <c r="CA79" s="67" t="str">
        <f t="shared" si="73"/>
        <v/>
      </c>
    </row>
    <row r="80" spans="1:79" x14ac:dyDescent="0.25">
      <c r="A80">
        <v>5821</v>
      </c>
      <c r="B80">
        <v>67</v>
      </c>
      <c r="C80">
        <v>1184</v>
      </c>
      <c r="D80" s="3">
        <f t="shared" si="98"/>
        <v>-8.3333333333333332E-3</v>
      </c>
      <c r="E80" s="3">
        <f t="shared" si="98"/>
        <v>0.2475</v>
      </c>
      <c r="F80">
        <f>IF(A80&gt;0,IF(F79=1,1,IF(B80=Data!$H$4,1,0)),"")</f>
        <v>1</v>
      </c>
      <c r="O80" s="3"/>
      <c r="P80" s="3"/>
      <c r="Q80" t="str">
        <f t="shared" si="74"/>
        <v/>
      </c>
      <c r="R80" s="4" t="str">
        <f t="shared" si="75"/>
        <v/>
      </c>
      <c r="S80" t="e">
        <f t="shared" si="86"/>
        <v>#DIV/0!</v>
      </c>
      <c r="T80" t="e">
        <f t="shared" si="99"/>
        <v>#DIV/0!</v>
      </c>
      <c r="U80" s="4">
        <f t="shared" si="76"/>
        <v>0</v>
      </c>
      <c r="V80" t="e">
        <f t="shared" si="87"/>
        <v>#DIV/0!</v>
      </c>
      <c r="W80" t="e">
        <f t="shared" si="88"/>
        <v>#DIV/0!</v>
      </c>
      <c r="X80" t="e">
        <f t="shared" si="89"/>
        <v>#VALUE!</v>
      </c>
      <c r="Y80" t="e">
        <f t="shared" si="90"/>
        <v>#VALUE!</v>
      </c>
      <c r="Z80" t="e">
        <f t="shared" si="91"/>
        <v>#VALUE!</v>
      </c>
      <c r="AA80" t="e">
        <f t="shared" si="77"/>
        <v>#VALUE!</v>
      </c>
      <c r="AB80" t="str">
        <f t="shared" si="92"/>
        <v/>
      </c>
      <c r="AC80" t="str">
        <f t="shared" si="93"/>
        <v/>
      </c>
      <c r="AD80" t="str">
        <f t="shared" si="94"/>
        <v/>
      </c>
      <c r="AE80" t="str">
        <f t="shared" si="95"/>
        <v/>
      </c>
      <c r="AF80" s="72">
        <f>IF(AF79+$AF$1&gt;ROUND(Data!$H$4,0),AF79,AF79+$AF$1)</f>
        <v>70</v>
      </c>
      <c r="AG80">
        <f>IF(MATCH(AF80,$AA$3:$AA$1010,0)&lt;898,AVERAGE(AG79,AG81),VLOOKUP(AF80,$R$2:$T$301,2,FALSE))</f>
        <v>5401</v>
      </c>
      <c r="AH80">
        <f>IF(MATCH(AF80,$AA$3:$AA$1010,0)&lt;898,AVERAGE(AH79,AH81),VLOOKUP(AF80,$R$2:$T$301,3,FALSE))</f>
        <v>1148</v>
      </c>
      <c r="AI80">
        <f>IF(MATCH(AF80,$AE$3:$AE$1010,0)&lt;898,AVERAGE(AI79,AI81),VLOOKUP(AF80,$U$2:$W$301,2,FALSE))</f>
        <v>5401</v>
      </c>
      <c r="AJ80" s="67">
        <f>IF(MATCH(AF80,$AE$3:$AE$1010,0)&lt;898,AVERAGE(AJ79,AJ81),VLOOKUP(AF80,$U$2:$W$301,3,FALSE))</f>
        <v>1151</v>
      </c>
      <c r="AK80" s="4">
        <f t="shared" si="96"/>
        <v>32.800000000000111</v>
      </c>
      <c r="AL80">
        <f t="shared" si="78"/>
        <v>937.0000000000133</v>
      </c>
      <c r="AM80">
        <f t="shared" si="79"/>
        <v>11358.866666666654</v>
      </c>
      <c r="AN80">
        <f>IF($AK79+$AK$1&lt;=Data!$H$4-0.5,AVERAGE(AM78:AM82),AN79)</f>
        <v>11358.866666666654</v>
      </c>
      <c r="AO80">
        <f t="shared" si="80"/>
        <v>9924.9999999999873</v>
      </c>
      <c r="AP80">
        <f t="shared" si="97"/>
        <v>10814.399999999991</v>
      </c>
      <c r="AQ80">
        <f>IF($AK79+$AK$1&lt;=Data!$H$4-0.5,AVERAGE(AP78:AP82),AQ79)</f>
        <v>10814.399999999991</v>
      </c>
      <c r="AR80">
        <f>IF($AK79+$AK$1&lt;=Data!$H$4-0.5,SLOPE($AN76:$AN84,$AK76:$AK84),AR79)</f>
        <v>-117.35000000000475</v>
      </c>
      <c r="AS80">
        <f>IF($AK79+$AK$1&lt;=Data!$H$4-0.5,SLOPE($AQ76:$AQ84,$AK76:$AK84),AS79)</f>
        <v>-80.627777777775378</v>
      </c>
      <c r="AT80" t="str">
        <f>IF(AND($AK80&gt;=Results!$G$13,$AK80&lt;=Results!$G$14),Curves!AR80,"")</f>
        <v/>
      </c>
      <c r="AU80" t="str">
        <f>IF(AND($AK80&gt;=Results!$G$13,$AK80&lt;=Results!$G$14),Curves!AS80,"")</f>
        <v/>
      </c>
      <c r="AV80" t="str">
        <f t="shared" si="81"/>
        <v/>
      </c>
      <c r="AW80" t="str">
        <f>IF(AND($AK80&lt;=Results!$I$21,$AK80&gt;=Results!$I$20,$AK80&lt;=Results!$F$4),$AN80,"")</f>
        <v/>
      </c>
      <c r="AX80" t="str">
        <f t="shared" si="81"/>
        <v/>
      </c>
      <c r="AY80" t="str">
        <f>IF(AND($AK80&lt;=Results!$I$23,$AK80&gt;=Results!$I$22,$AK80&gt;=Results!$F$4),$AN80,"")</f>
        <v/>
      </c>
      <c r="AZ80" t="str">
        <f t="shared" si="54"/>
        <v/>
      </c>
      <c r="BA80" t="str">
        <f>IF(AND($AK80&lt;=Results!$I$27,$AK80&gt;=Results!$I$26,$AK80&lt;=Results!$F$4),$AQ80,"")</f>
        <v/>
      </c>
      <c r="BB80" t="str">
        <f t="shared" si="55"/>
        <v/>
      </c>
      <c r="BC80" t="str">
        <f>IF(AND($AK80&lt;=Results!$I$29,$AK80&gt;=Results!$I$28,$AK80&gt;=Results!$F$4),$AQ80,"")</f>
        <v/>
      </c>
      <c r="BD80">
        <f t="shared" si="56"/>
        <v>11226.603827290948</v>
      </c>
      <c r="BE80">
        <f t="shared" si="57"/>
        <v>2387.4302971633165</v>
      </c>
      <c r="BF80">
        <f t="shared" si="58"/>
        <v>10794.133773829519</v>
      </c>
      <c r="BG80">
        <f t="shared" si="59"/>
        <v>1358.1283224573153</v>
      </c>
      <c r="BH80">
        <f t="shared" si="60"/>
        <v>0</v>
      </c>
      <c r="BI80">
        <f t="shared" si="61"/>
        <v>1.0149632586038613</v>
      </c>
      <c r="BJ80">
        <f t="shared" si="62"/>
        <v>1.0021477548179589</v>
      </c>
      <c r="BK80">
        <f t="shared" si="63"/>
        <v>-4.7731687913831627E-4</v>
      </c>
      <c r="BL80">
        <f t="shared" si="64"/>
        <v>-8.8190444665124787E-4</v>
      </c>
      <c r="BM80">
        <f t="shared" si="82"/>
        <v>119.99999999999942</v>
      </c>
      <c r="BN80">
        <f t="shared" si="83"/>
        <v>-119.99999999999829</v>
      </c>
      <c r="BO80">
        <f>Data!$H$2*(1-BI80)*(1-BI80/Data!$H$3)*BM80</f>
        <v>5.3735785931046558E-8</v>
      </c>
      <c r="BP80">
        <f t="shared" si="65"/>
        <v>-121.79559103246277</v>
      </c>
      <c r="BQ80">
        <f>Data!$H$2*(1-BJ80)*(1-BJ80/Data!$H$3)*BN80</f>
        <v>-1.1070841819357698E-9</v>
      </c>
      <c r="BR80">
        <f t="shared" si="66"/>
        <v>120.25773057815336</v>
      </c>
      <c r="BS80">
        <f t="shared" si="67"/>
        <v>0</v>
      </c>
      <c r="BT80">
        <f t="shared" si="68"/>
        <v>0</v>
      </c>
      <c r="BU80">
        <f t="shared" si="69"/>
        <v>0</v>
      </c>
      <c r="BV80">
        <f t="shared" si="70"/>
        <v>0</v>
      </c>
      <c r="BW80">
        <f t="shared" si="84"/>
        <v>0</v>
      </c>
      <c r="BX80" t="str">
        <f t="shared" si="85"/>
        <v/>
      </c>
      <c r="BY80" s="66" t="str">
        <f t="shared" si="71"/>
        <v/>
      </c>
      <c r="BZ80" t="str">
        <f t="shared" si="72"/>
        <v/>
      </c>
      <c r="CA80" s="67" t="str">
        <f t="shared" si="73"/>
        <v/>
      </c>
    </row>
    <row r="81" spans="1:79" x14ac:dyDescent="0.25">
      <c r="A81">
        <v>5941</v>
      </c>
      <c r="B81">
        <v>66</v>
      </c>
      <c r="C81">
        <v>1217</v>
      </c>
      <c r="D81" s="3">
        <f t="shared" si="98"/>
        <v>-8.3333333333333332E-3</v>
      </c>
      <c r="E81" s="3">
        <f t="shared" si="98"/>
        <v>0.44916666666666666</v>
      </c>
      <c r="F81">
        <f>IF(A81&gt;0,IF(F80=1,1,IF(B81=Data!$H$4,1,0)),"")</f>
        <v>1</v>
      </c>
      <c r="O81" s="3"/>
      <c r="P81" s="3"/>
      <c r="Q81" t="str">
        <f t="shared" si="74"/>
        <v/>
      </c>
      <c r="R81" s="4" t="str">
        <f t="shared" si="75"/>
        <v/>
      </c>
      <c r="S81" t="e">
        <f t="shared" si="86"/>
        <v>#DIV/0!</v>
      </c>
      <c r="T81" t="e">
        <f t="shared" si="99"/>
        <v>#DIV/0!</v>
      </c>
      <c r="U81" s="4">
        <f t="shared" si="76"/>
        <v>0</v>
      </c>
      <c r="V81" t="e">
        <f t="shared" si="87"/>
        <v>#DIV/0!</v>
      </c>
      <c r="W81" t="e">
        <f t="shared" si="88"/>
        <v>#DIV/0!</v>
      </c>
      <c r="X81" t="e">
        <f t="shared" si="89"/>
        <v>#VALUE!</v>
      </c>
      <c r="Y81" t="e">
        <f t="shared" si="90"/>
        <v>#VALUE!</v>
      </c>
      <c r="Z81" t="e">
        <f t="shared" si="91"/>
        <v>#VALUE!</v>
      </c>
      <c r="AA81" t="e">
        <f t="shared" si="77"/>
        <v>#VALUE!</v>
      </c>
      <c r="AB81" t="str">
        <f t="shared" si="92"/>
        <v/>
      </c>
      <c r="AC81" t="str">
        <f t="shared" si="93"/>
        <v/>
      </c>
      <c r="AD81" t="str">
        <f t="shared" si="94"/>
        <v/>
      </c>
      <c r="AE81" t="str">
        <f t="shared" si="95"/>
        <v/>
      </c>
      <c r="AF81" s="72">
        <f>IF(AF80+$AF$1&gt;ROUND(Data!$H$4,0),AF80,AF80+$AF$1)</f>
        <v>70</v>
      </c>
      <c r="AG81">
        <f t="shared" ref="AG81:AG111" si="100">IF(MATCH(AF81,$AA$3:$AA$1010,0)&lt;898,AVERAGE(AG80,AG82),VLOOKUP(AF81,$R$2:$T$301,2,FALSE))</f>
        <v>5401</v>
      </c>
      <c r="AH81">
        <f t="shared" ref="AH81:AH111" si="101">IF(MATCH(AF81,$AA$3:$AA$1010,0)&lt;898,AVERAGE(AH80,AH82),VLOOKUP(AF81,$R$2:$T$301,3,FALSE))</f>
        <v>1148</v>
      </c>
      <c r="AI81">
        <f t="shared" ref="AI81:AI111" si="102">IF(MATCH(AF81,$AE$3:$AE$1010,0)&lt;898,AVERAGE(AI80,AI82),VLOOKUP(AF81,$U$2:$W$301,2,FALSE))</f>
        <v>5401</v>
      </c>
      <c r="AJ81" s="67">
        <f t="shared" ref="AJ81:AJ111" si="103">IF(MATCH(AF81,$AE$3:$AE$1010,0)&lt;898,AVERAGE(AJ80,AJ82),VLOOKUP(AF81,$U$2:$W$301,3,FALSE))</f>
        <v>1151</v>
      </c>
      <c r="AK81" s="4">
        <f t="shared" si="96"/>
        <v>32.900000000000112</v>
      </c>
      <c r="AL81">
        <f t="shared" si="78"/>
        <v>949.00000000001342</v>
      </c>
      <c r="AM81">
        <f t="shared" si="79"/>
        <v>11347.933333333322</v>
      </c>
      <c r="AN81">
        <f>IF($AK80+$AK$1&lt;=Data!$H$4-0.5,AVERAGE(AM79:AM83),AN80)</f>
        <v>11347.19333333332</v>
      </c>
      <c r="AO81">
        <f t="shared" si="80"/>
        <v>9912.9999999999873</v>
      </c>
      <c r="AP81">
        <f t="shared" si="97"/>
        <v>10806.199999999992</v>
      </c>
      <c r="AQ81">
        <f>IF($AK80+$AK$1&lt;=Data!$H$4-0.5,AVERAGE(AP79:AP83),AQ80)</f>
        <v>10806.326666666659</v>
      </c>
      <c r="AR81">
        <f>IF($AK80+$AK$1&lt;=Data!$H$4-0.5,SLOPE($AN77:$AN85,$AK77:$AK85),AR80)</f>
        <v>-122.2833333333396</v>
      </c>
      <c r="AS81">
        <f>IF($AK80+$AK$1&lt;=Data!$H$4-0.5,SLOPE($AQ77:$AQ85,$AK77:$AK85),AS80)</f>
        <v>-79.783333333330503</v>
      </c>
      <c r="AT81" t="str">
        <f>IF(AND($AK81&gt;=Results!$G$13,$AK81&lt;=Results!$G$14),Curves!AR81,"")</f>
        <v/>
      </c>
      <c r="AU81" t="str">
        <f>IF(AND($AK81&gt;=Results!$G$13,$AK81&lt;=Results!$G$14),Curves!AS81,"")</f>
        <v/>
      </c>
      <c r="AV81" t="str">
        <f t="shared" si="81"/>
        <v/>
      </c>
      <c r="AW81" t="str">
        <f>IF(AND($AK81&lt;=Results!$I$21,$AK81&gt;=Results!$I$20,$AK81&lt;=Results!$F$4),$AN81,"")</f>
        <v/>
      </c>
      <c r="AX81" t="str">
        <f t="shared" si="81"/>
        <v/>
      </c>
      <c r="AY81" t="str">
        <f>IF(AND($AK81&lt;=Results!$I$23,$AK81&gt;=Results!$I$22,$AK81&gt;=Results!$F$4),$AN81,"")</f>
        <v/>
      </c>
      <c r="AZ81" t="str">
        <f t="shared" si="54"/>
        <v/>
      </c>
      <c r="BA81" t="str">
        <f>IF(AND($AK81&lt;=Results!$I$27,$AK81&gt;=Results!$I$26,$AK81&lt;=Results!$F$4),$AQ81,"")</f>
        <v/>
      </c>
      <c r="BB81" t="str">
        <f t="shared" si="55"/>
        <v/>
      </c>
      <c r="BC81" t="str">
        <f>IF(AND($AK81&lt;=Results!$I$29,$AK81&gt;=Results!$I$28,$AK81&gt;=Results!$F$4),$AQ81,"")</f>
        <v/>
      </c>
      <c r="BD81">
        <f t="shared" si="56"/>
        <v>11215.833632493028</v>
      </c>
      <c r="BE81">
        <f t="shared" si="57"/>
        <v>2384.1145079139956</v>
      </c>
      <c r="BF81">
        <f t="shared" si="58"/>
        <v>10786.843791596624</v>
      </c>
      <c r="BG81">
        <f t="shared" si="59"/>
        <v>1357.5775214977903</v>
      </c>
      <c r="BH81">
        <f t="shared" si="60"/>
        <v>0</v>
      </c>
      <c r="BI81">
        <f t="shared" si="61"/>
        <v>1.0148736275449151</v>
      </c>
      <c r="BJ81">
        <f t="shared" si="62"/>
        <v>1.0020662132674965</v>
      </c>
      <c r="BK81">
        <f t="shared" si="63"/>
        <v>-1.3163661499715296E-3</v>
      </c>
      <c r="BL81">
        <f t="shared" si="64"/>
        <v>-7.4878389990761277E-4</v>
      </c>
      <c r="BM81">
        <f t="shared" si="82"/>
        <v>119.99999999999997</v>
      </c>
      <c r="BN81">
        <f t="shared" si="83"/>
        <v>-120.00000000000739</v>
      </c>
      <c r="BO81">
        <f>Data!$H$2*(1-BI81)*(1-BI81/Data!$H$3)*BM81</f>
        <v>5.3093951122765408E-8</v>
      </c>
      <c r="BP81">
        <f t="shared" si="65"/>
        <v>-121.78483530538978</v>
      </c>
      <c r="BQ81">
        <f>Data!$H$2*(1-BJ81)*(1-BJ81/Data!$H$3)*BN81</f>
        <v>-1.0246169440268713E-9</v>
      </c>
      <c r="BR81">
        <f t="shared" si="66"/>
        <v>120.24794559210697</v>
      </c>
      <c r="BS81">
        <f t="shared" si="67"/>
        <v>0</v>
      </c>
      <c r="BT81">
        <f t="shared" si="68"/>
        <v>0</v>
      </c>
      <c r="BU81">
        <f t="shared" si="69"/>
        <v>0</v>
      </c>
      <c r="BV81">
        <f t="shared" si="70"/>
        <v>0</v>
      </c>
      <c r="BW81">
        <f t="shared" si="84"/>
        <v>0</v>
      </c>
      <c r="BX81" t="str">
        <f t="shared" si="85"/>
        <v/>
      </c>
      <c r="BY81" s="66" t="str">
        <f t="shared" si="71"/>
        <v/>
      </c>
      <c r="BZ81" t="str">
        <f t="shared" si="72"/>
        <v/>
      </c>
      <c r="CA81" s="67" t="str">
        <f t="shared" si="73"/>
        <v/>
      </c>
    </row>
    <row r="82" spans="1:79" x14ac:dyDescent="0.25">
      <c r="A82">
        <v>6061</v>
      </c>
      <c r="B82">
        <v>65</v>
      </c>
      <c r="C82">
        <v>1275</v>
      </c>
      <c r="D82" s="3">
        <f t="shared" si="98"/>
        <v>-8.3333333333333332E-3</v>
      </c>
      <c r="E82" s="3">
        <f t="shared" si="98"/>
        <v>0.78416666666666668</v>
      </c>
      <c r="F82">
        <f>IF(A82&gt;0,IF(F81=1,1,IF(B82=Data!$H$4,1,0)),"")</f>
        <v>1</v>
      </c>
      <c r="O82" s="3"/>
      <c r="P82" s="3"/>
      <c r="Q82" t="str">
        <f t="shared" si="74"/>
        <v/>
      </c>
      <c r="R82" s="4" t="str">
        <f t="shared" si="75"/>
        <v/>
      </c>
      <c r="S82" t="e">
        <f t="shared" si="86"/>
        <v>#DIV/0!</v>
      </c>
      <c r="T82" t="e">
        <f t="shared" si="99"/>
        <v>#DIV/0!</v>
      </c>
      <c r="U82" s="4">
        <f t="shared" si="76"/>
        <v>0</v>
      </c>
      <c r="V82" t="e">
        <f t="shared" si="87"/>
        <v>#DIV/0!</v>
      </c>
      <c r="W82" t="e">
        <f t="shared" si="88"/>
        <v>#DIV/0!</v>
      </c>
      <c r="X82" t="e">
        <f t="shared" si="89"/>
        <v>#VALUE!</v>
      </c>
      <c r="Y82" t="e">
        <f t="shared" si="90"/>
        <v>#VALUE!</v>
      </c>
      <c r="Z82" t="e">
        <f t="shared" si="91"/>
        <v>#VALUE!</v>
      </c>
      <c r="AA82" t="e">
        <f t="shared" si="77"/>
        <v>#VALUE!</v>
      </c>
      <c r="AB82" t="str">
        <f t="shared" si="92"/>
        <v/>
      </c>
      <c r="AC82" t="str">
        <f t="shared" si="93"/>
        <v/>
      </c>
      <c r="AD82" t="str">
        <f t="shared" si="94"/>
        <v/>
      </c>
      <c r="AE82" t="str">
        <f t="shared" si="95"/>
        <v/>
      </c>
      <c r="AF82" s="72">
        <f>IF(AF81+$AF$1&gt;ROUND(Data!$H$4,0),AF81,AF81+$AF$1)</f>
        <v>70</v>
      </c>
      <c r="AG82">
        <f>IF(MATCH(AF82,$AA$3:$AA$1010,0)&lt;898,AVERAGE(AG81,AG83),VLOOKUP(AF82,$R$2:$T$301,2,FALSE))</f>
        <v>5401</v>
      </c>
      <c r="AH82">
        <f>IF(MATCH(AF82,$AA$3:$AA$1010,0)&lt;898,AVERAGE(AH81,AH83),VLOOKUP(AF82,$R$2:$T$301,3,FALSE))</f>
        <v>1148</v>
      </c>
      <c r="AI82">
        <f>IF(MATCH(AF82,$AE$3:$AE$1010,0)&lt;898,AVERAGE(AI81,AI83),VLOOKUP(AF82,$U$2:$W$301,2,FALSE))</f>
        <v>5401</v>
      </c>
      <c r="AJ82" s="67">
        <f>IF(MATCH(AF82,$AE$3:$AE$1010,0)&lt;898,AVERAGE(AJ81,AJ83),VLOOKUP(AF82,$U$2:$W$301,3,FALSE))</f>
        <v>1151</v>
      </c>
      <c r="AK82" s="4">
        <f t="shared" si="96"/>
        <v>33.000000000000114</v>
      </c>
      <c r="AL82">
        <f t="shared" si="78"/>
        <v>961.00000000001364</v>
      </c>
      <c r="AM82">
        <f t="shared" si="79"/>
        <v>11336.999999999984</v>
      </c>
      <c r="AN82">
        <f>IF($AK81+$AK$1&lt;=Data!$H$4-0.5,AVERAGE(AM80:AM84),AN81)</f>
        <v>11334.779999999986</v>
      </c>
      <c r="AO82">
        <f t="shared" si="80"/>
        <v>9900.9999999999854</v>
      </c>
      <c r="AP82">
        <f t="shared" si="97"/>
        <v>10797.999999999991</v>
      </c>
      <c r="AQ82">
        <f>IF($AK81+$AK$1&lt;=Data!$H$4-0.5,AVERAGE(AP80:AP84),AQ81)</f>
        <v>10798.379999999994</v>
      </c>
      <c r="AR82">
        <f>IF($AK81+$AK$1&lt;=Data!$H$4-0.5,SLOPE($AN78:$AN86,$AK78:$AK86),AR81)</f>
        <v>-127.83333333334062</v>
      </c>
      <c r="AS82">
        <f>IF($AK81+$AK$1&lt;=Data!$H$4-0.5,SLOPE($AQ78:$AQ86,$AK78:$AK86),AS81)</f>
        <v>-78.833333333331296</v>
      </c>
      <c r="AT82" t="str">
        <f>IF(AND($AK82&gt;=Results!$G$13,$AK82&lt;=Results!$G$14),Curves!AR82,"")</f>
        <v/>
      </c>
      <c r="AU82" t="str">
        <f>IF(AND($AK82&gt;=Results!$G$13,$AK82&lt;=Results!$G$14),Curves!AS82,"")</f>
        <v/>
      </c>
      <c r="AV82" t="str">
        <f t="shared" si="81"/>
        <v/>
      </c>
      <c r="AW82" t="str">
        <f>IF(AND($AK82&lt;=Results!$I$21,$AK82&gt;=Results!$I$20,$AK82&lt;=Results!$F$4),$AN82,"")</f>
        <v/>
      </c>
      <c r="AX82" t="str">
        <f t="shared" si="81"/>
        <v/>
      </c>
      <c r="AY82" t="str">
        <f>IF(AND($AK82&lt;=Results!$I$23,$AK82&gt;=Results!$I$22,$AK82&gt;=Results!$F$4),$AN82,"")</f>
        <v/>
      </c>
      <c r="AZ82" t="str">
        <f t="shared" si="54"/>
        <v/>
      </c>
      <c r="BA82" t="str">
        <f>IF(AND($AK82&lt;=Results!$I$27,$AK82&gt;=Results!$I$26,$AK82&lt;=Results!$F$4),$AQ82,"")</f>
        <v/>
      </c>
      <c r="BB82" t="str">
        <f t="shared" si="55"/>
        <v/>
      </c>
      <c r="BC82" t="str">
        <f>IF(AND($AK82&lt;=Results!$I$29,$AK82&gt;=Results!$I$28,$AK82&gt;=Results!$F$4),$AQ82,"")</f>
        <v/>
      </c>
      <c r="BD82">
        <f t="shared" si="56"/>
        <v>11205.063437695109</v>
      </c>
      <c r="BE82">
        <f t="shared" si="57"/>
        <v>2380.7987186646747</v>
      </c>
      <c r="BF82">
        <f t="shared" si="58"/>
        <v>10779.553809363731</v>
      </c>
      <c r="BG82">
        <f t="shared" si="59"/>
        <v>1357.0267205382654</v>
      </c>
      <c r="BH82">
        <f t="shared" si="60"/>
        <v>0</v>
      </c>
      <c r="BI82">
        <f t="shared" si="61"/>
        <v>1.014699985373867</v>
      </c>
      <c r="BJ82">
        <f t="shared" si="62"/>
        <v>1.0019979980379774</v>
      </c>
      <c r="BK82">
        <f t="shared" si="63"/>
        <v>-2.1575427122510729E-3</v>
      </c>
      <c r="BL82">
        <f t="shared" si="64"/>
        <v>-6.1537761934626022E-4</v>
      </c>
      <c r="BM82">
        <f t="shared" si="82"/>
        <v>120.00000000000055</v>
      </c>
      <c r="BN82">
        <f t="shared" si="83"/>
        <v>-120.00000000000739</v>
      </c>
      <c r="BO82">
        <f>Data!$H$2*(1-BI82)*(1-BI82/Data!$H$3)*BM82</f>
        <v>5.1861496798056876E-8</v>
      </c>
      <c r="BP82">
        <f t="shared" si="65"/>
        <v>-121.7639982448646</v>
      </c>
      <c r="BQ82">
        <f>Data!$H$2*(1-BJ82)*(1-BJ82/Data!$H$3)*BN82</f>
        <v>-9.5807907834282833E-10</v>
      </c>
      <c r="BR82">
        <f t="shared" si="66"/>
        <v>120.2397597645647</v>
      </c>
      <c r="BS82">
        <f t="shared" si="67"/>
        <v>0</v>
      </c>
      <c r="BT82">
        <f t="shared" si="68"/>
        <v>0</v>
      </c>
      <c r="BU82">
        <f t="shared" si="69"/>
        <v>0</v>
      </c>
      <c r="BV82">
        <f t="shared" si="70"/>
        <v>0</v>
      </c>
      <c r="BW82">
        <f t="shared" si="84"/>
        <v>0</v>
      </c>
      <c r="BX82" t="str">
        <f t="shared" si="85"/>
        <v/>
      </c>
      <c r="BY82" s="66" t="str">
        <f t="shared" si="71"/>
        <v/>
      </c>
      <c r="BZ82" t="str">
        <f t="shared" si="72"/>
        <v/>
      </c>
      <c r="CA82" s="67" t="str">
        <f t="shared" si="73"/>
        <v/>
      </c>
    </row>
    <row r="83" spans="1:79" x14ac:dyDescent="0.25">
      <c r="A83">
        <v>6181</v>
      </c>
      <c r="B83">
        <v>64</v>
      </c>
      <c r="C83">
        <v>1388</v>
      </c>
      <c r="D83" s="3">
        <f t="shared" si="98"/>
        <v>-8.3333333333333332E-3</v>
      </c>
      <c r="E83" s="3">
        <f t="shared" si="98"/>
        <v>1.3216666666666668</v>
      </c>
      <c r="F83">
        <f>IF(A83&gt;0,IF(F82=1,1,IF(B83=Data!$H$4,1,0)),"")</f>
        <v>1</v>
      </c>
      <c r="O83" s="3"/>
      <c r="P83" s="3"/>
      <c r="Q83" t="str">
        <f t="shared" si="74"/>
        <v/>
      </c>
      <c r="R83" s="4" t="str">
        <f t="shared" si="75"/>
        <v/>
      </c>
      <c r="S83" t="e">
        <f t="shared" si="86"/>
        <v>#DIV/0!</v>
      </c>
      <c r="T83" t="e">
        <f t="shared" si="99"/>
        <v>#DIV/0!</v>
      </c>
      <c r="U83" s="4">
        <f t="shared" si="76"/>
        <v>0</v>
      </c>
      <c r="V83" t="e">
        <f t="shared" si="87"/>
        <v>#DIV/0!</v>
      </c>
      <c r="W83" t="e">
        <f t="shared" si="88"/>
        <v>#DIV/0!</v>
      </c>
      <c r="X83" t="e">
        <f t="shared" si="89"/>
        <v>#VALUE!</v>
      </c>
      <c r="Y83" t="e">
        <f t="shared" si="90"/>
        <v>#VALUE!</v>
      </c>
      <c r="Z83" t="e">
        <f t="shared" si="91"/>
        <v>#VALUE!</v>
      </c>
      <c r="AA83" t="e">
        <f t="shared" si="77"/>
        <v>#VALUE!</v>
      </c>
      <c r="AB83" t="str">
        <f t="shared" si="92"/>
        <v/>
      </c>
      <c r="AC83" t="str">
        <f t="shared" si="93"/>
        <v/>
      </c>
      <c r="AD83" t="str">
        <f t="shared" si="94"/>
        <v/>
      </c>
      <c r="AE83" t="str">
        <f t="shared" si="95"/>
        <v/>
      </c>
      <c r="AF83" s="72">
        <f>IF(AF82+$AF$1&gt;ROUND(Data!$H$4,0),AF82,AF82+$AF$1)</f>
        <v>70</v>
      </c>
      <c r="AG83">
        <f t="shared" si="100"/>
        <v>5401</v>
      </c>
      <c r="AH83">
        <f t="shared" si="101"/>
        <v>1148</v>
      </c>
      <c r="AI83">
        <f t="shared" si="102"/>
        <v>5401</v>
      </c>
      <c r="AJ83" s="67">
        <f t="shared" si="103"/>
        <v>1151</v>
      </c>
      <c r="AK83" s="4">
        <f t="shared" si="96"/>
        <v>33.100000000000115</v>
      </c>
      <c r="AL83">
        <f t="shared" si="78"/>
        <v>973.00000000001387</v>
      </c>
      <c r="AM83">
        <f t="shared" si="79"/>
        <v>11322.36666666665</v>
      </c>
      <c r="AN83">
        <f>IF($AK82+$AK$1&lt;=Data!$H$4-0.5,AVERAGE(AM81:AM85),AN82)</f>
        <v>11321.626666666652</v>
      </c>
      <c r="AO83">
        <f t="shared" si="80"/>
        <v>9888.9999999999854</v>
      </c>
      <c r="AP83">
        <f t="shared" si="97"/>
        <v>10790.433333333325</v>
      </c>
      <c r="AQ83">
        <f>IF($AK82+$AK$1&lt;=Data!$H$4-0.5,AVERAGE(AP81:AP85),AQ82)</f>
        <v>10790.559999999992</v>
      </c>
      <c r="AR83">
        <f>IF($AK82+$AK$1&lt;=Data!$H$4-0.5,SLOPE($AN79:$AN87,$AK79:$AK87),AR82)</f>
        <v>-133.38333333334103</v>
      </c>
      <c r="AS83">
        <f>IF($AK82+$AK$1&lt;=Data!$H$4-0.5,SLOPE($AQ79:$AQ87,$AK79:$AK87),AS82)</f>
        <v>-77.883333333330597</v>
      </c>
      <c r="AT83" t="str">
        <f>IF(AND($AK83&gt;=Results!$G$13,$AK83&lt;=Results!$G$14),Curves!AR83,"")</f>
        <v/>
      </c>
      <c r="AU83" t="str">
        <f>IF(AND($AK83&gt;=Results!$G$13,$AK83&lt;=Results!$G$14),Curves!AS83,"")</f>
        <v/>
      </c>
      <c r="AV83" t="str">
        <f t="shared" si="81"/>
        <v/>
      </c>
      <c r="AW83" t="str">
        <f>IF(AND($AK83&lt;=Results!$I$21,$AK83&gt;=Results!$I$20,$AK83&lt;=Results!$F$4),$AN83,"")</f>
        <v/>
      </c>
      <c r="AX83" t="str">
        <f t="shared" si="81"/>
        <v/>
      </c>
      <c r="AY83" t="str">
        <f>IF(AND($AK83&lt;=Results!$I$23,$AK83&gt;=Results!$I$22,$AK83&gt;=Results!$F$4),$AN83,"")</f>
        <v/>
      </c>
      <c r="AZ83" t="str">
        <f t="shared" si="54"/>
        <v/>
      </c>
      <c r="BA83" t="str">
        <f>IF(AND($AK83&lt;=Results!$I$27,$AK83&gt;=Results!$I$26,$AK83&lt;=Results!$F$4),$AQ83,"")</f>
        <v/>
      </c>
      <c r="BB83" t="str">
        <f t="shared" si="55"/>
        <v/>
      </c>
      <c r="BC83" t="str">
        <f>IF(AND($AK83&lt;=Results!$I$29,$AK83&gt;=Results!$I$28,$AK83&gt;=Results!$F$4),$AQ83,"")</f>
        <v/>
      </c>
      <c r="BD83">
        <f t="shared" si="56"/>
        <v>11194.293242897189</v>
      </c>
      <c r="BE83">
        <f t="shared" si="57"/>
        <v>2377.4829294153542</v>
      </c>
      <c r="BF83">
        <f t="shared" si="58"/>
        <v>10772.263827130839</v>
      </c>
      <c r="BG83">
        <f t="shared" si="59"/>
        <v>1356.4759195787403</v>
      </c>
      <c r="BH83">
        <f t="shared" si="60"/>
        <v>0</v>
      </c>
      <c r="BI83">
        <f t="shared" si="61"/>
        <v>1.0144421190024648</v>
      </c>
      <c r="BJ83">
        <f t="shared" si="62"/>
        <v>1.0019431377436272</v>
      </c>
      <c r="BK83">
        <f t="shared" si="63"/>
        <v>-3.0008537633252189E-3</v>
      </c>
      <c r="BL83">
        <f t="shared" si="64"/>
        <v>-4.8168478663179059E-4</v>
      </c>
      <c r="BM83">
        <f t="shared" si="82"/>
        <v>119.99999999999997</v>
      </c>
      <c r="BN83">
        <f t="shared" si="83"/>
        <v>-119.99999999999829</v>
      </c>
      <c r="BO83">
        <f>Data!$H$2*(1-BI83)*(1-BI83/Data!$H$3)*BM83</f>
        <v>5.0057952307525418E-8</v>
      </c>
      <c r="BP83">
        <f t="shared" si="65"/>
        <v>-121.73305428029575</v>
      </c>
      <c r="BQ83">
        <f>Data!$H$2*(1-BJ83)*(1-BJ83/Data!$H$3)*BN83</f>
        <v>-9.0618822977005147E-10</v>
      </c>
      <c r="BR83">
        <f t="shared" si="66"/>
        <v>120.23317652923356</v>
      </c>
      <c r="BS83">
        <f t="shared" si="67"/>
        <v>0</v>
      </c>
      <c r="BT83">
        <f t="shared" si="68"/>
        <v>0</v>
      </c>
      <c r="BU83">
        <f t="shared" si="69"/>
        <v>0</v>
      </c>
      <c r="BV83">
        <f t="shared" si="70"/>
        <v>0</v>
      </c>
      <c r="BW83">
        <f t="shared" si="84"/>
        <v>0</v>
      </c>
      <c r="BX83" t="str">
        <f t="shared" si="85"/>
        <v/>
      </c>
      <c r="BY83" s="66" t="str">
        <f t="shared" si="71"/>
        <v/>
      </c>
      <c r="BZ83" t="str">
        <f t="shared" si="72"/>
        <v/>
      </c>
      <c r="CA83" s="67" t="str">
        <f t="shared" si="73"/>
        <v/>
      </c>
    </row>
    <row r="84" spans="1:79" x14ac:dyDescent="0.25">
      <c r="A84">
        <v>6301</v>
      </c>
      <c r="B84">
        <v>63</v>
      </c>
      <c r="C84">
        <v>1569</v>
      </c>
      <c r="D84" s="3">
        <f t="shared" si="98"/>
        <v>-8.3333333333333332E-3</v>
      </c>
      <c r="E84" s="3">
        <f t="shared" si="98"/>
        <v>2.0458333333333334</v>
      </c>
      <c r="F84">
        <f>IF(A84&gt;0,IF(F83=1,1,IF(B84=Data!$H$4,1,0)),"")</f>
        <v>1</v>
      </c>
      <c r="O84" s="3"/>
      <c r="P84" s="3"/>
      <c r="Q84" t="str">
        <f t="shared" si="74"/>
        <v/>
      </c>
      <c r="R84" s="4" t="str">
        <f t="shared" si="75"/>
        <v/>
      </c>
      <c r="S84" t="e">
        <f t="shared" si="86"/>
        <v>#DIV/0!</v>
      </c>
      <c r="T84" t="e">
        <f t="shared" si="99"/>
        <v>#DIV/0!</v>
      </c>
      <c r="U84" s="4">
        <f t="shared" si="76"/>
        <v>0</v>
      </c>
      <c r="V84" t="e">
        <f t="shared" si="87"/>
        <v>#DIV/0!</v>
      </c>
      <c r="W84" t="e">
        <f t="shared" si="88"/>
        <v>#DIV/0!</v>
      </c>
      <c r="X84" t="e">
        <f t="shared" si="89"/>
        <v>#VALUE!</v>
      </c>
      <c r="Y84" t="e">
        <f t="shared" si="90"/>
        <v>#VALUE!</v>
      </c>
      <c r="Z84" t="e">
        <f t="shared" si="91"/>
        <v>#VALUE!</v>
      </c>
      <c r="AA84" t="e">
        <f t="shared" si="77"/>
        <v>#VALUE!</v>
      </c>
      <c r="AB84" t="str">
        <f t="shared" si="92"/>
        <v/>
      </c>
      <c r="AC84" t="str">
        <f t="shared" si="93"/>
        <v/>
      </c>
      <c r="AD84" t="str">
        <f t="shared" si="94"/>
        <v/>
      </c>
      <c r="AE84" t="str">
        <f t="shared" si="95"/>
        <v/>
      </c>
      <c r="AF84" s="72">
        <f>IF(AF83+$AF$1&gt;ROUND(Data!$H$4,0),AF83,AF83+$AF$1)</f>
        <v>70</v>
      </c>
      <c r="AG84">
        <f>IF(MATCH(AF84,$AA$3:$AA$1010,0)&lt;898,AVERAGE(AG83,AG85),VLOOKUP(AF84,$R$2:$T$301,2,FALSE))</f>
        <v>5401</v>
      </c>
      <c r="AH84">
        <f>IF(MATCH(AF84,$AA$3:$AA$1010,0)&lt;898,AVERAGE(AH83,AH85),VLOOKUP(AF84,$R$2:$T$301,3,FALSE))</f>
        <v>1148</v>
      </c>
      <c r="AI84">
        <f>IF(MATCH(AF84,$AE$3:$AE$1010,0)&lt;898,AVERAGE(AI83,AI85),VLOOKUP(AF84,$U$2:$W$301,2,FALSE))</f>
        <v>5401</v>
      </c>
      <c r="AJ84" s="67">
        <f>IF(MATCH(AF84,$AE$3:$AE$1010,0)&lt;898,AVERAGE(AJ83,AJ85),VLOOKUP(AF84,$U$2:$W$301,3,FALSE))</f>
        <v>1151</v>
      </c>
      <c r="AK84" s="4">
        <f t="shared" si="96"/>
        <v>33.200000000000117</v>
      </c>
      <c r="AL84">
        <f t="shared" si="78"/>
        <v>985.00000000001398</v>
      </c>
      <c r="AM84">
        <f t="shared" si="79"/>
        <v>11307.733333333315</v>
      </c>
      <c r="AN84">
        <f>IF($AK83+$AK$1&lt;=Data!$H$4-0.5,AVERAGE(AM82:AM86),AN83)</f>
        <v>11307.733333333317</v>
      </c>
      <c r="AO84">
        <f t="shared" si="80"/>
        <v>9876.9999999999854</v>
      </c>
      <c r="AP84">
        <f t="shared" si="97"/>
        <v>10782.866666666658</v>
      </c>
      <c r="AQ84">
        <f>IF($AK83+$AK$1&lt;=Data!$H$4-0.5,AVERAGE(AP82:AP86),AQ83)</f>
        <v>10782.866666666658</v>
      </c>
      <c r="AR84">
        <f>IF($AK83+$AK$1&lt;=Data!$H$4-0.5,SLOPE($AN80:$AN88,$AK80:$AK88),AR83)</f>
        <v>-138.316666666674</v>
      </c>
      <c r="AS84">
        <f>IF($AK83+$AK$1&lt;=Data!$H$4-0.5,SLOPE($AQ80:$AQ88,$AK80:$AK88),AS83)</f>
        <v>-77.03888888888811</v>
      </c>
      <c r="AT84" t="str">
        <f>IF(AND($AK84&gt;=Results!$G$13,$AK84&lt;=Results!$G$14),Curves!AR84,"")</f>
        <v/>
      </c>
      <c r="AU84" t="str">
        <f>IF(AND($AK84&gt;=Results!$G$13,$AK84&lt;=Results!$G$14),Curves!AS84,"")</f>
        <v/>
      </c>
      <c r="AV84" t="str">
        <f t="shared" si="81"/>
        <v/>
      </c>
      <c r="AW84" t="str">
        <f>IF(AND($AK84&lt;=Results!$I$21,$AK84&gt;=Results!$I$20,$AK84&lt;=Results!$F$4),$AN84,"")</f>
        <v/>
      </c>
      <c r="AX84" t="str">
        <f t="shared" si="81"/>
        <v/>
      </c>
      <c r="AY84" t="str">
        <f>IF(AND($AK84&lt;=Results!$I$23,$AK84&gt;=Results!$I$22,$AK84&gt;=Results!$F$4),$AN84,"")</f>
        <v/>
      </c>
      <c r="AZ84" t="str">
        <f t="shared" si="54"/>
        <v/>
      </c>
      <c r="BA84" t="str">
        <f>IF(AND($AK84&lt;=Results!$I$27,$AK84&gt;=Results!$I$26,$AK84&lt;=Results!$F$4),$AQ84,"")</f>
        <v/>
      </c>
      <c r="BB84" t="str">
        <f t="shared" si="55"/>
        <v/>
      </c>
      <c r="BC84" t="str">
        <f>IF(AND($AK84&lt;=Results!$I$29,$AK84&gt;=Results!$I$28,$AK84&gt;=Results!$F$4),$AQ84,"")</f>
        <v/>
      </c>
      <c r="BD84">
        <f t="shared" si="56"/>
        <v>11183.523048099269</v>
      </c>
      <c r="BE84">
        <f t="shared" si="57"/>
        <v>2374.1671401660333</v>
      </c>
      <c r="BF84">
        <f t="shared" si="58"/>
        <v>10764.973844897944</v>
      </c>
      <c r="BG84">
        <f t="shared" si="59"/>
        <v>1355.9251186192153</v>
      </c>
      <c r="BH84">
        <f t="shared" si="60"/>
        <v>0</v>
      </c>
      <c r="BI84">
        <f t="shared" si="61"/>
        <v>1.0140998146212019</v>
      </c>
      <c r="BJ84">
        <f t="shared" si="62"/>
        <v>1.001901661080651</v>
      </c>
      <c r="BK84">
        <f t="shared" si="63"/>
        <v>-3.8463065310067606E-3</v>
      </c>
      <c r="BL84">
        <f t="shared" si="64"/>
        <v>-3.4770458050558734E-4</v>
      </c>
      <c r="BM84">
        <f t="shared" si="82"/>
        <v>119.99999999999942</v>
      </c>
      <c r="BN84">
        <f t="shared" si="83"/>
        <v>-119.99999999999829</v>
      </c>
      <c r="BO84">
        <f>Data!$H$2*(1-BI84)*(1-BI84/Data!$H$3)*BM84</f>
        <v>4.7713145364541978E-8</v>
      </c>
      <c r="BP84">
        <f t="shared" si="65"/>
        <v>-121.69197775454364</v>
      </c>
      <c r="BQ84">
        <f>Data!$H$2*(1-BJ84)*(1-BJ84/Data!$H$3)*BN84</f>
        <v>-8.6791556775907958E-10</v>
      </c>
      <c r="BR84">
        <f t="shared" si="66"/>
        <v>120.22819932967641</v>
      </c>
      <c r="BS84">
        <f t="shared" si="67"/>
        <v>0</v>
      </c>
      <c r="BT84">
        <f t="shared" si="68"/>
        <v>0</v>
      </c>
      <c r="BU84">
        <f t="shared" si="69"/>
        <v>0</v>
      </c>
      <c r="BV84">
        <f t="shared" si="70"/>
        <v>0</v>
      </c>
      <c r="BW84">
        <f t="shared" si="84"/>
        <v>0</v>
      </c>
      <c r="BX84" t="str">
        <f t="shared" si="85"/>
        <v/>
      </c>
      <c r="BY84" s="66" t="str">
        <f t="shared" si="71"/>
        <v/>
      </c>
      <c r="BZ84" t="str">
        <f t="shared" si="72"/>
        <v/>
      </c>
      <c r="CA84" s="67" t="str">
        <f t="shared" si="73"/>
        <v/>
      </c>
    </row>
    <row r="85" spans="1:79" x14ac:dyDescent="0.25">
      <c r="A85">
        <v>6421</v>
      </c>
      <c r="B85">
        <v>62</v>
      </c>
      <c r="C85">
        <v>1863</v>
      </c>
      <c r="D85" s="3">
        <f t="shared" si="98"/>
        <v>-8.3333333333333332E-3</v>
      </c>
      <c r="E85" s="3">
        <f t="shared" si="98"/>
        <v>2.9033333333333333</v>
      </c>
      <c r="F85">
        <f>IF(A85&gt;0,IF(F84=1,1,IF(B85=Data!$H$4,1,0)),"")</f>
        <v>1</v>
      </c>
      <c r="O85" s="3"/>
      <c r="P85" s="3"/>
      <c r="Q85" t="str">
        <f t="shared" si="74"/>
        <v/>
      </c>
      <c r="R85" s="4" t="str">
        <f t="shared" si="75"/>
        <v/>
      </c>
      <c r="S85" t="e">
        <f t="shared" si="86"/>
        <v>#DIV/0!</v>
      </c>
      <c r="T85" t="e">
        <f t="shared" si="99"/>
        <v>#DIV/0!</v>
      </c>
      <c r="U85" s="4">
        <f t="shared" si="76"/>
        <v>0</v>
      </c>
      <c r="V85" t="e">
        <f t="shared" si="87"/>
        <v>#DIV/0!</v>
      </c>
      <c r="W85" t="e">
        <f t="shared" si="88"/>
        <v>#DIV/0!</v>
      </c>
      <c r="X85" t="e">
        <f t="shared" si="89"/>
        <v>#VALUE!</v>
      </c>
      <c r="Y85" t="e">
        <f t="shared" si="90"/>
        <v>#VALUE!</v>
      </c>
      <c r="Z85" t="e">
        <f t="shared" si="91"/>
        <v>#VALUE!</v>
      </c>
      <c r="AA85" t="e">
        <f t="shared" si="77"/>
        <v>#VALUE!</v>
      </c>
      <c r="AB85" t="str">
        <f t="shared" si="92"/>
        <v/>
      </c>
      <c r="AC85" t="str">
        <f t="shared" si="93"/>
        <v/>
      </c>
      <c r="AD85" t="str">
        <f t="shared" si="94"/>
        <v/>
      </c>
      <c r="AE85" t="str">
        <f t="shared" si="95"/>
        <v/>
      </c>
      <c r="AF85" s="72">
        <f>IF(AF84+$AF$1&gt;ROUND(Data!$H$4,0),AF84,AF84+$AF$1)</f>
        <v>70</v>
      </c>
      <c r="AG85">
        <f t="shared" si="100"/>
        <v>5401</v>
      </c>
      <c r="AH85">
        <f t="shared" si="101"/>
        <v>1148</v>
      </c>
      <c r="AI85">
        <f t="shared" si="102"/>
        <v>5401</v>
      </c>
      <c r="AJ85" s="67">
        <f t="shared" si="103"/>
        <v>1151</v>
      </c>
      <c r="AK85" s="4">
        <f t="shared" si="96"/>
        <v>33.300000000000118</v>
      </c>
      <c r="AL85">
        <f t="shared" si="78"/>
        <v>997.0000000000141</v>
      </c>
      <c r="AM85">
        <f t="shared" si="79"/>
        <v>11293.099999999982</v>
      </c>
      <c r="AN85">
        <f>IF($AK84+$AK$1&lt;=Data!$H$4-0.5,AVERAGE(AM83:AM87),AN84)</f>
        <v>11293.099999999982</v>
      </c>
      <c r="AO85">
        <f t="shared" si="80"/>
        <v>9864.9999999999854</v>
      </c>
      <c r="AP85">
        <f t="shared" si="97"/>
        <v>10775.299999999992</v>
      </c>
      <c r="AQ85">
        <f>IF($AK84+$AK$1&lt;=Data!$H$4-0.5,AVERAGE(AP83:AP87),AQ84)</f>
        <v>10775.299999999992</v>
      </c>
      <c r="AR85">
        <f>IF($AK84+$AK$1&lt;=Data!$H$4-0.5,SLOPE($AN81:$AN89,$AK81:$AK89),AR84)</f>
        <v>-142.01666666667319</v>
      </c>
      <c r="AS85">
        <f>IF($AK84+$AK$1&lt;=Data!$H$4-0.5,SLOPE($AQ81:$AQ89,$AK81:$AK89),AS84)</f>
        <v>-76.405555555555537</v>
      </c>
      <c r="AT85" t="str">
        <f>IF(AND($AK85&gt;=Results!$G$13,$AK85&lt;=Results!$G$14),Curves!AR85,"")</f>
        <v/>
      </c>
      <c r="AU85" t="str">
        <f>IF(AND($AK85&gt;=Results!$G$13,$AK85&lt;=Results!$G$14),Curves!AS85,"")</f>
        <v/>
      </c>
      <c r="AV85" t="str">
        <f t="shared" si="81"/>
        <v/>
      </c>
      <c r="AW85" t="str">
        <f>IF(AND($AK85&lt;=Results!$I$21,$AK85&gt;=Results!$I$20,$AK85&lt;=Results!$F$4),$AN85,"")</f>
        <v/>
      </c>
      <c r="AX85" t="str">
        <f t="shared" si="81"/>
        <v/>
      </c>
      <c r="AY85" t="str">
        <f>IF(AND($AK85&lt;=Results!$I$23,$AK85&gt;=Results!$I$22,$AK85&gt;=Results!$F$4),$AN85,"")</f>
        <v/>
      </c>
      <c r="AZ85" t="str">
        <f t="shared" si="54"/>
        <v/>
      </c>
      <c r="BA85" t="str">
        <f>IF(AND($AK85&lt;=Results!$I$27,$AK85&gt;=Results!$I$26,$AK85&lt;=Results!$F$4),$AQ85,"")</f>
        <v/>
      </c>
      <c r="BB85" t="str">
        <f t="shared" si="55"/>
        <v/>
      </c>
      <c r="BC85" t="str">
        <f>IF(AND($AK85&lt;=Results!$I$29,$AK85&gt;=Results!$I$28,$AK85&gt;=Results!$F$4),$AQ85,"")</f>
        <v/>
      </c>
      <c r="BD85">
        <f t="shared" si="56"/>
        <v>11172.75285330135</v>
      </c>
      <c r="BE85">
        <f t="shared" si="57"/>
        <v>2370.8513509167124</v>
      </c>
      <c r="BF85">
        <f t="shared" si="58"/>
        <v>10757.683862665051</v>
      </c>
      <c r="BG85">
        <f t="shared" si="59"/>
        <v>1355.3743176596904</v>
      </c>
      <c r="BH85">
        <f t="shared" si="60"/>
        <v>0</v>
      </c>
      <c r="BI85">
        <f t="shared" si="61"/>
        <v>1.0136728576962635</v>
      </c>
      <c r="BJ85">
        <f t="shared" si="62"/>
        <v>1.0018735968275261</v>
      </c>
      <c r="BK85">
        <f t="shared" si="63"/>
        <v>-4.2731882490031851E-3</v>
      </c>
      <c r="BL85">
        <f t="shared" si="64"/>
        <v>-2.8084382833192965E-4</v>
      </c>
      <c r="BM85">
        <f t="shared" si="82"/>
        <v>119.99999999999997</v>
      </c>
      <c r="BN85">
        <f t="shared" si="83"/>
        <v>-119.99999999999829</v>
      </c>
      <c r="BO85">
        <f>Data!$H$2*(1-BI85)*(1-BI85/Data!$H$3)*BM85</f>
        <v>4.4867289019745102E-8</v>
      </c>
      <c r="BP85">
        <f t="shared" si="65"/>
        <v>-121.64074292355158</v>
      </c>
      <c r="BQ85">
        <f>Data!$H$2*(1-BJ85)*(1-BJ85/Data!$H$3)*BN85</f>
        <v>-8.4248761730777857E-10</v>
      </c>
      <c r="BR85">
        <f t="shared" si="66"/>
        <v>120.22483161930143</v>
      </c>
      <c r="BS85">
        <f t="shared" si="67"/>
        <v>0</v>
      </c>
      <c r="BT85">
        <f t="shared" si="68"/>
        <v>0</v>
      </c>
      <c r="BU85">
        <f t="shared" si="69"/>
        <v>0</v>
      </c>
      <c r="BV85">
        <f t="shared" si="70"/>
        <v>0</v>
      </c>
      <c r="BW85">
        <f t="shared" si="84"/>
        <v>0</v>
      </c>
      <c r="BX85" t="str">
        <f t="shared" si="85"/>
        <v/>
      </c>
      <c r="BY85" s="66" t="str">
        <f t="shared" si="71"/>
        <v/>
      </c>
      <c r="BZ85" t="str">
        <f t="shared" si="72"/>
        <v/>
      </c>
      <c r="CA85" s="67" t="str">
        <f t="shared" si="73"/>
        <v/>
      </c>
    </row>
    <row r="86" spans="1:79" x14ac:dyDescent="0.25">
      <c r="A86">
        <v>6541</v>
      </c>
      <c r="B86">
        <v>61</v>
      </c>
      <c r="C86">
        <v>2265</v>
      </c>
      <c r="D86" s="3">
        <f t="shared" si="98"/>
        <v>-8.3333333333333332E-3</v>
      </c>
      <c r="E86" s="3">
        <f t="shared" si="98"/>
        <v>3.8108333333333335</v>
      </c>
      <c r="F86">
        <f>IF(A86&gt;0,IF(F85=1,1,IF(B86=Data!$H$4,1,0)),"")</f>
        <v>1</v>
      </c>
      <c r="O86" s="3"/>
      <c r="P86" s="3"/>
      <c r="Q86" t="str">
        <f t="shared" si="74"/>
        <v/>
      </c>
      <c r="R86" s="4" t="str">
        <f t="shared" si="75"/>
        <v/>
      </c>
      <c r="S86" t="e">
        <f t="shared" si="86"/>
        <v>#DIV/0!</v>
      </c>
      <c r="T86" t="e">
        <f t="shared" si="99"/>
        <v>#DIV/0!</v>
      </c>
      <c r="U86" s="4">
        <f t="shared" si="76"/>
        <v>0</v>
      </c>
      <c r="V86" t="e">
        <f t="shared" si="87"/>
        <v>#DIV/0!</v>
      </c>
      <c r="W86" t="e">
        <f t="shared" si="88"/>
        <v>#DIV/0!</v>
      </c>
      <c r="X86" t="e">
        <f t="shared" si="89"/>
        <v>#VALUE!</v>
      </c>
      <c r="Y86" t="e">
        <f t="shared" si="90"/>
        <v>#VALUE!</v>
      </c>
      <c r="Z86" t="e">
        <f t="shared" si="91"/>
        <v>#VALUE!</v>
      </c>
      <c r="AA86" t="e">
        <f t="shared" si="77"/>
        <v>#VALUE!</v>
      </c>
      <c r="AB86" t="str">
        <f t="shared" si="92"/>
        <v/>
      </c>
      <c r="AC86" t="str">
        <f t="shared" si="93"/>
        <v/>
      </c>
      <c r="AD86" t="str">
        <f t="shared" si="94"/>
        <v/>
      </c>
      <c r="AE86" t="str">
        <f t="shared" si="95"/>
        <v/>
      </c>
      <c r="AF86" s="72">
        <f>IF(AF85+$AF$1&gt;ROUND(Data!$H$4,0),AF85,AF85+$AF$1)</f>
        <v>70</v>
      </c>
      <c r="AG86">
        <f>IF(MATCH(AF86,$AA$3:$AA$1010,0)&lt;898,AVERAGE(AG85,AG87),VLOOKUP(AF86,$R$2:$T$301,2,FALSE))</f>
        <v>5401</v>
      </c>
      <c r="AH86">
        <f>IF(MATCH(AF86,$AA$3:$AA$1010,0)&lt;898,AVERAGE(AH85,AH87),VLOOKUP(AF86,$R$2:$T$301,3,FALSE))</f>
        <v>1148</v>
      </c>
      <c r="AI86">
        <f>IF(MATCH(AF86,$AE$3:$AE$1010,0)&lt;898,AVERAGE(AI85,AI87),VLOOKUP(AF86,$U$2:$W$301,2,FALSE))</f>
        <v>5401</v>
      </c>
      <c r="AJ86" s="67">
        <f>IF(MATCH(AF86,$AE$3:$AE$1010,0)&lt;898,AVERAGE(AJ85,AJ87),VLOOKUP(AF86,$U$2:$W$301,3,FALSE))</f>
        <v>1151</v>
      </c>
      <c r="AK86" s="4">
        <f t="shared" si="96"/>
        <v>33.400000000000119</v>
      </c>
      <c r="AL86">
        <f t="shared" si="78"/>
        <v>1009.0000000000143</v>
      </c>
      <c r="AM86">
        <f t="shared" si="79"/>
        <v>11278.466666666649</v>
      </c>
      <c r="AN86">
        <f>IF($AK85+$AK$1&lt;=Data!$H$4-0.5,AVERAGE(AM84:AM88),AN85)</f>
        <v>11278.466666666649</v>
      </c>
      <c r="AO86">
        <f t="shared" si="80"/>
        <v>9852.9999999999854</v>
      </c>
      <c r="AP86">
        <f t="shared" si="97"/>
        <v>10767.733333333324</v>
      </c>
      <c r="AQ86">
        <f>IF($AK85+$AK$1&lt;=Data!$H$4-0.5,AVERAGE(AP84:AP88),AQ85)</f>
        <v>10767.733333333324</v>
      </c>
      <c r="AR86">
        <f>IF($AK85+$AK$1&lt;=Data!$H$4-0.5,SLOPE($AN82:$AN90,$AK82:$AK90),AR85)</f>
        <v>-144.48333333334091</v>
      </c>
      <c r="AS86">
        <f>IF($AK85+$AK$1&lt;=Data!$H$4-0.5,SLOPE($AQ82:$AQ90,$AK82:$AK90),AS85)</f>
        <v>-75.98333333333251</v>
      </c>
      <c r="AT86" t="str">
        <f>IF(AND($AK86&gt;=Results!$G$13,$AK86&lt;=Results!$G$14),Curves!AR86,"")</f>
        <v/>
      </c>
      <c r="AU86" t="str">
        <f>IF(AND($AK86&gt;=Results!$G$13,$AK86&lt;=Results!$G$14),Curves!AS86,"")</f>
        <v/>
      </c>
      <c r="AV86" t="str">
        <f t="shared" si="81"/>
        <v/>
      </c>
      <c r="AW86" t="str">
        <f>IF(AND($AK86&lt;=Results!$I$21,$AK86&gt;=Results!$I$20,$AK86&lt;=Results!$F$4),$AN86,"")</f>
        <v/>
      </c>
      <c r="AX86" t="str">
        <f t="shared" si="81"/>
        <v/>
      </c>
      <c r="AY86" t="str">
        <f>IF(AND($AK86&lt;=Results!$I$23,$AK86&gt;=Results!$I$22,$AK86&gt;=Results!$F$4),$AN86,"")</f>
        <v/>
      </c>
      <c r="AZ86" t="str">
        <f t="shared" si="54"/>
        <v/>
      </c>
      <c r="BA86" t="str">
        <f>IF(AND($AK86&lt;=Results!$I$27,$AK86&gt;=Results!$I$26,$AK86&lt;=Results!$F$4),$AQ86,"")</f>
        <v/>
      </c>
      <c r="BB86" t="str">
        <f t="shared" si="55"/>
        <v/>
      </c>
      <c r="BC86" t="str">
        <f>IF(AND($AK86&lt;=Results!$I$29,$AK86&gt;=Results!$I$28,$AK86&gt;=Results!$F$4),$AQ86,"")</f>
        <v/>
      </c>
      <c r="BD86">
        <f t="shared" si="56"/>
        <v>11161.98265850343</v>
      </c>
      <c r="BE86">
        <f t="shared" si="57"/>
        <v>2367.5355616673914</v>
      </c>
      <c r="BF86">
        <f t="shared" si="58"/>
        <v>10750.393880432159</v>
      </c>
      <c r="BG86">
        <f t="shared" si="59"/>
        <v>1354.8235167001653</v>
      </c>
      <c r="BH86">
        <f t="shared" si="60"/>
        <v>0</v>
      </c>
      <c r="BI86">
        <f t="shared" si="61"/>
        <v>1.0132451769714013</v>
      </c>
      <c r="BJ86">
        <f t="shared" si="62"/>
        <v>1.0018454923149847</v>
      </c>
      <c r="BK86">
        <f t="shared" si="63"/>
        <v>-4.2804354587299646E-3</v>
      </c>
      <c r="BL86">
        <f t="shared" si="64"/>
        <v>-2.8124685595875708E-4</v>
      </c>
      <c r="BM86">
        <f t="shared" si="82"/>
        <v>120.00000000000055</v>
      </c>
      <c r="BN86">
        <f t="shared" si="83"/>
        <v>-119.99999999999829</v>
      </c>
      <c r="BO86">
        <f>Data!$H$2*(1-BI86)*(1-BI86/Data!$H$3)*BM86</f>
        <v>4.2104331120897384E-8</v>
      </c>
      <c r="BP86">
        <f t="shared" si="65"/>
        <v>-121.58942123656871</v>
      </c>
      <c r="BQ86">
        <f>Data!$H$2*(1-BJ86)*(1-BJ86/Data!$H$3)*BN86</f>
        <v>-8.1740205232016823E-10</v>
      </c>
      <c r="BR86">
        <f t="shared" si="66"/>
        <v>120.22145907779645</v>
      </c>
      <c r="BS86">
        <f t="shared" si="67"/>
        <v>0</v>
      </c>
      <c r="BT86">
        <f t="shared" si="68"/>
        <v>0</v>
      </c>
      <c r="BU86">
        <f t="shared" si="69"/>
        <v>0</v>
      </c>
      <c r="BV86">
        <f t="shared" si="70"/>
        <v>0</v>
      </c>
      <c r="BW86">
        <f t="shared" si="84"/>
        <v>0</v>
      </c>
      <c r="BX86" t="str">
        <f t="shared" si="85"/>
        <v/>
      </c>
      <c r="BY86" s="66" t="str">
        <f t="shared" si="71"/>
        <v/>
      </c>
      <c r="BZ86" t="str">
        <f t="shared" si="72"/>
        <v/>
      </c>
      <c r="CA86" s="67" t="str">
        <f t="shared" si="73"/>
        <v/>
      </c>
    </row>
    <row r="87" spans="1:79" x14ac:dyDescent="0.25">
      <c r="A87">
        <v>6661</v>
      </c>
      <c r="B87">
        <v>60</v>
      </c>
      <c r="C87">
        <v>2782</v>
      </c>
      <c r="D87" s="3">
        <f t="shared" si="98"/>
        <v>-8.3333333333333332E-3</v>
      </c>
      <c r="E87" s="3">
        <f t="shared" si="98"/>
        <v>4.6091666666666669</v>
      </c>
      <c r="F87">
        <f>IF(A87&gt;0,IF(F86=1,1,IF(B87=Data!$H$4,1,0)),"")</f>
        <v>1</v>
      </c>
      <c r="O87" s="3"/>
      <c r="P87" s="3"/>
      <c r="Q87" t="str">
        <f t="shared" si="74"/>
        <v/>
      </c>
      <c r="R87" s="4" t="str">
        <f t="shared" si="75"/>
        <v/>
      </c>
      <c r="S87" t="e">
        <f t="shared" si="86"/>
        <v>#DIV/0!</v>
      </c>
      <c r="T87" t="e">
        <f t="shared" si="99"/>
        <v>#DIV/0!</v>
      </c>
      <c r="U87" s="4">
        <f t="shared" si="76"/>
        <v>0</v>
      </c>
      <c r="V87" t="e">
        <f t="shared" si="87"/>
        <v>#DIV/0!</v>
      </c>
      <c r="W87" t="e">
        <f t="shared" si="88"/>
        <v>#DIV/0!</v>
      </c>
      <c r="X87" t="e">
        <f t="shared" si="89"/>
        <v>#VALUE!</v>
      </c>
      <c r="Y87" t="e">
        <f t="shared" si="90"/>
        <v>#VALUE!</v>
      </c>
      <c r="Z87" t="e">
        <f t="shared" si="91"/>
        <v>#VALUE!</v>
      </c>
      <c r="AA87" t="e">
        <f t="shared" si="77"/>
        <v>#VALUE!</v>
      </c>
      <c r="AB87" t="str">
        <f t="shared" si="92"/>
        <v/>
      </c>
      <c r="AC87" t="str">
        <f t="shared" si="93"/>
        <v/>
      </c>
      <c r="AD87" t="str">
        <f t="shared" si="94"/>
        <v/>
      </c>
      <c r="AE87" t="str">
        <f t="shared" si="95"/>
        <v/>
      </c>
      <c r="AF87" s="72">
        <f>IF(AF86+$AF$1&gt;ROUND(Data!$H$4,0),AF86,AF86+$AF$1)</f>
        <v>70</v>
      </c>
      <c r="AG87">
        <f t="shared" si="100"/>
        <v>5401</v>
      </c>
      <c r="AH87">
        <f t="shared" si="101"/>
        <v>1148</v>
      </c>
      <c r="AI87">
        <f t="shared" si="102"/>
        <v>5401</v>
      </c>
      <c r="AJ87" s="67">
        <f t="shared" si="103"/>
        <v>1151</v>
      </c>
      <c r="AK87" s="4">
        <f t="shared" si="96"/>
        <v>33.500000000000121</v>
      </c>
      <c r="AL87">
        <f t="shared" si="78"/>
        <v>1021.0000000000146</v>
      </c>
      <c r="AM87">
        <f t="shared" si="79"/>
        <v>11263.833333333314</v>
      </c>
      <c r="AN87">
        <f>IF($AK86+$AK$1&lt;=Data!$H$4-0.5,AVERAGE(AM85:AM89),AN86)</f>
        <v>11263.833333333314</v>
      </c>
      <c r="AO87">
        <f t="shared" si="80"/>
        <v>9840.9999999999854</v>
      </c>
      <c r="AP87">
        <f t="shared" si="97"/>
        <v>10760.166666666657</v>
      </c>
      <c r="AQ87">
        <f>IF($AK86+$AK$1&lt;=Data!$H$4-0.5,AVERAGE(AP85:AP89),AQ86)</f>
        <v>10760.166666666659</v>
      </c>
      <c r="AR87">
        <f>IF($AK86+$AK$1&lt;=Data!$H$4-0.5,SLOPE($AN83:$AN91,$AK83:$AK91),AR86)</f>
        <v>-146.83555555556453</v>
      </c>
      <c r="AS87">
        <f>IF($AK86+$AK$1&lt;=Data!$H$4-0.5,SLOPE($AQ83:$AQ91,$AK83:$AK91),AS86)</f>
        <v>-75.777777777777203</v>
      </c>
      <c r="AT87" t="str">
        <f>IF(AND($AK87&gt;=Results!$G$13,$AK87&lt;=Results!$G$14),Curves!AR87,"")</f>
        <v/>
      </c>
      <c r="AU87" t="str">
        <f>IF(AND($AK87&gt;=Results!$G$13,$AK87&lt;=Results!$G$14),Curves!AS87,"")</f>
        <v/>
      </c>
      <c r="AV87" t="str">
        <f t="shared" si="81"/>
        <v/>
      </c>
      <c r="AW87" t="str">
        <f>IF(AND($AK87&lt;=Results!$I$21,$AK87&gt;=Results!$I$20,$AK87&lt;=Results!$F$4),$AN87,"")</f>
        <v/>
      </c>
      <c r="AX87" t="str">
        <f t="shared" si="81"/>
        <v/>
      </c>
      <c r="AY87" t="str">
        <f>IF(AND($AK87&lt;=Results!$I$23,$AK87&gt;=Results!$I$22,$AK87&gt;=Results!$F$4),$AN87,"")</f>
        <v/>
      </c>
      <c r="AZ87" t="str">
        <f t="shared" si="54"/>
        <v/>
      </c>
      <c r="BA87" t="str">
        <f>IF(AND($AK87&lt;=Results!$I$27,$AK87&gt;=Results!$I$26,$AK87&lt;=Results!$F$4),$AQ87,"")</f>
        <v/>
      </c>
      <c r="BB87" t="str">
        <f t="shared" si="55"/>
        <v/>
      </c>
      <c r="BC87" t="str">
        <f>IF(AND($AK87&lt;=Results!$I$29,$AK87&gt;=Results!$I$28,$AK87&gt;=Results!$F$4),$AQ87,"")</f>
        <v/>
      </c>
      <c r="BD87">
        <f t="shared" si="56"/>
        <v>11151.212463705511</v>
      </c>
      <c r="BE87">
        <f t="shared" si="57"/>
        <v>2364.2197724180705</v>
      </c>
      <c r="BF87">
        <f t="shared" si="58"/>
        <v>10743.103898199266</v>
      </c>
      <c r="BG87">
        <f t="shared" si="59"/>
        <v>1354.2727157406403</v>
      </c>
      <c r="BH87">
        <f t="shared" si="60"/>
        <v>0</v>
      </c>
      <c r="BI87">
        <f t="shared" si="61"/>
        <v>1.0128167706045175</v>
      </c>
      <c r="BJ87">
        <f t="shared" si="62"/>
        <v>1.0018173474563343</v>
      </c>
      <c r="BK87">
        <f t="shared" si="63"/>
        <v>-4.2877011207086927E-3</v>
      </c>
      <c r="BL87">
        <f t="shared" si="64"/>
        <v>-2.8165075176333641E-4</v>
      </c>
      <c r="BM87">
        <f t="shared" si="82"/>
        <v>119.99999999999942</v>
      </c>
      <c r="BN87">
        <f t="shared" si="83"/>
        <v>-119.99999999999829</v>
      </c>
      <c r="BO87">
        <f>Data!$H$2*(1-BI87)*(1-BI87/Data!$H$3)*BM87</f>
        <v>3.9424706094917344E-8</v>
      </c>
      <c r="BP87">
        <f t="shared" si="65"/>
        <v>-121.53801247254151</v>
      </c>
      <c r="BQ87">
        <f>Data!$H$2*(1-BJ87)*(1-BJ87/Data!$H$3)*BN87</f>
        <v>-7.9266042649075344E-10</v>
      </c>
      <c r="BR87">
        <f t="shared" si="66"/>
        <v>120.21808169475841</v>
      </c>
      <c r="BS87">
        <f t="shared" si="67"/>
        <v>0</v>
      </c>
      <c r="BT87">
        <f t="shared" si="68"/>
        <v>0</v>
      </c>
      <c r="BU87">
        <f t="shared" si="69"/>
        <v>0</v>
      </c>
      <c r="BV87">
        <f t="shared" si="70"/>
        <v>0</v>
      </c>
      <c r="BW87">
        <f t="shared" si="84"/>
        <v>0</v>
      </c>
      <c r="BX87" t="str">
        <f t="shared" si="85"/>
        <v/>
      </c>
      <c r="BY87" s="66" t="str">
        <f t="shared" si="71"/>
        <v/>
      </c>
      <c r="BZ87" t="str">
        <f t="shared" si="72"/>
        <v/>
      </c>
      <c r="CA87" s="67" t="str">
        <f t="shared" si="73"/>
        <v/>
      </c>
    </row>
    <row r="88" spans="1:79" x14ac:dyDescent="0.25">
      <c r="A88">
        <v>6781</v>
      </c>
      <c r="B88">
        <v>59</v>
      </c>
      <c r="C88">
        <v>3396</v>
      </c>
      <c r="D88" s="3">
        <f t="shared" si="98"/>
        <v>-8.3333333333333332E-3</v>
      </c>
      <c r="E88" s="3">
        <f t="shared" si="98"/>
        <v>5.2424999999999997</v>
      </c>
      <c r="F88">
        <f>IF(A88&gt;0,IF(F87=1,1,IF(B88=Data!$H$4,1,0)),"")</f>
        <v>1</v>
      </c>
      <c r="O88" s="3"/>
      <c r="P88" s="3"/>
      <c r="Q88" t="str">
        <f t="shared" si="74"/>
        <v/>
      </c>
      <c r="R88" s="4" t="str">
        <f t="shared" si="75"/>
        <v/>
      </c>
      <c r="S88" t="e">
        <f t="shared" si="86"/>
        <v>#DIV/0!</v>
      </c>
      <c r="T88" t="e">
        <f t="shared" si="99"/>
        <v>#DIV/0!</v>
      </c>
      <c r="U88" s="4">
        <f t="shared" si="76"/>
        <v>0</v>
      </c>
      <c r="V88" t="e">
        <f t="shared" si="87"/>
        <v>#DIV/0!</v>
      </c>
      <c r="W88" t="e">
        <f t="shared" si="88"/>
        <v>#DIV/0!</v>
      </c>
      <c r="X88" t="e">
        <f t="shared" si="89"/>
        <v>#VALUE!</v>
      </c>
      <c r="Y88" t="e">
        <f t="shared" si="90"/>
        <v>#VALUE!</v>
      </c>
      <c r="Z88" t="e">
        <f t="shared" si="91"/>
        <v>#VALUE!</v>
      </c>
      <c r="AA88" t="e">
        <f t="shared" si="77"/>
        <v>#VALUE!</v>
      </c>
      <c r="AB88" t="str">
        <f t="shared" si="92"/>
        <v/>
      </c>
      <c r="AC88" t="str">
        <f t="shared" si="93"/>
        <v/>
      </c>
      <c r="AD88" t="str">
        <f t="shared" si="94"/>
        <v/>
      </c>
      <c r="AE88" t="str">
        <f t="shared" si="95"/>
        <v/>
      </c>
      <c r="AF88" s="72">
        <f>IF(AF87+$AF$1&gt;ROUND(Data!$H$4,0),AF87,AF87+$AF$1)</f>
        <v>70</v>
      </c>
      <c r="AG88">
        <f>IF(MATCH(AF88,$AA$3:$AA$1010,0)&lt;898,AVERAGE(AG87,AG89),VLOOKUP(AF88,$R$2:$T$301,2,FALSE))</f>
        <v>5401</v>
      </c>
      <c r="AH88">
        <f>IF(MATCH(AF88,$AA$3:$AA$1010,0)&lt;898,AVERAGE(AH87,AH89),VLOOKUP(AF88,$R$2:$T$301,3,FALSE))</f>
        <v>1148</v>
      </c>
      <c r="AI88">
        <f>IF(MATCH(AF88,$AE$3:$AE$1010,0)&lt;898,AVERAGE(AI87,AI89),VLOOKUP(AF88,$U$2:$W$301,2,FALSE))</f>
        <v>5401</v>
      </c>
      <c r="AJ88" s="67">
        <f>IF(MATCH(AF88,$AE$3:$AE$1010,0)&lt;898,AVERAGE(AJ87,AJ89),VLOOKUP(AF88,$U$2:$W$301,3,FALSE))</f>
        <v>1151</v>
      </c>
      <c r="AK88" s="4">
        <f t="shared" si="96"/>
        <v>33.600000000000122</v>
      </c>
      <c r="AL88">
        <f t="shared" si="78"/>
        <v>1033.0000000000146</v>
      </c>
      <c r="AM88">
        <f t="shared" si="79"/>
        <v>11249.199999999981</v>
      </c>
      <c r="AN88">
        <f>IF($AK87+$AK$1&lt;=Data!$H$4-0.5,AVERAGE(AM86:AM90),AN87)</f>
        <v>11249.199999999981</v>
      </c>
      <c r="AO88">
        <f t="shared" si="80"/>
        <v>9828.9999999999854</v>
      </c>
      <c r="AP88">
        <f t="shared" si="97"/>
        <v>10752.599999999991</v>
      </c>
      <c r="AQ88">
        <f>IF($AK87+$AK$1&lt;=Data!$H$4-0.5,AVERAGE(AP86:AP90),AQ87)</f>
        <v>10752.599999999991</v>
      </c>
      <c r="AR88">
        <f>IF($AK87+$AK$1&lt;=Data!$H$4-0.5,SLOPE($AN84:$AN92,$AK84:$AK92),AR87)</f>
        <v>-150.06666666667599</v>
      </c>
      <c r="AS88">
        <f>IF($AK87+$AK$1&lt;=Data!$H$4-0.5,SLOPE($AQ84:$AQ92,$AK84:$AK92),AS87)</f>
        <v>-75.766666666667476</v>
      </c>
      <c r="AT88" t="str">
        <f>IF(AND($AK88&gt;=Results!$G$13,$AK88&lt;=Results!$G$14),Curves!AR88,"")</f>
        <v/>
      </c>
      <c r="AU88" t="str">
        <f>IF(AND($AK88&gt;=Results!$G$13,$AK88&lt;=Results!$G$14),Curves!AS88,"")</f>
        <v/>
      </c>
      <c r="AV88" t="str">
        <f t="shared" si="81"/>
        <v/>
      </c>
      <c r="AW88" t="str">
        <f>IF(AND($AK88&lt;=Results!$I$21,$AK88&gt;=Results!$I$20,$AK88&lt;=Results!$F$4),$AN88,"")</f>
        <v/>
      </c>
      <c r="AX88" t="str">
        <f t="shared" si="81"/>
        <v/>
      </c>
      <c r="AY88" t="str">
        <f>IF(AND($AK88&lt;=Results!$I$23,$AK88&gt;=Results!$I$22,$AK88&gt;=Results!$F$4),$AN88,"")</f>
        <v/>
      </c>
      <c r="AZ88" t="str">
        <f t="shared" si="54"/>
        <v/>
      </c>
      <c r="BA88" t="str">
        <f>IF(AND($AK88&lt;=Results!$I$27,$AK88&gt;=Results!$I$26,$AK88&lt;=Results!$F$4),$AQ88,"")</f>
        <v/>
      </c>
      <c r="BB88" t="str">
        <f t="shared" si="55"/>
        <v/>
      </c>
      <c r="BC88" t="str">
        <f>IF(AND($AK88&lt;=Results!$I$29,$AK88&gt;=Results!$I$28,$AK88&gt;=Results!$F$4),$AQ88,"")</f>
        <v/>
      </c>
      <c r="BD88">
        <f t="shared" si="56"/>
        <v>11140.442268907591</v>
      </c>
      <c r="BE88">
        <f t="shared" si="57"/>
        <v>2360.9039831687496</v>
      </c>
      <c r="BF88">
        <f t="shared" si="58"/>
        <v>10735.813915966373</v>
      </c>
      <c r="BG88">
        <f t="shared" si="59"/>
        <v>1353.7219147811154</v>
      </c>
      <c r="BH88">
        <f t="shared" si="60"/>
        <v>0</v>
      </c>
      <c r="BI88">
        <f t="shared" si="61"/>
        <v>1.0123876367472595</v>
      </c>
      <c r="BJ88">
        <f t="shared" si="62"/>
        <v>1.001789162164632</v>
      </c>
      <c r="BK88">
        <f t="shared" si="63"/>
        <v>-4.294985297634773E-3</v>
      </c>
      <c r="BL88">
        <f t="shared" si="64"/>
        <v>-2.8205551823811835E-4</v>
      </c>
      <c r="BM88">
        <f t="shared" si="82"/>
        <v>119.99999999999942</v>
      </c>
      <c r="BN88">
        <f t="shared" si="83"/>
        <v>-119.99999999999829</v>
      </c>
      <c r="BO88">
        <f>Data!$H$2*(1-BI88)*(1-BI88/Data!$H$3)*BM88</f>
        <v>3.6828850603692832E-8</v>
      </c>
      <c r="BP88">
        <f t="shared" si="65"/>
        <v>-121.48651640967056</v>
      </c>
      <c r="BQ88">
        <f>Data!$H$2*(1-BJ88)*(1-BJ88/Data!$H$3)*BN88</f>
        <v>-7.6826430032413591E-10</v>
      </c>
      <c r="BR88">
        <f t="shared" si="66"/>
        <v>120.21469945975413</v>
      </c>
      <c r="BS88">
        <f t="shared" si="67"/>
        <v>0</v>
      </c>
      <c r="BT88">
        <f t="shared" si="68"/>
        <v>0</v>
      </c>
      <c r="BU88">
        <f t="shared" si="69"/>
        <v>0</v>
      </c>
      <c r="BV88">
        <f t="shared" si="70"/>
        <v>0</v>
      </c>
      <c r="BW88">
        <f t="shared" si="84"/>
        <v>0</v>
      </c>
      <c r="BX88" t="str">
        <f t="shared" si="85"/>
        <v/>
      </c>
      <c r="BY88" s="66" t="str">
        <f t="shared" si="71"/>
        <v/>
      </c>
      <c r="BZ88" t="str">
        <f t="shared" si="72"/>
        <v/>
      </c>
      <c r="CA88" s="67" t="str">
        <f t="shared" si="73"/>
        <v/>
      </c>
    </row>
    <row r="89" spans="1:79" x14ac:dyDescent="0.25">
      <c r="A89">
        <v>6901</v>
      </c>
      <c r="B89">
        <v>58</v>
      </c>
      <c r="C89">
        <v>4063</v>
      </c>
      <c r="D89" s="3">
        <f t="shared" si="98"/>
        <v>-8.3333333333333332E-3</v>
      </c>
      <c r="E89" s="3">
        <f t="shared" si="98"/>
        <v>5.6366666666666667</v>
      </c>
      <c r="F89">
        <f>IF(A89&gt;0,IF(F88=1,1,IF(B89=Data!$H$4,1,0)),"")</f>
        <v>1</v>
      </c>
      <c r="O89" s="3"/>
      <c r="P89" s="3"/>
      <c r="Q89" t="str">
        <f t="shared" si="74"/>
        <v/>
      </c>
      <c r="R89" s="4" t="str">
        <f t="shared" si="75"/>
        <v/>
      </c>
      <c r="S89" t="e">
        <f t="shared" si="86"/>
        <v>#DIV/0!</v>
      </c>
      <c r="T89" t="e">
        <f t="shared" si="99"/>
        <v>#DIV/0!</v>
      </c>
      <c r="U89" s="4">
        <f t="shared" si="76"/>
        <v>0</v>
      </c>
      <c r="V89" t="e">
        <f t="shared" si="87"/>
        <v>#DIV/0!</v>
      </c>
      <c r="W89" t="e">
        <f t="shared" si="88"/>
        <v>#DIV/0!</v>
      </c>
      <c r="X89" t="e">
        <f t="shared" si="89"/>
        <v>#VALUE!</v>
      </c>
      <c r="Y89" t="e">
        <f t="shared" si="90"/>
        <v>#VALUE!</v>
      </c>
      <c r="Z89" t="e">
        <f t="shared" si="91"/>
        <v>#VALUE!</v>
      </c>
      <c r="AA89" t="e">
        <f t="shared" si="77"/>
        <v>#VALUE!</v>
      </c>
      <c r="AB89" t="str">
        <f t="shared" si="92"/>
        <v/>
      </c>
      <c r="AC89" t="str">
        <f t="shared" si="93"/>
        <v/>
      </c>
      <c r="AD89" t="str">
        <f t="shared" si="94"/>
        <v/>
      </c>
      <c r="AE89" t="str">
        <f t="shared" si="95"/>
        <v/>
      </c>
      <c r="AF89" s="72">
        <f>IF(AF88+$AF$1&gt;ROUND(Data!$H$4,0),AF88,AF88+$AF$1)</f>
        <v>70</v>
      </c>
      <c r="AG89">
        <f t="shared" si="100"/>
        <v>5401</v>
      </c>
      <c r="AH89">
        <f t="shared" si="101"/>
        <v>1148</v>
      </c>
      <c r="AI89">
        <f t="shared" si="102"/>
        <v>5401</v>
      </c>
      <c r="AJ89" s="67">
        <f t="shared" si="103"/>
        <v>1151</v>
      </c>
      <c r="AK89" s="4">
        <f t="shared" si="96"/>
        <v>33.700000000000124</v>
      </c>
      <c r="AL89">
        <f t="shared" si="78"/>
        <v>1045.0000000000148</v>
      </c>
      <c r="AM89">
        <f t="shared" si="79"/>
        <v>11234.566666666648</v>
      </c>
      <c r="AN89">
        <f>IF($AK88+$AK$1&lt;=Data!$H$4-0.5,AVERAGE(AM87:AM91),AN88)</f>
        <v>11234.566666666648</v>
      </c>
      <c r="AO89">
        <f t="shared" si="80"/>
        <v>9816.9999999999854</v>
      </c>
      <c r="AP89">
        <f t="shared" si="97"/>
        <v>10745.033333333324</v>
      </c>
      <c r="AQ89">
        <f>IF($AK88+$AK$1&lt;=Data!$H$4-0.5,AVERAGE(AP87:AP91),AQ88)</f>
        <v>10745.033333333326</v>
      </c>
      <c r="AR89">
        <f>IF($AK88+$AK$1&lt;=Data!$H$4-0.5,SLOPE($AN85:$AN93,$AK85:$AK93),AR88)</f>
        <v>-155.04444444445585</v>
      </c>
      <c r="AS89">
        <f>IF($AK88+$AK$1&lt;=Data!$H$4-0.5,SLOPE($AQ85:$AQ93,$AK85:$AK93),AS88)</f>
        <v>-75.90000000000127</v>
      </c>
      <c r="AT89" t="str">
        <f>IF(AND($AK89&gt;=Results!$G$13,$AK89&lt;=Results!$G$14),Curves!AR89,"")</f>
        <v/>
      </c>
      <c r="AU89" t="str">
        <f>IF(AND($AK89&gt;=Results!$G$13,$AK89&lt;=Results!$G$14),Curves!AS89,"")</f>
        <v/>
      </c>
      <c r="AV89" t="str">
        <f t="shared" si="81"/>
        <v/>
      </c>
      <c r="AW89" t="str">
        <f>IF(AND($AK89&lt;=Results!$I$21,$AK89&gt;=Results!$I$20,$AK89&lt;=Results!$F$4),$AN89,"")</f>
        <v/>
      </c>
      <c r="AX89" t="str">
        <f t="shared" si="81"/>
        <v/>
      </c>
      <c r="AY89" t="str">
        <f>IF(AND($AK89&lt;=Results!$I$23,$AK89&gt;=Results!$I$22,$AK89&gt;=Results!$F$4),$AN89,"")</f>
        <v/>
      </c>
      <c r="AZ89" t="str">
        <f t="shared" si="54"/>
        <v/>
      </c>
      <c r="BA89" t="str">
        <f>IF(AND($AK89&lt;=Results!$I$27,$AK89&gt;=Results!$I$26,$AK89&lt;=Results!$F$4),$AQ89,"")</f>
        <v/>
      </c>
      <c r="BB89" t="str">
        <f t="shared" si="55"/>
        <v/>
      </c>
      <c r="BC89" t="str">
        <f>IF(AND($AK89&lt;=Results!$I$29,$AK89&gt;=Results!$I$28,$AK89&gt;=Results!$F$4),$AQ89,"")</f>
        <v/>
      </c>
      <c r="BD89">
        <f t="shared" si="56"/>
        <v>11129.672074109671</v>
      </c>
      <c r="BE89">
        <f t="shared" si="57"/>
        <v>2357.5881939194287</v>
      </c>
      <c r="BF89">
        <f t="shared" si="58"/>
        <v>10728.523933733479</v>
      </c>
      <c r="BG89">
        <f t="shared" si="59"/>
        <v>1353.1711138215903</v>
      </c>
      <c r="BH89">
        <f t="shared" si="60"/>
        <v>0</v>
      </c>
      <c r="BI89">
        <f t="shared" si="61"/>
        <v>1.0119577735449905</v>
      </c>
      <c r="BJ89">
        <f t="shared" si="62"/>
        <v>1.0017609363526867</v>
      </c>
      <c r="BK89">
        <f t="shared" si="63"/>
        <v>-4.3022880524756163E-3</v>
      </c>
      <c r="BL89">
        <f t="shared" si="64"/>
        <v>-2.8246115788665581E-4</v>
      </c>
      <c r="BM89">
        <f t="shared" si="82"/>
        <v>120.00000000000055</v>
      </c>
      <c r="BN89">
        <f t="shared" si="83"/>
        <v>-119.99999999999829</v>
      </c>
      <c r="BO89">
        <f>Data!$H$2*(1-BI89)*(1-BI89/Data!$H$3)*BM89</f>
        <v>3.4317203556786094E-8</v>
      </c>
      <c r="BP89">
        <f t="shared" si="65"/>
        <v>-121.43493282539941</v>
      </c>
      <c r="BQ89">
        <f>Data!$H$2*(1-BJ89)*(1-BJ89/Data!$H$3)*BN89</f>
        <v>-7.4421524117124167E-10</v>
      </c>
      <c r="BR89">
        <f t="shared" si="66"/>
        <v>120.2113123623207</v>
      </c>
      <c r="BS89">
        <f t="shared" si="67"/>
        <v>0</v>
      </c>
      <c r="BT89">
        <f t="shared" si="68"/>
        <v>0</v>
      </c>
      <c r="BU89">
        <f t="shared" si="69"/>
        <v>0</v>
      </c>
      <c r="BV89">
        <f t="shared" si="70"/>
        <v>0</v>
      </c>
      <c r="BW89">
        <f t="shared" si="84"/>
        <v>0</v>
      </c>
      <c r="BX89" t="str">
        <f t="shared" si="85"/>
        <v/>
      </c>
      <c r="BY89" s="66" t="str">
        <f t="shared" si="71"/>
        <v/>
      </c>
      <c r="BZ89" t="str">
        <f t="shared" si="72"/>
        <v/>
      </c>
      <c r="CA89" s="67" t="str">
        <f t="shared" si="73"/>
        <v/>
      </c>
    </row>
    <row r="90" spans="1:79" x14ac:dyDescent="0.25">
      <c r="A90">
        <v>7021</v>
      </c>
      <c r="B90">
        <v>57</v>
      </c>
      <c r="C90">
        <v>4770</v>
      </c>
      <c r="D90" s="3">
        <f t="shared" si="98"/>
        <v>-8.3333333333333332E-3</v>
      </c>
      <c r="E90" s="3">
        <f t="shared" si="98"/>
        <v>5.7983333333333329</v>
      </c>
      <c r="F90">
        <f>IF(A90&gt;0,IF(F89=1,1,IF(B90=Data!$H$4,1,0)),"")</f>
        <v>1</v>
      </c>
      <c r="O90" s="3"/>
      <c r="P90" s="3"/>
      <c r="Q90" t="str">
        <f t="shared" si="74"/>
        <v/>
      </c>
      <c r="R90" s="4" t="str">
        <f t="shared" si="75"/>
        <v/>
      </c>
      <c r="S90" t="e">
        <f t="shared" si="86"/>
        <v>#DIV/0!</v>
      </c>
      <c r="T90" t="e">
        <f t="shared" si="99"/>
        <v>#DIV/0!</v>
      </c>
      <c r="U90" s="4">
        <f t="shared" si="76"/>
        <v>0</v>
      </c>
      <c r="V90" t="e">
        <f t="shared" si="87"/>
        <v>#DIV/0!</v>
      </c>
      <c r="W90" t="e">
        <f t="shared" si="88"/>
        <v>#DIV/0!</v>
      </c>
      <c r="X90" t="e">
        <f t="shared" si="89"/>
        <v>#VALUE!</v>
      </c>
      <c r="Y90" t="e">
        <f t="shared" si="90"/>
        <v>#VALUE!</v>
      </c>
      <c r="Z90" t="e">
        <f t="shared" si="91"/>
        <v>#VALUE!</v>
      </c>
      <c r="AA90" t="e">
        <f t="shared" si="77"/>
        <v>#VALUE!</v>
      </c>
      <c r="AB90" t="str">
        <f t="shared" si="92"/>
        <v/>
      </c>
      <c r="AC90" t="str">
        <f t="shared" si="93"/>
        <v/>
      </c>
      <c r="AD90" t="str">
        <f t="shared" si="94"/>
        <v/>
      </c>
      <c r="AE90" t="str">
        <f t="shared" si="95"/>
        <v/>
      </c>
      <c r="AF90" s="72">
        <f>IF(AF89+$AF$1&gt;ROUND(Data!$H$4,0),AF89,AF89+$AF$1)</f>
        <v>70</v>
      </c>
      <c r="AG90">
        <f>IF(MATCH(AF90,$AA$3:$AA$1010,0)&lt;898,AVERAGE(AG89,AG91),VLOOKUP(AF90,$R$2:$T$301,2,FALSE))</f>
        <v>5401</v>
      </c>
      <c r="AH90">
        <f>IF(MATCH(AF90,$AA$3:$AA$1010,0)&lt;898,AVERAGE(AH89,AH91),VLOOKUP(AF90,$R$2:$T$301,3,FALSE))</f>
        <v>1148</v>
      </c>
      <c r="AI90">
        <f>IF(MATCH(AF90,$AE$3:$AE$1010,0)&lt;898,AVERAGE(AI89,AI91),VLOOKUP(AF90,$U$2:$W$301,2,FALSE))</f>
        <v>5401</v>
      </c>
      <c r="AJ90" s="67">
        <f>IF(MATCH(AF90,$AE$3:$AE$1010,0)&lt;898,AVERAGE(AJ89,AJ91),VLOOKUP(AF90,$U$2:$W$301,3,FALSE))</f>
        <v>1151</v>
      </c>
      <c r="AK90" s="4">
        <f t="shared" si="96"/>
        <v>33.800000000000125</v>
      </c>
      <c r="AL90">
        <f t="shared" si="78"/>
        <v>1057.000000000015</v>
      </c>
      <c r="AM90">
        <f t="shared" si="79"/>
        <v>11219.933333333312</v>
      </c>
      <c r="AN90">
        <f>IF($AK89+$AK$1&lt;=Data!$H$4-0.5,AVERAGE(AM88:AM92),AN89)</f>
        <v>11219.933333333311</v>
      </c>
      <c r="AO90">
        <f t="shared" si="80"/>
        <v>9804.9999999999854</v>
      </c>
      <c r="AP90">
        <f t="shared" si="97"/>
        <v>10737.466666666658</v>
      </c>
      <c r="AQ90">
        <f>IF($AK89+$AK$1&lt;=Data!$H$4-0.5,AVERAGE(AP88:AP92),AQ89)</f>
        <v>10737.46666666666</v>
      </c>
      <c r="AR90">
        <f>IF($AK89+$AK$1&lt;=Data!$H$4-0.5,SLOPE($AN86:$AN94,$AK86:$AK94),AR89)</f>
        <v>-162.51111111112499</v>
      </c>
      <c r="AS90">
        <f>IF($AK89+$AK$1&lt;=Data!$H$4-0.5,SLOPE($AQ86:$AQ94,$AK86:$AK94),AS89)</f>
        <v>-76.100000000001401</v>
      </c>
      <c r="AT90" t="str">
        <f>IF(AND($AK90&gt;=Results!$G$13,$AK90&lt;=Results!$G$14),Curves!AR90,"")</f>
        <v/>
      </c>
      <c r="AU90" t="str">
        <f>IF(AND($AK90&gt;=Results!$G$13,$AK90&lt;=Results!$G$14),Curves!AS90,"")</f>
        <v/>
      </c>
      <c r="AV90" t="str">
        <f t="shared" si="81"/>
        <v/>
      </c>
      <c r="AW90" t="str">
        <f>IF(AND($AK90&lt;=Results!$I$21,$AK90&gt;=Results!$I$20,$AK90&lt;=Results!$F$4),$AN90,"")</f>
        <v/>
      </c>
      <c r="AX90" t="str">
        <f t="shared" si="81"/>
        <v/>
      </c>
      <c r="AY90" t="str">
        <f>IF(AND($AK90&lt;=Results!$I$23,$AK90&gt;=Results!$I$22,$AK90&gt;=Results!$F$4),$AN90,"")</f>
        <v/>
      </c>
      <c r="AZ90" t="str">
        <f t="shared" si="54"/>
        <v/>
      </c>
      <c r="BA90" t="str">
        <f>IF(AND($AK90&lt;=Results!$I$27,$AK90&gt;=Results!$I$26,$AK90&lt;=Results!$F$4),$AQ90,"")</f>
        <v/>
      </c>
      <c r="BB90" t="str">
        <f t="shared" si="55"/>
        <v/>
      </c>
      <c r="BC90" t="str">
        <f>IF(AND($AK90&lt;=Results!$I$29,$AK90&gt;=Results!$I$28,$AK90&gt;=Results!$F$4),$AQ90,"")</f>
        <v/>
      </c>
      <c r="BD90">
        <f t="shared" si="56"/>
        <v>11118.901879311752</v>
      </c>
      <c r="BE90">
        <f t="shared" si="57"/>
        <v>2354.2724046701082</v>
      </c>
      <c r="BF90">
        <f t="shared" si="58"/>
        <v>10721.233951500586</v>
      </c>
      <c r="BG90">
        <f t="shared" si="59"/>
        <v>1352.6203128620652</v>
      </c>
      <c r="BH90">
        <f t="shared" si="60"/>
        <v>0</v>
      </c>
      <c r="BI90">
        <f t="shared" si="61"/>
        <v>1.0115271791367644</v>
      </c>
      <c r="BJ90">
        <f t="shared" si="62"/>
        <v>1.0017326699330547</v>
      </c>
      <c r="BK90">
        <f t="shared" si="63"/>
        <v>-5.1622436150388458E-3</v>
      </c>
      <c r="BL90">
        <f t="shared" si="64"/>
        <v>-3.0423091634145926E-4</v>
      </c>
      <c r="BM90">
        <f t="shared" si="82"/>
        <v>120.00000000000055</v>
      </c>
      <c r="BN90">
        <f t="shared" si="83"/>
        <v>-119.99999999999829</v>
      </c>
      <c r="BO90">
        <f>Data!$H$2*(1-BI90)*(1-BI90/Data!$H$3)*BM90</f>
        <v>3.1890206124253562E-8</v>
      </c>
      <c r="BP90">
        <f t="shared" si="65"/>
        <v>-121.38326149641229</v>
      </c>
      <c r="BQ90">
        <f>Data!$H$2*(1-BJ90)*(1-BJ90/Data!$H$3)*BN90</f>
        <v>-7.20514823258778E-10</v>
      </c>
      <c r="BR90">
        <f t="shared" si="66"/>
        <v>120.20792039196485</v>
      </c>
      <c r="BS90">
        <f t="shared" si="67"/>
        <v>0</v>
      </c>
      <c r="BT90">
        <f t="shared" si="68"/>
        <v>0</v>
      </c>
      <c r="BU90">
        <f t="shared" si="69"/>
        <v>0</v>
      </c>
      <c r="BV90">
        <f t="shared" si="70"/>
        <v>0</v>
      </c>
      <c r="BW90">
        <f t="shared" si="84"/>
        <v>0</v>
      </c>
      <c r="BX90" t="str">
        <f t="shared" si="85"/>
        <v/>
      </c>
      <c r="BY90" s="66" t="str">
        <f t="shared" si="71"/>
        <v/>
      </c>
      <c r="BZ90" t="str">
        <f t="shared" si="72"/>
        <v/>
      </c>
      <c r="CA90" s="67" t="str">
        <f t="shared" si="73"/>
        <v/>
      </c>
    </row>
    <row r="91" spans="1:79" x14ac:dyDescent="0.25">
      <c r="A91">
        <v>7141</v>
      </c>
      <c r="B91">
        <v>56</v>
      </c>
      <c r="C91">
        <v>5477</v>
      </c>
      <c r="D91" s="3">
        <f t="shared" si="98"/>
        <v>-8.3333333333333332E-3</v>
      </c>
      <c r="E91" s="3">
        <f t="shared" si="98"/>
        <v>5.7316666666666665</v>
      </c>
      <c r="F91">
        <f>IF(A91&gt;0,IF(F90=1,1,IF(B91=Data!$H$4,1,0)),"")</f>
        <v>1</v>
      </c>
      <c r="J91" s="3"/>
      <c r="K91" s="3"/>
      <c r="O91" s="3"/>
      <c r="P91" s="3"/>
      <c r="Q91" t="str">
        <f t="shared" si="74"/>
        <v/>
      </c>
      <c r="R91" s="4" t="str">
        <f t="shared" si="75"/>
        <v/>
      </c>
      <c r="S91" t="e">
        <f t="shared" si="86"/>
        <v>#DIV/0!</v>
      </c>
      <c r="T91" t="e">
        <f t="shared" si="99"/>
        <v>#DIV/0!</v>
      </c>
      <c r="U91" s="4">
        <f t="shared" si="76"/>
        <v>0</v>
      </c>
      <c r="V91" t="e">
        <f t="shared" si="87"/>
        <v>#DIV/0!</v>
      </c>
      <c r="W91" t="e">
        <f t="shared" si="88"/>
        <v>#DIV/0!</v>
      </c>
      <c r="X91" t="e">
        <f t="shared" si="89"/>
        <v>#VALUE!</v>
      </c>
      <c r="Y91" t="e">
        <f t="shared" si="90"/>
        <v>#VALUE!</v>
      </c>
      <c r="Z91" t="e">
        <f t="shared" si="91"/>
        <v>#VALUE!</v>
      </c>
      <c r="AA91" t="e">
        <f t="shared" si="77"/>
        <v>#VALUE!</v>
      </c>
      <c r="AB91" t="str">
        <f t="shared" si="92"/>
        <v/>
      </c>
      <c r="AC91" t="str">
        <f t="shared" si="93"/>
        <v/>
      </c>
      <c r="AD91" t="str">
        <f t="shared" si="94"/>
        <v/>
      </c>
      <c r="AE91" t="str">
        <f t="shared" si="95"/>
        <v/>
      </c>
      <c r="AF91" s="72">
        <f>IF(AF90+$AF$1&gt;ROUND(Data!$H$4,0),AF90,AF90+$AF$1)</f>
        <v>70</v>
      </c>
      <c r="AG91">
        <f t="shared" si="100"/>
        <v>5401</v>
      </c>
      <c r="AH91">
        <f t="shared" si="101"/>
        <v>1148</v>
      </c>
      <c r="AI91">
        <f t="shared" si="102"/>
        <v>5401</v>
      </c>
      <c r="AJ91" s="67">
        <f t="shared" si="103"/>
        <v>1151</v>
      </c>
      <c r="AK91" s="4">
        <f t="shared" si="96"/>
        <v>33.900000000000126</v>
      </c>
      <c r="AL91">
        <f t="shared" si="78"/>
        <v>1069.0000000000152</v>
      </c>
      <c r="AM91">
        <f t="shared" si="79"/>
        <v>11205.299999999979</v>
      </c>
      <c r="AN91">
        <f>IF($AK90+$AK$1&lt;=Data!$H$4-0.5,AVERAGE(AM89:AM93),AN90)</f>
        <v>11203.806666666642</v>
      </c>
      <c r="AO91">
        <f t="shared" si="80"/>
        <v>9792.9999999999854</v>
      </c>
      <c r="AP91">
        <f t="shared" si="97"/>
        <v>10729.899999999991</v>
      </c>
      <c r="AQ91">
        <f>IF($AK90+$AK$1&lt;=Data!$H$4-0.5,AVERAGE(AP89:AP93),AQ90)</f>
        <v>10729.85999999999</v>
      </c>
      <c r="AR91">
        <f>IF($AK90+$AK$1&lt;=Data!$H$4-0.5,SLOPE($AN87:$AN95,$AK87:$AK95),AR90)</f>
        <v>-172.46666666668108</v>
      </c>
      <c r="AS91">
        <f>IF($AK90+$AK$1&lt;=Data!$H$4-0.5,SLOPE($AQ87:$AQ95,$AK87:$AK95),AS90)</f>
        <v>-76.366666666669644</v>
      </c>
      <c r="AT91" t="str">
        <f>IF(AND($AK91&gt;=Results!$G$13,$AK91&lt;=Results!$G$14),Curves!AR91,"")</f>
        <v/>
      </c>
      <c r="AU91" t="str">
        <f>IF(AND($AK91&gt;=Results!$G$13,$AK91&lt;=Results!$G$14),Curves!AS91,"")</f>
        <v/>
      </c>
      <c r="AV91" t="str">
        <f t="shared" si="81"/>
        <v/>
      </c>
      <c r="AW91" t="str">
        <f>IF(AND($AK91&lt;=Results!$I$21,$AK91&gt;=Results!$I$20,$AK91&lt;=Results!$F$4),$AN91,"")</f>
        <v/>
      </c>
      <c r="AX91" t="str">
        <f t="shared" si="81"/>
        <v/>
      </c>
      <c r="AY91" t="str">
        <f>IF(AND($AK91&lt;=Results!$I$23,$AK91&gt;=Results!$I$22,$AK91&gt;=Results!$F$4),$AN91,"")</f>
        <v/>
      </c>
      <c r="AZ91" t="str">
        <f t="shared" si="54"/>
        <v/>
      </c>
      <c r="BA91" t="str">
        <f>IF(AND($AK91&lt;=Results!$I$27,$AK91&gt;=Results!$I$26,$AK91&lt;=Results!$F$4),$AQ91,"")</f>
        <v/>
      </c>
      <c r="BB91" t="str">
        <f t="shared" si="55"/>
        <v/>
      </c>
      <c r="BC91" t="str">
        <f>IF(AND($AK91&lt;=Results!$I$29,$AK91&gt;=Results!$I$28,$AK91&gt;=Results!$F$4),$AQ91,"")</f>
        <v/>
      </c>
      <c r="BD91">
        <f t="shared" si="56"/>
        <v>11108.131684513832</v>
      </c>
      <c r="BE91">
        <f t="shared" si="57"/>
        <v>2350.9566154207873</v>
      </c>
      <c r="BF91">
        <f t="shared" si="58"/>
        <v>10713.943969267693</v>
      </c>
      <c r="BG91">
        <f t="shared" si="59"/>
        <v>1352.0695119025404</v>
      </c>
      <c r="BH91">
        <f t="shared" si="60"/>
        <v>0</v>
      </c>
      <c r="BI91">
        <f t="shared" si="61"/>
        <v>1.0109253248219827</v>
      </c>
      <c r="BJ91">
        <f t="shared" si="62"/>
        <v>1.0017000901694184</v>
      </c>
      <c r="BK91">
        <f t="shared" si="63"/>
        <v>-6.8770312775466988E-3</v>
      </c>
      <c r="BL91">
        <f t="shared" si="64"/>
        <v>-3.4741096458734195E-4</v>
      </c>
      <c r="BM91">
        <f t="shared" si="82"/>
        <v>120.00000000000055</v>
      </c>
      <c r="BN91">
        <f t="shared" si="83"/>
        <v>-119.99999999999829</v>
      </c>
      <c r="BO91">
        <f>Data!$H$2*(1-BI91)*(1-BI91/Data!$H$3)*BM91</f>
        <v>2.8647053391799744E-8</v>
      </c>
      <c r="BP91">
        <f t="shared" si="65"/>
        <v>-121.31103897863849</v>
      </c>
      <c r="BQ91">
        <f>Data!$H$2*(1-BJ91)*(1-BJ91/Data!$H$3)*BN91</f>
        <v>-6.936735801967394E-10</v>
      </c>
      <c r="BR91">
        <f t="shared" si="66"/>
        <v>120.20401082032851</v>
      </c>
      <c r="BS91">
        <f t="shared" si="67"/>
        <v>0</v>
      </c>
      <c r="BT91">
        <f t="shared" si="68"/>
        <v>0</v>
      </c>
      <c r="BU91">
        <f t="shared" si="69"/>
        <v>0</v>
      </c>
      <c r="BV91">
        <f t="shared" si="70"/>
        <v>0</v>
      </c>
      <c r="BW91">
        <f t="shared" si="84"/>
        <v>0</v>
      </c>
      <c r="BX91" t="str">
        <f t="shared" si="85"/>
        <v/>
      </c>
      <c r="BY91" s="66" t="str">
        <f t="shared" si="71"/>
        <v/>
      </c>
      <c r="BZ91" t="str">
        <f t="shared" si="72"/>
        <v/>
      </c>
      <c r="CA91" s="67" t="str">
        <f t="shared" si="73"/>
        <v/>
      </c>
    </row>
    <row r="92" spans="1:79" x14ac:dyDescent="0.25">
      <c r="A92">
        <v>7261</v>
      </c>
      <c r="B92">
        <v>55</v>
      </c>
      <c r="C92">
        <v>6168</v>
      </c>
      <c r="D92" s="3">
        <f t="shared" si="98"/>
        <v>-8.3333333333333332E-3</v>
      </c>
      <c r="E92" s="3">
        <f t="shared" si="98"/>
        <v>5.4466666666666663</v>
      </c>
      <c r="F92">
        <f>IF(A92&gt;0,IF(F91=1,1,IF(B92=Data!$H$4,1,0)),"")</f>
        <v>1</v>
      </c>
      <c r="J92" s="3"/>
      <c r="K92" s="3"/>
      <c r="O92" s="3"/>
      <c r="P92" s="3"/>
      <c r="Q92" t="str">
        <f t="shared" si="74"/>
        <v/>
      </c>
      <c r="R92" s="4" t="str">
        <f t="shared" si="75"/>
        <v/>
      </c>
      <c r="S92" t="e">
        <f t="shared" si="86"/>
        <v>#DIV/0!</v>
      </c>
      <c r="T92" t="e">
        <f t="shared" si="99"/>
        <v>#DIV/0!</v>
      </c>
      <c r="U92" s="4">
        <f t="shared" si="76"/>
        <v>0</v>
      </c>
      <c r="V92" t="e">
        <f t="shared" si="87"/>
        <v>#DIV/0!</v>
      </c>
      <c r="W92" t="e">
        <f t="shared" si="88"/>
        <v>#DIV/0!</v>
      </c>
      <c r="X92" t="e">
        <f t="shared" si="89"/>
        <v>#VALUE!</v>
      </c>
      <c r="Y92" t="e">
        <f t="shared" si="90"/>
        <v>#VALUE!</v>
      </c>
      <c r="Z92" t="e">
        <f t="shared" si="91"/>
        <v>#VALUE!</v>
      </c>
      <c r="AA92" t="e">
        <f t="shared" si="77"/>
        <v>#VALUE!</v>
      </c>
      <c r="AB92" t="str">
        <f t="shared" si="92"/>
        <v/>
      </c>
      <c r="AC92" t="str">
        <f t="shared" si="93"/>
        <v/>
      </c>
      <c r="AD92" t="str">
        <f t="shared" si="94"/>
        <v/>
      </c>
      <c r="AE92" t="str">
        <f t="shared" si="95"/>
        <v/>
      </c>
      <c r="AF92" s="72">
        <f>IF(AF91+$AF$1&gt;ROUND(Data!$H$4,0),AF91,AF91+$AF$1)</f>
        <v>70</v>
      </c>
      <c r="AG92">
        <f>IF(MATCH(AF92,$AA$3:$AA$1010,0)&lt;898,AVERAGE(AG91,AG93),VLOOKUP(AF92,$R$2:$T$301,2,FALSE))</f>
        <v>5401</v>
      </c>
      <c r="AH92">
        <f>IF(MATCH(AF92,$AA$3:$AA$1010,0)&lt;898,AVERAGE(AH91,AH93),VLOOKUP(AF92,$R$2:$T$301,3,FALSE))</f>
        <v>1148</v>
      </c>
      <c r="AI92">
        <f>IF(MATCH(AF92,$AE$3:$AE$1010,0)&lt;898,AVERAGE(AI91,AI93),VLOOKUP(AF92,$U$2:$W$301,2,FALSE))</f>
        <v>5401</v>
      </c>
      <c r="AJ92" s="67">
        <f>IF(MATCH(AF92,$AE$3:$AE$1010,0)&lt;898,AVERAGE(AJ91,AJ93),VLOOKUP(AF92,$U$2:$W$301,3,FALSE))</f>
        <v>1151</v>
      </c>
      <c r="AK92" s="4">
        <f t="shared" si="96"/>
        <v>34.000000000000128</v>
      </c>
      <c r="AL92">
        <f t="shared" si="78"/>
        <v>1081.0000000000155</v>
      </c>
      <c r="AM92">
        <f t="shared" si="79"/>
        <v>11190.666666666635</v>
      </c>
      <c r="AN92">
        <f>IF($AK91+$AK$1&lt;=Data!$H$4-0.5,AVERAGE(AM90:AM94),AN91)</f>
        <v>11186.186666666641</v>
      </c>
      <c r="AO92">
        <f t="shared" si="80"/>
        <v>9780.9999999999854</v>
      </c>
      <c r="AP92">
        <f t="shared" si="97"/>
        <v>10722.333333333325</v>
      </c>
      <c r="AQ92">
        <f>IF($AK91+$AK$1&lt;=Data!$H$4-0.5,AVERAGE(AP90:AP94),AQ91)</f>
        <v>10722.213333333322</v>
      </c>
      <c r="AR92">
        <f>IF($AK91+$AK$1&lt;=Data!$H$4-0.5,SLOPE($AN88:$AN96,$AK88:$AK96),AR91)</f>
        <v>-183.66666666668101</v>
      </c>
      <c r="AS92">
        <f>IF($AK91+$AK$1&lt;=Data!$H$4-0.5,SLOPE($AQ88:$AQ96,$AK88:$AK96),AS91)</f>
        <v>-76.66666666666859</v>
      </c>
      <c r="AT92" t="str">
        <f>IF(AND($AK92&gt;=Results!$G$13,$AK92&lt;=Results!$G$14),Curves!AR92,"")</f>
        <v/>
      </c>
      <c r="AU92" t="str">
        <f>IF(AND($AK92&gt;=Results!$G$13,$AK92&lt;=Results!$G$14),Curves!AS92,"")</f>
        <v/>
      </c>
      <c r="AV92" t="str">
        <f t="shared" si="81"/>
        <v/>
      </c>
      <c r="AW92" t="str">
        <f>IF(AND($AK92&lt;=Results!$I$21,$AK92&gt;=Results!$I$20,$AK92&lt;=Results!$F$4),$AN92,"")</f>
        <v/>
      </c>
      <c r="AX92" t="str">
        <f t="shared" si="81"/>
        <v/>
      </c>
      <c r="AY92" t="str">
        <f>IF(AND($AK92&lt;=Results!$I$23,$AK92&gt;=Results!$I$22,$AK92&gt;=Results!$F$4),$AN92,"")</f>
        <v/>
      </c>
      <c r="AZ92" t="str">
        <f t="shared" si="54"/>
        <v/>
      </c>
      <c r="BA92" t="str">
        <f>IF(AND($AK92&lt;=Results!$I$27,$AK92&gt;=Results!$I$26,$AK92&lt;=Results!$F$4),$AQ92,"")</f>
        <v/>
      </c>
      <c r="BB92" t="str">
        <f t="shared" si="55"/>
        <v/>
      </c>
      <c r="BC92" t="str">
        <f>IF(AND($AK92&lt;=Results!$I$29,$AK92&gt;=Results!$I$28,$AK92&gt;=Results!$F$4),$AQ92,"")</f>
        <v/>
      </c>
      <c r="BD92">
        <f t="shared" si="56"/>
        <v>11097.361489715913</v>
      </c>
      <c r="BE92">
        <f t="shared" si="57"/>
        <v>2347.6408261714664</v>
      </c>
      <c r="BF92">
        <f t="shared" si="58"/>
        <v>10706.653987034801</v>
      </c>
      <c r="BG92">
        <f t="shared" si="59"/>
        <v>1351.5187109430153</v>
      </c>
      <c r="BH92">
        <f t="shared" si="60"/>
        <v>0</v>
      </c>
      <c r="BI92">
        <f t="shared" si="61"/>
        <v>1.010151772881255</v>
      </c>
      <c r="BJ92">
        <f t="shared" si="62"/>
        <v>1.0016631877401372</v>
      </c>
      <c r="BK92">
        <f t="shared" si="63"/>
        <v>-8.596203598698492E-3</v>
      </c>
      <c r="BL92">
        <f t="shared" si="64"/>
        <v>-3.9068436364474992E-4</v>
      </c>
      <c r="BM92">
        <f t="shared" si="82"/>
        <v>119.99999999999942</v>
      </c>
      <c r="BN92">
        <f t="shared" si="83"/>
        <v>-120.00000000000739</v>
      </c>
      <c r="BO92">
        <f>Data!$H$2*(1-BI92)*(1-BI92/Data!$H$3)*BM92</f>
        <v>2.4734038231820229E-8</v>
      </c>
      <c r="BP92">
        <f t="shared" si="65"/>
        <v>-121.21821274575001</v>
      </c>
      <c r="BQ92">
        <f>Data!$H$2*(1-BJ92)*(1-BJ92/Data!$H$3)*BN92</f>
        <v>-6.6388643014627302E-10</v>
      </c>
      <c r="BR92">
        <f t="shared" si="66"/>
        <v>120.19958252882387</v>
      </c>
      <c r="BS92">
        <f t="shared" si="67"/>
        <v>0</v>
      </c>
      <c r="BT92">
        <f t="shared" si="68"/>
        <v>0</v>
      </c>
      <c r="BU92">
        <f t="shared" si="69"/>
        <v>0</v>
      </c>
      <c r="BV92">
        <f t="shared" si="70"/>
        <v>0</v>
      </c>
      <c r="BW92">
        <f t="shared" si="84"/>
        <v>0</v>
      </c>
      <c r="BX92" t="str">
        <f t="shared" si="85"/>
        <v/>
      </c>
      <c r="BY92" s="66" t="str">
        <f t="shared" si="71"/>
        <v/>
      </c>
      <c r="BZ92" t="str">
        <f t="shared" si="72"/>
        <v/>
      </c>
      <c r="CA92" s="67" t="str">
        <f t="shared" si="73"/>
        <v/>
      </c>
    </row>
    <row r="93" spans="1:79" x14ac:dyDescent="0.25">
      <c r="A93">
        <v>7381</v>
      </c>
      <c r="B93">
        <v>54</v>
      </c>
      <c r="C93">
        <v>6803</v>
      </c>
      <c r="D93" s="3">
        <f t="shared" si="98"/>
        <v>-8.3333333333333332E-3</v>
      </c>
      <c r="E93" s="3">
        <f t="shared" si="98"/>
        <v>4.9741666666666671</v>
      </c>
      <c r="F93">
        <f>IF(A93&gt;0,IF(F92=1,1,IF(B93=Data!$H$4,1,0)),"")</f>
        <v>1</v>
      </c>
      <c r="J93" s="3"/>
      <c r="K93" s="3"/>
      <c r="O93" s="3"/>
      <c r="P93" s="3"/>
      <c r="Q93" t="str">
        <f t="shared" si="74"/>
        <v/>
      </c>
      <c r="R93" s="4" t="str">
        <f t="shared" si="75"/>
        <v/>
      </c>
      <c r="S93" t="e">
        <f t="shared" si="86"/>
        <v>#DIV/0!</v>
      </c>
      <c r="T93" t="e">
        <f t="shared" si="99"/>
        <v>#DIV/0!</v>
      </c>
      <c r="U93" s="4">
        <f t="shared" si="76"/>
        <v>0</v>
      </c>
      <c r="V93" t="e">
        <f t="shared" si="87"/>
        <v>#DIV/0!</v>
      </c>
      <c r="W93" t="e">
        <f t="shared" si="88"/>
        <v>#DIV/0!</v>
      </c>
      <c r="X93" t="e">
        <f t="shared" si="89"/>
        <v>#VALUE!</v>
      </c>
      <c r="Y93" t="e">
        <f t="shared" si="90"/>
        <v>#VALUE!</v>
      </c>
      <c r="Z93" t="e">
        <f t="shared" si="91"/>
        <v>#VALUE!</v>
      </c>
      <c r="AA93" t="e">
        <f t="shared" si="77"/>
        <v>#VALUE!</v>
      </c>
      <c r="AB93" t="str">
        <f t="shared" si="92"/>
        <v/>
      </c>
      <c r="AC93" t="str">
        <f t="shared" si="93"/>
        <v/>
      </c>
      <c r="AD93" t="str">
        <f t="shared" si="94"/>
        <v/>
      </c>
      <c r="AE93" t="str">
        <f t="shared" si="95"/>
        <v/>
      </c>
      <c r="AF93" s="72">
        <f>IF(AF92+$AF$1&gt;ROUND(Data!$H$4,0),AF92,AF92+$AF$1)</f>
        <v>70</v>
      </c>
      <c r="AG93">
        <f t="shared" si="100"/>
        <v>5401</v>
      </c>
      <c r="AH93">
        <f t="shared" si="101"/>
        <v>1148</v>
      </c>
      <c r="AI93">
        <f t="shared" si="102"/>
        <v>5401</v>
      </c>
      <c r="AJ93" s="67">
        <f t="shared" si="103"/>
        <v>1151</v>
      </c>
      <c r="AK93" s="4">
        <f t="shared" si="96"/>
        <v>34.100000000000129</v>
      </c>
      <c r="AL93">
        <f t="shared" si="78"/>
        <v>1093.0000000000155</v>
      </c>
      <c r="AM93">
        <f t="shared" si="79"/>
        <v>11168.566666666635</v>
      </c>
      <c r="AN93">
        <f>IF($AK92+$AK$1&lt;=Data!$H$4-0.5,AVERAGE(AM91:AM95),AN92)</f>
        <v>11167.073333333305</v>
      </c>
      <c r="AO93">
        <f t="shared" si="80"/>
        <v>9768.9999999999836</v>
      </c>
      <c r="AP93">
        <f t="shared" si="97"/>
        <v>10714.566666666657</v>
      </c>
      <c r="AQ93">
        <f>IF($AK92+$AK$1&lt;=Data!$H$4-0.5,AVERAGE(AP91:AP95),AQ92)</f>
        <v>10714.526666666658</v>
      </c>
      <c r="AR93">
        <f>IF($AK92+$AK$1&lt;=Data!$H$4-0.5,SLOPE($AN89:$AN97,$AK89:$AK97),AR92)</f>
        <v>-194.86666666667796</v>
      </c>
      <c r="AS93">
        <f>IF($AK92+$AK$1&lt;=Data!$H$4-0.5,SLOPE($AQ89:$AQ97,$AK89:$AK97),AS92)</f>
        <v>-76.966666666667876</v>
      </c>
      <c r="AT93" t="str">
        <f>IF(AND($AK93&gt;=Results!$G$13,$AK93&lt;=Results!$G$14),Curves!AR93,"")</f>
        <v/>
      </c>
      <c r="AU93" t="str">
        <f>IF(AND($AK93&gt;=Results!$G$13,$AK93&lt;=Results!$G$14),Curves!AS93,"")</f>
        <v/>
      </c>
      <c r="AV93" t="str">
        <f t="shared" si="81"/>
        <v/>
      </c>
      <c r="AW93" t="str">
        <f>IF(AND($AK93&lt;=Results!$I$21,$AK93&gt;=Results!$I$20,$AK93&lt;=Results!$F$4),$AN93,"")</f>
        <v/>
      </c>
      <c r="AX93" t="str">
        <f t="shared" si="81"/>
        <v/>
      </c>
      <c r="AY93" t="str">
        <f>IF(AND($AK93&lt;=Results!$I$23,$AK93&gt;=Results!$I$22,$AK93&gt;=Results!$F$4),$AN93,"")</f>
        <v/>
      </c>
      <c r="AZ93" t="str">
        <f t="shared" si="54"/>
        <v/>
      </c>
      <c r="BA93" t="str">
        <f>IF(AND($AK93&lt;=Results!$I$27,$AK93&gt;=Results!$I$26,$AK93&lt;=Results!$F$4),$AQ93,"")</f>
        <v/>
      </c>
      <c r="BB93" t="str">
        <f t="shared" si="55"/>
        <v/>
      </c>
      <c r="BC93" t="str">
        <f>IF(AND($AK93&lt;=Results!$I$29,$AK93&gt;=Results!$I$28,$AK93&gt;=Results!$F$4),$AQ93,"")</f>
        <v/>
      </c>
      <c r="BD93">
        <f t="shared" si="56"/>
        <v>11086.591294917993</v>
      </c>
      <c r="BE93">
        <f t="shared" si="57"/>
        <v>2344.325036922146</v>
      </c>
      <c r="BF93">
        <f t="shared" si="58"/>
        <v>10699.364004801908</v>
      </c>
      <c r="BG93">
        <f t="shared" si="59"/>
        <v>1350.9679099834902</v>
      </c>
      <c r="BH93">
        <f t="shared" si="60"/>
        <v>0</v>
      </c>
      <c r="BI93">
        <f t="shared" si="61"/>
        <v>1.009206084102243</v>
      </c>
      <c r="BJ93">
        <f t="shared" si="62"/>
        <v>1.0016219532966895</v>
      </c>
      <c r="BK93">
        <f t="shared" si="63"/>
        <v>-1.03197755398264E-2</v>
      </c>
      <c r="BL93">
        <f t="shared" si="64"/>
        <v>-4.3405138280271858E-4</v>
      </c>
      <c r="BM93">
        <f t="shared" si="82"/>
        <v>119.99999999999942</v>
      </c>
      <c r="BN93">
        <f t="shared" si="83"/>
        <v>-120.00000000000739</v>
      </c>
      <c r="BO93">
        <f>Data!$H$2*(1-BI93)*(1-BI93/Data!$H$3)*BM93</f>
        <v>2.0340476279416994E-8</v>
      </c>
      <c r="BP93">
        <f t="shared" si="65"/>
        <v>-121.10473009226857</v>
      </c>
      <c r="BQ93">
        <f>Data!$H$2*(1-BJ93)*(1-BJ93/Data!$H$3)*BN93</f>
        <v>-6.3137579919407271E-10</v>
      </c>
      <c r="BR93">
        <f t="shared" si="66"/>
        <v>120.19463439561014</v>
      </c>
      <c r="BS93">
        <f t="shared" si="67"/>
        <v>0</v>
      </c>
      <c r="BT93">
        <f t="shared" si="68"/>
        <v>0</v>
      </c>
      <c r="BU93">
        <f t="shared" si="69"/>
        <v>0</v>
      </c>
      <c r="BV93">
        <f t="shared" si="70"/>
        <v>0</v>
      </c>
      <c r="BW93">
        <f t="shared" si="84"/>
        <v>0</v>
      </c>
      <c r="BX93" t="str">
        <f t="shared" si="85"/>
        <v/>
      </c>
      <c r="BY93" s="66" t="str">
        <f t="shared" si="71"/>
        <v/>
      </c>
      <c r="BZ93" t="str">
        <f t="shared" si="72"/>
        <v/>
      </c>
      <c r="CA93" s="67" t="str">
        <f t="shared" si="73"/>
        <v/>
      </c>
    </row>
    <row r="94" spans="1:79" x14ac:dyDescent="0.25">
      <c r="A94">
        <v>7501</v>
      </c>
      <c r="B94">
        <v>53</v>
      </c>
      <c r="C94">
        <v>7375</v>
      </c>
      <c r="D94" s="3">
        <f t="shared" si="98"/>
        <v>-8.3333333333333332E-3</v>
      </c>
      <c r="E94" s="3">
        <f t="shared" si="98"/>
        <v>4.3858333333333333</v>
      </c>
      <c r="F94">
        <f>IF(A94&gt;0,IF(F93=1,1,IF(B94=Data!$H$4,1,0)),"")</f>
        <v>1</v>
      </c>
      <c r="J94" s="3"/>
      <c r="K94" s="3"/>
      <c r="O94" s="3"/>
      <c r="P94" s="3"/>
      <c r="Q94" t="str">
        <f t="shared" si="74"/>
        <v/>
      </c>
      <c r="R94" s="4" t="str">
        <f t="shared" si="75"/>
        <v/>
      </c>
      <c r="S94" t="e">
        <f t="shared" si="86"/>
        <v>#DIV/0!</v>
      </c>
      <c r="T94" t="e">
        <f t="shared" si="99"/>
        <v>#DIV/0!</v>
      </c>
      <c r="U94" s="4">
        <f t="shared" si="76"/>
        <v>0</v>
      </c>
      <c r="V94" t="e">
        <f t="shared" si="87"/>
        <v>#DIV/0!</v>
      </c>
      <c r="W94" t="e">
        <f t="shared" si="88"/>
        <v>#DIV/0!</v>
      </c>
      <c r="X94" t="e">
        <f t="shared" si="89"/>
        <v>#VALUE!</v>
      </c>
      <c r="Y94" t="e">
        <f t="shared" si="90"/>
        <v>#VALUE!</v>
      </c>
      <c r="Z94" t="e">
        <f t="shared" si="91"/>
        <v>#VALUE!</v>
      </c>
      <c r="AA94" t="e">
        <f t="shared" si="77"/>
        <v>#VALUE!</v>
      </c>
      <c r="AB94" t="str">
        <f t="shared" si="92"/>
        <v/>
      </c>
      <c r="AC94" t="str">
        <f t="shared" si="93"/>
        <v/>
      </c>
      <c r="AD94" t="str">
        <f t="shared" si="94"/>
        <v/>
      </c>
      <c r="AE94" t="str">
        <f t="shared" si="95"/>
        <v/>
      </c>
      <c r="AF94" s="72">
        <f>IF(AF93+$AF$1&gt;ROUND(Data!$H$4,0),AF93,AF93+$AF$1)</f>
        <v>70</v>
      </c>
      <c r="AG94">
        <f>IF(MATCH(AF94,$AA$3:$AA$1010,0)&lt;898,AVERAGE(AG93,AG95),VLOOKUP(AF94,$R$2:$T$301,2,FALSE))</f>
        <v>5401</v>
      </c>
      <c r="AH94">
        <f>IF(MATCH(AF94,$AA$3:$AA$1010,0)&lt;898,AVERAGE(AH93,AH95),VLOOKUP(AF94,$R$2:$T$301,3,FALSE))</f>
        <v>1148</v>
      </c>
      <c r="AI94">
        <f>IF(MATCH(AF94,$AE$3:$AE$1010,0)&lt;898,AVERAGE(AI93,AI95),VLOOKUP(AF94,$U$2:$W$301,2,FALSE))</f>
        <v>5401</v>
      </c>
      <c r="AJ94" s="67">
        <f>IF(MATCH(AF94,$AE$3:$AE$1010,0)&lt;898,AVERAGE(AJ93,AJ95),VLOOKUP(AF94,$U$2:$W$301,3,FALSE))</f>
        <v>1151</v>
      </c>
      <c r="AK94" s="4">
        <f t="shared" si="96"/>
        <v>34.200000000000131</v>
      </c>
      <c r="AL94">
        <f t="shared" si="78"/>
        <v>1105.0000000000157</v>
      </c>
      <c r="AM94">
        <f t="shared" si="79"/>
        <v>11146.466666666636</v>
      </c>
      <c r="AN94">
        <f>IF($AK93+$AK$1&lt;=Data!$H$4-0.5,AVERAGE(AM92:AM96),AN93)</f>
        <v>11146.466666666636</v>
      </c>
      <c r="AO94">
        <f t="shared" si="80"/>
        <v>9756.9999999999836</v>
      </c>
      <c r="AP94">
        <f t="shared" si="97"/>
        <v>10706.79999999999</v>
      </c>
      <c r="AQ94">
        <f>IF($AK93+$AK$1&lt;=Data!$H$4-0.5,AVERAGE(AP92:AP96),AQ93)</f>
        <v>10706.79999999999</v>
      </c>
      <c r="AR94">
        <f>IF($AK93+$AK$1&lt;=Data!$H$4-0.5,SLOPE($AN90:$AN98,$AK90:$AK98),AR93)</f>
        <v>-204.82222222223007</v>
      </c>
      <c r="AS94">
        <f>IF($AK93+$AK$1&lt;=Data!$H$4-0.5,SLOPE($AQ90:$AQ98,$AK90:$AK98),AS93)</f>
        <v>-77.233333333333988</v>
      </c>
      <c r="AT94" t="str">
        <f>IF(AND($AK94&gt;=Results!$G$13,$AK94&lt;=Results!$G$14),Curves!AR94,"")</f>
        <v/>
      </c>
      <c r="AU94" t="str">
        <f>IF(AND($AK94&gt;=Results!$G$13,$AK94&lt;=Results!$G$14),Curves!AS94,"")</f>
        <v/>
      </c>
      <c r="AV94" t="str">
        <f t="shared" si="81"/>
        <v/>
      </c>
      <c r="AW94" t="str">
        <f>IF(AND($AK94&lt;=Results!$I$21,$AK94&gt;=Results!$I$20,$AK94&lt;=Results!$F$4),$AN94,"")</f>
        <v/>
      </c>
      <c r="AX94" t="str">
        <f t="shared" si="81"/>
        <v/>
      </c>
      <c r="AY94" t="str">
        <f>IF(AND($AK94&lt;=Results!$I$23,$AK94&gt;=Results!$I$22,$AK94&gt;=Results!$F$4),$AN94,"")</f>
        <v/>
      </c>
      <c r="AZ94" t="str">
        <f t="shared" si="54"/>
        <v/>
      </c>
      <c r="BA94" t="str">
        <f>IF(AND($AK94&lt;=Results!$I$27,$AK94&gt;=Results!$I$26,$AK94&lt;=Results!$F$4),$AQ94,"")</f>
        <v/>
      </c>
      <c r="BB94" t="str">
        <f t="shared" si="55"/>
        <v/>
      </c>
      <c r="BC94" t="str">
        <f>IF(AND($AK94&lt;=Results!$I$29,$AK94&gt;=Results!$I$28,$AK94&gt;=Results!$F$4),$AQ94,"")</f>
        <v/>
      </c>
      <c r="BD94">
        <f t="shared" si="56"/>
        <v>11075.821100120073</v>
      </c>
      <c r="BE94">
        <f t="shared" si="57"/>
        <v>2341.009247672825</v>
      </c>
      <c r="BF94">
        <f t="shared" si="58"/>
        <v>10692.074022569013</v>
      </c>
      <c r="BG94">
        <f t="shared" si="59"/>
        <v>1350.4171090239654</v>
      </c>
      <c r="BH94">
        <f t="shared" si="60"/>
        <v>0</v>
      </c>
      <c r="BI94">
        <f t="shared" si="61"/>
        <v>1.0080878177732897</v>
      </c>
      <c r="BJ94">
        <f t="shared" si="62"/>
        <v>1.0015763774635766</v>
      </c>
      <c r="BK94">
        <f t="shared" si="63"/>
        <v>-1.2047762126138168E-2</v>
      </c>
      <c r="BL94">
        <f t="shared" si="64"/>
        <v>-4.7751229231506747E-4</v>
      </c>
      <c r="BM94">
        <f t="shared" si="82"/>
        <v>120.00000000000055</v>
      </c>
      <c r="BN94">
        <f t="shared" si="83"/>
        <v>-119.99999999999829</v>
      </c>
      <c r="BO94">
        <f>Data!$H$2*(1-BI94)*(1-BI94/Data!$H$3)*BM94</f>
        <v>1.5699071120145883E-8</v>
      </c>
      <c r="BP94">
        <f t="shared" si="65"/>
        <v>-120.97053813279533</v>
      </c>
      <c r="BQ94">
        <f>Data!$H$2*(1-BJ94)*(1-BJ94/Data!$H$3)*BN94</f>
        <v>-5.9639181784134789E-10</v>
      </c>
      <c r="BR94">
        <f t="shared" si="66"/>
        <v>120.18916529562749</v>
      </c>
      <c r="BS94">
        <f t="shared" si="67"/>
        <v>0</v>
      </c>
      <c r="BT94">
        <f t="shared" si="68"/>
        <v>0</v>
      </c>
      <c r="BU94">
        <f t="shared" si="69"/>
        <v>0</v>
      </c>
      <c r="BV94">
        <f t="shared" si="70"/>
        <v>0</v>
      </c>
      <c r="BW94">
        <f t="shared" si="84"/>
        <v>0</v>
      </c>
      <c r="BX94" t="str">
        <f t="shared" si="85"/>
        <v/>
      </c>
      <c r="BY94" s="66" t="str">
        <f t="shared" si="71"/>
        <v/>
      </c>
      <c r="BZ94" t="str">
        <f t="shared" si="72"/>
        <v/>
      </c>
      <c r="CA94" s="67" t="str">
        <f t="shared" si="73"/>
        <v/>
      </c>
    </row>
    <row r="95" spans="1:79" x14ac:dyDescent="0.25">
      <c r="A95">
        <v>7621</v>
      </c>
      <c r="B95">
        <v>52</v>
      </c>
      <c r="C95">
        <v>7858</v>
      </c>
      <c r="D95" s="3">
        <f t="shared" si="98"/>
        <v>-8.3333333333333332E-3</v>
      </c>
      <c r="E95" s="3">
        <f t="shared" si="98"/>
        <v>3.7841666666666667</v>
      </c>
      <c r="F95">
        <f>IF(A95&gt;0,IF(F94=1,1,IF(B95=Data!$H$4,1,0)),"")</f>
        <v>1</v>
      </c>
      <c r="J95" s="3"/>
      <c r="K95" s="3"/>
      <c r="O95" s="3"/>
      <c r="P95" s="3"/>
      <c r="Q95" t="str">
        <f t="shared" si="74"/>
        <v/>
      </c>
      <c r="R95" s="4" t="str">
        <f t="shared" si="75"/>
        <v/>
      </c>
      <c r="S95" t="e">
        <f t="shared" si="86"/>
        <v>#DIV/0!</v>
      </c>
      <c r="T95" t="e">
        <f t="shared" si="99"/>
        <v>#DIV/0!</v>
      </c>
      <c r="U95" s="4">
        <f t="shared" si="76"/>
        <v>0</v>
      </c>
      <c r="V95" t="e">
        <f t="shared" si="87"/>
        <v>#DIV/0!</v>
      </c>
      <c r="W95" t="e">
        <f t="shared" si="88"/>
        <v>#DIV/0!</v>
      </c>
      <c r="X95" t="e">
        <f t="shared" si="89"/>
        <v>#VALUE!</v>
      </c>
      <c r="Y95" t="e">
        <f t="shared" si="90"/>
        <v>#VALUE!</v>
      </c>
      <c r="Z95" t="e">
        <f t="shared" si="91"/>
        <v>#VALUE!</v>
      </c>
      <c r="AA95" t="e">
        <f t="shared" si="77"/>
        <v>#VALUE!</v>
      </c>
      <c r="AB95" t="str">
        <f t="shared" si="92"/>
        <v/>
      </c>
      <c r="AC95" t="str">
        <f t="shared" si="93"/>
        <v/>
      </c>
      <c r="AD95" t="str">
        <f t="shared" si="94"/>
        <v/>
      </c>
      <c r="AE95" t="str">
        <f t="shared" si="95"/>
        <v/>
      </c>
      <c r="AF95" s="72">
        <f>IF(AF94+$AF$1&gt;ROUND(Data!$H$4,0),AF94,AF94+$AF$1)</f>
        <v>70</v>
      </c>
      <c r="AG95">
        <f t="shared" si="100"/>
        <v>5401</v>
      </c>
      <c r="AH95">
        <f t="shared" si="101"/>
        <v>1148</v>
      </c>
      <c r="AI95">
        <f t="shared" si="102"/>
        <v>5401</v>
      </c>
      <c r="AJ95" s="67">
        <f t="shared" si="103"/>
        <v>1151</v>
      </c>
      <c r="AK95" s="4">
        <f t="shared" si="96"/>
        <v>34.300000000000132</v>
      </c>
      <c r="AL95">
        <f t="shared" si="78"/>
        <v>1117.0000000000159</v>
      </c>
      <c r="AM95">
        <f t="shared" si="79"/>
        <v>11124.366666666636</v>
      </c>
      <c r="AN95">
        <f>IF($AK94+$AK$1&lt;=Data!$H$4-0.5,AVERAGE(AM93:AM97),AN94)</f>
        <v>11124.366666666636</v>
      </c>
      <c r="AO95">
        <f t="shared" si="80"/>
        <v>9744.9999999999836</v>
      </c>
      <c r="AP95">
        <f t="shared" si="97"/>
        <v>10699.033333333324</v>
      </c>
      <c r="AQ95">
        <f>IF($AK94+$AK$1&lt;=Data!$H$4-0.5,AVERAGE(AP93:AP97),AQ94)</f>
        <v>10699.033333333322</v>
      </c>
      <c r="AR95">
        <f>IF($AK94+$AK$1&lt;=Data!$H$4-0.5,SLOPE($AN91:$AN99,$AK91:$AK99),AR94)</f>
        <v>-212.28888888889441</v>
      </c>
      <c r="AS95">
        <f>IF($AK94+$AK$1&lt;=Data!$H$4-0.5,SLOPE($AQ91:$AQ99,$AK91:$AK99),AS94)</f>
        <v>-77.433333333332001</v>
      </c>
      <c r="AT95" t="str">
        <f>IF(AND($AK95&gt;=Results!$G$13,$AK95&lt;=Results!$G$14),Curves!AR95,"")</f>
        <v/>
      </c>
      <c r="AU95" t="str">
        <f>IF(AND($AK95&gt;=Results!$G$13,$AK95&lt;=Results!$G$14),Curves!AS95,"")</f>
        <v/>
      </c>
      <c r="AV95" t="str">
        <f t="shared" si="81"/>
        <v/>
      </c>
      <c r="AW95" t="str">
        <f>IF(AND($AK95&lt;=Results!$I$21,$AK95&gt;=Results!$I$20,$AK95&lt;=Results!$F$4),$AN95,"")</f>
        <v/>
      </c>
      <c r="AX95" t="str">
        <f t="shared" si="81"/>
        <v/>
      </c>
      <c r="AY95" t="str">
        <f>IF(AND($AK95&lt;=Results!$I$23,$AK95&gt;=Results!$I$22,$AK95&gt;=Results!$F$4),$AN95,"")</f>
        <v/>
      </c>
      <c r="AZ95" t="str">
        <f t="shared" si="54"/>
        <v/>
      </c>
      <c r="BA95" t="str">
        <f>IF(AND($AK95&lt;=Results!$I$27,$AK95&gt;=Results!$I$26,$AK95&lt;=Results!$F$4),$AQ95,"")</f>
        <v/>
      </c>
      <c r="BB95" t="str">
        <f t="shared" si="55"/>
        <v/>
      </c>
      <c r="BC95" t="str">
        <f>IF(AND($AK95&lt;=Results!$I$29,$AK95&gt;=Results!$I$28,$AK95&gt;=Results!$F$4),$AQ95,"")</f>
        <v/>
      </c>
      <c r="BD95">
        <f t="shared" si="56"/>
        <v>11065.050905322154</v>
      </c>
      <c r="BE95">
        <f t="shared" si="57"/>
        <v>2337.6934584235041</v>
      </c>
      <c r="BF95">
        <f t="shared" si="58"/>
        <v>10684.784040336121</v>
      </c>
      <c r="BG95">
        <f t="shared" si="59"/>
        <v>1349.8663080644403</v>
      </c>
      <c r="BH95">
        <f t="shared" si="60"/>
        <v>0</v>
      </c>
      <c r="BI95">
        <f t="shared" si="61"/>
        <v>1.0067965316770153</v>
      </c>
      <c r="BJ95">
        <f t="shared" si="62"/>
        <v>1.0015264508382264</v>
      </c>
      <c r="BK95">
        <f t="shared" si="63"/>
        <v>-1.2923899812825417E-2</v>
      </c>
      <c r="BL95">
        <f t="shared" si="64"/>
        <v>-4.9962695047422296E-4</v>
      </c>
      <c r="BM95">
        <f t="shared" si="82"/>
        <v>119.99999999999942</v>
      </c>
      <c r="BN95">
        <f t="shared" si="83"/>
        <v>-119.99999999999829</v>
      </c>
      <c r="BO95">
        <f>Data!$H$2*(1-BI95)*(1-BI95/Data!$H$3)*BM95</f>
        <v>1.1086282280801411E-8</v>
      </c>
      <c r="BP95">
        <f t="shared" si="65"/>
        <v>-120.81558380124125</v>
      </c>
      <c r="BQ95">
        <f>Data!$H$2*(1-BJ95)*(1-BJ95/Data!$H$3)*BN95</f>
        <v>-5.5921251876532419E-10</v>
      </c>
      <c r="BR95">
        <f t="shared" si="66"/>
        <v>120.18317410058546</v>
      </c>
      <c r="BS95">
        <f t="shared" si="67"/>
        <v>0</v>
      </c>
      <c r="BT95">
        <f t="shared" si="68"/>
        <v>0</v>
      </c>
      <c r="BU95">
        <f t="shared" si="69"/>
        <v>0</v>
      </c>
      <c r="BV95">
        <f t="shared" si="70"/>
        <v>0</v>
      </c>
      <c r="BW95">
        <f t="shared" si="84"/>
        <v>0</v>
      </c>
      <c r="BX95" t="str">
        <f t="shared" si="85"/>
        <v/>
      </c>
      <c r="BY95" s="66" t="str">
        <f t="shared" si="71"/>
        <v/>
      </c>
      <c r="BZ95" t="str">
        <f t="shared" si="72"/>
        <v/>
      </c>
      <c r="CA95" s="67" t="str">
        <f t="shared" si="73"/>
        <v/>
      </c>
    </row>
    <row r="96" spans="1:79" x14ac:dyDescent="0.25">
      <c r="A96">
        <v>7741</v>
      </c>
      <c r="B96">
        <v>51</v>
      </c>
      <c r="C96">
        <v>8272</v>
      </c>
      <c r="D96" s="3">
        <f t="shared" si="98"/>
        <v>-8.3333333333333332E-3</v>
      </c>
      <c r="E96" s="3">
        <f t="shared" si="98"/>
        <v>3.2225000000000001</v>
      </c>
      <c r="F96">
        <f>IF(A96&gt;0,IF(F95=1,1,IF(B96=Data!$H$4,1,0)),"")</f>
        <v>1</v>
      </c>
      <c r="J96" s="3"/>
      <c r="K96" s="3"/>
      <c r="O96" s="3"/>
      <c r="P96" s="3"/>
      <c r="Q96" t="str">
        <f t="shared" si="74"/>
        <v/>
      </c>
      <c r="R96" s="4" t="str">
        <f t="shared" si="75"/>
        <v/>
      </c>
      <c r="S96" t="e">
        <f t="shared" si="86"/>
        <v>#DIV/0!</v>
      </c>
      <c r="T96" t="e">
        <f t="shared" si="99"/>
        <v>#DIV/0!</v>
      </c>
      <c r="U96" s="4">
        <f t="shared" si="76"/>
        <v>0</v>
      </c>
      <c r="V96" t="e">
        <f t="shared" si="87"/>
        <v>#DIV/0!</v>
      </c>
      <c r="W96" t="e">
        <f t="shared" si="88"/>
        <v>#DIV/0!</v>
      </c>
      <c r="X96" t="e">
        <f t="shared" si="89"/>
        <v>#VALUE!</v>
      </c>
      <c r="Y96" t="e">
        <f t="shared" si="90"/>
        <v>#VALUE!</v>
      </c>
      <c r="Z96" t="e">
        <f t="shared" si="91"/>
        <v>#VALUE!</v>
      </c>
      <c r="AA96" t="e">
        <f t="shared" si="77"/>
        <v>#VALUE!</v>
      </c>
      <c r="AB96" t="str">
        <f t="shared" si="92"/>
        <v/>
      </c>
      <c r="AC96" t="str">
        <f t="shared" si="93"/>
        <v/>
      </c>
      <c r="AD96" t="str">
        <f t="shared" si="94"/>
        <v/>
      </c>
      <c r="AE96" t="str">
        <f t="shared" si="95"/>
        <v/>
      </c>
      <c r="AF96" s="72">
        <f>IF(AF95+$AF$1&gt;ROUND(Data!$H$4,0),AF95,AF95+$AF$1)</f>
        <v>70</v>
      </c>
      <c r="AG96">
        <f>IF(MATCH(AF96,$AA$3:$AA$1010,0)&lt;898,AVERAGE(AG95,AG97),VLOOKUP(AF96,$R$2:$T$301,2,FALSE))</f>
        <v>5401</v>
      </c>
      <c r="AH96">
        <f>IF(MATCH(AF96,$AA$3:$AA$1010,0)&lt;898,AVERAGE(AH95,AH97),VLOOKUP(AF96,$R$2:$T$301,3,FALSE))</f>
        <v>1148</v>
      </c>
      <c r="AI96">
        <f>IF(MATCH(AF96,$AE$3:$AE$1010,0)&lt;898,AVERAGE(AI95,AI97),VLOOKUP(AF96,$U$2:$W$301,2,FALSE))</f>
        <v>5401</v>
      </c>
      <c r="AJ96" s="67">
        <f>IF(MATCH(AF96,$AE$3:$AE$1010,0)&lt;898,AVERAGE(AJ95,AJ97),VLOOKUP(AF96,$U$2:$W$301,3,FALSE))</f>
        <v>1151</v>
      </c>
      <c r="AK96" s="4">
        <f t="shared" si="96"/>
        <v>34.400000000000134</v>
      </c>
      <c r="AL96">
        <f t="shared" si="78"/>
        <v>1129.0000000000159</v>
      </c>
      <c r="AM96">
        <f t="shared" si="79"/>
        <v>11102.266666666636</v>
      </c>
      <c r="AN96">
        <f>IF($AK95+$AK$1&lt;=Data!$H$4-0.5,AVERAGE(AM94:AM98),AN95)</f>
        <v>11102.266666666636</v>
      </c>
      <c r="AO96">
        <f t="shared" si="80"/>
        <v>9732.9999999999836</v>
      </c>
      <c r="AP96">
        <f t="shared" si="97"/>
        <v>10691.266666666656</v>
      </c>
      <c r="AQ96">
        <f>IF($AK95+$AK$1&lt;=Data!$H$4-0.5,AVERAGE(AP94:AP98),AQ95)</f>
        <v>10691.266666666657</v>
      </c>
      <c r="AR96">
        <f>IF($AK95+$AK$1&lt;=Data!$H$4-0.5,SLOPE($AN92:$AN100,$AK92:$AK100),AR95)</f>
        <v>-217.26666666667154</v>
      </c>
      <c r="AS96">
        <f>IF($AK95+$AK$1&lt;=Data!$H$4-0.5,SLOPE($AQ92:$AQ100,$AK92:$AK100),AS95)</f>
        <v>-77.56666666666672</v>
      </c>
      <c r="AT96" t="str">
        <f>IF(AND($AK96&gt;=Results!$G$13,$AK96&lt;=Results!$G$14),Curves!AR96,"")</f>
        <v/>
      </c>
      <c r="AU96" t="str">
        <f>IF(AND($AK96&gt;=Results!$G$13,$AK96&lt;=Results!$G$14),Curves!AS96,"")</f>
        <v/>
      </c>
      <c r="AV96" t="str">
        <f t="shared" si="81"/>
        <v/>
      </c>
      <c r="AW96" t="str">
        <f>IF(AND($AK96&lt;=Results!$I$21,$AK96&gt;=Results!$I$20,$AK96&lt;=Results!$F$4),$AN96,"")</f>
        <v/>
      </c>
      <c r="AX96" t="str">
        <f t="shared" si="81"/>
        <v/>
      </c>
      <c r="AY96" t="str">
        <f>IF(AND($AK96&lt;=Results!$I$23,$AK96&gt;=Results!$I$22,$AK96&gt;=Results!$F$4),$AN96,"")</f>
        <v/>
      </c>
      <c r="AZ96" t="str">
        <f t="shared" si="54"/>
        <v/>
      </c>
      <c r="BA96" t="str">
        <f>IF(AND($AK96&lt;=Results!$I$27,$AK96&gt;=Results!$I$26,$AK96&lt;=Results!$F$4),$AQ96,"")</f>
        <v/>
      </c>
      <c r="BB96" t="str">
        <f t="shared" si="55"/>
        <v/>
      </c>
      <c r="BC96" t="str">
        <f>IF(AND($AK96&lt;=Results!$I$29,$AK96&gt;=Results!$I$28,$AK96&gt;=Results!$F$4),$AQ96,"")</f>
        <v/>
      </c>
      <c r="BD96">
        <f t="shared" si="56"/>
        <v>11054.280710524234</v>
      </c>
      <c r="BE96">
        <f t="shared" si="57"/>
        <v>2334.3776691741832</v>
      </c>
      <c r="BF96">
        <f t="shared" si="58"/>
        <v>10677.494058103228</v>
      </c>
      <c r="BG96">
        <f t="shared" si="59"/>
        <v>1349.3155071049152</v>
      </c>
      <c r="BH96">
        <f t="shared" si="60"/>
        <v>0</v>
      </c>
      <c r="BI96">
        <f t="shared" si="61"/>
        <v>1.0055030378107246</v>
      </c>
      <c r="BJ96">
        <f t="shared" si="62"/>
        <v>1.0014764520734818</v>
      </c>
      <c r="BK96">
        <f t="shared" si="63"/>
        <v>-1.294600584764031E-2</v>
      </c>
      <c r="BL96">
        <f t="shared" si="64"/>
        <v>-5.0034912674855997E-4</v>
      </c>
      <c r="BM96">
        <f t="shared" si="82"/>
        <v>119.99999999999942</v>
      </c>
      <c r="BN96">
        <f t="shared" si="83"/>
        <v>-119.99999999999829</v>
      </c>
      <c r="BO96">
        <f>Data!$H$2*(1-BI96)*(1-BI96/Data!$H$3)*BM96</f>
        <v>7.2680220351034348E-9</v>
      </c>
      <c r="BP96">
        <f t="shared" si="65"/>
        <v>-120.66036453728637</v>
      </c>
      <c r="BQ96">
        <f>Data!$H$2*(1-BJ96)*(1-BJ96/Data!$H$3)*BN96</f>
        <v>-5.2317857406927737E-10</v>
      </c>
      <c r="BR96">
        <f t="shared" si="66"/>
        <v>120.1771742488161</v>
      </c>
      <c r="BS96">
        <f t="shared" si="67"/>
        <v>0</v>
      </c>
      <c r="BT96">
        <f t="shared" si="68"/>
        <v>0</v>
      </c>
      <c r="BU96">
        <f t="shared" si="69"/>
        <v>0</v>
      </c>
      <c r="BV96">
        <f t="shared" si="70"/>
        <v>0</v>
      </c>
      <c r="BW96">
        <f t="shared" si="84"/>
        <v>0</v>
      </c>
      <c r="BX96" t="str">
        <f t="shared" si="85"/>
        <v/>
      </c>
      <c r="BY96" s="66" t="str">
        <f t="shared" si="71"/>
        <v/>
      </c>
      <c r="BZ96" t="str">
        <f t="shared" si="72"/>
        <v/>
      </c>
      <c r="CA96" s="67" t="str">
        <f t="shared" si="73"/>
        <v/>
      </c>
    </row>
    <row r="97" spans="1:79" x14ac:dyDescent="0.25">
      <c r="A97">
        <v>7861</v>
      </c>
      <c r="B97">
        <v>50</v>
      </c>
      <c r="C97">
        <v>8625</v>
      </c>
      <c r="D97" s="3">
        <f t="shared" si="98"/>
        <v>-8.3333333333333332E-3</v>
      </c>
      <c r="E97" s="3">
        <f t="shared" si="98"/>
        <v>2.7275</v>
      </c>
      <c r="F97">
        <f>IF(A97&gt;0,IF(F96=1,1,IF(B97=Data!$H$4,1,0)),"")</f>
        <v>1</v>
      </c>
      <c r="J97" s="3"/>
      <c r="K97" s="3"/>
      <c r="O97" s="3"/>
      <c r="P97" s="3"/>
      <c r="Q97" t="str">
        <f t="shared" si="74"/>
        <v/>
      </c>
      <c r="R97" s="4" t="str">
        <f t="shared" si="75"/>
        <v/>
      </c>
      <c r="S97" t="e">
        <f t="shared" si="86"/>
        <v>#DIV/0!</v>
      </c>
      <c r="T97" t="e">
        <f t="shared" si="99"/>
        <v>#DIV/0!</v>
      </c>
      <c r="U97" s="4">
        <f t="shared" si="76"/>
        <v>0</v>
      </c>
      <c r="V97" t="e">
        <f t="shared" si="87"/>
        <v>#DIV/0!</v>
      </c>
      <c r="W97" t="e">
        <f t="shared" si="88"/>
        <v>#DIV/0!</v>
      </c>
      <c r="X97" t="e">
        <f t="shared" si="89"/>
        <v>#VALUE!</v>
      </c>
      <c r="Y97" t="e">
        <f t="shared" si="90"/>
        <v>#VALUE!</v>
      </c>
      <c r="Z97" t="e">
        <f t="shared" si="91"/>
        <v>#VALUE!</v>
      </c>
      <c r="AA97" t="e">
        <f t="shared" si="77"/>
        <v>#VALUE!</v>
      </c>
      <c r="AB97" t="str">
        <f t="shared" si="92"/>
        <v/>
      </c>
      <c r="AC97" t="str">
        <f t="shared" si="93"/>
        <v/>
      </c>
      <c r="AD97" t="str">
        <f t="shared" si="94"/>
        <v/>
      </c>
      <c r="AE97" t="str">
        <f t="shared" si="95"/>
        <v/>
      </c>
      <c r="AF97" s="72">
        <f>IF(AF96+$AF$1&gt;ROUND(Data!$H$4,0),AF96,AF96+$AF$1)</f>
        <v>70</v>
      </c>
      <c r="AG97">
        <f t="shared" si="100"/>
        <v>5401</v>
      </c>
      <c r="AH97">
        <f t="shared" si="101"/>
        <v>1148</v>
      </c>
      <c r="AI97">
        <f t="shared" si="102"/>
        <v>5401</v>
      </c>
      <c r="AJ97" s="67">
        <f t="shared" si="103"/>
        <v>1151</v>
      </c>
      <c r="AK97" s="4">
        <f t="shared" si="96"/>
        <v>34.500000000000135</v>
      </c>
      <c r="AL97">
        <f t="shared" si="78"/>
        <v>1141.0000000000161</v>
      </c>
      <c r="AM97">
        <f t="shared" si="79"/>
        <v>11080.166666666635</v>
      </c>
      <c r="AN97">
        <f>IF($AK96+$AK$1&lt;=Data!$H$4-0.5,AVERAGE(AM95:AM99),AN96)</f>
        <v>11080.166666666637</v>
      </c>
      <c r="AO97">
        <f t="shared" si="80"/>
        <v>9720.9999999999836</v>
      </c>
      <c r="AP97">
        <f t="shared" si="97"/>
        <v>10683.499999999989</v>
      </c>
      <c r="AQ97">
        <f>IF($AK96+$AK$1&lt;=Data!$H$4-0.5,AVERAGE(AP95:AP99),AQ96)</f>
        <v>10683.499999999991</v>
      </c>
      <c r="AR97">
        <f>IF($AK96+$AK$1&lt;=Data!$H$4-0.5,SLOPE($AN93:$AN101,$AK93:$AK101),AR96)</f>
        <v>-220.6177777777813</v>
      </c>
      <c r="AS97">
        <f>IF($AK96+$AK$1&lt;=Data!$H$4-0.5,SLOPE($AQ93:$AQ101,$AK93:$AK101),AS96)</f>
        <v>-77.688888888889579</v>
      </c>
      <c r="AT97" t="str">
        <f>IF(AND($AK97&gt;=Results!$G$13,$AK97&lt;=Results!$G$14),Curves!AR97,"")</f>
        <v/>
      </c>
      <c r="AU97" t="str">
        <f>IF(AND($AK97&gt;=Results!$G$13,$AK97&lt;=Results!$G$14),Curves!AS97,"")</f>
        <v/>
      </c>
      <c r="AV97" t="str">
        <f t="shared" si="81"/>
        <v/>
      </c>
      <c r="AW97" t="str">
        <f>IF(AND($AK97&lt;=Results!$I$21,$AK97&gt;=Results!$I$20,$AK97&lt;=Results!$F$4),$AN97,"")</f>
        <v/>
      </c>
      <c r="AX97" t="str">
        <f t="shared" si="81"/>
        <v/>
      </c>
      <c r="AY97" t="str">
        <f>IF(AND($AK97&lt;=Results!$I$23,$AK97&gt;=Results!$I$22,$AK97&gt;=Results!$F$4),$AN97,"")</f>
        <v/>
      </c>
      <c r="AZ97" t="str">
        <f t="shared" si="54"/>
        <v/>
      </c>
      <c r="BA97" t="str">
        <f>IF(AND($AK97&lt;=Results!$I$27,$AK97&gt;=Results!$I$26,$AK97&lt;=Results!$F$4),$AQ97,"")</f>
        <v/>
      </c>
      <c r="BB97" t="str">
        <f t="shared" si="55"/>
        <v/>
      </c>
      <c r="BC97" t="str">
        <f>IF(AND($AK97&lt;=Results!$I$29,$AK97&gt;=Results!$I$28,$AK97&gt;=Results!$F$4),$AQ97,"")</f>
        <v/>
      </c>
      <c r="BD97">
        <f t="shared" si="56"/>
        <v>11043.510515726313</v>
      </c>
      <c r="BE97">
        <f t="shared" si="57"/>
        <v>2331.0618799248623</v>
      </c>
      <c r="BF97">
        <f t="shared" si="58"/>
        <v>10670.204075870333</v>
      </c>
      <c r="BG97">
        <f t="shared" si="59"/>
        <v>1348.7647061453904</v>
      </c>
      <c r="BH97">
        <f t="shared" si="60"/>
        <v>0</v>
      </c>
      <c r="BI97">
        <f t="shared" si="61"/>
        <v>1.0042073305074872</v>
      </c>
      <c r="BJ97">
        <f t="shared" si="62"/>
        <v>1.0014263810128767</v>
      </c>
      <c r="BK97">
        <f t="shared" si="63"/>
        <v>-1.2968168648817927E-2</v>
      </c>
      <c r="BL97">
        <f t="shared" si="64"/>
        <v>-5.0107286994393436E-4</v>
      </c>
      <c r="BM97">
        <f t="shared" si="82"/>
        <v>120.00000000000055</v>
      </c>
      <c r="BN97">
        <f t="shared" si="83"/>
        <v>-119.99999999999829</v>
      </c>
      <c r="BO97">
        <f>Data!$H$2*(1-BI97)*(1-BI97/Data!$H$3)*BM97</f>
        <v>4.2483911998158762E-9</v>
      </c>
      <c r="BP97">
        <f t="shared" si="65"/>
        <v>-120.50487966089902</v>
      </c>
      <c r="BQ97">
        <f>Data!$H$2*(1-BJ97)*(1-BJ97/Data!$H$3)*BN97</f>
        <v>-4.8829507053485325E-10</v>
      </c>
      <c r="BR97">
        <f t="shared" si="66"/>
        <v>120.1711657215435</v>
      </c>
      <c r="BS97">
        <f t="shared" si="67"/>
        <v>0</v>
      </c>
      <c r="BT97">
        <f t="shared" si="68"/>
        <v>0</v>
      </c>
      <c r="BU97">
        <f t="shared" si="69"/>
        <v>0</v>
      </c>
      <c r="BV97">
        <f t="shared" si="70"/>
        <v>0</v>
      </c>
      <c r="BW97">
        <f t="shared" si="84"/>
        <v>0</v>
      </c>
      <c r="BX97" t="str">
        <f t="shared" si="85"/>
        <v/>
      </c>
      <c r="BY97" s="66" t="str">
        <f t="shared" si="71"/>
        <v/>
      </c>
      <c r="BZ97" t="str">
        <f t="shared" si="72"/>
        <v/>
      </c>
      <c r="CA97" s="67" t="str">
        <f t="shared" si="73"/>
        <v/>
      </c>
    </row>
    <row r="98" spans="1:79" x14ac:dyDescent="0.25">
      <c r="A98">
        <v>7981</v>
      </c>
      <c r="B98">
        <v>49</v>
      </c>
      <c r="C98">
        <v>8925</v>
      </c>
      <c r="D98" s="3">
        <f t="shared" si="98"/>
        <v>-8.3333333333333332E-3</v>
      </c>
      <c r="E98" s="3">
        <f t="shared" si="98"/>
        <v>2.2991666666666668</v>
      </c>
      <c r="F98">
        <f>IF(A98&gt;0,IF(F97=1,1,IF(B98=Data!$H$4,1,0)),"")</f>
        <v>1</v>
      </c>
      <c r="J98" s="3"/>
      <c r="K98" s="3"/>
      <c r="O98" s="3"/>
      <c r="P98" s="3"/>
      <c r="Q98" t="str">
        <f t="shared" si="74"/>
        <v/>
      </c>
      <c r="R98" s="4" t="str">
        <f t="shared" si="75"/>
        <v/>
      </c>
      <c r="S98" t="e">
        <f t="shared" si="86"/>
        <v>#DIV/0!</v>
      </c>
      <c r="T98" t="e">
        <f t="shared" si="99"/>
        <v>#DIV/0!</v>
      </c>
      <c r="U98" s="4">
        <f t="shared" si="76"/>
        <v>0</v>
      </c>
      <c r="V98" t="e">
        <f t="shared" si="87"/>
        <v>#DIV/0!</v>
      </c>
      <c r="W98" t="e">
        <f t="shared" si="88"/>
        <v>#DIV/0!</v>
      </c>
      <c r="X98" t="e">
        <f t="shared" si="89"/>
        <v>#VALUE!</v>
      </c>
      <c r="Y98" t="e">
        <f t="shared" si="90"/>
        <v>#VALUE!</v>
      </c>
      <c r="Z98" t="e">
        <f t="shared" si="91"/>
        <v>#VALUE!</v>
      </c>
      <c r="AA98" t="e">
        <f t="shared" si="77"/>
        <v>#VALUE!</v>
      </c>
      <c r="AB98" t="str">
        <f t="shared" si="92"/>
        <v/>
      </c>
      <c r="AC98" t="str">
        <f t="shared" si="93"/>
        <v/>
      </c>
      <c r="AD98" t="str">
        <f t="shared" si="94"/>
        <v/>
      </c>
      <c r="AE98" t="str">
        <f t="shared" si="95"/>
        <v/>
      </c>
      <c r="AF98" s="72">
        <f>IF(AF97+$AF$1&gt;ROUND(Data!$H$4,0),AF97,AF97+$AF$1)</f>
        <v>70</v>
      </c>
      <c r="AG98">
        <f>IF(MATCH(AF98,$AA$3:$AA$1010,0)&lt;898,AVERAGE(AG97,AG99),VLOOKUP(AF98,$R$2:$T$301,2,FALSE))</f>
        <v>5401</v>
      </c>
      <c r="AH98">
        <f>IF(MATCH(AF98,$AA$3:$AA$1010,0)&lt;898,AVERAGE(AH97,AH99),VLOOKUP(AF98,$R$2:$T$301,3,FALSE))</f>
        <v>1148</v>
      </c>
      <c r="AI98">
        <f>IF(MATCH(AF98,$AE$3:$AE$1010,0)&lt;898,AVERAGE(AI97,AI99),VLOOKUP(AF98,$U$2:$W$301,2,FALSE))</f>
        <v>5401</v>
      </c>
      <c r="AJ98" s="67">
        <f>IF(MATCH(AF98,$AE$3:$AE$1010,0)&lt;898,AVERAGE(AJ97,AJ99),VLOOKUP(AF98,$U$2:$W$301,3,FALSE))</f>
        <v>1151</v>
      </c>
      <c r="AK98" s="4">
        <f t="shared" si="96"/>
        <v>34.600000000000136</v>
      </c>
      <c r="AL98">
        <f t="shared" si="78"/>
        <v>1153.0000000000164</v>
      </c>
      <c r="AM98">
        <f t="shared" si="79"/>
        <v>11058.066666666635</v>
      </c>
      <c r="AN98">
        <f>IF($AK97+$AK$1&lt;=Data!$H$4-0.5,AVERAGE(AM96:AM100),AN97)</f>
        <v>11058.066666666635</v>
      </c>
      <c r="AO98">
        <f t="shared" si="80"/>
        <v>9708.9999999999836</v>
      </c>
      <c r="AP98">
        <f t="shared" si="97"/>
        <v>10675.733333333323</v>
      </c>
      <c r="AQ98">
        <f>IF($AK97+$AK$1&lt;=Data!$H$4-0.5,AVERAGE(AP96:AP100),AQ97)</f>
        <v>10675.733333333323</v>
      </c>
      <c r="AR98">
        <f>IF($AK97+$AK$1&lt;=Data!$H$4-0.5,SLOPE($AN94:$AN102,$AK94:$AK102),AR97)</f>
        <v>-223.30000000000484</v>
      </c>
      <c r="AS98">
        <f>IF($AK97+$AK$1&lt;=Data!$H$4-0.5,SLOPE($AQ94:$AQ102,$AK94:$AK102),AS97)</f>
        <v>-77.850000000001373</v>
      </c>
      <c r="AT98" t="str">
        <f>IF(AND($AK98&gt;=Results!$G$13,$AK98&lt;=Results!$G$14),Curves!AR98,"")</f>
        <v/>
      </c>
      <c r="AU98" t="str">
        <f>IF(AND($AK98&gt;=Results!$G$13,$AK98&lt;=Results!$G$14),Curves!AS98,"")</f>
        <v/>
      </c>
      <c r="AV98" t="str">
        <f t="shared" si="81"/>
        <v/>
      </c>
      <c r="AW98" t="str">
        <f>IF(AND($AK98&lt;=Results!$I$21,$AK98&gt;=Results!$I$20,$AK98&lt;=Results!$F$4),$AN98,"")</f>
        <v/>
      </c>
      <c r="AX98" t="str">
        <f t="shared" si="81"/>
        <v/>
      </c>
      <c r="AY98" t="str">
        <f>IF(AND($AK98&lt;=Results!$I$23,$AK98&gt;=Results!$I$22,$AK98&gt;=Results!$F$4),$AN98,"")</f>
        <v/>
      </c>
      <c r="AZ98" t="str">
        <f t="shared" si="54"/>
        <v/>
      </c>
      <c r="BA98" t="str">
        <f>IF(AND($AK98&lt;=Results!$I$27,$AK98&gt;=Results!$I$26,$AK98&lt;=Results!$F$4),$AQ98,"")</f>
        <v/>
      </c>
      <c r="BB98" t="str">
        <f t="shared" si="55"/>
        <v/>
      </c>
      <c r="BC98" t="str">
        <f>IF(AND($AK98&lt;=Results!$I$29,$AK98&gt;=Results!$I$28,$AK98&gt;=Results!$F$4),$AQ98,"")</f>
        <v/>
      </c>
      <c r="BD98">
        <f t="shared" si="56"/>
        <v>11032.740320928395</v>
      </c>
      <c r="BE98">
        <f t="shared" si="57"/>
        <v>2327.7460906755414</v>
      </c>
      <c r="BF98">
        <f t="shared" si="58"/>
        <v>10662.914093637441</v>
      </c>
      <c r="BG98">
        <f t="shared" si="59"/>
        <v>1348.2139051858653</v>
      </c>
      <c r="BH98">
        <f t="shared" si="60"/>
        <v>0</v>
      </c>
      <c r="BI98">
        <f t="shared" si="61"/>
        <v>1.002909404080961</v>
      </c>
      <c r="BJ98">
        <f t="shared" si="62"/>
        <v>1.001376237499493</v>
      </c>
      <c r="BK98">
        <f t="shared" si="63"/>
        <v>-1.299038841088155E-2</v>
      </c>
      <c r="BL98">
        <f t="shared" si="64"/>
        <v>-5.0179818459005605E-4</v>
      </c>
      <c r="BM98">
        <f t="shared" si="82"/>
        <v>120.00000000000055</v>
      </c>
      <c r="BN98">
        <f t="shared" si="83"/>
        <v>-119.99999999999829</v>
      </c>
      <c r="BO98">
        <f>Data!$H$2*(1-BI98)*(1-BI98/Data!$H$3)*BM98</f>
        <v>2.0315117055149648E-9</v>
      </c>
      <c r="BP98">
        <f t="shared" si="65"/>
        <v>-120.34912848971587</v>
      </c>
      <c r="BQ98">
        <f>Data!$H$2*(1-BJ98)*(1-BJ98/Data!$H$3)*BN98</f>
        <v>-4.5456711720257568E-10</v>
      </c>
      <c r="BR98">
        <f t="shared" si="66"/>
        <v>120.16514849993746</v>
      </c>
      <c r="BS98">
        <f t="shared" si="67"/>
        <v>0</v>
      </c>
      <c r="BT98">
        <f t="shared" si="68"/>
        <v>0</v>
      </c>
      <c r="BU98">
        <f t="shared" si="69"/>
        <v>0</v>
      </c>
      <c r="BV98">
        <f t="shared" si="70"/>
        <v>0</v>
      </c>
      <c r="BW98">
        <f t="shared" si="84"/>
        <v>0</v>
      </c>
      <c r="BX98" t="str">
        <f t="shared" si="85"/>
        <v/>
      </c>
      <c r="BY98" s="66" t="str">
        <f t="shared" si="71"/>
        <v/>
      </c>
      <c r="BZ98" t="str">
        <f t="shared" si="72"/>
        <v/>
      </c>
      <c r="CA98" s="67" t="str">
        <f t="shared" si="73"/>
        <v/>
      </c>
    </row>
    <row r="99" spans="1:79" x14ac:dyDescent="0.25">
      <c r="A99">
        <v>8101</v>
      </c>
      <c r="B99">
        <v>48</v>
      </c>
      <c r="C99">
        <v>9168</v>
      </c>
      <c r="D99" s="3">
        <f t="shared" si="98"/>
        <v>-8.3333333333333332E-3</v>
      </c>
      <c r="E99" s="3">
        <f t="shared" si="98"/>
        <v>1.9408333333333334</v>
      </c>
      <c r="F99">
        <f>IF(A99&gt;0,IF(F98=1,1,IF(B99=Data!$H$4,1,0)),"")</f>
        <v>1</v>
      </c>
      <c r="J99" s="3"/>
      <c r="K99" s="3"/>
      <c r="O99" s="3"/>
      <c r="P99" s="3"/>
      <c r="Q99" t="str">
        <f t="shared" si="74"/>
        <v/>
      </c>
      <c r="R99" s="4" t="str">
        <f t="shared" si="75"/>
        <v/>
      </c>
      <c r="S99" t="e">
        <f t="shared" si="86"/>
        <v>#DIV/0!</v>
      </c>
      <c r="T99" t="e">
        <f t="shared" si="99"/>
        <v>#DIV/0!</v>
      </c>
      <c r="U99" s="4">
        <f t="shared" si="76"/>
        <v>0</v>
      </c>
      <c r="V99" t="e">
        <f t="shared" si="87"/>
        <v>#DIV/0!</v>
      </c>
      <c r="W99" t="e">
        <f t="shared" si="88"/>
        <v>#DIV/0!</v>
      </c>
      <c r="X99" t="e">
        <f t="shared" si="89"/>
        <v>#VALUE!</v>
      </c>
      <c r="Y99" t="e">
        <f t="shared" si="90"/>
        <v>#VALUE!</v>
      </c>
      <c r="Z99" t="e">
        <f t="shared" si="91"/>
        <v>#VALUE!</v>
      </c>
      <c r="AA99" t="e">
        <f t="shared" si="77"/>
        <v>#VALUE!</v>
      </c>
      <c r="AB99" t="str">
        <f t="shared" si="92"/>
        <v/>
      </c>
      <c r="AC99" t="str">
        <f t="shared" si="93"/>
        <v/>
      </c>
      <c r="AD99" t="str">
        <f t="shared" si="94"/>
        <v/>
      </c>
      <c r="AE99" t="str">
        <f t="shared" si="95"/>
        <v/>
      </c>
      <c r="AF99" s="72">
        <f>IF(AF98+$AF$1&gt;ROUND(Data!$H$4,0),AF98,AF98+$AF$1)</f>
        <v>70</v>
      </c>
      <c r="AG99">
        <f t="shared" si="100"/>
        <v>5401</v>
      </c>
      <c r="AH99">
        <f t="shared" si="101"/>
        <v>1148</v>
      </c>
      <c r="AI99">
        <f t="shared" si="102"/>
        <v>5401</v>
      </c>
      <c r="AJ99" s="67">
        <f t="shared" si="103"/>
        <v>1151</v>
      </c>
      <c r="AK99" s="4">
        <f t="shared" si="96"/>
        <v>34.700000000000138</v>
      </c>
      <c r="AL99">
        <f t="shared" si="78"/>
        <v>1165.0000000000166</v>
      </c>
      <c r="AM99">
        <f t="shared" si="79"/>
        <v>11035.966666666634</v>
      </c>
      <c r="AN99">
        <f>IF($AK98+$AK$1&lt;=Data!$H$4-0.5,AVERAGE(AM97:AM101),AN98)</f>
        <v>11035.966666666634</v>
      </c>
      <c r="AO99">
        <f t="shared" si="80"/>
        <v>9696.9999999999836</v>
      </c>
      <c r="AP99">
        <f t="shared" si="97"/>
        <v>10667.966666666656</v>
      </c>
      <c r="AQ99">
        <f>IF($AK98+$AK$1&lt;=Data!$H$4-0.5,AVERAGE(AP97:AP101),AQ98)</f>
        <v>10667.966666666656</v>
      </c>
      <c r="AR99">
        <f>IF($AK98+$AK$1&lt;=Data!$H$4-0.5,SLOPE($AN95:$AN103,$AK95:$AK103),AR98)</f>
        <v>-226.36666666667446</v>
      </c>
      <c r="AS99">
        <f>IF($AK98+$AK$1&lt;=Data!$H$4-0.5,SLOPE($AQ95:$AQ103,$AK95:$AK103),AS98)</f>
        <v>-78.094444444445898</v>
      </c>
      <c r="AT99" t="str">
        <f>IF(AND($AK99&gt;=Results!$G$13,$AK99&lt;=Results!$G$14),Curves!AR99,"")</f>
        <v/>
      </c>
      <c r="AU99" t="str">
        <f>IF(AND($AK99&gt;=Results!$G$13,$AK99&lt;=Results!$G$14),Curves!AS99,"")</f>
        <v/>
      </c>
      <c r="AV99" t="str">
        <f t="shared" si="81"/>
        <v/>
      </c>
      <c r="AW99" t="str">
        <f>IF(AND($AK99&lt;=Results!$I$21,$AK99&gt;=Results!$I$20,$AK99&lt;=Results!$F$4),$AN99,"")</f>
        <v/>
      </c>
      <c r="AX99" t="str">
        <f t="shared" si="81"/>
        <v/>
      </c>
      <c r="AY99" t="str">
        <f>IF(AND($AK99&lt;=Results!$I$23,$AK99&gt;=Results!$I$22,$AK99&gt;=Results!$F$4),$AN99,"")</f>
        <v/>
      </c>
      <c r="AZ99" t="str">
        <f t="shared" si="54"/>
        <v/>
      </c>
      <c r="BA99" t="str">
        <f>IF(AND($AK99&lt;=Results!$I$27,$AK99&gt;=Results!$I$26,$AK99&lt;=Results!$F$4),$AQ99,"")</f>
        <v/>
      </c>
      <c r="BB99" t="str">
        <f t="shared" si="55"/>
        <v/>
      </c>
      <c r="BC99" t="str">
        <f>IF(AND($AK99&lt;=Results!$I$29,$AK99&gt;=Results!$I$28,$AK99&gt;=Results!$F$4),$AQ99,"")</f>
        <v/>
      </c>
      <c r="BD99">
        <f t="shared" si="56"/>
        <v>11021.970126130474</v>
      </c>
      <c r="BE99">
        <f t="shared" si="57"/>
        <v>2324.4303014262205</v>
      </c>
      <c r="BF99">
        <f t="shared" si="58"/>
        <v>10655.624111404548</v>
      </c>
      <c r="BG99">
        <f t="shared" si="59"/>
        <v>1347.6631042263402</v>
      </c>
      <c r="BH99">
        <f t="shared" si="60"/>
        <v>0</v>
      </c>
      <c r="BI99">
        <f t="shared" si="61"/>
        <v>1.0016092528253109</v>
      </c>
      <c r="BJ99">
        <f t="shared" si="62"/>
        <v>1.0013260213759587</v>
      </c>
      <c r="BK99">
        <f t="shared" si="63"/>
        <v>-1.301266532919158E-2</v>
      </c>
      <c r="BL99">
        <f t="shared" si="64"/>
        <v>-5.0252507524105989E-4</v>
      </c>
      <c r="BM99">
        <f t="shared" si="82"/>
        <v>120.00000000000055</v>
      </c>
      <c r="BN99">
        <f t="shared" si="83"/>
        <v>-119.99999999999829</v>
      </c>
      <c r="BO99">
        <f>Data!$H$2*(1-BI99)*(1-BI99/Data!$H$3)*BM99</f>
        <v>6.2152671738505522E-10</v>
      </c>
      <c r="BP99">
        <f t="shared" si="65"/>
        <v>-120.19311033903786</v>
      </c>
      <c r="BQ99">
        <f>Data!$H$2*(1-BJ99)*(1-BJ99/Data!$H$3)*BN99</f>
        <v>-4.2199984547986311E-10</v>
      </c>
      <c r="BR99">
        <f t="shared" si="66"/>
        <v>120.15912256511334</v>
      </c>
      <c r="BS99">
        <f t="shared" si="67"/>
        <v>0</v>
      </c>
      <c r="BT99">
        <f t="shared" si="68"/>
        <v>0</v>
      </c>
      <c r="BU99">
        <f t="shared" si="69"/>
        <v>0</v>
      </c>
      <c r="BV99">
        <f t="shared" si="70"/>
        <v>0</v>
      </c>
      <c r="BW99">
        <f t="shared" si="84"/>
        <v>0</v>
      </c>
      <c r="BX99" t="str">
        <f t="shared" si="85"/>
        <v/>
      </c>
      <c r="BY99" s="66" t="str">
        <f t="shared" si="71"/>
        <v/>
      </c>
      <c r="BZ99" t="str">
        <f t="shared" si="72"/>
        <v/>
      </c>
      <c r="CA99" s="67" t="str">
        <f t="shared" si="73"/>
        <v/>
      </c>
    </row>
    <row r="100" spans="1:79" x14ac:dyDescent="0.25">
      <c r="A100">
        <v>8221</v>
      </c>
      <c r="B100">
        <v>47</v>
      </c>
      <c r="C100">
        <v>9380</v>
      </c>
      <c r="D100" s="3">
        <f t="shared" si="98"/>
        <v>-8.3333333333333332E-3</v>
      </c>
      <c r="E100" s="3">
        <f t="shared" si="98"/>
        <v>1.645</v>
      </c>
      <c r="F100">
        <f>IF(A100&gt;0,IF(F99=1,1,IF(B100=Data!$H$4,1,0)),"")</f>
        <v>1</v>
      </c>
      <c r="J100" s="3"/>
      <c r="K100" s="3"/>
      <c r="O100" s="3"/>
      <c r="P100" s="3"/>
      <c r="Q100" t="str">
        <f t="shared" si="74"/>
        <v/>
      </c>
      <c r="R100" s="4" t="str">
        <f t="shared" si="75"/>
        <v/>
      </c>
      <c r="S100" t="e">
        <f t="shared" si="86"/>
        <v>#DIV/0!</v>
      </c>
      <c r="T100" t="e">
        <f t="shared" si="99"/>
        <v>#DIV/0!</v>
      </c>
      <c r="U100" s="4">
        <f t="shared" si="76"/>
        <v>0</v>
      </c>
      <c r="V100" t="e">
        <f t="shared" si="87"/>
        <v>#DIV/0!</v>
      </c>
      <c r="W100" t="e">
        <f t="shared" si="88"/>
        <v>#DIV/0!</v>
      </c>
      <c r="X100" t="e">
        <f t="shared" si="89"/>
        <v>#VALUE!</v>
      </c>
      <c r="Y100" t="e">
        <f t="shared" si="90"/>
        <v>#VALUE!</v>
      </c>
      <c r="Z100" t="e">
        <f t="shared" si="91"/>
        <v>#VALUE!</v>
      </c>
      <c r="AA100" t="e">
        <f t="shared" si="77"/>
        <v>#VALUE!</v>
      </c>
      <c r="AB100" t="str">
        <f t="shared" si="92"/>
        <v/>
      </c>
      <c r="AC100" t="str">
        <f t="shared" si="93"/>
        <v/>
      </c>
      <c r="AD100" t="str">
        <f t="shared" si="94"/>
        <v/>
      </c>
      <c r="AE100" t="str">
        <f t="shared" si="95"/>
        <v/>
      </c>
      <c r="AF100" s="72">
        <f>IF(AF99+$AF$1&gt;ROUND(Data!$H$4,0),AF99,AF99+$AF$1)</f>
        <v>70</v>
      </c>
      <c r="AG100">
        <f>IF(MATCH(AF100,$AA$3:$AA$1010,0)&lt;898,AVERAGE(AG99,AG101),VLOOKUP(AF100,$R$2:$T$301,2,FALSE))</f>
        <v>5401</v>
      </c>
      <c r="AH100">
        <f>IF(MATCH(AF100,$AA$3:$AA$1010,0)&lt;898,AVERAGE(AH99,AH101),VLOOKUP(AF100,$R$2:$T$301,3,FALSE))</f>
        <v>1148</v>
      </c>
      <c r="AI100">
        <f>IF(MATCH(AF100,$AE$3:$AE$1010,0)&lt;898,AVERAGE(AI99,AI101),VLOOKUP(AF100,$U$2:$W$301,2,FALSE))</f>
        <v>5401</v>
      </c>
      <c r="AJ100" s="67">
        <f>IF(MATCH(AF100,$AE$3:$AE$1010,0)&lt;898,AVERAGE(AJ99,AJ101),VLOOKUP(AF100,$U$2:$W$301,3,FALSE))</f>
        <v>1151</v>
      </c>
      <c r="AK100" s="4">
        <f t="shared" si="96"/>
        <v>34.800000000000139</v>
      </c>
      <c r="AL100">
        <f t="shared" si="78"/>
        <v>1177.0000000000168</v>
      </c>
      <c r="AM100">
        <f t="shared" si="79"/>
        <v>11013.866666666634</v>
      </c>
      <c r="AN100">
        <f>IF($AK99+$AK$1&lt;=Data!$H$4-0.5,AVERAGE(AM98:AM102),AN99)</f>
        <v>11013.866666666632</v>
      </c>
      <c r="AO100">
        <f t="shared" si="80"/>
        <v>9684.9999999999836</v>
      </c>
      <c r="AP100">
        <f t="shared" si="97"/>
        <v>10660.199999999988</v>
      </c>
      <c r="AQ100">
        <f>IF($AK99+$AK$1&lt;=Data!$H$4-0.5,AVERAGE(AP98:AP102),AQ99)</f>
        <v>10660.199999999988</v>
      </c>
      <c r="AR100">
        <f>IF($AK99+$AK$1&lt;=Data!$H$4-0.5,SLOPE($AN96:$AN104,$AK96:$AK104),AR99)</f>
        <v>-230.96666666667775</v>
      </c>
      <c r="AS100">
        <f>IF($AK99+$AK$1&lt;=Data!$H$4-0.5,SLOPE($AQ96:$AQ104,$AK96:$AK104),AS99)</f>
        <v>-78.461111111113269</v>
      </c>
      <c r="AT100" t="str">
        <f>IF(AND($AK100&gt;=Results!$G$13,$AK100&lt;=Results!$G$14),Curves!AR100,"")</f>
        <v/>
      </c>
      <c r="AU100" t="str">
        <f>IF(AND($AK100&gt;=Results!$G$13,$AK100&lt;=Results!$G$14),Curves!AS100,"")</f>
        <v/>
      </c>
      <c r="AV100" t="str">
        <f t="shared" si="81"/>
        <v/>
      </c>
      <c r="AW100" t="str">
        <f>IF(AND($AK100&lt;=Results!$I$21,$AK100&gt;=Results!$I$20,$AK100&lt;=Results!$F$4),$AN100,"")</f>
        <v/>
      </c>
      <c r="AX100" t="str">
        <f t="shared" si="81"/>
        <v/>
      </c>
      <c r="AY100" t="str">
        <f>IF(AND($AK100&lt;=Results!$I$23,$AK100&gt;=Results!$I$22,$AK100&gt;=Results!$F$4),$AN100,"")</f>
        <v/>
      </c>
      <c r="AZ100" t="str">
        <f t="shared" si="54"/>
        <v/>
      </c>
      <c r="BA100" t="str">
        <f>IF(AND($AK100&lt;=Results!$I$27,$AK100&gt;=Results!$I$26,$AK100&lt;=Results!$F$4),$AQ100,"")</f>
        <v/>
      </c>
      <c r="BB100" t="str">
        <f t="shared" si="55"/>
        <v/>
      </c>
      <c r="BC100" t="str">
        <f>IF(AND($AK100&lt;=Results!$I$29,$AK100&gt;=Results!$I$28,$AK100&gt;=Results!$F$4),$AQ100,"")</f>
        <v/>
      </c>
      <c r="BD100">
        <f t="shared" si="56"/>
        <v>11011.199931332554</v>
      </c>
      <c r="BE100">
        <f t="shared" si="57"/>
        <v>2321.1145121769</v>
      </c>
      <c r="BF100">
        <f t="shared" si="58"/>
        <v>10648.334129171655</v>
      </c>
      <c r="BG100">
        <f t="shared" si="59"/>
        <v>1347.1123032668154</v>
      </c>
      <c r="BH100">
        <f t="shared" si="60"/>
        <v>0</v>
      </c>
      <c r="BI100">
        <f t="shared" si="61"/>
        <v>1.0003068710151226</v>
      </c>
      <c r="BJ100">
        <f t="shared" si="62"/>
        <v>1.0012757324844448</v>
      </c>
      <c r="BK100">
        <f t="shared" si="63"/>
        <v>-1.3564792930199994E-2</v>
      </c>
      <c r="BL100">
        <f t="shared" si="64"/>
        <v>-5.4270347398687531E-4</v>
      </c>
      <c r="BM100">
        <f t="shared" si="82"/>
        <v>119.99999999999942</v>
      </c>
      <c r="BN100">
        <f t="shared" si="83"/>
        <v>-119.99999999999829</v>
      </c>
      <c r="BO100">
        <f>Data!$H$2*(1-BI100)*(1-BI100/Data!$H$3)*BM100</f>
        <v>2.2600756781371617E-11</v>
      </c>
      <c r="BP100">
        <f t="shared" si="65"/>
        <v>-120.03682452181413</v>
      </c>
      <c r="BQ100">
        <f>Data!$H$2*(1-BJ100)*(1-BJ100/Data!$H$3)*BN100</f>
        <v>-3.9059840924823771E-10</v>
      </c>
      <c r="BR100">
        <f t="shared" si="66"/>
        <v>120.15308789813167</v>
      </c>
      <c r="BS100">
        <f t="shared" si="67"/>
        <v>0</v>
      </c>
      <c r="BT100">
        <f t="shared" si="68"/>
        <v>0</v>
      </c>
      <c r="BU100">
        <f t="shared" si="69"/>
        <v>0</v>
      </c>
      <c r="BV100">
        <f t="shared" si="70"/>
        <v>0</v>
      </c>
      <c r="BW100">
        <f t="shared" si="84"/>
        <v>0</v>
      </c>
      <c r="BX100" t="str">
        <f t="shared" si="85"/>
        <v/>
      </c>
      <c r="BY100" s="66" t="str">
        <f t="shared" si="71"/>
        <v/>
      </c>
      <c r="BZ100" t="str">
        <f t="shared" si="72"/>
        <v/>
      </c>
      <c r="CA100" s="67" t="str">
        <f t="shared" si="73"/>
        <v/>
      </c>
    </row>
    <row r="101" spans="1:79" x14ac:dyDescent="0.25">
      <c r="A101">
        <v>8341</v>
      </c>
      <c r="B101">
        <v>46</v>
      </c>
      <c r="C101">
        <v>9562</v>
      </c>
      <c r="D101" s="3">
        <f t="shared" si="98"/>
        <v>-8.3333333333333332E-3</v>
      </c>
      <c r="E101" s="3">
        <f t="shared" si="98"/>
        <v>1.4125000000000001</v>
      </c>
      <c r="F101">
        <f>IF(A101&gt;0,IF(F100=1,1,IF(B101=Data!$H$4,1,0)),"")</f>
        <v>1</v>
      </c>
      <c r="J101" s="3"/>
      <c r="K101" s="3"/>
      <c r="O101" s="3"/>
      <c r="P101" s="3"/>
      <c r="Q101" t="str">
        <f t="shared" si="74"/>
        <v/>
      </c>
      <c r="R101" s="4" t="str">
        <f t="shared" si="75"/>
        <v/>
      </c>
      <c r="S101" t="e">
        <f t="shared" si="86"/>
        <v>#DIV/0!</v>
      </c>
      <c r="T101" t="e">
        <f t="shared" si="99"/>
        <v>#DIV/0!</v>
      </c>
      <c r="U101" s="4">
        <f t="shared" si="76"/>
        <v>0</v>
      </c>
      <c r="V101" t="e">
        <f t="shared" si="87"/>
        <v>#DIV/0!</v>
      </c>
      <c r="W101" t="e">
        <f t="shared" si="88"/>
        <v>#DIV/0!</v>
      </c>
      <c r="X101" t="e">
        <f t="shared" si="89"/>
        <v>#VALUE!</v>
      </c>
      <c r="Y101" t="e">
        <f t="shared" si="90"/>
        <v>#VALUE!</v>
      </c>
      <c r="Z101" t="e">
        <f t="shared" si="91"/>
        <v>#VALUE!</v>
      </c>
      <c r="AA101" t="e">
        <f t="shared" si="77"/>
        <v>#VALUE!</v>
      </c>
      <c r="AB101" t="str">
        <f t="shared" si="92"/>
        <v/>
      </c>
      <c r="AC101" t="str">
        <f t="shared" si="93"/>
        <v/>
      </c>
      <c r="AD101" t="str">
        <f t="shared" si="94"/>
        <v/>
      </c>
      <c r="AE101" t="str">
        <f t="shared" si="95"/>
        <v/>
      </c>
      <c r="AF101" s="72">
        <f>IF(AF100+$AF$1&gt;ROUND(Data!$H$4,0),AF100,AF100+$AF$1)</f>
        <v>70</v>
      </c>
      <c r="AG101">
        <f t="shared" si="100"/>
        <v>5401</v>
      </c>
      <c r="AH101">
        <f t="shared" si="101"/>
        <v>1148</v>
      </c>
      <c r="AI101">
        <f t="shared" si="102"/>
        <v>5401</v>
      </c>
      <c r="AJ101" s="67">
        <f t="shared" si="103"/>
        <v>1151</v>
      </c>
      <c r="AK101" s="4">
        <f t="shared" si="96"/>
        <v>34.900000000000141</v>
      </c>
      <c r="AL101">
        <f t="shared" si="78"/>
        <v>1189.0000000000168</v>
      </c>
      <c r="AM101">
        <f t="shared" si="79"/>
        <v>10991.766666666634</v>
      </c>
      <c r="AN101">
        <f>IF($AK100+$AK$1&lt;=Data!$H$4-0.5,AVERAGE(AM99:AM103),AN100)</f>
        <v>10990.846666666632</v>
      </c>
      <c r="AO101">
        <f t="shared" si="80"/>
        <v>9672.9999999999836</v>
      </c>
      <c r="AP101">
        <f t="shared" si="97"/>
        <v>10652.433333333322</v>
      </c>
      <c r="AQ101">
        <f>IF($AK100+$AK$1&lt;=Data!$H$4-0.5,AVERAGE(AP99:AP103),AQ100)</f>
        <v>10652.35999999999</v>
      </c>
      <c r="AR101">
        <f>IF($AK100+$AK$1&lt;=Data!$H$4-0.5,SLOPE($AN97:$AN105,$AK97:$AK105),AR100)</f>
        <v>-237.10000000001219</v>
      </c>
      <c r="AS101">
        <f>IF($AK100+$AK$1&lt;=Data!$H$4-0.5,SLOPE($AQ97:$AQ105,$AK97:$AK105),AS100)</f>
        <v>-78.950000000002348</v>
      </c>
      <c r="AT101" t="str">
        <f>IF(AND($AK101&gt;=Results!$G$13,$AK101&lt;=Results!$G$14),Curves!AR101,"")</f>
        <v/>
      </c>
      <c r="AU101" t="str">
        <f>IF(AND($AK101&gt;=Results!$G$13,$AK101&lt;=Results!$G$14),Curves!AS101,"")</f>
        <v/>
      </c>
      <c r="AV101" t="str">
        <f t="shared" si="81"/>
        <v/>
      </c>
      <c r="AW101" t="str">
        <f>IF(AND($AK101&lt;=Results!$I$21,$AK101&gt;=Results!$I$20,$AK101&lt;=Results!$F$4),$AN101,"")</f>
        <v/>
      </c>
      <c r="AX101" t="str">
        <f t="shared" si="81"/>
        <v/>
      </c>
      <c r="AY101" t="str">
        <f>IF(AND($AK101&lt;=Results!$I$23,$AK101&gt;=Results!$I$22,$AK101&gt;=Results!$F$4),$AN101,"")</f>
        <v/>
      </c>
      <c r="AZ101" t="str">
        <f t="shared" si="54"/>
        <v/>
      </c>
      <c r="BA101" t="str">
        <f>IF(AND($AK101&lt;=Results!$I$27,$AK101&gt;=Results!$I$26,$AK101&lt;=Results!$F$4),$AQ101,"")</f>
        <v/>
      </c>
      <c r="BB101" t="str">
        <f t="shared" si="55"/>
        <v/>
      </c>
      <c r="BC101" t="str">
        <f>IF(AND($AK101&lt;=Results!$I$29,$AK101&gt;=Results!$I$28,$AK101&gt;=Results!$F$4),$AQ101,"")</f>
        <v/>
      </c>
      <c r="BD101">
        <f t="shared" si="56"/>
        <v>11000.429736534636</v>
      </c>
      <c r="BE101">
        <f t="shared" si="57"/>
        <v>2317.7987229275791</v>
      </c>
      <c r="BF101">
        <f t="shared" si="58"/>
        <v>10641.044146938762</v>
      </c>
      <c r="BG101">
        <f t="shared" si="59"/>
        <v>1346.5615023072903</v>
      </c>
      <c r="BH101">
        <f t="shared" si="60"/>
        <v>0</v>
      </c>
      <c r="BI101">
        <f t="shared" si="61"/>
        <v>0.99889629423927084</v>
      </c>
      <c r="BJ101">
        <f t="shared" si="62"/>
        <v>1.0012174806811613</v>
      </c>
      <c r="BK101">
        <f t="shared" si="63"/>
        <v>-1.4648137133346575E-2</v>
      </c>
      <c r="BL101">
        <f t="shared" si="64"/>
        <v>-6.2241925994798385E-4</v>
      </c>
      <c r="BM101">
        <f t="shared" si="82"/>
        <v>119.99999999999942</v>
      </c>
      <c r="BN101">
        <f t="shared" si="83"/>
        <v>-119.99999999999829</v>
      </c>
      <c r="BO101">
        <f>Data!$H$2*(1-BI101)*(1-BI101/Data!$H$3)*BM101</f>
        <v>2.923599375040129E-10</v>
      </c>
      <c r="BP101">
        <f t="shared" si="65"/>
        <v>-119.86755530871191</v>
      </c>
      <c r="BQ101">
        <f>Data!$H$2*(1-BJ101)*(1-BJ101/Data!$H$3)*BN101</f>
        <v>-3.5574221016025572E-10</v>
      </c>
      <c r="BR101">
        <f t="shared" si="66"/>
        <v>120.14609768173766</v>
      </c>
      <c r="BS101">
        <f t="shared" si="67"/>
        <v>0</v>
      </c>
      <c r="BT101">
        <f t="shared" si="68"/>
        <v>0</v>
      </c>
      <c r="BU101">
        <f t="shared" si="69"/>
        <v>0</v>
      </c>
      <c r="BV101">
        <f t="shared" si="70"/>
        <v>0</v>
      </c>
      <c r="BW101">
        <f t="shared" si="84"/>
        <v>0</v>
      </c>
      <c r="BX101" t="str">
        <f t="shared" si="85"/>
        <v/>
      </c>
      <c r="BY101" s="66" t="str">
        <f t="shared" si="71"/>
        <v/>
      </c>
      <c r="BZ101" t="str">
        <f t="shared" si="72"/>
        <v/>
      </c>
      <c r="CA101" s="67" t="str">
        <f t="shared" si="73"/>
        <v/>
      </c>
    </row>
    <row r="102" spans="1:79" x14ac:dyDescent="0.25">
      <c r="A102">
        <v>8461</v>
      </c>
      <c r="B102">
        <v>45</v>
      </c>
      <c r="C102">
        <v>9715</v>
      </c>
      <c r="D102" s="3">
        <f t="shared" si="98"/>
        <v>-8.3333333333333332E-3</v>
      </c>
      <c r="E102" s="3">
        <f t="shared" si="98"/>
        <v>1.2266666666666666</v>
      </c>
      <c r="F102">
        <f>IF(A102&gt;0,IF(F101=1,1,IF(B102=Data!$H$4,1,0)),"")</f>
        <v>1</v>
      </c>
      <c r="J102" s="3"/>
      <c r="K102" s="3"/>
      <c r="O102" s="3"/>
      <c r="P102" s="3"/>
      <c r="Q102" t="str">
        <f t="shared" si="74"/>
        <v/>
      </c>
      <c r="R102" s="4" t="str">
        <f t="shared" si="75"/>
        <v/>
      </c>
      <c r="S102" t="e">
        <f t="shared" si="86"/>
        <v>#DIV/0!</v>
      </c>
      <c r="T102" t="e">
        <f t="shared" si="99"/>
        <v>#DIV/0!</v>
      </c>
      <c r="U102" s="4">
        <f t="shared" si="76"/>
        <v>0</v>
      </c>
      <c r="V102" t="e">
        <f t="shared" si="87"/>
        <v>#DIV/0!</v>
      </c>
      <c r="W102" t="e">
        <f t="shared" si="88"/>
        <v>#DIV/0!</v>
      </c>
      <c r="X102" t="e">
        <f t="shared" si="89"/>
        <v>#VALUE!</v>
      </c>
      <c r="Y102" t="e">
        <f t="shared" si="90"/>
        <v>#VALUE!</v>
      </c>
      <c r="Z102" t="e">
        <f t="shared" si="91"/>
        <v>#VALUE!</v>
      </c>
      <c r="AA102" t="e">
        <f t="shared" si="77"/>
        <v>#VALUE!</v>
      </c>
      <c r="AB102" t="str">
        <f t="shared" si="92"/>
        <v/>
      </c>
      <c r="AC102" t="str">
        <f t="shared" si="93"/>
        <v/>
      </c>
      <c r="AD102" t="str">
        <f t="shared" si="94"/>
        <v/>
      </c>
      <c r="AE102" t="str">
        <f t="shared" si="95"/>
        <v/>
      </c>
      <c r="AF102" s="72">
        <f>IF(AF101+$AF$1&gt;ROUND(Data!$H$4,0),AF101,AF101+$AF$1)</f>
        <v>70</v>
      </c>
      <c r="AG102">
        <f>IF(MATCH(AF102,$AA$3:$AA$1010,0)&lt;898,AVERAGE(AG101,AG103),VLOOKUP(AF102,$R$2:$T$301,2,FALSE))</f>
        <v>5401</v>
      </c>
      <c r="AH102">
        <f>IF(MATCH(AF102,$AA$3:$AA$1010,0)&lt;898,AVERAGE(AH101,AH103),VLOOKUP(AF102,$R$2:$T$301,3,FALSE))</f>
        <v>1148</v>
      </c>
      <c r="AI102">
        <f>IF(MATCH(AF102,$AE$3:$AE$1010,0)&lt;898,AVERAGE(AI101,AI103),VLOOKUP(AF102,$U$2:$W$301,2,FALSE))</f>
        <v>5401</v>
      </c>
      <c r="AJ102" s="67">
        <f>IF(MATCH(AF102,$AE$3:$AE$1010,0)&lt;898,AVERAGE(AJ101,AJ103),VLOOKUP(AF102,$U$2:$W$301,3,FALSE))</f>
        <v>1151</v>
      </c>
      <c r="AK102" s="4">
        <f t="shared" si="96"/>
        <v>35.000000000000142</v>
      </c>
      <c r="AL102">
        <f t="shared" si="78"/>
        <v>1201.0000000000171</v>
      </c>
      <c r="AM102">
        <f t="shared" si="79"/>
        <v>10969.666666666626</v>
      </c>
      <c r="AN102">
        <f>IF($AK101+$AK$1&lt;=Data!$H$4-0.5,AVERAGE(AM100:AM104),AN101)</f>
        <v>10966.906666666629</v>
      </c>
      <c r="AO102">
        <f t="shared" si="80"/>
        <v>9660.9999999999836</v>
      </c>
      <c r="AP102">
        <f t="shared" si="97"/>
        <v>10644.666666666655</v>
      </c>
      <c r="AQ102">
        <f>IF($AK101+$AK$1&lt;=Data!$H$4-0.5,AVERAGE(AP100:AP104),AQ101)</f>
        <v>10644.446666666654</v>
      </c>
      <c r="AR102">
        <f>IF($AK101+$AK$1&lt;=Data!$H$4-0.5,SLOPE($AN98:$AN106,$AK98:$AK106),AR101)</f>
        <v>-244.00000000001077</v>
      </c>
      <c r="AS102">
        <f>IF($AK101+$AK$1&lt;=Data!$H$4-0.5,SLOPE($AQ98:$AQ106,$AK98:$AK106),AS101)</f>
        <v>-79.500000000001592</v>
      </c>
      <c r="AT102" t="str">
        <f>IF(AND($AK102&gt;=Results!$G$13,$AK102&lt;=Results!$G$14),Curves!AR102,"")</f>
        <v/>
      </c>
      <c r="AU102" t="str">
        <f>IF(AND($AK102&gt;=Results!$G$13,$AK102&lt;=Results!$G$14),Curves!AS102,"")</f>
        <v/>
      </c>
      <c r="AV102" t="str">
        <f t="shared" si="81"/>
        <v/>
      </c>
      <c r="AW102" t="str">
        <f>IF(AND($AK102&lt;=Results!$I$21,$AK102&gt;=Results!$I$20,$AK102&lt;=Results!$F$4),$AN102,"")</f>
        <v/>
      </c>
      <c r="AX102" t="str">
        <f t="shared" si="81"/>
        <v/>
      </c>
      <c r="AY102" t="str">
        <f>IF(AND($AK102&lt;=Results!$I$23,$AK102&gt;=Results!$I$22,$AK102&gt;=Results!$F$4),$AN102,"")</f>
        <v/>
      </c>
      <c r="AZ102">
        <f t="shared" si="54"/>
        <v>35.000000000000142</v>
      </c>
      <c r="BA102">
        <f>IF(AND($AK102&lt;=Results!$I$27,$AK102&gt;=Results!$I$26,$AK102&lt;=Results!$F$4),$AQ102,"")</f>
        <v>10644.446666666654</v>
      </c>
      <c r="BB102" t="str">
        <f t="shared" si="55"/>
        <v/>
      </c>
      <c r="BC102" t="str">
        <f>IF(AND($AK102&lt;=Results!$I$29,$AK102&gt;=Results!$I$28,$AK102&gt;=Results!$F$4),$AQ102,"")</f>
        <v/>
      </c>
      <c r="BD102">
        <f t="shared" si="56"/>
        <v>10989.659541736715</v>
      </c>
      <c r="BE102">
        <f t="shared" si="57"/>
        <v>2314.4829336782582</v>
      </c>
      <c r="BF102">
        <f t="shared" si="58"/>
        <v>10633.754164705868</v>
      </c>
      <c r="BG102">
        <f t="shared" si="59"/>
        <v>1346.0107013477652</v>
      </c>
      <c r="BH102">
        <f t="shared" si="60"/>
        <v>0</v>
      </c>
      <c r="BI102">
        <f t="shared" si="61"/>
        <v>0.99737724358845326</v>
      </c>
      <c r="BJ102">
        <f t="shared" si="62"/>
        <v>1.0011512486324552</v>
      </c>
      <c r="BK102">
        <f t="shared" si="63"/>
        <v>-1.5734275226863877E-2</v>
      </c>
      <c r="BL102">
        <f t="shared" si="64"/>
        <v>-7.023086341617534E-4</v>
      </c>
      <c r="BM102">
        <f t="shared" si="82"/>
        <v>120.00000000000055</v>
      </c>
      <c r="BN102">
        <f t="shared" si="83"/>
        <v>-119.99999999999829</v>
      </c>
      <c r="BO102">
        <f>Data!$H$2*(1-BI102)*(1-BI102/Data!$H$3)*BM102</f>
        <v>1.6509242866343016E-9</v>
      </c>
      <c r="BP102">
        <f t="shared" si="65"/>
        <v>-119.68526923061495</v>
      </c>
      <c r="BQ102">
        <f>Data!$H$2*(1-BJ102)*(1-BJ102/Data!$H$3)*BN102</f>
        <v>-3.180896192951839E-10</v>
      </c>
      <c r="BR102">
        <f t="shared" si="66"/>
        <v>120.13814983589292</v>
      </c>
      <c r="BS102">
        <f t="shared" si="67"/>
        <v>0</v>
      </c>
      <c r="BT102">
        <f t="shared" si="68"/>
        <v>0</v>
      </c>
      <c r="BU102">
        <f t="shared" si="69"/>
        <v>0</v>
      </c>
      <c r="BV102">
        <f t="shared" si="70"/>
        <v>0</v>
      </c>
      <c r="BW102">
        <f t="shared" si="84"/>
        <v>0</v>
      </c>
      <c r="BX102" t="str">
        <f t="shared" si="85"/>
        <v/>
      </c>
      <c r="BY102" s="66" t="str">
        <f t="shared" si="71"/>
        <v/>
      </c>
      <c r="BZ102" t="str">
        <f t="shared" si="72"/>
        <v/>
      </c>
      <c r="CA102" s="67" t="str">
        <f t="shared" si="73"/>
        <v/>
      </c>
    </row>
    <row r="103" spans="1:79" x14ac:dyDescent="0.25">
      <c r="A103">
        <v>8581</v>
      </c>
      <c r="B103">
        <v>44</v>
      </c>
      <c r="C103">
        <v>9848</v>
      </c>
      <c r="D103" s="3">
        <f t="shared" si="98"/>
        <v>-8.3333333333333332E-3</v>
      </c>
      <c r="E103" s="3">
        <f t="shared" si="98"/>
        <v>1.0983333333333334</v>
      </c>
      <c r="F103">
        <f>IF(A103&gt;0,IF(F102=1,1,IF(B103=Data!$H$4,1,0)),"")</f>
        <v>1</v>
      </c>
      <c r="J103" s="3"/>
      <c r="K103" s="3"/>
      <c r="O103" s="3"/>
      <c r="P103" s="3"/>
      <c r="Q103" t="str">
        <f t="shared" si="74"/>
        <v/>
      </c>
      <c r="R103" s="4" t="str">
        <f t="shared" si="75"/>
        <v/>
      </c>
      <c r="S103" t="e">
        <f t="shared" si="86"/>
        <v>#DIV/0!</v>
      </c>
      <c r="T103" t="e">
        <f t="shared" si="99"/>
        <v>#DIV/0!</v>
      </c>
      <c r="U103" s="4">
        <f t="shared" si="76"/>
        <v>0</v>
      </c>
      <c r="V103" t="e">
        <f t="shared" si="87"/>
        <v>#DIV/0!</v>
      </c>
      <c r="W103" t="e">
        <f t="shared" si="88"/>
        <v>#DIV/0!</v>
      </c>
      <c r="X103" t="e">
        <f t="shared" si="89"/>
        <v>#VALUE!</v>
      </c>
      <c r="Y103" t="e">
        <f t="shared" si="90"/>
        <v>#VALUE!</v>
      </c>
      <c r="Z103" t="e">
        <f t="shared" si="91"/>
        <v>#VALUE!</v>
      </c>
      <c r="AA103" t="e">
        <f t="shared" si="77"/>
        <v>#VALUE!</v>
      </c>
      <c r="AB103" t="str">
        <f t="shared" si="92"/>
        <v/>
      </c>
      <c r="AC103" t="str">
        <f t="shared" si="93"/>
        <v/>
      </c>
      <c r="AD103" t="str">
        <f t="shared" si="94"/>
        <v/>
      </c>
      <c r="AE103" t="str">
        <f t="shared" si="95"/>
        <v/>
      </c>
      <c r="AF103" s="72">
        <f>IF(AF102+$AF$1&gt;ROUND(Data!$H$4,0),AF102,AF102+$AF$1)</f>
        <v>70</v>
      </c>
      <c r="AG103">
        <f t="shared" si="100"/>
        <v>5401</v>
      </c>
      <c r="AH103">
        <f t="shared" si="101"/>
        <v>1148</v>
      </c>
      <c r="AI103">
        <f t="shared" si="102"/>
        <v>5401</v>
      </c>
      <c r="AJ103" s="67">
        <f t="shared" si="103"/>
        <v>1151</v>
      </c>
      <c r="AK103" s="4">
        <f t="shared" si="96"/>
        <v>35.100000000000144</v>
      </c>
      <c r="AL103">
        <f t="shared" si="78"/>
        <v>1213.0000000000173</v>
      </c>
      <c r="AM103">
        <f t="shared" si="79"/>
        <v>10942.966666666625</v>
      </c>
      <c r="AN103">
        <f>IF($AK102+$AK$1&lt;=Data!$H$4-0.5,AVERAGE(AM101:AM105),AN102)</f>
        <v>10942.046666666627</v>
      </c>
      <c r="AO103">
        <f t="shared" si="80"/>
        <v>9648.9999999999836</v>
      </c>
      <c r="AP103">
        <f t="shared" si="97"/>
        <v>10636.533333333322</v>
      </c>
      <c r="AQ103">
        <f>IF($AK102+$AK$1&lt;=Data!$H$4-0.5,AVERAGE(AP101:AP105),AQ102)</f>
        <v>10636.459999999988</v>
      </c>
      <c r="AR103">
        <f>IF($AK102+$AK$1&lt;=Data!$H$4-0.5,SLOPE($AN99:$AN107,$AK99:$AK107),AR102)</f>
        <v>-250.9000000000097</v>
      </c>
      <c r="AS103">
        <f>IF($AK102+$AK$1&lt;=Data!$H$4-0.5,SLOPE($AQ99:$AQ107,$AK99:$AK107),AS102)</f>
        <v>-80.050000000001461</v>
      </c>
      <c r="AT103" t="str">
        <f>IF(AND($AK103&gt;=Results!$G$13,$AK103&lt;=Results!$G$14),Curves!AR103,"")</f>
        <v/>
      </c>
      <c r="AU103" t="str">
        <f>IF(AND($AK103&gt;=Results!$G$13,$AK103&lt;=Results!$G$14),Curves!AS103,"")</f>
        <v/>
      </c>
      <c r="AV103" t="str">
        <f t="shared" si="81"/>
        <v/>
      </c>
      <c r="AW103" t="str">
        <f>IF(AND($AK103&lt;=Results!$I$21,$AK103&gt;=Results!$I$20,$AK103&lt;=Results!$F$4),$AN103,"")</f>
        <v/>
      </c>
      <c r="AX103" t="str">
        <f t="shared" si="81"/>
        <v/>
      </c>
      <c r="AY103" t="str">
        <f>IF(AND($AK103&lt;=Results!$I$23,$AK103&gt;=Results!$I$22,$AK103&gt;=Results!$F$4),$AN103,"")</f>
        <v/>
      </c>
      <c r="AZ103">
        <f t="shared" si="54"/>
        <v>35.100000000000144</v>
      </c>
      <c r="BA103">
        <f>IF(AND($AK103&lt;=Results!$I$27,$AK103&gt;=Results!$I$26,$AK103&lt;=Results!$F$4),$AQ103,"")</f>
        <v>10636.459999999988</v>
      </c>
      <c r="BB103" t="str">
        <f t="shared" si="55"/>
        <v/>
      </c>
      <c r="BC103" t="str">
        <f>IF(AND($AK103&lt;=Results!$I$29,$AK103&gt;=Results!$I$28,$AK103&gt;=Results!$F$4),$AQ103,"")</f>
        <v/>
      </c>
      <c r="BD103">
        <f t="shared" si="56"/>
        <v>10978.889346938795</v>
      </c>
      <c r="BE103">
        <f t="shared" si="57"/>
        <v>2311.1671444289377</v>
      </c>
      <c r="BF103">
        <f t="shared" si="58"/>
        <v>10626.464182472975</v>
      </c>
      <c r="BG103">
        <f t="shared" si="59"/>
        <v>1345.4599003882404</v>
      </c>
      <c r="BH103">
        <f t="shared" si="60"/>
        <v>0</v>
      </c>
      <c r="BI103">
        <f t="shared" si="61"/>
        <v>0.99574943919389802</v>
      </c>
      <c r="BJ103">
        <f t="shared" si="62"/>
        <v>1.001077018954329</v>
      </c>
      <c r="BK103">
        <f t="shared" si="63"/>
        <v>-1.6823216826091541E-2</v>
      </c>
      <c r="BL103">
        <f t="shared" si="64"/>
        <v>-7.8237210099917358E-4</v>
      </c>
      <c r="BM103">
        <f t="shared" si="82"/>
        <v>119.99999999999942</v>
      </c>
      <c r="BN103">
        <f t="shared" si="83"/>
        <v>-120.00000000000739</v>
      </c>
      <c r="BO103">
        <f>Data!$H$2*(1-BI103)*(1-BI103/Data!$H$3)*BM103</f>
        <v>4.3361441199288493E-9</v>
      </c>
      <c r="BP103">
        <f t="shared" si="65"/>
        <v>-119.48993270326719</v>
      </c>
      <c r="BQ103">
        <f>Data!$H$2*(1-BJ103)*(1-BJ103/Data!$H$3)*BN103</f>
        <v>-2.7839275871615572E-10</v>
      </c>
      <c r="BR103">
        <f t="shared" si="66"/>
        <v>120.12924227452687</v>
      </c>
      <c r="BS103">
        <f t="shared" si="67"/>
        <v>0</v>
      </c>
      <c r="BT103">
        <f t="shared" si="68"/>
        <v>0</v>
      </c>
      <c r="BU103">
        <f t="shared" si="69"/>
        <v>0</v>
      </c>
      <c r="BV103">
        <f t="shared" si="70"/>
        <v>0</v>
      </c>
      <c r="BW103">
        <f t="shared" si="84"/>
        <v>0</v>
      </c>
      <c r="BX103" t="str">
        <f t="shared" si="85"/>
        <v/>
      </c>
      <c r="BY103" s="66" t="str">
        <f t="shared" si="71"/>
        <v/>
      </c>
      <c r="BZ103" t="str">
        <f t="shared" si="72"/>
        <v/>
      </c>
      <c r="CA103" s="67" t="str">
        <f t="shared" si="73"/>
        <v/>
      </c>
    </row>
    <row r="104" spans="1:79" x14ac:dyDescent="0.25">
      <c r="A104">
        <v>8701</v>
      </c>
      <c r="B104">
        <v>43</v>
      </c>
      <c r="C104">
        <v>9973</v>
      </c>
      <c r="D104" s="3">
        <f t="shared" si="98"/>
        <v>-8.3333333333333332E-3</v>
      </c>
      <c r="E104" s="3">
        <f t="shared" si="98"/>
        <v>1.0166666666666666</v>
      </c>
      <c r="F104">
        <f>IF(A104&gt;0,IF(F103=1,1,IF(B104=Data!$H$4,1,0)),"")</f>
        <v>1</v>
      </c>
      <c r="J104" s="3"/>
      <c r="K104" s="3"/>
      <c r="O104" s="3"/>
      <c r="P104" s="3"/>
      <c r="Q104" t="str">
        <f t="shared" si="74"/>
        <v/>
      </c>
      <c r="R104" s="4" t="str">
        <f t="shared" si="75"/>
        <v/>
      </c>
      <c r="S104" t="e">
        <f t="shared" si="86"/>
        <v>#DIV/0!</v>
      </c>
      <c r="T104" t="e">
        <f t="shared" si="99"/>
        <v>#DIV/0!</v>
      </c>
      <c r="U104" s="4">
        <f t="shared" si="76"/>
        <v>0</v>
      </c>
      <c r="V104" t="e">
        <f t="shared" si="87"/>
        <v>#DIV/0!</v>
      </c>
      <c r="W104" t="e">
        <f t="shared" si="88"/>
        <v>#DIV/0!</v>
      </c>
      <c r="X104" t="e">
        <f t="shared" si="89"/>
        <v>#VALUE!</v>
      </c>
      <c r="Y104" t="e">
        <f t="shared" si="90"/>
        <v>#VALUE!</v>
      </c>
      <c r="Z104" t="e">
        <f t="shared" si="91"/>
        <v>#VALUE!</v>
      </c>
      <c r="AA104" t="e">
        <f t="shared" si="77"/>
        <v>#VALUE!</v>
      </c>
      <c r="AB104" t="str">
        <f t="shared" si="92"/>
        <v/>
      </c>
      <c r="AC104" t="str">
        <f t="shared" si="93"/>
        <v/>
      </c>
      <c r="AD104" t="str">
        <f t="shared" si="94"/>
        <v/>
      </c>
      <c r="AE104" t="str">
        <f t="shared" si="95"/>
        <v/>
      </c>
      <c r="AF104" s="72">
        <f>IF(AF103+$AF$1&gt;ROUND(Data!$H$4,0),AF103,AF103+$AF$1)</f>
        <v>70</v>
      </c>
      <c r="AG104">
        <f>IF(MATCH(AF104,$AA$3:$AA$1010,0)&lt;898,AVERAGE(AG103,AG105),VLOOKUP(AF104,$R$2:$T$301,2,FALSE))</f>
        <v>5401</v>
      </c>
      <c r="AH104">
        <f>IF(MATCH(AF104,$AA$3:$AA$1010,0)&lt;898,AVERAGE(AH103,AH105),VLOOKUP(AF104,$R$2:$T$301,3,FALSE))</f>
        <v>1148</v>
      </c>
      <c r="AI104">
        <f>IF(MATCH(AF104,$AE$3:$AE$1010,0)&lt;898,AVERAGE(AI103,AI105),VLOOKUP(AF104,$U$2:$W$301,2,FALSE))</f>
        <v>5401</v>
      </c>
      <c r="AJ104" s="67">
        <f>IF(MATCH(AF104,$AE$3:$AE$1010,0)&lt;898,AVERAGE(AJ103,AJ105),VLOOKUP(AF104,$U$2:$W$301,3,FALSE))</f>
        <v>1151</v>
      </c>
      <c r="AK104" s="4">
        <f t="shared" si="96"/>
        <v>35.200000000000145</v>
      </c>
      <c r="AL104">
        <f t="shared" si="78"/>
        <v>1225.0000000000173</v>
      </c>
      <c r="AM104">
        <f t="shared" si="79"/>
        <v>10916.266666666626</v>
      </c>
      <c r="AN104">
        <f>IF($AK103+$AK$1&lt;=Data!$H$4-0.5,AVERAGE(AM102:AM106),AN103)</f>
        <v>10916.266666666625</v>
      </c>
      <c r="AO104">
        <f t="shared" si="80"/>
        <v>9636.9999999999818</v>
      </c>
      <c r="AP104">
        <f t="shared" si="97"/>
        <v>10628.399999999989</v>
      </c>
      <c r="AQ104">
        <f>IF($AK103+$AK$1&lt;=Data!$H$4-0.5,AVERAGE(AP102:AP106),AQ103)</f>
        <v>10628.399999999989</v>
      </c>
      <c r="AR104">
        <f>IF($AK103+$AK$1&lt;=Data!$H$4-0.5,SLOPE($AN100:$AN108,$AK100:$AK108),AR103)</f>
        <v>-257.03333333334098</v>
      </c>
      <c r="AS104">
        <f>IF($AK103+$AK$1&lt;=Data!$H$4-0.5,SLOPE($AQ100:$AQ108,$AK100:$AK108),AS103)</f>
        <v>-80.538888888889616</v>
      </c>
      <c r="AT104" t="str">
        <f>IF(AND($AK104&gt;=Results!$G$13,$AK104&lt;=Results!$G$14),Curves!AR104,"")</f>
        <v/>
      </c>
      <c r="AU104" t="str">
        <f>IF(AND($AK104&gt;=Results!$G$13,$AK104&lt;=Results!$G$14),Curves!AS104,"")</f>
        <v/>
      </c>
      <c r="AV104" t="str">
        <f t="shared" si="81"/>
        <v/>
      </c>
      <c r="AW104" t="str">
        <f>IF(AND($AK104&lt;=Results!$I$21,$AK104&gt;=Results!$I$20,$AK104&lt;=Results!$F$4),$AN104,"")</f>
        <v/>
      </c>
      <c r="AX104" t="str">
        <f t="shared" si="81"/>
        <v/>
      </c>
      <c r="AY104" t="str">
        <f>IF(AND($AK104&lt;=Results!$I$23,$AK104&gt;=Results!$I$22,$AK104&gt;=Results!$F$4),$AN104,"")</f>
        <v/>
      </c>
      <c r="AZ104">
        <f t="shared" si="54"/>
        <v>35.200000000000145</v>
      </c>
      <c r="BA104">
        <f>IF(AND($AK104&lt;=Results!$I$27,$AK104&gt;=Results!$I$26,$AK104&lt;=Results!$F$4),$AQ104,"")</f>
        <v>10628.399999999989</v>
      </c>
      <c r="BB104" t="str">
        <f t="shared" si="55"/>
        <v/>
      </c>
      <c r="BC104" t="str">
        <f>IF(AND($AK104&lt;=Results!$I$29,$AK104&gt;=Results!$I$28,$AK104&gt;=Results!$F$4),$AQ104,"")</f>
        <v/>
      </c>
      <c r="BD104">
        <f t="shared" si="56"/>
        <v>10968.119152140876</v>
      </c>
      <c r="BE104">
        <f t="shared" si="57"/>
        <v>2307.8513551796168</v>
      </c>
      <c r="BF104">
        <f t="shared" si="58"/>
        <v>10619.174200240082</v>
      </c>
      <c r="BG104">
        <f t="shared" si="59"/>
        <v>1344.9090994287153</v>
      </c>
      <c r="BH104">
        <f t="shared" si="60"/>
        <v>0</v>
      </c>
      <c r="BI104">
        <f t="shared" si="61"/>
        <v>0.9940126002232349</v>
      </c>
      <c r="BJ104">
        <f t="shared" si="62"/>
        <v>1.0009947742122554</v>
      </c>
      <c r="BK104">
        <f t="shared" si="63"/>
        <v>-1.7914971587764419E-2</v>
      </c>
      <c r="BL104">
        <f t="shared" si="64"/>
        <v>-8.6261016666865239E-4</v>
      </c>
      <c r="BM104">
        <f t="shared" si="82"/>
        <v>119.99999999999942</v>
      </c>
      <c r="BN104">
        <f t="shared" si="83"/>
        <v>-120.00000000000739</v>
      </c>
      <c r="BO104">
        <f>Data!$H$2*(1-BI104)*(1-BI104/Data!$H$3)*BM104</f>
        <v>8.6037494608335853E-9</v>
      </c>
      <c r="BP104">
        <f t="shared" si="65"/>
        <v>-119.28151202678761</v>
      </c>
      <c r="BQ104">
        <f>Data!$H$2*(1-BJ104)*(1-BJ104/Data!$H$3)*BN104</f>
        <v>-2.3749817600839799E-10</v>
      </c>
      <c r="BR104">
        <f t="shared" si="66"/>
        <v>120.11937290547804</v>
      </c>
      <c r="BS104">
        <f t="shared" si="67"/>
        <v>0</v>
      </c>
      <c r="BT104">
        <f t="shared" si="68"/>
        <v>0</v>
      </c>
      <c r="BU104">
        <f t="shared" si="69"/>
        <v>0</v>
      </c>
      <c r="BV104">
        <f t="shared" si="70"/>
        <v>0</v>
      </c>
      <c r="BW104">
        <f t="shared" si="84"/>
        <v>0</v>
      </c>
      <c r="BX104" t="str">
        <f t="shared" si="85"/>
        <v/>
      </c>
      <c r="BY104" s="66" t="str">
        <f t="shared" si="71"/>
        <v/>
      </c>
      <c r="BZ104" t="str">
        <f t="shared" si="72"/>
        <v/>
      </c>
      <c r="CA104" s="67" t="str">
        <f t="shared" si="73"/>
        <v/>
      </c>
    </row>
    <row r="105" spans="1:79" x14ac:dyDescent="0.25">
      <c r="A105">
        <v>8821</v>
      </c>
      <c r="B105">
        <v>42</v>
      </c>
      <c r="C105">
        <v>10092</v>
      </c>
      <c r="D105" s="3">
        <f t="shared" si="98"/>
        <v>-8.3333333333333332E-3</v>
      </c>
      <c r="E105" s="3">
        <f t="shared" si="98"/>
        <v>0.97333333333333338</v>
      </c>
      <c r="F105">
        <f>IF(A105&gt;0,IF(F104=1,1,IF(B105=Data!$H$4,1,0)),"")</f>
        <v>1</v>
      </c>
      <c r="J105" s="3"/>
      <c r="K105" s="3"/>
      <c r="O105" s="3"/>
      <c r="P105" s="3"/>
      <c r="Q105" t="str">
        <f t="shared" si="74"/>
        <v/>
      </c>
      <c r="R105" s="4" t="str">
        <f t="shared" si="75"/>
        <v/>
      </c>
      <c r="S105" t="e">
        <f t="shared" si="86"/>
        <v>#DIV/0!</v>
      </c>
      <c r="T105" t="e">
        <f t="shared" si="99"/>
        <v>#DIV/0!</v>
      </c>
      <c r="U105" s="4">
        <f t="shared" si="76"/>
        <v>0</v>
      </c>
      <c r="V105" t="e">
        <f t="shared" si="87"/>
        <v>#DIV/0!</v>
      </c>
      <c r="W105" t="e">
        <f t="shared" si="88"/>
        <v>#DIV/0!</v>
      </c>
      <c r="X105" t="e">
        <f t="shared" si="89"/>
        <v>#VALUE!</v>
      </c>
      <c r="Y105" t="e">
        <f t="shared" si="90"/>
        <v>#VALUE!</v>
      </c>
      <c r="Z105" t="e">
        <f t="shared" si="91"/>
        <v>#VALUE!</v>
      </c>
      <c r="AA105" t="e">
        <f t="shared" si="77"/>
        <v>#VALUE!</v>
      </c>
      <c r="AB105" t="str">
        <f t="shared" si="92"/>
        <v/>
      </c>
      <c r="AC105" t="str">
        <f t="shared" si="93"/>
        <v/>
      </c>
      <c r="AD105" t="str">
        <f t="shared" si="94"/>
        <v/>
      </c>
      <c r="AE105" t="str">
        <f t="shared" si="95"/>
        <v/>
      </c>
      <c r="AF105" s="72">
        <f>IF(AF104+$AF$1&gt;ROUND(Data!$H$4,0),AF104,AF104+$AF$1)</f>
        <v>70</v>
      </c>
      <c r="AG105">
        <f t="shared" si="100"/>
        <v>5401</v>
      </c>
      <c r="AH105">
        <f t="shared" si="101"/>
        <v>1148</v>
      </c>
      <c r="AI105">
        <f t="shared" si="102"/>
        <v>5401</v>
      </c>
      <c r="AJ105" s="67">
        <f t="shared" si="103"/>
        <v>1151</v>
      </c>
      <c r="AK105" s="4">
        <f t="shared" si="96"/>
        <v>35.300000000000146</v>
      </c>
      <c r="AL105">
        <f t="shared" si="78"/>
        <v>1237.0000000000175</v>
      </c>
      <c r="AM105">
        <f t="shared" si="79"/>
        <v>10889.566666666626</v>
      </c>
      <c r="AN105">
        <f>IF($AK104+$AK$1&lt;=Data!$H$4-0.5,AVERAGE(AM103:AM107),AN104)</f>
        <v>10889.566666666626</v>
      </c>
      <c r="AO105">
        <f t="shared" si="80"/>
        <v>9624.9999999999818</v>
      </c>
      <c r="AP105">
        <f t="shared" si="97"/>
        <v>10620.266666666654</v>
      </c>
      <c r="AQ105">
        <f>IF($AK104+$AK$1&lt;=Data!$H$4-0.5,AVERAGE(AP103:AP107),AQ104)</f>
        <v>10620.266666666654</v>
      </c>
      <c r="AR105">
        <f>IF($AK104+$AK$1&lt;=Data!$H$4-0.5,SLOPE($AN101:$AN109,$AK101:$AK109),AR104)</f>
        <v>-261.63333333333952</v>
      </c>
      <c r="AS105">
        <f>IF($AK104+$AK$1&lt;=Data!$H$4-0.5,SLOPE($AQ101:$AQ109,$AK101:$AK109),AS104)</f>
        <v>-80.905555555556376</v>
      </c>
      <c r="AT105" t="str">
        <f>IF(AND($AK105&gt;=Results!$G$13,$AK105&lt;=Results!$G$14),Curves!AR105,"")</f>
        <v/>
      </c>
      <c r="AU105" t="str">
        <f>IF(AND($AK105&gt;=Results!$G$13,$AK105&lt;=Results!$G$14),Curves!AS105,"")</f>
        <v/>
      </c>
      <c r="AV105" t="str">
        <f t="shared" si="81"/>
        <v/>
      </c>
      <c r="AW105" t="str">
        <f>IF(AND($AK105&lt;=Results!$I$21,$AK105&gt;=Results!$I$20,$AK105&lt;=Results!$F$4),$AN105,"")</f>
        <v/>
      </c>
      <c r="AX105" t="str">
        <f t="shared" si="81"/>
        <v/>
      </c>
      <c r="AY105" t="str">
        <f>IF(AND($AK105&lt;=Results!$I$23,$AK105&gt;=Results!$I$22,$AK105&gt;=Results!$F$4),$AN105,"")</f>
        <v/>
      </c>
      <c r="AZ105">
        <f t="shared" si="54"/>
        <v>35.300000000000146</v>
      </c>
      <c r="BA105">
        <f>IF(AND($AK105&lt;=Results!$I$27,$AK105&gt;=Results!$I$26,$AK105&lt;=Results!$F$4),$AQ105,"")</f>
        <v>10620.266666666654</v>
      </c>
      <c r="BB105" t="str">
        <f t="shared" si="55"/>
        <v/>
      </c>
      <c r="BC105" t="str">
        <f>IF(AND($AK105&lt;=Results!$I$29,$AK105&gt;=Results!$I$28,$AK105&gt;=Results!$F$4),$AQ105,"")</f>
        <v/>
      </c>
      <c r="BD105">
        <f t="shared" si="56"/>
        <v>10957.348957342956</v>
      </c>
      <c r="BE105">
        <f t="shared" si="57"/>
        <v>2304.5355659302959</v>
      </c>
      <c r="BF105">
        <f t="shared" si="58"/>
        <v>10611.884218007188</v>
      </c>
      <c r="BG105">
        <f t="shared" si="59"/>
        <v>1344.3582984691902</v>
      </c>
      <c r="BH105">
        <f t="shared" si="60"/>
        <v>0</v>
      </c>
      <c r="BI105">
        <f t="shared" si="61"/>
        <v>0.99216644487634509</v>
      </c>
      <c r="BJ105">
        <f t="shared" si="62"/>
        <v>1.0009044969209953</v>
      </c>
      <c r="BK105">
        <f t="shared" si="63"/>
        <v>-1.8477471825422989E-2</v>
      </c>
      <c r="BL105">
        <f t="shared" si="64"/>
        <v>-9.0342987085655177E-4</v>
      </c>
      <c r="BM105">
        <f t="shared" si="82"/>
        <v>120.00000000000055</v>
      </c>
      <c r="BN105">
        <f t="shared" si="83"/>
        <v>-119.99999999999829</v>
      </c>
      <c r="BO105">
        <f>Data!$H$2*(1-BI105)*(1-BI105/Data!$H$3)*BM105</f>
        <v>1.4727500610081695E-8</v>
      </c>
      <c r="BP105">
        <f t="shared" si="65"/>
        <v>-119.05997338516197</v>
      </c>
      <c r="BQ105">
        <f>Data!$H$2*(1-BJ105)*(1-BJ105/Data!$H$3)*BN105</f>
        <v>-1.963475232215732E-10</v>
      </c>
      <c r="BR105">
        <f t="shared" si="66"/>
        <v>120.10853963051773</v>
      </c>
      <c r="BS105">
        <f t="shared" si="67"/>
        <v>0</v>
      </c>
      <c r="BT105">
        <f t="shared" si="68"/>
        <v>0</v>
      </c>
      <c r="BU105">
        <f t="shared" si="69"/>
        <v>0</v>
      </c>
      <c r="BV105">
        <f t="shared" si="70"/>
        <v>0</v>
      </c>
      <c r="BW105">
        <f t="shared" si="84"/>
        <v>0</v>
      </c>
      <c r="BX105" t="str">
        <f t="shared" si="85"/>
        <v/>
      </c>
      <c r="BY105" s="66" t="str">
        <f t="shared" si="71"/>
        <v/>
      </c>
      <c r="BZ105" t="str">
        <f t="shared" si="72"/>
        <v/>
      </c>
      <c r="CA105" s="67" t="str">
        <f t="shared" si="73"/>
        <v/>
      </c>
    </row>
    <row r="106" spans="1:79" x14ac:dyDescent="0.25">
      <c r="A106">
        <v>8941</v>
      </c>
      <c r="B106">
        <v>41</v>
      </c>
      <c r="C106">
        <v>10203</v>
      </c>
      <c r="D106" s="3">
        <f t="shared" si="98"/>
        <v>-8.3333333333333332E-3</v>
      </c>
      <c r="E106" s="3">
        <f t="shared" si="98"/>
        <v>0.77416666666666667</v>
      </c>
      <c r="F106">
        <f>IF(A106&gt;0,IF(F105=1,1,IF(B106=Data!$H$4,1,0)),"")</f>
        <v>1</v>
      </c>
      <c r="J106" s="3"/>
      <c r="K106" s="3"/>
      <c r="O106" s="3"/>
      <c r="P106" s="3"/>
      <c r="Q106" t="str">
        <f t="shared" si="74"/>
        <v/>
      </c>
      <c r="R106" s="4" t="str">
        <f t="shared" si="75"/>
        <v/>
      </c>
      <c r="S106" t="e">
        <f t="shared" si="86"/>
        <v>#DIV/0!</v>
      </c>
      <c r="T106" t="e">
        <f t="shared" si="99"/>
        <v>#DIV/0!</v>
      </c>
      <c r="U106" s="4">
        <f t="shared" si="76"/>
        <v>0</v>
      </c>
      <c r="V106" t="e">
        <f t="shared" si="87"/>
        <v>#DIV/0!</v>
      </c>
      <c r="W106" t="e">
        <f t="shared" si="88"/>
        <v>#DIV/0!</v>
      </c>
      <c r="X106" t="e">
        <f t="shared" si="89"/>
        <v>#VALUE!</v>
      </c>
      <c r="Y106" t="e">
        <f t="shared" si="90"/>
        <v>#VALUE!</v>
      </c>
      <c r="Z106" t="e">
        <f t="shared" si="91"/>
        <v>#VALUE!</v>
      </c>
      <c r="AA106" t="e">
        <f t="shared" si="77"/>
        <v>#VALUE!</v>
      </c>
      <c r="AB106" t="str">
        <f t="shared" si="92"/>
        <v/>
      </c>
      <c r="AC106" t="str">
        <f t="shared" si="93"/>
        <v/>
      </c>
      <c r="AD106" t="str">
        <f t="shared" si="94"/>
        <v/>
      </c>
      <c r="AE106" t="str">
        <f t="shared" si="95"/>
        <v/>
      </c>
      <c r="AF106" s="72">
        <f>IF(AF105+$AF$1&gt;ROUND(Data!$H$4,0),AF105,AF105+$AF$1)</f>
        <v>70</v>
      </c>
      <c r="AG106">
        <f>IF(MATCH(AF106,$AA$3:$AA$1010,0)&lt;898,AVERAGE(AG105,AG107),VLOOKUP(AF106,$R$2:$T$301,2,FALSE))</f>
        <v>5401</v>
      </c>
      <c r="AH106">
        <f>IF(MATCH(AF106,$AA$3:$AA$1010,0)&lt;898,AVERAGE(AH105,AH107),VLOOKUP(AF106,$R$2:$T$301,3,FALSE))</f>
        <v>1148</v>
      </c>
      <c r="AI106">
        <f>IF(MATCH(AF106,$AE$3:$AE$1010,0)&lt;898,AVERAGE(AI105,AI107),VLOOKUP(AF106,$U$2:$W$301,2,FALSE))</f>
        <v>5401</v>
      </c>
      <c r="AJ106" s="67">
        <f>IF(MATCH(AF106,$AE$3:$AE$1010,0)&lt;898,AVERAGE(AJ105,AJ107),VLOOKUP(AF106,$U$2:$W$301,3,FALSE))</f>
        <v>1151</v>
      </c>
      <c r="AK106" s="4">
        <f t="shared" si="96"/>
        <v>35.400000000000148</v>
      </c>
      <c r="AL106">
        <f t="shared" si="78"/>
        <v>1249.0000000000177</v>
      </c>
      <c r="AM106">
        <f t="shared" si="79"/>
        <v>10862.866666666625</v>
      </c>
      <c r="AN106">
        <f>IF($AK105+$AK$1&lt;=Data!$H$4-0.5,AVERAGE(AM104:AM108),AN105)</f>
        <v>10862.866666666625</v>
      </c>
      <c r="AO106">
        <f t="shared" si="80"/>
        <v>9612.9999999999818</v>
      </c>
      <c r="AP106">
        <f t="shared" si="97"/>
        <v>10612.13333333332</v>
      </c>
      <c r="AQ106">
        <f>IF($AK105+$AK$1&lt;=Data!$H$4-0.5,AVERAGE(AP104:AP108),AQ105)</f>
        <v>10612.13333333332</v>
      </c>
      <c r="AR106">
        <f>IF($AK105+$AK$1&lt;=Data!$H$4-0.5,SLOPE($AN102:$AN110,$AK102:$AK110),AR105)</f>
        <v>-264.70000000000516</v>
      </c>
      <c r="AS106">
        <f>IF($AK105+$AK$1&lt;=Data!$H$4-0.5,SLOPE($AQ102:$AQ110,$AK102:$AK110),AS105)</f>
        <v>-81.149999999999395</v>
      </c>
      <c r="AT106" t="str">
        <f>IF(AND($AK106&gt;=Results!$G$13,$AK106&lt;=Results!$G$14),Curves!AR106,"")</f>
        <v/>
      </c>
      <c r="AU106" t="str">
        <f>IF(AND($AK106&gt;=Results!$G$13,$AK106&lt;=Results!$G$14),Curves!AS106,"")</f>
        <v/>
      </c>
      <c r="AV106" t="str">
        <f t="shared" si="81"/>
        <v/>
      </c>
      <c r="AW106" t="str">
        <f>IF(AND($AK106&lt;=Results!$I$21,$AK106&gt;=Results!$I$20,$AK106&lt;=Results!$F$4),$AN106,"")</f>
        <v/>
      </c>
      <c r="AX106" t="str">
        <f t="shared" si="81"/>
        <v/>
      </c>
      <c r="AY106" t="str">
        <f>IF(AND($AK106&lt;=Results!$I$23,$AK106&gt;=Results!$I$22,$AK106&gt;=Results!$F$4),$AN106,"")</f>
        <v/>
      </c>
      <c r="AZ106">
        <f t="shared" si="54"/>
        <v>35.400000000000148</v>
      </c>
      <c r="BA106">
        <f>IF(AND($AK106&lt;=Results!$I$27,$AK106&gt;=Results!$I$26,$AK106&lt;=Results!$F$4),$AQ106,"")</f>
        <v>10612.13333333332</v>
      </c>
      <c r="BB106" t="str">
        <f t="shared" si="55"/>
        <v/>
      </c>
      <c r="BC106" t="str">
        <f>IF(AND($AK106&lt;=Results!$I$29,$AK106&gt;=Results!$I$28,$AK106&gt;=Results!$F$4),$AQ106,"")</f>
        <v/>
      </c>
      <c r="BD106">
        <f t="shared" si="56"/>
        <v>10946.578762545036</v>
      </c>
      <c r="BE106">
        <f t="shared" si="57"/>
        <v>2301.219776680975</v>
      </c>
      <c r="BF106">
        <f t="shared" si="58"/>
        <v>10604.594235774295</v>
      </c>
      <c r="BG106">
        <f t="shared" si="59"/>
        <v>1343.8074975096654</v>
      </c>
      <c r="BH106">
        <f t="shared" si="60"/>
        <v>0</v>
      </c>
      <c r="BI106">
        <f t="shared" si="61"/>
        <v>0.99031710585815025</v>
      </c>
      <c r="BJ106">
        <f t="shared" si="62"/>
        <v>1.000814088238084</v>
      </c>
      <c r="BK106">
        <f t="shared" si="63"/>
        <v>-1.8509349750510953E-2</v>
      </c>
      <c r="BL106">
        <f t="shared" si="64"/>
        <v>-9.047452226418212E-4</v>
      </c>
      <c r="BM106">
        <f t="shared" si="82"/>
        <v>120.00000000000055</v>
      </c>
      <c r="BN106">
        <f t="shared" si="83"/>
        <v>-119.99999999999829</v>
      </c>
      <c r="BO106">
        <f>Data!$H$2*(1-BI106)*(1-BI106/Data!$H$3)*BM106</f>
        <v>2.2502025350944481E-8</v>
      </c>
      <c r="BP106">
        <f t="shared" si="65"/>
        <v>-118.83805270297857</v>
      </c>
      <c r="BQ106">
        <f>Data!$H$2*(1-BJ106)*(1-BJ106/Data!$H$3)*BN106</f>
        <v>-1.5905751825282532E-10</v>
      </c>
      <c r="BR106">
        <f t="shared" si="66"/>
        <v>120.09769058856838</v>
      </c>
      <c r="BS106">
        <f t="shared" si="67"/>
        <v>0</v>
      </c>
      <c r="BT106">
        <f t="shared" si="68"/>
        <v>0</v>
      </c>
      <c r="BU106">
        <f t="shared" si="69"/>
        <v>0</v>
      </c>
      <c r="BV106">
        <f t="shared" si="70"/>
        <v>0</v>
      </c>
      <c r="BW106">
        <f t="shared" si="84"/>
        <v>0</v>
      </c>
      <c r="BX106" t="str">
        <f t="shared" si="85"/>
        <v/>
      </c>
      <c r="BY106" s="66" t="str">
        <f t="shared" si="71"/>
        <v/>
      </c>
      <c r="BZ106" t="str">
        <f t="shared" si="72"/>
        <v/>
      </c>
      <c r="CA106" s="67" t="str">
        <f t="shared" si="73"/>
        <v/>
      </c>
    </row>
    <row r="107" spans="1:79" x14ac:dyDescent="0.25">
      <c r="A107">
        <v>9061</v>
      </c>
      <c r="B107">
        <v>40</v>
      </c>
      <c r="C107">
        <v>10317</v>
      </c>
      <c r="D107" s="3">
        <f t="shared" si="98"/>
        <v>-8.3333333333333332E-3</v>
      </c>
      <c r="E107" s="3">
        <f t="shared" si="98"/>
        <v>0.61833333333333329</v>
      </c>
      <c r="F107">
        <f>IF(A107&gt;0,IF(F106=1,1,IF(B107=Data!$H$4,1,0)),"")</f>
        <v>1</v>
      </c>
      <c r="J107" s="3"/>
      <c r="K107" s="3"/>
      <c r="O107" s="3"/>
      <c r="P107" s="3"/>
      <c r="Q107" t="str">
        <f t="shared" si="74"/>
        <v/>
      </c>
      <c r="R107" s="4" t="str">
        <f t="shared" si="75"/>
        <v/>
      </c>
      <c r="S107" t="e">
        <f t="shared" si="86"/>
        <v>#DIV/0!</v>
      </c>
      <c r="T107" t="e">
        <f t="shared" si="99"/>
        <v>#DIV/0!</v>
      </c>
      <c r="U107" s="4">
        <f t="shared" si="76"/>
        <v>0</v>
      </c>
      <c r="V107" t="e">
        <f t="shared" si="87"/>
        <v>#DIV/0!</v>
      </c>
      <c r="W107" t="e">
        <f t="shared" si="88"/>
        <v>#DIV/0!</v>
      </c>
      <c r="X107" t="e">
        <f t="shared" si="89"/>
        <v>#VALUE!</v>
      </c>
      <c r="Y107" t="e">
        <f t="shared" si="90"/>
        <v>#VALUE!</v>
      </c>
      <c r="Z107" t="e">
        <f t="shared" si="91"/>
        <v>#VALUE!</v>
      </c>
      <c r="AA107" t="e">
        <f t="shared" si="77"/>
        <v>#VALUE!</v>
      </c>
      <c r="AB107" t="str">
        <f t="shared" si="92"/>
        <v/>
      </c>
      <c r="AC107" t="str">
        <f t="shared" si="93"/>
        <v/>
      </c>
      <c r="AD107" t="str">
        <f t="shared" si="94"/>
        <v/>
      </c>
      <c r="AE107" t="str">
        <f t="shared" si="95"/>
        <v/>
      </c>
      <c r="AF107" s="72">
        <f>IF(AF106+$AF$1&gt;ROUND(Data!$H$4,0),AF106,AF106+$AF$1)</f>
        <v>70</v>
      </c>
      <c r="AG107">
        <f t="shared" si="100"/>
        <v>5401</v>
      </c>
      <c r="AH107">
        <f t="shared" si="101"/>
        <v>1148</v>
      </c>
      <c r="AI107">
        <f t="shared" si="102"/>
        <v>5401</v>
      </c>
      <c r="AJ107" s="67">
        <f t="shared" si="103"/>
        <v>1151</v>
      </c>
      <c r="AK107" s="4">
        <f t="shared" si="96"/>
        <v>35.500000000000149</v>
      </c>
      <c r="AL107">
        <f t="shared" si="78"/>
        <v>1261.000000000018</v>
      </c>
      <c r="AM107">
        <f t="shared" si="79"/>
        <v>10836.166666666624</v>
      </c>
      <c r="AN107">
        <f>IF($AK106+$AK$1&lt;=Data!$H$4-0.5,AVERAGE(AM105:AM109),AN106)</f>
        <v>10836.166666666624</v>
      </c>
      <c r="AO107">
        <f t="shared" si="80"/>
        <v>9600.9999999999818</v>
      </c>
      <c r="AP107">
        <f t="shared" si="97"/>
        <v>10603.999999999987</v>
      </c>
      <c r="AQ107">
        <f>IF($AK106+$AK$1&lt;=Data!$H$4-0.5,AVERAGE(AP105:AP109),AQ106)</f>
        <v>10603.999999999987</v>
      </c>
      <c r="AR107">
        <f>IF($AK106+$AK$1&lt;=Data!$H$4-0.5,SLOPE($AN103:$AN111,$AK103:$AK111),AR106)</f>
        <v>-267.76888888889505</v>
      </c>
      <c r="AS107">
        <f>IF($AK106+$AK$1&lt;=Data!$H$4-0.5,SLOPE($AQ103:$AQ111,$AK103:$AK111),AS106)</f>
        <v>-81.288888888888081</v>
      </c>
      <c r="AT107" t="str">
        <f>IF(AND($AK107&gt;=Results!$G$13,$AK107&lt;=Results!$G$14),Curves!AR107,"")</f>
        <v/>
      </c>
      <c r="AU107" t="str">
        <f>IF(AND($AK107&gt;=Results!$G$13,$AK107&lt;=Results!$G$14),Curves!AS107,"")</f>
        <v/>
      </c>
      <c r="AV107" t="str">
        <f t="shared" si="81"/>
        <v/>
      </c>
      <c r="AW107" t="str">
        <f>IF(AND($AK107&lt;=Results!$I$21,$AK107&gt;=Results!$I$20,$AK107&lt;=Results!$F$4),$AN107,"")</f>
        <v/>
      </c>
      <c r="AX107" t="str">
        <f t="shared" si="81"/>
        <v/>
      </c>
      <c r="AY107" t="str">
        <f>IF(AND($AK107&lt;=Results!$I$23,$AK107&gt;=Results!$I$22,$AK107&gt;=Results!$F$4),$AN107,"")</f>
        <v/>
      </c>
      <c r="AZ107">
        <f t="shared" si="54"/>
        <v>35.500000000000149</v>
      </c>
      <c r="BA107">
        <f>IF(AND($AK107&lt;=Results!$I$27,$AK107&gt;=Results!$I$26,$AK107&lt;=Results!$F$4),$AQ107,"")</f>
        <v>10603.999999999987</v>
      </c>
      <c r="BB107" t="str">
        <f t="shared" si="55"/>
        <v/>
      </c>
      <c r="BC107" t="str">
        <f>IF(AND($AK107&lt;=Results!$I$29,$AK107&gt;=Results!$I$28,$AK107&gt;=Results!$F$4),$AQ107,"")</f>
        <v/>
      </c>
      <c r="BD107">
        <f t="shared" si="56"/>
        <v>10935.808567747117</v>
      </c>
      <c r="BE107">
        <f t="shared" si="57"/>
        <v>2297.9039874316541</v>
      </c>
      <c r="BF107">
        <f t="shared" si="58"/>
        <v>10597.304253541402</v>
      </c>
      <c r="BG107">
        <f t="shared" si="59"/>
        <v>1343.2566965501403</v>
      </c>
      <c r="BH107">
        <f t="shared" si="60"/>
        <v>0</v>
      </c>
      <c r="BI107">
        <f t="shared" si="61"/>
        <v>0.98846457492624284</v>
      </c>
      <c r="BJ107">
        <f t="shared" si="62"/>
        <v>1.0007235478764669</v>
      </c>
      <c r="BK107">
        <f t="shared" si="63"/>
        <v>-1.8541310242058694E-2</v>
      </c>
      <c r="BL107">
        <f t="shared" si="64"/>
        <v>-9.0606344915643375E-4</v>
      </c>
      <c r="BM107">
        <f t="shared" si="82"/>
        <v>120.00000000000055</v>
      </c>
      <c r="BN107">
        <f t="shared" si="83"/>
        <v>-119.99999999999829</v>
      </c>
      <c r="BO107">
        <f>Data!$H$2*(1-BI107)*(1-BI107/Data!$H$3)*BM107</f>
        <v>3.1935847591743804E-8</v>
      </c>
      <c r="BP107">
        <f t="shared" si="65"/>
        <v>-118.61574899114969</v>
      </c>
      <c r="BQ107">
        <f>Data!$H$2*(1-BJ107)*(1-BJ107/Data!$H$3)*BN107</f>
        <v>-1.2564516708953727E-10</v>
      </c>
      <c r="BR107">
        <f t="shared" si="66"/>
        <v>120.08682574517432</v>
      </c>
      <c r="BS107">
        <f t="shared" si="67"/>
        <v>0</v>
      </c>
      <c r="BT107">
        <f t="shared" si="68"/>
        <v>0</v>
      </c>
      <c r="BU107">
        <f t="shared" si="69"/>
        <v>0</v>
      </c>
      <c r="BV107">
        <f t="shared" si="70"/>
        <v>0</v>
      </c>
      <c r="BW107">
        <f t="shared" si="84"/>
        <v>0</v>
      </c>
      <c r="BX107" t="str">
        <f t="shared" si="85"/>
        <v/>
      </c>
      <c r="BY107" s="66" t="str">
        <f t="shared" si="71"/>
        <v/>
      </c>
      <c r="BZ107" t="str">
        <f t="shared" si="72"/>
        <v/>
      </c>
      <c r="CA107" s="67" t="str">
        <f t="shared" si="73"/>
        <v/>
      </c>
    </row>
    <row r="108" spans="1:79" x14ac:dyDescent="0.25">
      <c r="A108">
        <v>9181</v>
      </c>
      <c r="B108">
        <v>39</v>
      </c>
      <c r="C108">
        <v>10325</v>
      </c>
      <c r="D108" s="3">
        <f t="shared" si="98"/>
        <v>-8.3333333333333332E-3</v>
      </c>
      <c r="E108" s="3">
        <f t="shared" si="98"/>
        <v>0.52749999999999997</v>
      </c>
      <c r="F108">
        <f>IF(A108&gt;0,IF(F107=1,1,IF(B108=Data!$H$4,1,0)),"")</f>
        <v>1</v>
      </c>
      <c r="J108" s="3"/>
      <c r="K108" s="3"/>
      <c r="O108" s="3"/>
      <c r="P108" s="3"/>
      <c r="Q108" t="str">
        <f t="shared" si="74"/>
        <v/>
      </c>
      <c r="R108" s="4" t="str">
        <f t="shared" si="75"/>
        <v/>
      </c>
      <c r="S108" t="e">
        <f t="shared" si="86"/>
        <v>#DIV/0!</v>
      </c>
      <c r="T108" t="e">
        <f t="shared" si="99"/>
        <v>#DIV/0!</v>
      </c>
      <c r="U108" s="4">
        <f t="shared" si="76"/>
        <v>0</v>
      </c>
      <c r="V108" t="e">
        <f t="shared" si="87"/>
        <v>#DIV/0!</v>
      </c>
      <c r="W108" t="e">
        <f t="shared" si="88"/>
        <v>#DIV/0!</v>
      </c>
      <c r="X108" t="e">
        <f t="shared" si="89"/>
        <v>#VALUE!</v>
      </c>
      <c r="Y108" t="e">
        <f t="shared" si="90"/>
        <v>#VALUE!</v>
      </c>
      <c r="Z108" t="e">
        <f t="shared" si="91"/>
        <v>#VALUE!</v>
      </c>
      <c r="AA108" t="e">
        <f t="shared" si="77"/>
        <v>#VALUE!</v>
      </c>
      <c r="AB108" t="str">
        <f t="shared" si="92"/>
        <v/>
      </c>
      <c r="AC108" t="str">
        <f t="shared" si="93"/>
        <v/>
      </c>
      <c r="AD108" t="str">
        <f t="shared" si="94"/>
        <v/>
      </c>
      <c r="AE108" t="str">
        <f t="shared" si="95"/>
        <v/>
      </c>
      <c r="AF108" s="72">
        <f>IF(AF107+$AF$1&gt;ROUND(Data!$H$4,0),AF107,AF107+$AF$1)</f>
        <v>70</v>
      </c>
      <c r="AG108">
        <f>IF(MATCH(AF108,$AA$3:$AA$1010,0)&lt;898,AVERAGE(AG107,AG109),VLOOKUP(AF108,$R$2:$T$301,2,FALSE))</f>
        <v>5401</v>
      </c>
      <c r="AH108">
        <f>IF(MATCH(AF108,$AA$3:$AA$1010,0)&lt;898,AVERAGE(AH107,AH109),VLOOKUP(AF108,$R$2:$T$301,3,FALSE))</f>
        <v>1148</v>
      </c>
      <c r="AI108">
        <f>IF(MATCH(AF108,$AE$3:$AE$1010,0)&lt;898,AVERAGE(AI107,AI109),VLOOKUP(AF108,$U$2:$W$301,2,FALSE))</f>
        <v>5401</v>
      </c>
      <c r="AJ108" s="67">
        <f>IF(MATCH(AF108,$AE$3:$AE$1010,0)&lt;898,AVERAGE(AJ107,AJ109),VLOOKUP(AF108,$U$2:$W$301,3,FALSE))</f>
        <v>1151</v>
      </c>
      <c r="AK108" s="4">
        <f t="shared" si="96"/>
        <v>35.600000000000151</v>
      </c>
      <c r="AL108">
        <f t="shared" si="78"/>
        <v>1273.0000000000182</v>
      </c>
      <c r="AM108">
        <f t="shared" si="79"/>
        <v>10809.466666666623</v>
      </c>
      <c r="AN108">
        <f>IF($AK107+$AK$1&lt;=Data!$H$4-0.5,AVERAGE(AM106:AM110),AN107)</f>
        <v>10809.466666666623</v>
      </c>
      <c r="AO108">
        <f t="shared" si="80"/>
        <v>9588.9999999999818</v>
      </c>
      <c r="AP108">
        <f t="shared" si="97"/>
        <v>10595.866666666654</v>
      </c>
      <c r="AQ108">
        <f>IF($AK107+$AK$1&lt;=Data!$H$4-0.5,AVERAGE(AP106:AP110),AQ107)</f>
        <v>10595.866666666654</v>
      </c>
      <c r="AR108">
        <f>IF($AK107+$AK$1&lt;=Data!$H$4-0.5,SLOPE($AN104:$AN112,$AK104:$AK112),AR107)</f>
        <v>-272.18333333334249</v>
      </c>
      <c r="AS108">
        <f>IF($AK107+$AK$1&lt;=Data!$H$4-0.5,SLOPE($AQ104:$AQ112,$AK104:$AK112),AS107)</f>
        <v>-81.3499999999989</v>
      </c>
      <c r="AT108" t="str">
        <f>IF(AND($AK108&gt;=Results!$G$13,$AK108&lt;=Results!$G$14),Curves!AR108,"")</f>
        <v/>
      </c>
      <c r="AU108" t="str">
        <f>IF(AND($AK108&gt;=Results!$G$13,$AK108&lt;=Results!$G$14),Curves!AS108,"")</f>
        <v/>
      </c>
      <c r="AV108" t="str">
        <f t="shared" si="81"/>
        <v/>
      </c>
      <c r="AW108" t="str">
        <f>IF(AND($AK108&lt;=Results!$I$21,$AK108&gt;=Results!$I$20,$AK108&lt;=Results!$F$4),$AN108,"")</f>
        <v/>
      </c>
      <c r="AX108" t="str">
        <f t="shared" si="81"/>
        <v/>
      </c>
      <c r="AY108" t="str">
        <f>IF(AND($AK108&lt;=Results!$I$23,$AK108&gt;=Results!$I$22,$AK108&gt;=Results!$F$4),$AN108,"")</f>
        <v/>
      </c>
      <c r="AZ108">
        <f t="shared" si="54"/>
        <v>35.600000000000151</v>
      </c>
      <c r="BA108">
        <f>IF(AND($AK108&lt;=Results!$I$27,$AK108&gt;=Results!$I$26,$AK108&lt;=Results!$F$4),$AQ108,"")</f>
        <v>10595.866666666654</v>
      </c>
      <c r="BB108" t="str">
        <f t="shared" si="55"/>
        <v/>
      </c>
      <c r="BC108" t="str">
        <f>IF(AND($AK108&lt;=Results!$I$29,$AK108&gt;=Results!$I$28,$AK108&gt;=Results!$F$4),$AQ108,"")</f>
        <v/>
      </c>
      <c r="BD108">
        <f t="shared" si="56"/>
        <v>10925.038372949197</v>
      </c>
      <c r="BE108">
        <f t="shared" si="57"/>
        <v>2294.5881981823331</v>
      </c>
      <c r="BF108">
        <f t="shared" si="58"/>
        <v>10590.01427130851</v>
      </c>
      <c r="BG108">
        <f t="shared" si="59"/>
        <v>1342.7058955906152</v>
      </c>
      <c r="BH108">
        <f t="shared" si="60"/>
        <v>0</v>
      </c>
      <c r="BI108">
        <f t="shared" si="61"/>
        <v>0.98660884380973846</v>
      </c>
      <c r="BJ108">
        <f t="shared" si="62"/>
        <v>1.0006328755482528</v>
      </c>
      <c r="BK108">
        <f t="shared" si="63"/>
        <v>-1.8573353585452933E-2</v>
      </c>
      <c r="BL108">
        <f t="shared" si="64"/>
        <v>-9.0738455878368405E-4</v>
      </c>
      <c r="BM108">
        <f t="shared" si="82"/>
        <v>119.99999999999942</v>
      </c>
      <c r="BN108">
        <f t="shared" si="83"/>
        <v>-119.99999999999829</v>
      </c>
      <c r="BO108">
        <f>Data!$H$2*(1-BI108)*(1-BI108/Data!$H$3)*BM108</f>
        <v>4.3037535386875005E-8</v>
      </c>
      <c r="BP108">
        <f t="shared" si="65"/>
        <v>-118.39306125716804</v>
      </c>
      <c r="BQ108">
        <f>Data!$H$2*(1-BJ108)*(1-BJ108/Data!$H$3)*BN108</f>
        <v>-9.6127550298292279E-11</v>
      </c>
      <c r="BR108">
        <f t="shared" si="66"/>
        <v>120.07594506578863</v>
      </c>
      <c r="BS108">
        <f t="shared" si="67"/>
        <v>0</v>
      </c>
      <c r="BT108">
        <f t="shared" si="68"/>
        <v>0</v>
      </c>
      <c r="BU108">
        <f t="shared" si="69"/>
        <v>0</v>
      </c>
      <c r="BV108">
        <f t="shared" si="70"/>
        <v>0</v>
      </c>
      <c r="BW108">
        <f t="shared" si="84"/>
        <v>0</v>
      </c>
      <c r="BX108" t="str">
        <f t="shared" si="85"/>
        <v/>
      </c>
      <c r="BY108" s="66" t="str">
        <f t="shared" si="71"/>
        <v/>
      </c>
      <c r="BZ108" t="str">
        <f t="shared" si="72"/>
        <v/>
      </c>
      <c r="CA108" s="67" t="str">
        <f t="shared" si="73"/>
        <v/>
      </c>
    </row>
    <row r="109" spans="1:79" x14ac:dyDescent="0.25">
      <c r="A109">
        <v>9301</v>
      </c>
      <c r="B109">
        <v>38</v>
      </c>
      <c r="C109">
        <v>10402</v>
      </c>
      <c r="D109" s="3">
        <f t="shared" si="98"/>
        <v>-8.3333333333333332E-3</v>
      </c>
      <c r="E109" s="3">
        <f t="shared" si="98"/>
        <v>0.54166666666666663</v>
      </c>
      <c r="F109">
        <f>IF(A109&gt;0,IF(F108=1,1,IF(B109=Data!$H$4,1,0)),"")</f>
        <v>1</v>
      </c>
      <c r="J109" s="3"/>
      <c r="K109" s="3"/>
      <c r="O109" s="3"/>
      <c r="P109" s="3"/>
      <c r="Q109" t="str">
        <f t="shared" si="74"/>
        <v/>
      </c>
      <c r="R109" s="4" t="str">
        <f t="shared" si="75"/>
        <v/>
      </c>
      <c r="S109" t="e">
        <f t="shared" si="86"/>
        <v>#DIV/0!</v>
      </c>
      <c r="T109" t="e">
        <f t="shared" si="99"/>
        <v>#DIV/0!</v>
      </c>
      <c r="U109" s="4">
        <f t="shared" si="76"/>
        <v>0</v>
      </c>
      <c r="V109" t="e">
        <f t="shared" si="87"/>
        <v>#DIV/0!</v>
      </c>
      <c r="W109" t="e">
        <f t="shared" si="88"/>
        <v>#DIV/0!</v>
      </c>
      <c r="X109" t="e">
        <f t="shared" si="89"/>
        <v>#VALUE!</v>
      </c>
      <c r="Y109" t="e">
        <f t="shared" si="90"/>
        <v>#VALUE!</v>
      </c>
      <c r="Z109" t="e">
        <f t="shared" si="91"/>
        <v>#VALUE!</v>
      </c>
      <c r="AA109" t="e">
        <f t="shared" si="77"/>
        <v>#VALUE!</v>
      </c>
      <c r="AB109" t="str">
        <f t="shared" si="92"/>
        <v/>
      </c>
      <c r="AC109" t="str">
        <f t="shared" si="93"/>
        <v/>
      </c>
      <c r="AD109" t="str">
        <f t="shared" si="94"/>
        <v/>
      </c>
      <c r="AE109" t="str">
        <f t="shared" si="95"/>
        <v/>
      </c>
      <c r="AF109" s="72">
        <f>IF(AF108+$AF$1&gt;ROUND(Data!$H$4,0),AF108,AF108+$AF$1)</f>
        <v>70</v>
      </c>
      <c r="AG109">
        <f t="shared" si="100"/>
        <v>5401</v>
      </c>
      <c r="AH109">
        <f t="shared" si="101"/>
        <v>1148</v>
      </c>
      <c r="AI109">
        <f t="shared" si="102"/>
        <v>5401</v>
      </c>
      <c r="AJ109" s="67">
        <f t="shared" si="103"/>
        <v>1151</v>
      </c>
      <c r="AK109" s="4">
        <f t="shared" si="96"/>
        <v>35.700000000000152</v>
      </c>
      <c r="AL109">
        <f t="shared" si="78"/>
        <v>1285.0000000000182</v>
      </c>
      <c r="AM109">
        <f t="shared" si="79"/>
        <v>10782.766666666623</v>
      </c>
      <c r="AN109">
        <f>IF($AK108+$AK$1&lt;=Data!$H$4-0.5,AVERAGE(AM107:AM111),AN108)</f>
        <v>10782.766666666623</v>
      </c>
      <c r="AO109">
        <f t="shared" si="80"/>
        <v>9576.9999999999818</v>
      </c>
      <c r="AP109">
        <f t="shared" si="97"/>
        <v>10587.733333333321</v>
      </c>
      <c r="AQ109">
        <f>IF($AK108+$AK$1&lt;=Data!$H$4-0.5,AVERAGE(AP107:AP111),AQ108)</f>
        <v>10587.733333333321</v>
      </c>
      <c r="AR109">
        <f>IF($AK108+$AK$1&lt;=Data!$H$4-0.5,SLOPE($AN105:$AN113,$AK105:$AK113),AR108)</f>
        <v>-279.0944444444591</v>
      </c>
      <c r="AS109">
        <f>IF($AK108+$AK$1&lt;=Data!$H$4-0.5,SLOPE($AQ105:$AQ113,$AK105:$AK113),AS108)</f>
        <v>-81.3722222222205</v>
      </c>
      <c r="AT109" t="str">
        <f>IF(AND($AK109&gt;=Results!$G$13,$AK109&lt;=Results!$G$14),Curves!AR109,"")</f>
        <v/>
      </c>
      <c r="AU109" t="str">
        <f>IF(AND($AK109&gt;=Results!$G$13,$AK109&lt;=Results!$G$14),Curves!AS109,"")</f>
        <v/>
      </c>
      <c r="AV109" t="str">
        <f t="shared" si="81"/>
        <v/>
      </c>
      <c r="AW109" t="str">
        <f>IF(AND($AK109&lt;=Results!$I$21,$AK109&gt;=Results!$I$20,$AK109&lt;=Results!$F$4),$AN109,"")</f>
        <v/>
      </c>
      <c r="AX109" t="str">
        <f t="shared" si="81"/>
        <v/>
      </c>
      <c r="AY109" t="str">
        <f>IF(AND($AK109&lt;=Results!$I$23,$AK109&gt;=Results!$I$22,$AK109&gt;=Results!$F$4),$AN109,"")</f>
        <v/>
      </c>
      <c r="AZ109">
        <f t="shared" si="54"/>
        <v>35.700000000000152</v>
      </c>
      <c r="BA109">
        <f>IF(AND($AK109&lt;=Results!$I$27,$AK109&gt;=Results!$I$26,$AK109&lt;=Results!$F$4),$AQ109,"")</f>
        <v>10587.733333333321</v>
      </c>
      <c r="BB109" t="str">
        <f t="shared" si="55"/>
        <v/>
      </c>
      <c r="BC109" t="str">
        <f>IF(AND($AK109&lt;=Results!$I$29,$AK109&gt;=Results!$I$28,$AK109&gt;=Results!$F$4),$AQ109,"")</f>
        <v/>
      </c>
      <c r="BD109">
        <f t="shared" si="56"/>
        <v>10914.268178151277</v>
      </c>
      <c r="BE109">
        <f t="shared" si="57"/>
        <v>2291.2724089330122</v>
      </c>
      <c r="BF109">
        <f t="shared" si="58"/>
        <v>10582.724289075617</v>
      </c>
      <c r="BG109">
        <f t="shared" si="59"/>
        <v>1342.1550946310904</v>
      </c>
      <c r="BH109">
        <f t="shared" si="60"/>
        <v>0</v>
      </c>
      <c r="BI109">
        <f t="shared" si="61"/>
        <v>0.9847499042091522</v>
      </c>
      <c r="BJ109">
        <f t="shared" si="62"/>
        <v>1.0005420709647102</v>
      </c>
      <c r="BK109">
        <f t="shared" si="63"/>
        <v>-1.8605480067315508E-2</v>
      </c>
      <c r="BL109">
        <f t="shared" si="64"/>
        <v>-9.0870855993684194E-4</v>
      </c>
      <c r="BM109">
        <f t="shared" si="82"/>
        <v>119.99999999999942</v>
      </c>
      <c r="BN109">
        <f t="shared" si="83"/>
        <v>-119.99999999999829</v>
      </c>
      <c r="BO109">
        <f>Data!$H$2*(1-BI109)*(1-BI109/Data!$H$3)*BM109</f>
        <v>5.5815701191207804E-8</v>
      </c>
      <c r="BP109">
        <f t="shared" si="65"/>
        <v>-118.16998850509769</v>
      </c>
      <c r="BQ109">
        <f>Data!$H$2*(1-BJ109)*(1-BJ109/Data!$H$3)*BN109</f>
        <v>-7.0521823387629415E-11</v>
      </c>
      <c r="BR109">
        <f t="shared" si="66"/>
        <v>120.06504851576351</v>
      </c>
      <c r="BS109">
        <f t="shared" si="67"/>
        <v>0</v>
      </c>
      <c r="BT109">
        <f t="shared" si="68"/>
        <v>0</v>
      </c>
      <c r="BU109">
        <f t="shared" si="69"/>
        <v>0</v>
      </c>
      <c r="BV109">
        <f t="shared" si="70"/>
        <v>0</v>
      </c>
      <c r="BW109">
        <f t="shared" si="84"/>
        <v>0</v>
      </c>
      <c r="BX109" t="str">
        <f t="shared" si="85"/>
        <v/>
      </c>
      <c r="BY109" s="66" t="str">
        <f t="shared" si="71"/>
        <v/>
      </c>
      <c r="BZ109" t="str">
        <f t="shared" si="72"/>
        <v/>
      </c>
      <c r="CA109" s="67" t="str">
        <f t="shared" si="73"/>
        <v/>
      </c>
    </row>
    <row r="110" spans="1:79" x14ac:dyDescent="0.25">
      <c r="A110">
        <v>9421</v>
      </c>
      <c r="B110">
        <v>37</v>
      </c>
      <c r="C110">
        <v>10477</v>
      </c>
      <c r="D110" s="3">
        <f t="shared" si="98"/>
        <v>-8.3333333333333332E-3</v>
      </c>
      <c r="E110" s="3">
        <f t="shared" si="98"/>
        <v>0.67333333333333334</v>
      </c>
      <c r="F110">
        <f>IF(A110&gt;0,IF(F109=1,1,IF(B110=Data!$H$4,1,0)),"")</f>
        <v>1</v>
      </c>
      <c r="J110" s="3"/>
      <c r="K110" s="3"/>
      <c r="O110" s="3"/>
      <c r="P110" s="3"/>
      <c r="Q110" t="str">
        <f t="shared" si="74"/>
        <v/>
      </c>
      <c r="R110" s="4" t="str">
        <f t="shared" si="75"/>
        <v/>
      </c>
      <c r="S110" t="e">
        <f t="shared" si="86"/>
        <v>#DIV/0!</v>
      </c>
      <c r="T110" t="e">
        <f t="shared" si="99"/>
        <v>#DIV/0!</v>
      </c>
      <c r="U110" s="4">
        <f t="shared" si="76"/>
        <v>0</v>
      </c>
      <c r="V110" t="e">
        <f t="shared" si="87"/>
        <v>#DIV/0!</v>
      </c>
      <c r="W110" t="e">
        <f t="shared" si="88"/>
        <v>#DIV/0!</v>
      </c>
      <c r="X110" t="e">
        <f t="shared" si="89"/>
        <v>#VALUE!</v>
      </c>
      <c r="Y110" t="e">
        <f t="shared" si="90"/>
        <v>#VALUE!</v>
      </c>
      <c r="Z110" t="e">
        <f t="shared" si="91"/>
        <v>#VALUE!</v>
      </c>
      <c r="AA110" t="e">
        <f t="shared" si="77"/>
        <v>#VALUE!</v>
      </c>
      <c r="AB110" t="str">
        <f t="shared" si="92"/>
        <v/>
      </c>
      <c r="AC110" t="str">
        <f t="shared" si="93"/>
        <v/>
      </c>
      <c r="AD110" t="str">
        <f t="shared" si="94"/>
        <v/>
      </c>
      <c r="AE110" t="str">
        <f t="shared" si="95"/>
        <v/>
      </c>
      <c r="AF110" s="72">
        <f>IF(AF109+$AF$1&gt;ROUND(Data!$H$4,0),AF109,AF109+$AF$1)</f>
        <v>70</v>
      </c>
      <c r="AG110">
        <f>IF(MATCH(AF110,$AA$3:$AA$1010,0)&lt;898,AVERAGE(AG109,AG111),VLOOKUP(AF110,$R$2:$T$301,2,FALSE))</f>
        <v>5401</v>
      </c>
      <c r="AH110">
        <f>IF(MATCH(AF110,$AA$3:$AA$1010,0)&lt;898,AVERAGE(AH109,AH111),VLOOKUP(AF110,$R$2:$T$301,3,FALSE))</f>
        <v>1148</v>
      </c>
      <c r="AI110">
        <f>IF(MATCH(AF110,$AE$3:$AE$1010,0)&lt;898,AVERAGE(AI109,AI111),VLOOKUP(AF110,$U$2:$W$301,2,FALSE))</f>
        <v>5401</v>
      </c>
      <c r="AJ110" s="67">
        <f>IF(MATCH(AF110,$AE$3:$AE$1010,0)&lt;898,AVERAGE(AJ109,AJ111),VLOOKUP(AF110,$U$2:$W$301,3,FALSE))</f>
        <v>1151</v>
      </c>
      <c r="AK110" s="4">
        <f t="shared" si="96"/>
        <v>35.800000000000153</v>
      </c>
      <c r="AL110">
        <f t="shared" si="78"/>
        <v>1297.0000000000184</v>
      </c>
      <c r="AM110">
        <f t="shared" si="79"/>
        <v>10756.066666666624</v>
      </c>
      <c r="AN110">
        <f>IF($AK109+$AK$1&lt;=Data!$H$4-0.5,AVERAGE(AM108:AM112),AN109)</f>
        <v>10756.06666666662</v>
      </c>
      <c r="AO110">
        <f t="shared" si="80"/>
        <v>9564.9999999999818</v>
      </c>
      <c r="AP110">
        <f t="shared" si="97"/>
        <v>10579.599999999988</v>
      </c>
      <c r="AQ110">
        <f>IF($AK109+$AK$1&lt;=Data!$H$4-0.5,AVERAGE(AP108:AP112),AQ109)</f>
        <v>10579.599999999988</v>
      </c>
      <c r="AR110">
        <f>IF($AK109+$AK$1&lt;=Data!$H$4-0.5,SLOPE($AN106:$AN114,$AK106:$AK114),AR109)</f>
        <v>-289.46111111113055</v>
      </c>
      <c r="AS110">
        <f>IF($AK109+$AK$1&lt;=Data!$H$4-0.5,SLOPE($AQ106:$AQ114,$AK106:$AK114),AS109)</f>
        <v>-81.40555555555305</v>
      </c>
      <c r="AT110" t="str">
        <f>IF(AND($AK110&gt;=Results!$G$13,$AK110&lt;=Results!$G$14),Curves!AR110,"")</f>
        <v/>
      </c>
      <c r="AU110" t="str">
        <f>IF(AND($AK110&gt;=Results!$G$13,$AK110&lt;=Results!$G$14),Curves!AS110,"")</f>
        <v/>
      </c>
      <c r="AV110" t="str">
        <f t="shared" si="81"/>
        <v/>
      </c>
      <c r="AW110" t="str">
        <f>IF(AND($AK110&lt;=Results!$I$21,$AK110&gt;=Results!$I$20,$AK110&lt;=Results!$F$4),$AN110,"")</f>
        <v/>
      </c>
      <c r="AX110" t="str">
        <f t="shared" si="81"/>
        <v/>
      </c>
      <c r="AY110" t="str">
        <f>IF(AND($AK110&lt;=Results!$I$23,$AK110&gt;=Results!$I$22,$AK110&gt;=Results!$F$4),$AN110,"")</f>
        <v/>
      </c>
      <c r="AZ110">
        <f t="shared" si="54"/>
        <v>35.800000000000153</v>
      </c>
      <c r="BA110">
        <f>IF(AND($AK110&lt;=Results!$I$27,$AK110&gt;=Results!$I$26,$AK110&lt;=Results!$F$4),$AQ110,"")</f>
        <v>10579.599999999988</v>
      </c>
      <c r="BB110" t="str">
        <f t="shared" si="55"/>
        <v/>
      </c>
      <c r="BC110" t="str">
        <f>IF(AND($AK110&lt;=Results!$I$29,$AK110&gt;=Results!$I$28,$AK110&gt;=Results!$F$4),$AQ110,"")</f>
        <v/>
      </c>
      <c r="BD110">
        <f t="shared" si="56"/>
        <v>10903.497983353358</v>
      </c>
      <c r="BE110">
        <f t="shared" si="57"/>
        <v>2287.9566196836918</v>
      </c>
      <c r="BF110">
        <f t="shared" si="58"/>
        <v>10575.434306842722</v>
      </c>
      <c r="BG110">
        <f t="shared" si="59"/>
        <v>1341.6042936715653</v>
      </c>
      <c r="BH110">
        <f t="shared" si="60"/>
        <v>0</v>
      </c>
      <c r="BI110">
        <f t="shared" si="61"/>
        <v>0.9828877477962753</v>
      </c>
      <c r="BJ110">
        <f t="shared" si="62"/>
        <v>1.0004511338362654</v>
      </c>
      <c r="BK110">
        <f t="shared" si="63"/>
        <v>-1.9841983881582474E-2</v>
      </c>
      <c r="BL110">
        <f t="shared" si="64"/>
        <v>-9.1364801174774544E-4</v>
      </c>
      <c r="BM110">
        <f t="shared" si="82"/>
        <v>120.00000000000055</v>
      </c>
      <c r="BN110">
        <f t="shared" si="83"/>
        <v>-119.99999999999829</v>
      </c>
      <c r="BO110">
        <f>Data!$H$2*(1-BI110)*(1-BI110/Data!$H$3)*BM110</f>
        <v>7.0279002116131709E-8</v>
      </c>
      <c r="BP110">
        <f t="shared" si="65"/>
        <v>-117.94652973555358</v>
      </c>
      <c r="BQ110">
        <f>Data!$H$2*(1-BJ110)*(1-BJ110/Data!$H$3)*BN110</f>
        <v>-4.8845217173644374E-11</v>
      </c>
      <c r="BR110">
        <f t="shared" si="66"/>
        <v>120.05413606035015</v>
      </c>
      <c r="BS110">
        <f t="shared" si="67"/>
        <v>0</v>
      </c>
      <c r="BT110">
        <f t="shared" si="68"/>
        <v>0</v>
      </c>
      <c r="BU110">
        <f t="shared" si="69"/>
        <v>0</v>
      </c>
      <c r="BV110">
        <f t="shared" si="70"/>
        <v>0</v>
      </c>
      <c r="BW110">
        <f t="shared" si="84"/>
        <v>0</v>
      </c>
      <c r="BX110" t="str">
        <f t="shared" si="85"/>
        <v/>
      </c>
      <c r="BY110" s="66" t="str">
        <f t="shared" si="71"/>
        <v/>
      </c>
      <c r="BZ110" t="str">
        <f t="shared" si="72"/>
        <v/>
      </c>
      <c r="CA110" s="67" t="str">
        <f t="shared" si="73"/>
        <v/>
      </c>
    </row>
    <row r="111" spans="1:79" x14ac:dyDescent="0.25">
      <c r="A111">
        <v>9541</v>
      </c>
      <c r="B111">
        <v>36</v>
      </c>
      <c r="C111">
        <v>10566</v>
      </c>
      <c r="D111" s="3">
        <f t="shared" si="98"/>
        <v>-8.3333333333333332E-3</v>
      </c>
      <c r="E111" s="3">
        <f t="shared" si="98"/>
        <v>0.67333333333333334</v>
      </c>
      <c r="F111">
        <f>IF(A111&gt;0,IF(F110=1,1,IF(B111=Data!$H$4,1,0)),"")</f>
        <v>1</v>
      </c>
      <c r="J111" s="3"/>
      <c r="K111" s="3"/>
      <c r="O111" s="3"/>
      <c r="P111" s="3"/>
      <c r="Q111" t="str">
        <f t="shared" si="74"/>
        <v/>
      </c>
      <c r="R111" s="4" t="str">
        <f t="shared" si="75"/>
        <v/>
      </c>
      <c r="S111" t="e">
        <f t="shared" si="86"/>
        <v>#DIV/0!</v>
      </c>
      <c r="T111" t="e">
        <f t="shared" si="99"/>
        <v>#DIV/0!</v>
      </c>
      <c r="U111" s="4">
        <f t="shared" si="76"/>
        <v>0</v>
      </c>
      <c r="V111" t="e">
        <f t="shared" si="87"/>
        <v>#DIV/0!</v>
      </c>
      <c r="W111" t="e">
        <f t="shared" si="88"/>
        <v>#DIV/0!</v>
      </c>
      <c r="X111" t="e">
        <f t="shared" si="89"/>
        <v>#VALUE!</v>
      </c>
      <c r="Y111" t="e">
        <f t="shared" si="90"/>
        <v>#VALUE!</v>
      </c>
      <c r="Z111" t="e">
        <f t="shared" si="91"/>
        <v>#VALUE!</v>
      </c>
      <c r="AA111" t="e">
        <f t="shared" si="77"/>
        <v>#VALUE!</v>
      </c>
      <c r="AB111" t="str">
        <f t="shared" si="92"/>
        <v/>
      </c>
      <c r="AC111" t="str">
        <f t="shared" si="93"/>
        <v/>
      </c>
      <c r="AD111" t="str">
        <f t="shared" si="94"/>
        <v/>
      </c>
      <c r="AE111" t="str">
        <f t="shared" si="95"/>
        <v/>
      </c>
      <c r="AF111" s="72">
        <f>IF(AF110+$AF$1&gt;ROUND(Data!$H$4,0),AF110,AF110+$AF$1)</f>
        <v>70</v>
      </c>
      <c r="AG111">
        <f t="shared" si="100"/>
        <v>5401</v>
      </c>
      <c r="AH111">
        <f t="shared" si="101"/>
        <v>1148</v>
      </c>
      <c r="AI111">
        <f t="shared" si="102"/>
        <v>5401</v>
      </c>
      <c r="AJ111" s="67">
        <f t="shared" si="103"/>
        <v>1151</v>
      </c>
      <c r="AK111" s="4">
        <f t="shared" si="96"/>
        <v>35.900000000000155</v>
      </c>
      <c r="AL111">
        <f t="shared" si="78"/>
        <v>1309.0000000000186</v>
      </c>
      <c r="AM111">
        <f t="shared" si="79"/>
        <v>10729.366666666623</v>
      </c>
      <c r="AN111">
        <f>IF($AK110+$AK$1&lt;=Data!$H$4-0.5,AVERAGE(AM109:AM113),AN110)</f>
        <v>10727.293333333284</v>
      </c>
      <c r="AO111">
        <f t="shared" si="80"/>
        <v>9552.9999999999818</v>
      </c>
      <c r="AP111">
        <f t="shared" si="97"/>
        <v>10571.466666666654</v>
      </c>
      <c r="AQ111">
        <f>IF($AK110+$AK$1&lt;=Data!$H$4-0.5,AVERAGE(AP109:AP113),AQ110)</f>
        <v>10571.459999999988</v>
      </c>
      <c r="AR111">
        <f>IF($AK110+$AK$1&lt;=Data!$H$4-0.5,SLOPE($AN107:$AN115,$AK107:$AK115),AR110)</f>
        <v>-303.28333333335547</v>
      </c>
      <c r="AS111">
        <f>IF($AK110+$AK$1&lt;=Data!$H$4-0.5,SLOPE($AQ107:$AQ115,$AK107:$AK115),AS110)</f>
        <v>-81.449999999998951</v>
      </c>
      <c r="AT111" t="str">
        <f>IF(AND($AK111&gt;=Results!$G$13,$AK111&lt;=Results!$G$14),Curves!AR111,"")</f>
        <v/>
      </c>
      <c r="AU111" t="str">
        <f>IF(AND($AK111&gt;=Results!$G$13,$AK111&lt;=Results!$G$14),Curves!AS111,"")</f>
        <v/>
      </c>
      <c r="AV111" t="str">
        <f t="shared" si="81"/>
        <v/>
      </c>
      <c r="AW111" t="str">
        <f>IF(AND($AK111&lt;=Results!$I$21,$AK111&gt;=Results!$I$20,$AK111&lt;=Results!$F$4),$AN111,"")</f>
        <v/>
      </c>
      <c r="AX111" t="str">
        <f t="shared" si="81"/>
        <v/>
      </c>
      <c r="AY111" t="str">
        <f>IF(AND($AK111&lt;=Results!$I$23,$AK111&gt;=Results!$I$22,$AK111&gt;=Results!$F$4),$AN111,"")</f>
        <v/>
      </c>
      <c r="AZ111">
        <f t="shared" si="54"/>
        <v>35.900000000000155</v>
      </c>
      <c r="BA111">
        <f>IF(AND($AK111&lt;=Results!$I$27,$AK111&gt;=Results!$I$26,$AK111&lt;=Results!$F$4),$AQ111,"")</f>
        <v>10571.459999999988</v>
      </c>
      <c r="BB111" t="str">
        <f t="shared" si="55"/>
        <v/>
      </c>
      <c r="BC111" t="str">
        <f>IF(AND($AK111&lt;=Results!$I$29,$AK111&gt;=Results!$I$28,$AK111&gt;=Results!$F$4),$AQ111,"")</f>
        <v/>
      </c>
      <c r="BD111">
        <f t="shared" si="56"/>
        <v>10892.727788555438</v>
      </c>
      <c r="BE111">
        <f t="shared" si="57"/>
        <v>2284.6408304343709</v>
      </c>
      <c r="BF111">
        <f t="shared" si="58"/>
        <v>10568.14432460983</v>
      </c>
      <c r="BG111">
        <f t="shared" si="59"/>
        <v>1341.0534927120402</v>
      </c>
      <c r="BH111">
        <f t="shared" si="60"/>
        <v>0</v>
      </c>
      <c r="BI111">
        <f t="shared" si="61"/>
        <v>0.98078150743283565</v>
      </c>
      <c r="BJ111">
        <f t="shared" si="62"/>
        <v>1.0003593413623606</v>
      </c>
      <c r="BK111">
        <f t="shared" si="63"/>
        <v>-2.2285996701633354E-2</v>
      </c>
      <c r="BL111">
        <f t="shared" si="64"/>
        <v>-9.2221084396658457E-4</v>
      </c>
      <c r="BM111">
        <f t="shared" si="82"/>
        <v>119.99999999999942</v>
      </c>
      <c r="BN111">
        <f t="shared" si="83"/>
        <v>-119.99999999999829</v>
      </c>
      <c r="BO111">
        <f>Data!$H$2*(1-BI111)*(1-BI111/Data!$H$3)*BM111</f>
        <v>8.8644109572995866E-8</v>
      </c>
      <c r="BP111">
        <f t="shared" si="65"/>
        <v>-117.69378089193971</v>
      </c>
      <c r="BQ111">
        <f>Data!$H$2*(1-BJ111)*(1-BJ111/Data!$H$3)*BN111</f>
        <v>-3.0990291528760667E-11</v>
      </c>
      <c r="BR111">
        <f t="shared" si="66"/>
        <v>120.04312096348157</v>
      </c>
      <c r="BS111">
        <f t="shared" si="67"/>
        <v>0</v>
      </c>
      <c r="BT111">
        <f t="shared" si="68"/>
        <v>0</v>
      </c>
      <c r="BU111">
        <f t="shared" si="69"/>
        <v>0</v>
      </c>
      <c r="BV111">
        <f t="shared" si="70"/>
        <v>0</v>
      </c>
      <c r="BW111">
        <f t="shared" si="84"/>
        <v>0</v>
      </c>
      <c r="BX111" t="str">
        <f t="shared" si="85"/>
        <v/>
      </c>
      <c r="BY111" s="66" t="str">
        <f t="shared" si="71"/>
        <v/>
      </c>
      <c r="BZ111" t="str">
        <f t="shared" si="72"/>
        <v/>
      </c>
      <c r="CA111" s="67" t="str">
        <f t="shared" si="73"/>
        <v/>
      </c>
    </row>
    <row r="112" spans="1:79" x14ac:dyDescent="0.25">
      <c r="A112">
        <v>9661</v>
      </c>
      <c r="B112">
        <v>35</v>
      </c>
      <c r="C112">
        <v>10647</v>
      </c>
      <c r="D112" s="3">
        <f t="shared" si="98"/>
        <v>-8.3333333333333332E-3</v>
      </c>
      <c r="E112" s="3">
        <f t="shared" si="98"/>
        <v>0.66583333333333339</v>
      </c>
      <c r="F112">
        <f>IF(A112&gt;0,IF(F111=1,1,IF(B112=Data!$H$4,1,0)),"")</f>
        <v>1</v>
      </c>
      <c r="J112" s="3"/>
      <c r="K112" s="3"/>
      <c r="O112" s="3"/>
      <c r="P112" s="3"/>
      <c r="Q112" t="str">
        <f t="shared" si="74"/>
        <v/>
      </c>
      <c r="R112" s="4" t="str">
        <f t="shared" si="75"/>
        <v/>
      </c>
      <c r="S112" t="e">
        <f t="shared" si="86"/>
        <v>#DIV/0!</v>
      </c>
      <c r="T112" t="e">
        <f t="shared" si="99"/>
        <v>#DIV/0!</v>
      </c>
      <c r="U112" s="4">
        <f t="shared" si="76"/>
        <v>0</v>
      </c>
      <c r="V112" t="e">
        <f t="shared" si="87"/>
        <v>#DIV/0!</v>
      </c>
      <c r="W112" t="e">
        <f t="shared" si="88"/>
        <v>#DIV/0!</v>
      </c>
      <c r="X112" t="e">
        <f t="shared" si="89"/>
        <v>#VALUE!</v>
      </c>
      <c r="Y112" t="e">
        <f t="shared" si="90"/>
        <v>#VALUE!</v>
      </c>
      <c r="Z112" t="e">
        <f t="shared" si="91"/>
        <v>#VALUE!</v>
      </c>
      <c r="AA112" t="e">
        <f t="shared" si="77"/>
        <v>#VALUE!</v>
      </c>
      <c r="AB112" t="str">
        <f t="shared" si="92"/>
        <v/>
      </c>
      <c r="AC112" t="str">
        <f t="shared" si="93"/>
        <v/>
      </c>
      <c r="AD112" t="str">
        <f t="shared" si="94"/>
        <v/>
      </c>
      <c r="AE112" t="str">
        <f t="shared" si="95"/>
        <v/>
      </c>
      <c r="AF112" s="72">
        <f>IF(AF111+$AF$1&gt;ROUND(Data!$H$4,0),AF111,AF111+$AF$1)</f>
        <v>70</v>
      </c>
      <c r="AG112">
        <f>IF(MATCH(AF112,$AA$3:$AA$1010,0)&lt;898,AVERAGE(AG111,AG113),VLOOKUP(AF112,$R$2:$T$301,2,FALSE))</f>
        <v>5401</v>
      </c>
      <c r="AH112">
        <f>IF(MATCH(AF112,$AA$3:$AA$1010,0)&lt;898,AVERAGE(AH111,AH113),VLOOKUP(AF112,$R$2:$T$301,3,FALSE))</f>
        <v>1148</v>
      </c>
      <c r="AI112">
        <f>IF(MATCH(AF112,$AE$3:$AE$1010,0)&lt;898,AVERAGE(AI111,AI113),VLOOKUP(AF112,$U$2:$W$301,2,FALSE))</f>
        <v>5401</v>
      </c>
      <c r="AJ112" s="67">
        <f>IF(MATCH(AF112,$AE$3:$AE$1010,0)&lt;898,AVERAGE(AJ111,AJ113),VLOOKUP(AF112,$U$2:$W$301,3,FALSE))</f>
        <v>1151</v>
      </c>
      <c r="AK112" s="4">
        <f t="shared" si="96"/>
        <v>36.000000000000156</v>
      </c>
      <c r="AL112">
        <f t="shared" si="78"/>
        <v>1321.0000000000186</v>
      </c>
      <c r="AM112">
        <f t="shared" si="79"/>
        <v>10702.666666666606</v>
      </c>
      <c r="AN112">
        <f>IF($AK111+$AK$1&lt;=Data!$H$4-0.5,AVERAGE(AM110:AM114),AN111)</f>
        <v>10696.446666666614</v>
      </c>
      <c r="AO112">
        <f t="shared" si="80"/>
        <v>9540.9999999999818</v>
      </c>
      <c r="AP112">
        <f t="shared" si="97"/>
        <v>10563.333333333321</v>
      </c>
      <c r="AQ112">
        <f>IF($AK111+$AK$1&lt;=Data!$H$4-0.5,AVERAGE(AP110:AP114),AQ111)</f>
        <v>10563.313333333321</v>
      </c>
      <c r="AR112">
        <f>IF($AK111+$AK$1&lt;=Data!$H$4-0.5,SLOPE($AN108:$AN116,$AK108:$AK116),AR111)</f>
        <v>-318.83333333335611</v>
      </c>
      <c r="AS112">
        <f>IF($AK111+$AK$1&lt;=Data!$H$4-0.5,SLOPE($AQ108:$AQ116,$AK108:$AK116),AS111)</f>
        <v>-81.499999999999744</v>
      </c>
      <c r="AT112" t="str">
        <f>IF(AND($AK112&gt;=Results!$G$13,$AK112&lt;=Results!$G$14),Curves!AR112,"")</f>
        <v/>
      </c>
      <c r="AU112" t="str">
        <f>IF(AND($AK112&gt;=Results!$G$13,$AK112&lt;=Results!$G$14),Curves!AS112,"")</f>
        <v/>
      </c>
      <c r="AV112" t="str">
        <f t="shared" si="81"/>
        <v/>
      </c>
      <c r="AW112" t="str">
        <f>IF(AND($AK112&lt;=Results!$I$21,$AK112&gt;=Results!$I$20,$AK112&lt;=Results!$F$4),$AN112,"")</f>
        <v/>
      </c>
      <c r="AX112" t="str">
        <f t="shared" si="81"/>
        <v/>
      </c>
      <c r="AY112" t="str">
        <f>IF(AND($AK112&lt;=Results!$I$23,$AK112&gt;=Results!$I$22,$AK112&gt;=Results!$F$4),$AN112,"")</f>
        <v/>
      </c>
      <c r="AZ112">
        <f t="shared" si="54"/>
        <v>36.000000000000156</v>
      </c>
      <c r="BA112">
        <f>IF(AND($AK112&lt;=Results!$I$27,$AK112&gt;=Results!$I$26,$AK112&lt;=Results!$F$4),$AQ112,"")</f>
        <v>10563.313333333321</v>
      </c>
      <c r="BB112" t="str">
        <f t="shared" si="55"/>
        <v/>
      </c>
      <c r="BC112" t="str">
        <f>IF(AND($AK112&lt;=Results!$I$29,$AK112&gt;=Results!$I$28,$AK112&gt;=Results!$F$4),$AQ112,"")</f>
        <v/>
      </c>
      <c r="BD112">
        <f t="shared" si="56"/>
        <v>10881.957593757517</v>
      </c>
      <c r="BE112">
        <f t="shared" si="57"/>
        <v>2281.3250411850499</v>
      </c>
      <c r="BF112">
        <f t="shared" si="58"/>
        <v>10560.854342376937</v>
      </c>
      <c r="BG112">
        <f t="shared" si="59"/>
        <v>1340.5026917525151</v>
      </c>
      <c r="BH112">
        <f t="shared" si="60"/>
        <v>0</v>
      </c>
      <c r="BI112">
        <f t="shared" si="61"/>
        <v>0.97843054845594857</v>
      </c>
      <c r="BJ112">
        <f t="shared" si="62"/>
        <v>1.0002666916674721</v>
      </c>
      <c r="BK112">
        <f t="shared" si="63"/>
        <v>-2.473636716167369E-2</v>
      </c>
      <c r="BL112">
        <f t="shared" si="64"/>
        <v>-9.3079245885417726E-4</v>
      </c>
      <c r="BM112">
        <f t="shared" si="82"/>
        <v>119.99999999999942</v>
      </c>
      <c r="BN112">
        <f t="shared" si="83"/>
        <v>-119.99999999999829</v>
      </c>
      <c r="BO112">
        <f>Data!$H$2*(1-BI112)*(1-BI112/Data!$H$3)*BM112</f>
        <v>1.1165789757868329E-7</v>
      </c>
      <c r="BP112">
        <f t="shared" si="65"/>
        <v>-117.41166581471326</v>
      </c>
      <c r="BQ112">
        <f>Data!$H$2*(1-BJ112)*(1-BJ112/Data!$H$3)*BN112</f>
        <v>-1.7069866919766844E-11</v>
      </c>
      <c r="BR112">
        <f t="shared" si="66"/>
        <v>120.03200300009495</v>
      </c>
      <c r="BS112">
        <f t="shared" si="67"/>
        <v>0</v>
      </c>
      <c r="BT112">
        <f t="shared" si="68"/>
        <v>0</v>
      </c>
      <c r="BU112">
        <f t="shared" si="69"/>
        <v>0</v>
      </c>
      <c r="BV112">
        <f t="shared" si="70"/>
        <v>0</v>
      </c>
      <c r="BW112">
        <f t="shared" si="84"/>
        <v>0</v>
      </c>
      <c r="BX112" t="str">
        <f t="shared" si="85"/>
        <v/>
      </c>
      <c r="BY112" s="66" t="str">
        <f t="shared" si="71"/>
        <v/>
      </c>
      <c r="BZ112" t="str">
        <f t="shared" si="72"/>
        <v/>
      </c>
      <c r="CA112" s="67" t="str">
        <f t="shared" si="73"/>
        <v/>
      </c>
    </row>
    <row r="113" spans="1:79" ht="13" thickBot="1" x14ac:dyDescent="0.3">
      <c r="A113">
        <v>9781</v>
      </c>
      <c r="B113">
        <v>34</v>
      </c>
      <c r="C113">
        <v>10721</v>
      </c>
      <c r="D113" s="3">
        <f t="shared" si="98"/>
        <v>-8.3333333333333332E-3</v>
      </c>
      <c r="E113" s="3">
        <f t="shared" si="98"/>
        <v>0.64</v>
      </c>
      <c r="F113">
        <f>IF(A113&gt;0,IF(F112=1,1,IF(B113=Data!$H$4,1,0)),"")</f>
        <v>1</v>
      </c>
      <c r="J113" s="3"/>
      <c r="K113" s="3"/>
      <c r="O113" s="3"/>
      <c r="P113" s="3"/>
      <c r="Q113" t="str">
        <f t="shared" si="74"/>
        <v/>
      </c>
      <c r="R113" s="4" t="str">
        <f t="shared" si="75"/>
        <v/>
      </c>
      <c r="S113" t="e">
        <f t="shared" si="86"/>
        <v>#DIV/0!</v>
      </c>
      <c r="T113" t="e">
        <f t="shared" si="99"/>
        <v>#DIV/0!</v>
      </c>
      <c r="U113" s="4">
        <f t="shared" si="76"/>
        <v>0</v>
      </c>
      <c r="V113" t="e">
        <f t="shared" si="87"/>
        <v>#DIV/0!</v>
      </c>
      <c r="W113" t="e">
        <f t="shared" si="88"/>
        <v>#DIV/0!</v>
      </c>
      <c r="X113" t="e">
        <f t="shared" si="89"/>
        <v>#VALUE!</v>
      </c>
      <c r="Y113" t="e">
        <f t="shared" si="90"/>
        <v>#VALUE!</v>
      </c>
      <c r="Z113" t="e">
        <f t="shared" si="91"/>
        <v>#VALUE!</v>
      </c>
      <c r="AA113" t="e">
        <f t="shared" si="77"/>
        <v>#VALUE!</v>
      </c>
      <c r="AB113" t="str">
        <f t="shared" si="92"/>
        <v/>
      </c>
      <c r="AC113" t="str">
        <f t="shared" si="93"/>
        <v/>
      </c>
      <c r="AD113" t="str">
        <f t="shared" si="94"/>
        <v/>
      </c>
      <c r="AE113" t="str">
        <f t="shared" si="95"/>
        <v/>
      </c>
      <c r="AF113" s="68"/>
      <c r="AG113" s="69"/>
      <c r="AH113" s="69"/>
      <c r="AI113" s="69"/>
      <c r="AJ113" s="70"/>
      <c r="AK113" s="4">
        <f t="shared" si="96"/>
        <v>36.100000000000158</v>
      </c>
      <c r="AL113">
        <f t="shared" si="78"/>
        <v>1333.0000000000189</v>
      </c>
      <c r="AM113">
        <f t="shared" si="79"/>
        <v>10665.599999999939</v>
      </c>
      <c r="AN113">
        <f>IF($AK112+$AK$1&lt;=Data!$H$4-0.5,AVERAGE(AM111:AM115),AN112)</f>
        <v>10663.52666666661</v>
      </c>
      <c r="AO113">
        <f t="shared" si="80"/>
        <v>9528.9999999999818</v>
      </c>
      <c r="AP113">
        <f t="shared" si="97"/>
        <v>10555.166666666655</v>
      </c>
      <c r="AQ113">
        <f>IF($AK112+$AK$1&lt;=Data!$H$4-0.5,AVERAGE(AP111:AP115),AQ112)</f>
        <v>10555.159999999987</v>
      </c>
      <c r="AR113">
        <f>IF($AK112+$AK$1&lt;=Data!$H$4-0.5,SLOPE($AN109:$AN117,$AK109:$AK117),AR112)</f>
        <v>-334.38333333335328</v>
      </c>
      <c r="AS113">
        <f>IF($AK112+$AK$1&lt;=Data!$H$4-0.5,SLOPE($AQ109:$AQ117,$AK109:$AK117),AS112)</f>
        <v>-81.549999999998718</v>
      </c>
      <c r="AT113" t="str">
        <f>IF(AND($AK113&gt;=Results!$G$13,$AK113&lt;=Results!$G$14),Curves!AR113,"")</f>
        <v/>
      </c>
      <c r="AU113" t="str">
        <f>IF(AND($AK113&gt;=Results!$G$13,$AK113&lt;=Results!$G$14),Curves!AS113,"")</f>
        <v/>
      </c>
      <c r="AV113" t="str">
        <f t="shared" si="81"/>
        <v/>
      </c>
      <c r="AW113" t="str">
        <f>IF(AND($AK113&lt;=Results!$I$21,$AK113&gt;=Results!$I$20,$AK113&lt;=Results!$F$4),$AN113,"")</f>
        <v/>
      </c>
      <c r="AX113" t="str">
        <f t="shared" si="81"/>
        <v/>
      </c>
      <c r="AY113" t="str">
        <f>IF(AND($AK113&lt;=Results!$I$23,$AK113&gt;=Results!$I$22,$AK113&gt;=Results!$F$4),$AN113,"")</f>
        <v/>
      </c>
      <c r="AZ113">
        <f t="shared" si="54"/>
        <v>36.100000000000158</v>
      </c>
      <c r="BA113">
        <f>IF(AND($AK113&lt;=Results!$I$27,$AK113&gt;=Results!$I$26,$AK113&lt;=Results!$F$4),$AQ113,"")</f>
        <v>10555.159999999987</v>
      </c>
      <c r="BB113" t="str">
        <f t="shared" si="55"/>
        <v/>
      </c>
      <c r="BC113" t="str">
        <f>IF(AND($AK113&lt;=Results!$I$29,$AK113&gt;=Results!$I$28,$AK113&gt;=Results!$F$4),$AQ113,"")</f>
        <v/>
      </c>
      <c r="BD113">
        <f t="shared" si="56"/>
        <v>10871.187398959599</v>
      </c>
      <c r="BE113">
        <f t="shared" si="57"/>
        <v>2278.0092519357295</v>
      </c>
      <c r="BF113">
        <f t="shared" si="58"/>
        <v>10553.564360144042</v>
      </c>
      <c r="BG113">
        <f t="shared" si="59"/>
        <v>1339.9518907929903</v>
      </c>
      <c r="BH113">
        <f t="shared" si="60"/>
        <v>0</v>
      </c>
      <c r="BI113">
        <f t="shared" si="61"/>
        <v>0.97583423400050084</v>
      </c>
      <c r="BJ113">
        <f t="shared" si="62"/>
        <v>1.0001731828705898</v>
      </c>
      <c r="BK113">
        <f t="shared" si="63"/>
        <v>-2.7193117331782587E-2</v>
      </c>
      <c r="BL113">
        <f t="shared" si="64"/>
        <v>-9.3939291138210633E-4</v>
      </c>
      <c r="BM113">
        <f t="shared" si="82"/>
        <v>120.00000000000055</v>
      </c>
      <c r="BN113">
        <f t="shared" si="83"/>
        <v>-119.99999999999829</v>
      </c>
      <c r="BO113">
        <f>Data!$H$2*(1-BI113)*(1-BI113/Data!$H$3)*BM113</f>
        <v>1.4015621912221251E-7</v>
      </c>
      <c r="BP113">
        <f t="shared" si="65"/>
        <v>-117.10010808006064</v>
      </c>
      <c r="BQ113">
        <f>Data!$H$2*(1-BJ113)*(1-BJ113/Data!$H$3)*BN113</f>
        <v>-7.1981535997702664E-12</v>
      </c>
      <c r="BR113">
        <f t="shared" si="66"/>
        <v>120.02078194446906</v>
      </c>
      <c r="BS113">
        <f t="shared" si="67"/>
        <v>0</v>
      </c>
      <c r="BT113">
        <f t="shared" si="68"/>
        <v>0</v>
      </c>
      <c r="BU113">
        <f t="shared" si="69"/>
        <v>0</v>
      </c>
      <c r="BV113">
        <f t="shared" si="70"/>
        <v>0</v>
      </c>
      <c r="BW113">
        <f t="shared" si="84"/>
        <v>0</v>
      </c>
      <c r="BX113" t="str">
        <f t="shared" si="85"/>
        <v/>
      </c>
      <c r="BY113" s="66" t="str">
        <f t="shared" si="71"/>
        <v/>
      </c>
      <c r="BZ113" t="str">
        <f t="shared" si="72"/>
        <v/>
      </c>
      <c r="CA113" s="67" t="str">
        <f t="shared" si="73"/>
        <v/>
      </c>
    </row>
    <row r="114" spans="1:79" x14ac:dyDescent="0.25">
      <c r="A114">
        <v>9901</v>
      </c>
      <c r="B114">
        <v>33</v>
      </c>
      <c r="C114">
        <v>10799</v>
      </c>
      <c r="D114" s="3">
        <f t="shared" si="98"/>
        <v>-8.3333333333333332E-3</v>
      </c>
      <c r="E114" s="3">
        <f t="shared" si="98"/>
        <v>0.66083333333333338</v>
      </c>
      <c r="F114">
        <f>IF(A114&gt;0,IF(F113=1,1,IF(B114=Data!$H$4,1,0)),"")</f>
        <v>1</v>
      </c>
      <c r="J114" s="3"/>
      <c r="K114" s="3"/>
      <c r="O114" s="3"/>
      <c r="P114" s="3"/>
      <c r="Q114" t="str">
        <f t="shared" si="74"/>
        <v/>
      </c>
      <c r="R114" s="4" t="str">
        <f t="shared" si="75"/>
        <v/>
      </c>
      <c r="S114" t="e">
        <f t="shared" si="86"/>
        <v>#DIV/0!</v>
      </c>
      <c r="T114" t="e">
        <f t="shared" si="99"/>
        <v>#DIV/0!</v>
      </c>
      <c r="U114" s="4">
        <f t="shared" si="76"/>
        <v>0</v>
      </c>
      <c r="V114" t="e">
        <f t="shared" si="87"/>
        <v>#DIV/0!</v>
      </c>
      <c r="W114" t="e">
        <f t="shared" si="88"/>
        <v>#DIV/0!</v>
      </c>
      <c r="X114" t="e">
        <f t="shared" si="89"/>
        <v>#VALUE!</v>
      </c>
      <c r="Y114" t="e">
        <f t="shared" si="90"/>
        <v>#VALUE!</v>
      </c>
      <c r="Z114" t="e">
        <f t="shared" si="91"/>
        <v>#VALUE!</v>
      </c>
      <c r="AA114" t="e">
        <f t="shared" si="77"/>
        <v>#VALUE!</v>
      </c>
      <c r="AB114" t="str">
        <f t="shared" si="92"/>
        <v/>
      </c>
      <c r="AC114" t="str">
        <f t="shared" si="93"/>
        <v/>
      </c>
      <c r="AD114" t="str">
        <f t="shared" si="94"/>
        <v/>
      </c>
      <c r="AE114" t="str">
        <f t="shared" si="95"/>
        <v/>
      </c>
      <c r="AK114" s="4">
        <f t="shared" si="96"/>
        <v>36.200000000000159</v>
      </c>
      <c r="AL114">
        <f t="shared" si="78"/>
        <v>1345.0000000000191</v>
      </c>
      <c r="AM114">
        <f t="shared" si="79"/>
        <v>10628.533333333273</v>
      </c>
      <c r="AN114">
        <f>IF($AK113+$AK$1&lt;=Data!$H$4-0.5,AVERAGE(AM112:AM116),AN113)</f>
        <v>10628.533333333273</v>
      </c>
      <c r="AO114">
        <f t="shared" si="80"/>
        <v>9516.9999999999818</v>
      </c>
      <c r="AP114">
        <f t="shared" si="97"/>
        <v>10546.999999999987</v>
      </c>
      <c r="AQ114">
        <f>IF($AK113+$AK$1&lt;=Data!$H$4-0.5,AVERAGE(AP112:AP116),AQ113)</f>
        <v>10546.999999999989</v>
      </c>
      <c r="AR114">
        <f>IF($AK113+$AK$1&lt;=Data!$H$4-0.5,SLOPE($AN110:$AN118,$AK110:$AK118),AR113)</f>
        <v>-348.20555555557092</v>
      </c>
      <c r="AS114">
        <f>IF($AK113+$AK$1&lt;=Data!$H$4-0.5,SLOPE($AQ110:$AQ118,$AK110:$AK118),AS113)</f>
        <v>-81.594444444444335</v>
      </c>
      <c r="AT114" t="str">
        <f>IF(AND($AK114&gt;=Results!$G$13,$AK114&lt;=Results!$G$14),Curves!AR114,"")</f>
        <v/>
      </c>
      <c r="AU114" t="str">
        <f>IF(AND($AK114&gt;=Results!$G$13,$AK114&lt;=Results!$G$14),Curves!AS114,"")</f>
        <v/>
      </c>
      <c r="AV114" t="str">
        <f t="shared" si="81"/>
        <v/>
      </c>
      <c r="AW114" t="str">
        <f>IF(AND($AK114&lt;=Results!$I$21,$AK114&gt;=Results!$I$20,$AK114&lt;=Results!$F$4),$AN114,"")</f>
        <v/>
      </c>
      <c r="AX114" t="str">
        <f t="shared" si="81"/>
        <v/>
      </c>
      <c r="AY114" t="str">
        <f>IF(AND($AK114&lt;=Results!$I$23,$AK114&gt;=Results!$I$22,$AK114&gt;=Results!$F$4),$AN114,"")</f>
        <v/>
      </c>
      <c r="AZ114">
        <f t="shared" si="54"/>
        <v>36.200000000000159</v>
      </c>
      <c r="BA114">
        <f>IF(AND($AK114&lt;=Results!$I$27,$AK114&gt;=Results!$I$26,$AK114&lt;=Results!$F$4),$AQ114,"")</f>
        <v>10546.999999999989</v>
      </c>
      <c r="BB114" t="str">
        <f t="shared" si="55"/>
        <v/>
      </c>
      <c r="BC114" t="str">
        <f>IF(AND($AK114&lt;=Results!$I$29,$AK114&gt;=Results!$I$28,$AK114&gt;=Results!$F$4),$AQ114,"")</f>
        <v/>
      </c>
      <c r="BD114">
        <f t="shared" si="56"/>
        <v>10860.417204161678</v>
      </c>
      <c r="BE114">
        <f t="shared" si="57"/>
        <v>2274.6934626864086</v>
      </c>
      <c r="BF114">
        <f t="shared" si="58"/>
        <v>10546.27437791115</v>
      </c>
      <c r="BG114">
        <f t="shared" si="59"/>
        <v>1339.4010898334652</v>
      </c>
      <c r="BH114">
        <f t="shared" si="60"/>
        <v>0</v>
      </c>
      <c r="BI114">
        <f t="shared" si="61"/>
        <v>0.97299192498959197</v>
      </c>
      <c r="BJ114">
        <f t="shared" si="62"/>
        <v>1.0000788130851956</v>
      </c>
      <c r="BK114">
        <f t="shared" si="63"/>
        <v>-2.9656269377891366E-2</v>
      </c>
      <c r="BL114">
        <f t="shared" si="64"/>
        <v>-9.480122567312319E-4</v>
      </c>
      <c r="BM114">
        <f t="shared" si="82"/>
        <v>120.00000000000055</v>
      </c>
      <c r="BN114">
        <f t="shared" si="83"/>
        <v>-120.00000000000739</v>
      </c>
      <c r="BO114">
        <f>Data!$H$2*(1-BI114)*(1-BI114/Data!$H$3)*BM114</f>
        <v>1.7506466778427918E-7</v>
      </c>
      <c r="BP114">
        <f t="shared" si="65"/>
        <v>-116.75903099875157</v>
      </c>
      <c r="BQ114">
        <f>Data!$H$2*(1-BJ114)*(1-BJ114/Data!$H$3)*BN114</f>
        <v>-1.4907605755333127E-12</v>
      </c>
      <c r="BR114">
        <f t="shared" si="66"/>
        <v>120.00945757023086</v>
      </c>
      <c r="BS114">
        <f t="shared" si="67"/>
        <v>0</v>
      </c>
      <c r="BT114">
        <f t="shared" si="68"/>
        <v>0</v>
      </c>
      <c r="BU114">
        <f t="shared" si="69"/>
        <v>0</v>
      </c>
      <c r="BV114">
        <f t="shared" si="70"/>
        <v>0</v>
      </c>
      <c r="BW114">
        <f t="shared" si="84"/>
        <v>0</v>
      </c>
      <c r="BX114" t="str">
        <f t="shared" si="85"/>
        <v/>
      </c>
      <c r="BY114" s="66" t="str">
        <f t="shared" si="71"/>
        <v/>
      </c>
      <c r="BZ114" t="str">
        <f t="shared" si="72"/>
        <v/>
      </c>
      <c r="CA114" s="67" t="str">
        <f t="shared" si="73"/>
        <v/>
      </c>
    </row>
    <row r="115" spans="1:79" x14ac:dyDescent="0.25">
      <c r="A115">
        <v>10021</v>
      </c>
      <c r="B115">
        <v>32</v>
      </c>
      <c r="C115">
        <v>10874</v>
      </c>
      <c r="D115" s="3">
        <f t="shared" si="98"/>
        <v>-8.3333333333333332E-3</v>
      </c>
      <c r="E115" s="3">
        <f t="shared" si="98"/>
        <v>0.68166666666666664</v>
      </c>
      <c r="F115">
        <f>IF(A115&gt;0,IF(F114=1,1,IF(B115=Data!$H$4,1,0)),"")</f>
        <v>1</v>
      </c>
      <c r="O115" s="3"/>
      <c r="P115" s="3"/>
      <c r="Q115" t="str">
        <f t="shared" si="74"/>
        <v/>
      </c>
      <c r="R115" s="4" t="str">
        <f t="shared" si="75"/>
        <v/>
      </c>
      <c r="S115" t="e">
        <f t="shared" si="86"/>
        <v>#DIV/0!</v>
      </c>
      <c r="T115" t="e">
        <f t="shared" si="99"/>
        <v>#DIV/0!</v>
      </c>
      <c r="U115" s="4">
        <f t="shared" si="76"/>
        <v>0</v>
      </c>
      <c r="V115" t="e">
        <f t="shared" si="87"/>
        <v>#DIV/0!</v>
      </c>
      <c r="W115" t="e">
        <f t="shared" si="88"/>
        <v>#DIV/0!</v>
      </c>
      <c r="X115" t="e">
        <f t="shared" si="89"/>
        <v>#VALUE!</v>
      </c>
      <c r="Y115" t="e">
        <f t="shared" si="90"/>
        <v>#VALUE!</v>
      </c>
      <c r="Z115" t="e">
        <f t="shared" si="91"/>
        <v>#VALUE!</v>
      </c>
      <c r="AA115" t="e">
        <f t="shared" si="77"/>
        <v>#VALUE!</v>
      </c>
      <c r="AB115" t="str">
        <f t="shared" si="92"/>
        <v/>
      </c>
      <c r="AC115" t="str">
        <f t="shared" si="93"/>
        <v/>
      </c>
      <c r="AD115" t="str">
        <f t="shared" si="94"/>
        <v/>
      </c>
      <c r="AE115" t="str">
        <f t="shared" si="95"/>
        <v/>
      </c>
      <c r="AK115" s="4">
        <f t="shared" si="96"/>
        <v>36.300000000000161</v>
      </c>
      <c r="AL115">
        <f t="shared" si="78"/>
        <v>1357.0000000000193</v>
      </c>
      <c r="AM115">
        <f t="shared" si="79"/>
        <v>10591.466666666605</v>
      </c>
      <c r="AN115">
        <f>IF($AK114+$AK$1&lt;=Data!$H$4-0.5,AVERAGE(AM113:AM117),AN114)</f>
        <v>10591.466666666605</v>
      </c>
      <c r="AO115">
        <f t="shared" si="80"/>
        <v>9504.99999999998</v>
      </c>
      <c r="AP115">
        <f t="shared" si="97"/>
        <v>10538.833333333321</v>
      </c>
      <c r="AQ115">
        <f>IF($AK114+$AK$1&lt;=Data!$H$4-0.5,AVERAGE(AP113:AP117),AQ114)</f>
        <v>10538.833333333319</v>
      </c>
      <c r="AR115">
        <f>IF($AK114+$AK$1&lt;=Data!$H$4-0.5,SLOPE($AN111:$AN119,$AK111:$AK119),AR114)</f>
        <v>-358.57222222223152</v>
      </c>
      <c r="AS115">
        <f>IF($AK114+$AK$1&lt;=Data!$H$4-0.5,SLOPE($AQ111:$AQ119,$AK111:$AK119),AS114)</f>
        <v>-81.627777777778093</v>
      </c>
      <c r="AT115" t="str">
        <f>IF(AND($AK115&gt;=Results!$G$13,$AK115&lt;=Results!$G$14),Curves!AR115,"")</f>
        <v/>
      </c>
      <c r="AU115" t="str">
        <f>IF(AND($AK115&gt;=Results!$G$13,$AK115&lt;=Results!$G$14),Curves!AS115,"")</f>
        <v/>
      </c>
      <c r="AV115" t="str">
        <f t="shared" si="81"/>
        <v/>
      </c>
      <c r="AW115" t="str">
        <f>IF(AND($AK115&lt;=Results!$I$21,$AK115&gt;=Results!$I$20,$AK115&lt;=Results!$F$4),$AN115,"")</f>
        <v/>
      </c>
      <c r="AX115" t="str">
        <f t="shared" si="81"/>
        <v/>
      </c>
      <c r="AY115" t="str">
        <f>IF(AND($AK115&lt;=Results!$I$23,$AK115&gt;=Results!$I$22,$AK115&gt;=Results!$F$4),$AN115,"")</f>
        <v/>
      </c>
      <c r="AZ115">
        <f t="shared" si="54"/>
        <v>36.300000000000161</v>
      </c>
      <c r="BA115">
        <f>IF(AND($AK115&lt;=Results!$I$27,$AK115&gt;=Results!$I$26,$AK115&lt;=Results!$F$4),$AQ115,"")</f>
        <v>10538.833333333319</v>
      </c>
      <c r="BB115" t="str">
        <f t="shared" si="55"/>
        <v/>
      </c>
      <c r="BC115" t="str">
        <f>IF(AND($AK115&lt;=Results!$I$29,$AK115&gt;=Results!$I$28,$AK115&gt;=Results!$F$4),$AQ115,"")</f>
        <v/>
      </c>
      <c r="BD115">
        <f t="shared" si="56"/>
        <v>10849.647009363758</v>
      </c>
      <c r="BE115">
        <f t="shared" si="57"/>
        <v>2271.3776734370877</v>
      </c>
      <c r="BF115">
        <f t="shared" si="58"/>
        <v>10538.984395678257</v>
      </c>
      <c r="BG115">
        <f t="shared" si="59"/>
        <v>1338.8502888739404</v>
      </c>
      <c r="BH115">
        <f t="shared" si="60"/>
        <v>0</v>
      </c>
      <c r="BI115">
        <f t="shared" si="61"/>
        <v>0.96990298012492249</v>
      </c>
      <c r="BJ115">
        <f t="shared" si="62"/>
        <v>0.99998358041924351</v>
      </c>
      <c r="BK115">
        <f t="shared" si="63"/>
        <v>-3.0916314525757497E-2</v>
      </c>
      <c r="BL115">
        <f t="shared" si="64"/>
        <v>-9.5302475875801184E-4</v>
      </c>
      <c r="BM115">
        <f t="shared" si="82"/>
        <v>120.00000000000055</v>
      </c>
      <c r="BN115">
        <f t="shared" si="83"/>
        <v>-120.00000000000739</v>
      </c>
      <c r="BO115">
        <f>Data!$H$2*(1-BI115)*(1-BI115/Data!$H$3)*BM115</f>
        <v>2.1739934528659559E-7</v>
      </c>
      <c r="BP115">
        <f t="shared" si="65"/>
        <v>-116.38835761499124</v>
      </c>
      <c r="BQ115">
        <f>Data!$H$2*(1-BJ115)*(1-BJ115/Data!$H$3)*BN115</f>
        <v>-6.4704631732524963E-14</v>
      </c>
      <c r="BR115">
        <f t="shared" si="66"/>
        <v>119.99802965031661</v>
      </c>
      <c r="BS115">
        <f t="shared" si="67"/>
        <v>0</v>
      </c>
      <c r="BT115">
        <f t="shared" si="68"/>
        <v>0</v>
      </c>
      <c r="BU115">
        <f t="shared" si="69"/>
        <v>0</v>
      </c>
      <c r="BV115">
        <f t="shared" si="70"/>
        <v>0</v>
      </c>
      <c r="BW115">
        <f t="shared" si="84"/>
        <v>0</v>
      </c>
      <c r="BX115" t="str">
        <f t="shared" si="85"/>
        <v/>
      </c>
      <c r="BY115" s="66" t="str">
        <f t="shared" si="71"/>
        <v/>
      </c>
      <c r="BZ115" t="str">
        <f t="shared" si="72"/>
        <v/>
      </c>
      <c r="CA115" s="67" t="str">
        <f t="shared" si="73"/>
        <v/>
      </c>
    </row>
    <row r="116" spans="1:79" x14ac:dyDescent="0.25">
      <c r="A116">
        <v>10141</v>
      </c>
      <c r="B116">
        <v>31</v>
      </c>
      <c r="C116">
        <v>10967</v>
      </c>
      <c r="D116" s="3">
        <f t="shared" si="98"/>
        <v>-8.3333333333333332E-3</v>
      </c>
      <c r="E116" s="3">
        <f t="shared" si="98"/>
        <v>0.69666666666666666</v>
      </c>
      <c r="F116">
        <f>IF(A116&gt;0,IF(F115=1,1,IF(B116=Data!$H$4,1,0)),"")</f>
        <v>1</v>
      </c>
      <c r="O116" s="3"/>
      <c r="P116" s="3"/>
      <c r="Q116" t="str">
        <f t="shared" si="74"/>
        <v/>
      </c>
      <c r="R116" s="4" t="str">
        <f t="shared" si="75"/>
        <v/>
      </c>
      <c r="S116" t="e">
        <f t="shared" si="86"/>
        <v>#DIV/0!</v>
      </c>
      <c r="T116" t="e">
        <f t="shared" si="99"/>
        <v>#DIV/0!</v>
      </c>
      <c r="U116" s="4">
        <f t="shared" si="76"/>
        <v>0</v>
      </c>
      <c r="V116" t="e">
        <f t="shared" si="87"/>
        <v>#DIV/0!</v>
      </c>
      <c r="W116" t="e">
        <f t="shared" si="88"/>
        <v>#DIV/0!</v>
      </c>
      <c r="X116" t="e">
        <f t="shared" si="89"/>
        <v>#VALUE!</v>
      </c>
      <c r="Y116" t="e">
        <f t="shared" si="90"/>
        <v>#VALUE!</v>
      </c>
      <c r="Z116" t="e">
        <f t="shared" si="91"/>
        <v>#VALUE!</v>
      </c>
      <c r="AA116" t="e">
        <f t="shared" si="77"/>
        <v>#VALUE!</v>
      </c>
      <c r="AB116" t="str">
        <f t="shared" si="92"/>
        <v/>
      </c>
      <c r="AC116" t="str">
        <f t="shared" si="93"/>
        <v/>
      </c>
      <c r="AD116" t="str">
        <f t="shared" si="94"/>
        <v/>
      </c>
      <c r="AE116" t="str">
        <f t="shared" si="95"/>
        <v/>
      </c>
      <c r="AK116" s="4">
        <f t="shared" si="96"/>
        <v>36.400000000000162</v>
      </c>
      <c r="AL116">
        <f t="shared" si="78"/>
        <v>1369.0000000000196</v>
      </c>
      <c r="AM116">
        <f t="shared" si="79"/>
        <v>10554.399999999938</v>
      </c>
      <c r="AN116">
        <f>IF($AK115+$AK$1&lt;=Data!$H$4-0.5,AVERAGE(AM114:AM118),AN115)</f>
        <v>10554.399999999938</v>
      </c>
      <c r="AO116">
        <f t="shared" si="80"/>
        <v>9492.99999999998</v>
      </c>
      <c r="AP116">
        <f t="shared" si="97"/>
        <v>10530.666666666653</v>
      </c>
      <c r="AQ116">
        <f>IF($AK115+$AK$1&lt;=Data!$H$4-0.5,AVERAGE(AP114:AP118),AQ115)</f>
        <v>10530.666666666653</v>
      </c>
      <c r="AR116">
        <f>IF($AK115+$AK$1&lt;=Data!$H$4-0.5,SLOPE($AN112:$AN120,$AK112:$AK120),AR115)</f>
        <v>-365.48333333333829</v>
      </c>
      <c r="AS116">
        <f>IF($AK115+$AK$1&lt;=Data!$H$4-0.5,SLOPE($AQ112:$AQ120,$AK112:$AK120),AS115)</f>
        <v>-81.650000000000873</v>
      </c>
      <c r="AT116" t="str">
        <f>IF(AND($AK116&gt;=Results!$G$13,$AK116&lt;=Results!$G$14),Curves!AR116,"")</f>
        <v/>
      </c>
      <c r="AU116" t="str">
        <f>IF(AND($AK116&gt;=Results!$G$13,$AK116&lt;=Results!$G$14),Curves!AS116,"")</f>
        <v/>
      </c>
      <c r="AV116" t="str">
        <f t="shared" si="81"/>
        <v/>
      </c>
      <c r="AW116" t="str">
        <f>IF(AND($AK116&lt;=Results!$I$21,$AK116&gt;=Results!$I$20,$AK116&lt;=Results!$F$4),$AN116,"")</f>
        <v/>
      </c>
      <c r="AX116" t="str">
        <f t="shared" si="81"/>
        <v/>
      </c>
      <c r="AY116" t="str">
        <f>IF(AND($AK116&lt;=Results!$I$23,$AK116&gt;=Results!$I$22,$AK116&gt;=Results!$F$4),$AN116,"")</f>
        <v/>
      </c>
      <c r="AZ116">
        <f t="shared" si="54"/>
        <v>36.400000000000162</v>
      </c>
      <c r="BA116">
        <f>IF(AND($AK116&lt;=Results!$I$27,$AK116&gt;=Results!$I$26,$AK116&lt;=Results!$F$4),$AQ116,"")</f>
        <v>10530.666666666653</v>
      </c>
      <c r="BB116" t="str">
        <f t="shared" si="55"/>
        <v/>
      </c>
      <c r="BC116" t="str">
        <f>IF(AND($AK116&lt;=Results!$I$29,$AK116&gt;=Results!$I$28,$AK116&gt;=Results!$F$4),$AQ116,"")</f>
        <v/>
      </c>
      <c r="BD116">
        <f t="shared" si="56"/>
        <v>10838.87681456584</v>
      </c>
      <c r="BE116">
        <f t="shared" si="57"/>
        <v>2268.0618841877667</v>
      </c>
      <c r="BF116">
        <f t="shared" si="58"/>
        <v>10531.694413445364</v>
      </c>
      <c r="BG116">
        <f t="shared" si="59"/>
        <v>1338.2994879144153</v>
      </c>
      <c r="BH116">
        <f t="shared" si="60"/>
        <v>0</v>
      </c>
      <c r="BI116">
        <f t="shared" si="61"/>
        <v>0.96680866208444038</v>
      </c>
      <c r="BJ116">
        <f t="shared" si="62"/>
        <v>0.99988820813344403</v>
      </c>
      <c r="BK116">
        <f t="shared" si="63"/>
        <v>-3.0970116444125728E-2</v>
      </c>
      <c r="BL116">
        <f t="shared" si="64"/>
        <v>-9.5442249357367858E-4</v>
      </c>
      <c r="BM116">
        <f t="shared" si="82"/>
        <v>119.99999999999942</v>
      </c>
      <c r="BN116">
        <f t="shared" si="83"/>
        <v>-119.99999999999829</v>
      </c>
      <c r="BO116">
        <f>Data!$H$2*(1-BI116)*(1-BI116/Data!$H$3)*BM116</f>
        <v>2.6439957902996635E-7</v>
      </c>
      <c r="BP116">
        <f t="shared" si="65"/>
        <v>-116.01703945013229</v>
      </c>
      <c r="BQ116">
        <f>Data!$H$2*(1-BJ116)*(1-BJ116/Data!$H$3)*BN116</f>
        <v>-2.9993811427360072E-12</v>
      </c>
      <c r="BR116">
        <f t="shared" si="66"/>
        <v>119.98658497601159</v>
      </c>
      <c r="BS116">
        <f t="shared" si="67"/>
        <v>0</v>
      </c>
      <c r="BT116">
        <f t="shared" si="68"/>
        <v>0</v>
      </c>
      <c r="BU116">
        <f t="shared" si="69"/>
        <v>0</v>
      </c>
      <c r="BV116">
        <f t="shared" si="70"/>
        <v>0</v>
      </c>
      <c r="BW116">
        <f t="shared" si="84"/>
        <v>0</v>
      </c>
      <c r="BX116" t="str">
        <f t="shared" si="85"/>
        <v/>
      </c>
      <c r="BY116" s="66" t="str">
        <f t="shared" si="71"/>
        <v/>
      </c>
      <c r="BZ116" t="str">
        <f t="shared" si="72"/>
        <v/>
      </c>
      <c r="CA116" s="67" t="str">
        <f t="shared" si="73"/>
        <v/>
      </c>
    </row>
    <row r="117" spans="1:79" x14ac:dyDescent="0.25">
      <c r="A117">
        <v>10261</v>
      </c>
      <c r="B117">
        <v>30</v>
      </c>
      <c r="C117">
        <v>11046</v>
      </c>
      <c r="D117" s="3">
        <f t="shared" si="98"/>
        <v>-8.3333333333333332E-3</v>
      </c>
      <c r="E117" s="3">
        <f t="shared" si="98"/>
        <v>0.6988738738738739</v>
      </c>
      <c r="F117">
        <f>IF(A117&gt;0,IF(F116=1,1,IF(B117=Data!$H$4,1,0)),"")</f>
        <v>1</v>
      </c>
      <c r="O117" s="3"/>
      <c r="P117" s="3"/>
      <c r="Q117" t="str">
        <f t="shared" si="74"/>
        <v/>
      </c>
      <c r="R117" s="4" t="str">
        <f t="shared" si="75"/>
        <v/>
      </c>
      <c r="S117" t="e">
        <f t="shared" si="86"/>
        <v>#DIV/0!</v>
      </c>
      <c r="T117" t="e">
        <f t="shared" si="99"/>
        <v>#DIV/0!</v>
      </c>
      <c r="U117" s="4">
        <f t="shared" si="76"/>
        <v>0</v>
      </c>
      <c r="V117" t="e">
        <f t="shared" si="87"/>
        <v>#DIV/0!</v>
      </c>
      <c r="W117" t="e">
        <f t="shared" si="88"/>
        <v>#DIV/0!</v>
      </c>
      <c r="X117" t="e">
        <f t="shared" si="89"/>
        <v>#VALUE!</v>
      </c>
      <c r="Y117" t="e">
        <f t="shared" si="90"/>
        <v>#VALUE!</v>
      </c>
      <c r="Z117" t="e">
        <f t="shared" si="91"/>
        <v>#VALUE!</v>
      </c>
      <c r="AA117" t="e">
        <f t="shared" si="77"/>
        <v>#VALUE!</v>
      </c>
      <c r="AB117" t="str">
        <f t="shared" si="92"/>
        <v/>
      </c>
      <c r="AC117" t="str">
        <f t="shared" si="93"/>
        <v/>
      </c>
      <c r="AD117" t="str">
        <f t="shared" si="94"/>
        <v/>
      </c>
      <c r="AE117" t="str">
        <f t="shared" si="95"/>
        <v/>
      </c>
      <c r="AK117" s="4">
        <f t="shared" si="96"/>
        <v>36.500000000000163</v>
      </c>
      <c r="AL117">
        <f t="shared" si="78"/>
        <v>1381.0000000000196</v>
      </c>
      <c r="AM117">
        <f t="shared" si="79"/>
        <v>10517.333333333272</v>
      </c>
      <c r="AN117">
        <f>IF($AK116+$AK$1&lt;=Data!$H$4-0.5,AVERAGE(AM115:AM119),AN116)</f>
        <v>10517.333333333272</v>
      </c>
      <c r="AO117">
        <f t="shared" si="80"/>
        <v>9480.99999999998</v>
      </c>
      <c r="AP117">
        <f t="shared" si="97"/>
        <v>10522.499999999987</v>
      </c>
      <c r="AQ117">
        <f>IF($AK116+$AK$1&lt;=Data!$H$4-0.5,AVERAGE(AP115:AP119),AQ116)</f>
        <v>10522.499999999989</v>
      </c>
      <c r="AR117">
        <f>IF($AK116+$AK$1&lt;=Data!$H$4-0.5,SLOPE($AN113:$AN121,$AK113:$AK121),AR116)</f>
        <v>-370.27555555555909</v>
      </c>
      <c r="AS117">
        <f>IF($AK116+$AK$1&lt;=Data!$H$4-0.5,SLOPE($AQ113:$AQ121,$AK113:$AK121),AS116)</f>
        <v>-81.644444444446947</v>
      </c>
      <c r="AT117" t="str">
        <f>IF(AND($AK117&gt;=Results!$G$13,$AK117&lt;=Results!$G$14),Curves!AR117,"")</f>
        <v/>
      </c>
      <c r="AU117" t="str">
        <f>IF(AND($AK117&gt;=Results!$G$13,$AK117&lt;=Results!$G$14),Curves!AS117,"")</f>
        <v/>
      </c>
      <c r="AV117" t="str">
        <f t="shared" si="81"/>
        <v/>
      </c>
      <c r="AW117" t="str">
        <f>IF(AND($AK117&lt;=Results!$I$21,$AK117&gt;=Results!$I$20,$AK117&lt;=Results!$F$4),$AN117,"")</f>
        <v/>
      </c>
      <c r="AX117" t="str">
        <f t="shared" si="81"/>
        <v/>
      </c>
      <c r="AY117" t="str">
        <f>IF(AND($AK117&lt;=Results!$I$23,$AK117&gt;=Results!$I$22,$AK117&gt;=Results!$F$4),$AN117,"")</f>
        <v/>
      </c>
      <c r="AZ117">
        <f t="shared" si="54"/>
        <v>36.500000000000163</v>
      </c>
      <c r="BA117">
        <f>IF(AND($AK117&lt;=Results!$I$27,$AK117&gt;=Results!$I$26,$AK117&lt;=Results!$F$4),$AQ117,"")</f>
        <v>10522.499999999989</v>
      </c>
      <c r="BB117" t="str">
        <f t="shared" si="55"/>
        <v/>
      </c>
      <c r="BC117" t="str">
        <f>IF(AND($AK117&lt;=Results!$I$29,$AK117&gt;=Results!$I$28,$AK117&gt;=Results!$F$4),$AQ117,"")</f>
        <v/>
      </c>
      <c r="BD117">
        <f t="shared" si="56"/>
        <v>10828.106619767919</v>
      </c>
      <c r="BE117">
        <f t="shared" si="57"/>
        <v>2264.7460949384458</v>
      </c>
      <c r="BF117">
        <f t="shared" si="58"/>
        <v>10524.404431212472</v>
      </c>
      <c r="BG117">
        <f t="shared" si="59"/>
        <v>1337.7486869548902</v>
      </c>
      <c r="BH117">
        <f t="shared" si="60"/>
        <v>0</v>
      </c>
      <c r="BI117">
        <f t="shared" si="61"/>
        <v>0.96370895683609725</v>
      </c>
      <c r="BJ117">
        <f t="shared" si="62"/>
        <v>0.99979269592052877</v>
      </c>
      <c r="BK117">
        <f t="shared" si="63"/>
        <v>-3.1024058927495272E-2</v>
      </c>
      <c r="BL117">
        <f t="shared" si="64"/>
        <v>-9.5582330558950678E-4</v>
      </c>
      <c r="BM117">
        <f t="shared" si="82"/>
        <v>119.99999999999942</v>
      </c>
      <c r="BN117">
        <f t="shared" si="83"/>
        <v>-119.99999999999829</v>
      </c>
      <c r="BO117">
        <f>Data!$H$2*(1-BI117)*(1-BI117/Data!$H$3)*BM117</f>
        <v>3.1608955534181903E-7</v>
      </c>
      <c r="BP117">
        <f t="shared" si="65"/>
        <v>-115.6450748203311</v>
      </c>
      <c r="BQ117">
        <f>Data!$H$2*(1-BJ117)*(1-BJ117/Data!$H$3)*BN117</f>
        <v>-1.031399552769889E-11</v>
      </c>
      <c r="BR117">
        <f t="shared" si="66"/>
        <v>119.97512351046174</v>
      </c>
      <c r="BS117">
        <f t="shared" si="67"/>
        <v>0</v>
      </c>
      <c r="BT117">
        <f t="shared" si="68"/>
        <v>0</v>
      </c>
      <c r="BU117">
        <f t="shared" si="69"/>
        <v>0</v>
      </c>
      <c r="BV117">
        <f t="shared" si="70"/>
        <v>0</v>
      </c>
      <c r="BW117">
        <f t="shared" si="84"/>
        <v>0</v>
      </c>
      <c r="BX117" t="str">
        <f t="shared" si="85"/>
        <v/>
      </c>
      <c r="BY117" s="66" t="str">
        <f t="shared" si="71"/>
        <v/>
      </c>
      <c r="BZ117" t="str">
        <f t="shared" si="72"/>
        <v/>
      </c>
      <c r="CA117" s="67" t="str">
        <f t="shared" si="73"/>
        <v/>
      </c>
    </row>
    <row r="118" spans="1:79" x14ac:dyDescent="0.25">
      <c r="A118">
        <v>10381</v>
      </c>
      <c r="B118">
        <v>29</v>
      </c>
      <c r="C118">
        <v>11131</v>
      </c>
      <c r="D118" s="3">
        <f t="shared" si="98"/>
        <v>-8.3333333333333332E-3</v>
      </c>
      <c r="E118" s="3">
        <f t="shared" si="98"/>
        <v>0.68488372093023253</v>
      </c>
      <c r="F118">
        <f>IF(A118&gt;0,IF(F117=1,1,IF(B118=Data!$H$4,1,0)),"")</f>
        <v>1</v>
      </c>
      <c r="O118" s="3"/>
      <c r="P118" s="3"/>
      <c r="Q118" t="str">
        <f t="shared" si="74"/>
        <v/>
      </c>
      <c r="R118" s="4" t="str">
        <f t="shared" si="75"/>
        <v/>
      </c>
      <c r="S118" t="e">
        <f t="shared" si="86"/>
        <v>#DIV/0!</v>
      </c>
      <c r="T118" t="e">
        <f t="shared" si="99"/>
        <v>#DIV/0!</v>
      </c>
      <c r="U118" s="4">
        <f t="shared" si="76"/>
        <v>0</v>
      </c>
      <c r="V118" t="e">
        <f t="shared" si="87"/>
        <v>#DIV/0!</v>
      </c>
      <c r="W118" t="e">
        <f t="shared" si="88"/>
        <v>#DIV/0!</v>
      </c>
      <c r="X118" t="e">
        <f t="shared" si="89"/>
        <v>#VALUE!</v>
      </c>
      <c r="Y118" t="e">
        <f t="shared" si="90"/>
        <v>#VALUE!</v>
      </c>
      <c r="Z118" t="e">
        <f t="shared" si="91"/>
        <v>#VALUE!</v>
      </c>
      <c r="AA118" t="e">
        <f t="shared" si="77"/>
        <v>#VALUE!</v>
      </c>
      <c r="AB118" t="str">
        <f t="shared" si="92"/>
        <v/>
      </c>
      <c r="AC118" t="str">
        <f t="shared" si="93"/>
        <v/>
      </c>
      <c r="AD118" t="str">
        <f t="shared" si="94"/>
        <v/>
      </c>
      <c r="AE118" t="str">
        <f t="shared" si="95"/>
        <v/>
      </c>
      <c r="AF118" s="77"/>
      <c r="AK118" s="4">
        <f t="shared" si="96"/>
        <v>36.600000000000165</v>
      </c>
      <c r="AL118">
        <f t="shared" si="78"/>
        <v>1393.0000000000198</v>
      </c>
      <c r="AM118">
        <f t="shared" si="79"/>
        <v>10480.266666666605</v>
      </c>
      <c r="AN118">
        <f>IF($AK117+$AK$1&lt;=Data!$H$4-0.5,AVERAGE(AM116:AM120),AN117)</f>
        <v>10480.266666666605</v>
      </c>
      <c r="AO118">
        <f t="shared" si="80"/>
        <v>9468.99999999998</v>
      </c>
      <c r="AP118">
        <f t="shared" si="97"/>
        <v>10514.333333333319</v>
      </c>
      <c r="AQ118">
        <f>IF($AK117+$AK$1&lt;=Data!$H$4-0.5,AVERAGE(AP116:AP120),AQ117)</f>
        <v>10514.333333333319</v>
      </c>
      <c r="AR118">
        <f>IF($AK117+$AK$1&lt;=Data!$H$4-0.5,SLOPE($AN114:$AN122,$AK114:$AK122),AR117)</f>
        <v>-374.38333333333787</v>
      </c>
      <c r="AS118">
        <f>IF($AK117+$AK$1&lt;=Data!$H$4-0.5,SLOPE($AQ114:$AQ122,$AK114:$AK122),AS117)</f>
        <v>-81.600000000003448</v>
      </c>
      <c r="AT118" t="str">
        <f>IF(AND($AK118&gt;=Results!$G$13,$AK118&lt;=Results!$G$14),Curves!AR118,"")</f>
        <v/>
      </c>
      <c r="AU118" t="str">
        <f>IF(AND($AK118&gt;=Results!$G$13,$AK118&lt;=Results!$G$14),Curves!AS118,"")</f>
        <v/>
      </c>
      <c r="AV118" t="str">
        <f t="shared" si="81"/>
        <v/>
      </c>
      <c r="AW118" t="str">
        <f>IF(AND($AK118&lt;=Results!$I$21,$AK118&gt;=Results!$I$20,$AK118&lt;=Results!$F$4),$AN118,"")</f>
        <v/>
      </c>
      <c r="AX118" t="str">
        <f t="shared" si="81"/>
        <v/>
      </c>
      <c r="AY118" t="str">
        <f>IF(AND($AK118&lt;=Results!$I$23,$AK118&gt;=Results!$I$22,$AK118&gt;=Results!$F$4),$AN118,"")</f>
        <v/>
      </c>
      <c r="AZ118">
        <f t="shared" si="54"/>
        <v>36.600000000000165</v>
      </c>
      <c r="BA118">
        <f>IF(AND($AK118&lt;=Results!$I$27,$AK118&gt;=Results!$I$26,$AK118&lt;=Results!$F$4),$AQ118,"")</f>
        <v>10514.333333333319</v>
      </c>
      <c r="BB118" t="str">
        <f t="shared" si="55"/>
        <v/>
      </c>
      <c r="BC118" t="str">
        <f>IF(AND($AK118&lt;=Results!$I$29,$AK118&gt;=Results!$I$28,$AK118&gt;=Results!$F$4),$AQ118,"")</f>
        <v/>
      </c>
      <c r="BD118">
        <f t="shared" si="56"/>
        <v>10817.336424969999</v>
      </c>
      <c r="BE118">
        <f t="shared" si="57"/>
        <v>2261.4303056891249</v>
      </c>
      <c r="BF118">
        <f t="shared" si="58"/>
        <v>10517.114448979577</v>
      </c>
      <c r="BG118">
        <f t="shared" si="59"/>
        <v>1337.1978859953651</v>
      </c>
      <c r="BH118">
        <f t="shared" si="60"/>
        <v>0</v>
      </c>
      <c r="BI118">
        <f t="shared" si="61"/>
        <v>0.96060385029894124</v>
      </c>
      <c r="BJ118">
        <f t="shared" si="62"/>
        <v>0.99969704347232613</v>
      </c>
      <c r="BK118">
        <f t="shared" si="63"/>
        <v>-3.1078142465956308E-2</v>
      </c>
      <c r="BL118">
        <f t="shared" si="64"/>
        <v>-9.5722720384215675E-4</v>
      </c>
      <c r="BM118">
        <f t="shared" si="82"/>
        <v>120.00000000000055</v>
      </c>
      <c r="BN118">
        <f t="shared" si="83"/>
        <v>-119.99999999999829</v>
      </c>
      <c r="BO118">
        <f>Data!$H$2*(1-BI118)*(1-BI118/Data!$H$3)*BM118</f>
        <v>3.7249358670437747E-7</v>
      </c>
      <c r="BP118">
        <f t="shared" si="65"/>
        <v>-115.27246203587349</v>
      </c>
      <c r="BQ118">
        <f>Data!$H$2*(1-BJ118)*(1-BJ118/Data!$H$3)*BN118</f>
        <v>-2.2027837838449681E-11</v>
      </c>
      <c r="BR118">
        <f t="shared" si="66"/>
        <v>119.96364521667743</v>
      </c>
      <c r="BS118">
        <f t="shared" si="67"/>
        <v>0</v>
      </c>
      <c r="BT118">
        <f t="shared" si="68"/>
        <v>0</v>
      </c>
      <c r="BU118">
        <f t="shared" si="69"/>
        <v>0</v>
      </c>
      <c r="BV118">
        <f t="shared" si="70"/>
        <v>0</v>
      </c>
      <c r="BW118">
        <f t="shared" si="84"/>
        <v>0</v>
      </c>
      <c r="BX118" t="str">
        <f t="shared" si="85"/>
        <v/>
      </c>
      <c r="BY118" s="66" t="str">
        <f t="shared" si="71"/>
        <v/>
      </c>
      <c r="BZ118" t="str">
        <f t="shared" si="72"/>
        <v/>
      </c>
      <c r="CA118" s="67" t="str">
        <f t="shared" si="73"/>
        <v/>
      </c>
    </row>
    <row r="119" spans="1:79" x14ac:dyDescent="0.25">
      <c r="A119">
        <v>10621</v>
      </c>
      <c r="B119">
        <v>27</v>
      </c>
      <c r="C119">
        <v>11296</v>
      </c>
      <c r="D119" s="3">
        <f t="shared" si="98"/>
        <v>-8.3333333333333332E-3</v>
      </c>
      <c r="E119" s="3">
        <f t="shared" si="98"/>
        <v>0.6738372093023256</v>
      </c>
      <c r="F119">
        <f>IF(A119&gt;0,IF(F118=1,1,IF(B119=Data!$H$4,1,0)),"")</f>
        <v>1</v>
      </c>
      <c r="O119" s="3"/>
      <c r="P119" s="3"/>
      <c r="Q119" t="str">
        <f t="shared" si="74"/>
        <v/>
      </c>
      <c r="R119" s="4" t="str">
        <f t="shared" si="75"/>
        <v/>
      </c>
      <c r="S119" t="e">
        <f t="shared" si="86"/>
        <v>#DIV/0!</v>
      </c>
      <c r="T119" t="e">
        <f t="shared" si="99"/>
        <v>#DIV/0!</v>
      </c>
      <c r="U119" s="4">
        <f t="shared" si="76"/>
        <v>0</v>
      </c>
      <c r="V119" t="e">
        <f t="shared" si="87"/>
        <v>#DIV/0!</v>
      </c>
      <c r="W119" t="e">
        <f t="shared" si="88"/>
        <v>#DIV/0!</v>
      </c>
      <c r="X119" t="e">
        <f t="shared" si="89"/>
        <v>#VALUE!</v>
      </c>
      <c r="Y119" t="e">
        <f t="shared" si="90"/>
        <v>#VALUE!</v>
      </c>
      <c r="Z119" t="e">
        <f t="shared" si="91"/>
        <v>#VALUE!</v>
      </c>
      <c r="AA119" t="e">
        <f t="shared" si="77"/>
        <v>#VALUE!</v>
      </c>
      <c r="AB119" t="str">
        <f t="shared" si="92"/>
        <v/>
      </c>
      <c r="AC119" t="str">
        <f t="shared" si="93"/>
        <v/>
      </c>
      <c r="AD119" t="str">
        <f t="shared" si="94"/>
        <v/>
      </c>
      <c r="AE119" t="str">
        <f t="shared" si="95"/>
        <v/>
      </c>
      <c r="AK119" s="4">
        <f t="shared" si="96"/>
        <v>36.700000000000166</v>
      </c>
      <c r="AL119">
        <f t="shared" si="78"/>
        <v>1405.00000000002</v>
      </c>
      <c r="AM119">
        <f t="shared" si="79"/>
        <v>10443.199999999937</v>
      </c>
      <c r="AN119">
        <f>IF($AK118+$AK$1&lt;=Data!$H$4-0.5,AVERAGE(AM117:AM121),AN118)</f>
        <v>10443.199999999939</v>
      </c>
      <c r="AO119">
        <f t="shared" si="80"/>
        <v>9456.99999999998</v>
      </c>
      <c r="AP119">
        <f t="shared" si="97"/>
        <v>10506.166666666653</v>
      </c>
      <c r="AQ119">
        <f>IF($AK118+$AK$1&lt;=Data!$H$4-0.5,AVERAGE(AP117:AP121),AQ118)</f>
        <v>10506.166666666653</v>
      </c>
      <c r="AR119">
        <f>IF($AK118+$AK$1&lt;=Data!$H$4-0.5,SLOPE($AN115:$AN123,$AK115:$AK123),AR118)</f>
        <v>-379.33888888889794</v>
      </c>
      <c r="AS119">
        <f>IF($AK118+$AK$1&lt;=Data!$H$4-0.5,SLOPE($AQ115:$AQ123,$AK115:$AK123),AS118)</f>
        <v>-81.511111111113124</v>
      </c>
      <c r="AT119" t="str">
        <f>IF(AND($AK119&gt;=Results!$G$13,$AK119&lt;=Results!$G$14),Curves!AR119,"")</f>
        <v/>
      </c>
      <c r="AU119" t="str">
        <f>IF(AND($AK119&gt;=Results!$G$13,$AK119&lt;=Results!$G$14),Curves!AS119,"")</f>
        <v/>
      </c>
      <c r="AV119" t="str">
        <f t="shared" si="81"/>
        <v/>
      </c>
      <c r="AW119" t="str">
        <f>IF(AND($AK119&lt;=Results!$I$21,$AK119&gt;=Results!$I$20,$AK119&lt;=Results!$F$4),$AN119,"")</f>
        <v/>
      </c>
      <c r="AX119" t="str">
        <f t="shared" si="81"/>
        <v/>
      </c>
      <c r="AY119" t="str">
        <f>IF(AND($AK119&lt;=Results!$I$23,$AK119&gt;=Results!$I$22,$AK119&gt;=Results!$F$4),$AN119,"")</f>
        <v/>
      </c>
      <c r="AZ119">
        <f t="shared" si="54"/>
        <v>36.700000000000166</v>
      </c>
      <c r="BA119">
        <f>IF(AND($AK119&lt;=Results!$I$27,$AK119&gt;=Results!$I$26,$AK119&lt;=Results!$F$4),$AQ119,"")</f>
        <v>10506.166666666653</v>
      </c>
      <c r="BB119" t="str">
        <f t="shared" si="55"/>
        <v/>
      </c>
      <c r="BC119" t="str">
        <f>IF(AND($AK119&lt;=Results!$I$29,$AK119&gt;=Results!$I$28,$AK119&gt;=Results!$F$4),$AQ119,"")</f>
        <v/>
      </c>
      <c r="BD119">
        <f t="shared" si="56"/>
        <v>10806.56623017208</v>
      </c>
      <c r="BE119">
        <f t="shared" si="57"/>
        <v>2258.114516439804</v>
      </c>
      <c r="BF119">
        <f t="shared" si="58"/>
        <v>10509.824466746684</v>
      </c>
      <c r="BG119">
        <f t="shared" si="59"/>
        <v>1336.6470850358403</v>
      </c>
      <c r="BH119">
        <f t="shared" si="60"/>
        <v>0</v>
      </c>
      <c r="BI119">
        <f t="shared" si="61"/>
        <v>0.9574933283429059</v>
      </c>
      <c r="BJ119">
        <f t="shared" si="62"/>
        <v>0.99960125047976034</v>
      </c>
      <c r="BK119">
        <f t="shared" si="63"/>
        <v>-3.1132367551732317E-2</v>
      </c>
      <c r="BL119">
        <f t="shared" si="64"/>
        <v>-9.586341974032606E-4</v>
      </c>
      <c r="BM119">
        <f t="shared" si="82"/>
        <v>119.99999999999942</v>
      </c>
      <c r="BN119">
        <f t="shared" si="83"/>
        <v>-119.99999999999829</v>
      </c>
      <c r="BO119">
        <f>Data!$H$2*(1-BI119)*(1-BI119/Data!$H$3)*BM119</f>
        <v>4.3363611248735945E-7</v>
      </c>
      <c r="BP119">
        <f t="shared" si="65"/>
        <v>-114.89919940114815</v>
      </c>
      <c r="BQ119">
        <f>Data!$H$2*(1-BJ119)*(1-BJ119/Data!$H$3)*BN119</f>
        <v>-3.8160283173925751E-11</v>
      </c>
      <c r="BR119">
        <f t="shared" si="66"/>
        <v>119.95215005756954</v>
      </c>
      <c r="BS119">
        <f t="shared" si="67"/>
        <v>0</v>
      </c>
      <c r="BT119">
        <f t="shared" si="68"/>
        <v>0</v>
      </c>
      <c r="BU119">
        <f t="shared" si="69"/>
        <v>0</v>
      </c>
      <c r="BV119">
        <f t="shared" si="70"/>
        <v>0</v>
      </c>
      <c r="BW119">
        <f t="shared" si="84"/>
        <v>0</v>
      </c>
      <c r="BX119" t="str">
        <f t="shared" si="85"/>
        <v/>
      </c>
      <c r="BY119" s="66" t="str">
        <f t="shared" si="71"/>
        <v/>
      </c>
      <c r="BZ119" t="str">
        <f t="shared" si="72"/>
        <v/>
      </c>
      <c r="CA119" s="67" t="str">
        <f t="shared" si="73"/>
        <v/>
      </c>
    </row>
    <row r="120" spans="1:79" x14ac:dyDescent="0.25">
      <c r="A120">
        <v>10741</v>
      </c>
      <c r="B120">
        <v>26</v>
      </c>
      <c r="C120">
        <v>11376</v>
      </c>
      <c r="D120" s="3">
        <f t="shared" si="98"/>
        <v>-8.3333333333333332E-3</v>
      </c>
      <c r="E120" s="3">
        <f t="shared" si="98"/>
        <v>0.664047619047619</v>
      </c>
      <c r="F120">
        <f>IF(A120&gt;0,IF(F119=1,1,IF(B120=Data!$H$4,1,0)),"")</f>
        <v>1</v>
      </c>
      <c r="O120" s="3"/>
      <c r="P120" s="3"/>
      <c r="Q120" t="str">
        <f t="shared" si="74"/>
        <v/>
      </c>
      <c r="R120" s="4" t="str">
        <f t="shared" si="75"/>
        <v/>
      </c>
      <c r="S120" t="e">
        <f t="shared" si="86"/>
        <v>#DIV/0!</v>
      </c>
      <c r="T120" t="e">
        <f t="shared" si="99"/>
        <v>#DIV/0!</v>
      </c>
      <c r="U120" s="4">
        <f t="shared" si="76"/>
        <v>0</v>
      </c>
      <c r="V120" t="e">
        <f t="shared" si="87"/>
        <v>#DIV/0!</v>
      </c>
      <c r="W120" t="e">
        <f t="shared" si="88"/>
        <v>#DIV/0!</v>
      </c>
      <c r="X120" t="e">
        <f t="shared" si="89"/>
        <v>#VALUE!</v>
      </c>
      <c r="Y120" t="e">
        <f t="shared" si="90"/>
        <v>#VALUE!</v>
      </c>
      <c r="Z120" t="e">
        <f t="shared" si="91"/>
        <v>#VALUE!</v>
      </c>
      <c r="AA120" t="e">
        <f t="shared" si="77"/>
        <v>#VALUE!</v>
      </c>
      <c r="AB120" t="str">
        <f t="shared" si="92"/>
        <v/>
      </c>
      <c r="AC120" t="str">
        <f t="shared" si="93"/>
        <v/>
      </c>
      <c r="AD120" t="str">
        <f t="shared" si="94"/>
        <v/>
      </c>
      <c r="AE120" t="str">
        <f t="shared" si="95"/>
        <v/>
      </c>
      <c r="AK120" s="4">
        <f t="shared" si="96"/>
        <v>36.800000000000168</v>
      </c>
      <c r="AL120">
        <f t="shared" si="78"/>
        <v>1417.00000000002</v>
      </c>
      <c r="AM120">
        <f t="shared" si="79"/>
        <v>10406.133333333271</v>
      </c>
      <c r="AN120">
        <f>IF($AK119+$AK$1&lt;=Data!$H$4-0.5,AVERAGE(AM118:AM122),AN119)</f>
        <v>10406.13333333327</v>
      </c>
      <c r="AO120">
        <f t="shared" si="80"/>
        <v>9444.99999999998</v>
      </c>
      <c r="AP120">
        <f t="shared" si="97"/>
        <v>10497.999999999985</v>
      </c>
      <c r="AQ120">
        <f>IF($AK119+$AK$1&lt;=Data!$H$4-0.5,AVERAGE(AP118:AP122),AQ119)</f>
        <v>10497.999999999985</v>
      </c>
      <c r="AR120">
        <f>IF($AK119+$AK$1&lt;=Data!$H$4-0.5,SLOPE($AN116:$AN124,$AK116:$AK124),AR119)</f>
        <v>-386.77222222223611</v>
      </c>
      <c r="AS120">
        <f>IF($AK119+$AK$1&lt;=Data!$H$4-0.5,SLOPE($AQ116:$AQ124,$AK116:$AK124),AS119)</f>
        <v>-81.377777777779912</v>
      </c>
      <c r="AT120" t="str">
        <f>IF(AND($AK120&gt;=Results!$G$13,$AK120&lt;=Results!$G$14),Curves!AR120,"")</f>
        <v/>
      </c>
      <c r="AU120" t="str">
        <f>IF(AND($AK120&gt;=Results!$G$13,$AK120&lt;=Results!$G$14),Curves!AS120,"")</f>
        <v/>
      </c>
      <c r="AV120" t="str">
        <f t="shared" si="81"/>
        <v/>
      </c>
      <c r="AW120" t="str">
        <f>IF(AND($AK120&lt;=Results!$I$21,$AK120&gt;=Results!$I$20,$AK120&lt;=Results!$F$4),$AN120,"")</f>
        <v/>
      </c>
      <c r="AX120" t="str">
        <f t="shared" si="81"/>
        <v/>
      </c>
      <c r="AY120" t="str">
        <f>IF(AND($AK120&lt;=Results!$I$23,$AK120&gt;=Results!$I$22,$AK120&gt;=Results!$F$4),$AN120,"")</f>
        <v/>
      </c>
      <c r="AZ120">
        <f t="shared" si="54"/>
        <v>36.800000000000168</v>
      </c>
      <c r="BA120">
        <f>IF(AND($AK120&lt;=Results!$I$27,$AK120&gt;=Results!$I$26,$AK120&lt;=Results!$F$4),$AQ120,"")</f>
        <v>10497.999999999985</v>
      </c>
      <c r="BB120" t="str">
        <f t="shared" si="55"/>
        <v/>
      </c>
      <c r="BC120" t="str">
        <f>IF(AND($AK120&lt;=Results!$I$29,$AK120&gt;=Results!$I$28,$AK120&gt;=Results!$F$4),$AQ120,"")</f>
        <v/>
      </c>
      <c r="BD120">
        <f t="shared" si="56"/>
        <v>10795.79603537416</v>
      </c>
      <c r="BE120">
        <f t="shared" si="57"/>
        <v>2254.7987271904831</v>
      </c>
      <c r="BF120">
        <f t="shared" si="58"/>
        <v>10502.534484513792</v>
      </c>
      <c r="BG120">
        <f t="shared" si="59"/>
        <v>1336.0962840763152</v>
      </c>
      <c r="BH120">
        <f t="shared" si="60"/>
        <v>0</v>
      </c>
      <c r="BI120">
        <f t="shared" si="61"/>
        <v>0.95437737678859469</v>
      </c>
      <c r="BJ120">
        <f t="shared" si="62"/>
        <v>0.99950531663284548</v>
      </c>
      <c r="BK120">
        <f t="shared" si="63"/>
        <v>-3.2057807036615753E-2</v>
      </c>
      <c r="BL120">
        <f t="shared" si="64"/>
        <v>-9.4548777632207125E-4</v>
      </c>
      <c r="BM120">
        <f t="shared" si="82"/>
        <v>119.99999999999942</v>
      </c>
      <c r="BN120">
        <f t="shared" si="83"/>
        <v>-119.99999999999829</v>
      </c>
      <c r="BO120">
        <f>Data!$H$2*(1-BI120)*(1-BI120/Data!$H$3)*BM120</f>
        <v>4.9954169968556359E-7</v>
      </c>
      <c r="BP120">
        <f t="shared" si="65"/>
        <v>-114.52528521463081</v>
      </c>
      <c r="BQ120">
        <f>Data!$H$2*(1-BJ120)*(1-BJ120/Data!$H$3)*BN120</f>
        <v>-5.8730792097440369E-11</v>
      </c>
      <c r="BR120">
        <f t="shared" si="66"/>
        <v>119.94063799593975</v>
      </c>
      <c r="BS120">
        <f t="shared" si="67"/>
        <v>0</v>
      </c>
      <c r="BT120">
        <f t="shared" si="68"/>
        <v>0</v>
      </c>
      <c r="BU120">
        <f t="shared" si="69"/>
        <v>0</v>
      </c>
      <c r="BV120">
        <f t="shared" si="70"/>
        <v>0</v>
      </c>
      <c r="BW120">
        <f t="shared" si="84"/>
        <v>0</v>
      </c>
      <c r="BX120" t="str">
        <f t="shared" si="85"/>
        <v/>
      </c>
      <c r="BY120" s="66" t="str">
        <f t="shared" si="71"/>
        <v/>
      </c>
      <c r="BZ120" t="str">
        <f t="shared" si="72"/>
        <v/>
      </c>
      <c r="CA120" s="67" t="str">
        <f t="shared" si="73"/>
        <v/>
      </c>
    </row>
    <row r="121" spans="1:79" x14ac:dyDescent="0.25">
      <c r="A121">
        <v>10861</v>
      </c>
      <c r="B121">
        <v>25</v>
      </c>
      <c r="C121">
        <v>11448</v>
      </c>
      <c r="D121" s="3">
        <f t="shared" si="98"/>
        <v>-8.3333333333333332E-3</v>
      </c>
      <c r="E121" s="3">
        <f t="shared" si="98"/>
        <v>0.6333333333333333</v>
      </c>
      <c r="F121">
        <f>IF(A121&gt;0,IF(F120=1,1,IF(B121=Data!$H$4,1,0)),"")</f>
        <v>1</v>
      </c>
      <c r="O121" s="3"/>
      <c r="P121" s="3"/>
      <c r="Q121" t="str">
        <f t="shared" si="74"/>
        <v/>
      </c>
      <c r="R121" s="4" t="str">
        <f t="shared" si="75"/>
        <v/>
      </c>
      <c r="S121" t="e">
        <f t="shared" si="86"/>
        <v>#DIV/0!</v>
      </c>
      <c r="T121" t="e">
        <f t="shared" si="99"/>
        <v>#DIV/0!</v>
      </c>
      <c r="U121" s="4">
        <f t="shared" si="76"/>
        <v>0</v>
      </c>
      <c r="V121" t="e">
        <f t="shared" si="87"/>
        <v>#DIV/0!</v>
      </c>
      <c r="W121" t="e">
        <f t="shared" si="88"/>
        <v>#DIV/0!</v>
      </c>
      <c r="X121" t="e">
        <f t="shared" si="89"/>
        <v>#VALUE!</v>
      </c>
      <c r="Y121" t="e">
        <f t="shared" si="90"/>
        <v>#VALUE!</v>
      </c>
      <c r="Z121" t="e">
        <f t="shared" si="91"/>
        <v>#VALUE!</v>
      </c>
      <c r="AA121" t="e">
        <f t="shared" si="77"/>
        <v>#VALUE!</v>
      </c>
      <c r="AB121" t="str">
        <f t="shared" si="92"/>
        <v/>
      </c>
      <c r="AC121" t="str">
        <f t="shared" si="93"/>
        <v/>
      </c>
      <c r="AD121" t="str">
        <f t="shared" si="94"/>
        <v/>
      </c>
      <c r="AE121" t="str">
        <f t="shared" si="95"/>
        <v/>
      </c>
      <c r="AK121" s="4">
        <f t="shared" si="96"/>
        <v>36.900000000000169</v>
      </c>
      <c r="AL121">
        <f t="shared" si="78"/>
        <v>1429.0000000000202</v>
      </c>
      <c r="AM121">
        <f t="shared" si="79"/>
        <v>10369.066666666604</v>
      </c>
      <c r="AN121">
        <f>IF($AK120+$AK$1&lt;=Data!$H$4-0.5,AVERAGE(AM119:AM123),AN120)</f>
        <v>10367.579999999933</v>
      </c>
      <c r="AO121">
        <f t="shared" si="80"/>
        <v>9432.99999999998</v>
      </c>
      <c r="AP121">
        <f t="shared" si="97"/>
        <v>10489.833333333319</v>
      </c>
      <c r="AQ121">
        <f>IF($AK120+$AK$1&lt;=Data!$H$4-0.5,AVERAGE(AP119:AP123),AQ120)</f>
        <v>10489.859999999984</v>
      </c>
      <c r="AR121">
        <f>IF($AK120+$AK$1&lt;=Data!$H$4-0.5,SLOPE($AN117:$AN125,$AK117:$AK125),AR120)</f>
        <v>-396.68333333335141</v>
      </c>
      <c r="AS121">
        <f>IF($AK120+$AK$1&lt;=Data!$H$4-0.5,SLOPE($AQ117:$AQ125,$AK117:$AK125),AS120)</f>
        <v>-81.200000000001381</v>
      </c>
      <c r="AT121" t="str">
        <f>IF(AND($AK121&gt;=Results!$G$13,$AK121&lt;=Results!$G$14),Curves!AR121,"")</f>
        <v/>
      </c>
      <c r="AU121" t="str">
        <f>IF(AND($AK121&gt;=Results!$G$13,$AK121&lt;=Results!$G$14),Curves!AS121,"")</f>
        <v/>
      </c>
      <c r="AV121" t="str">
        <f t="shared" si="81"/>
        <v/>
      </c>
      <c r="AW121" t="str">
        <f>IF(AND($AK121&lt;=Results!$I$21,$AK121&gt;=Results!$I$20,$AK121&lt;=Results!$F$4),$AN121,"")</f>
        <v/>
      </c>
      <c r="AX121" t="str">
        <f t="shared" si="81"/>
        <v/>
      </c>
      <c r="AY121" t="str">
        <f>IF(AND($AK121&lt;=Results!$I$23,$AK121&gt;=Results!$I$22,$AK121&gt;=Results!$F$4),$AN121,"")</f>
        <v/>
      </c>
      <c r="AZ121">
        <f t="shared" si="54"/>
        <v>36.900000000000169</v>
      </c>
      <c r="BA121">
        <f>IF(AND($AK121&lt;=Results!$I$27,$AK121&gt;=Results!$I$26,$AK121&lt;=Results!$F$4),$AQ121,"")</f>
        <v>10489.859999999984</v>
      </c>
      <c r="BB121" t="str">
        <f t="shared" si="55"/>
        <v/>
      </c>
      <c r="BC121" t="str">
        <f>IF(AND($AK121&lt;=Results!$I$29,$AK121&gt;=Results!$I$28,$AK121&gt;=Results!$F$4),$AQ121,"")</f>
        <v/>
      </c>
      <c r="BD121">
        <f t="shared" si="56"/>
        <v>10785.02584057624</v>
      </c>
      <c r="BE121">
        <f t="shared" si="57"/>
        <v>2251.4829379411626</v>
      </c>
      <c r="BF121">
        <f t="shared" si="58"/>
        <v>10495.244502280897</v>
      </c>
      <c r="BG121">
        <f t="shared" si="59"/>
        <v>1335.5454831167904</v>
      </c>
      <c r="BH121">
        <f t="shared" si="60"/>
        <v>0</v>
      </c>
      <c r="BI121">
        <f t="shared" si="61"/>
        <v>0.95108176693558266</v>
      </c>
      <c r="BJ121">
        <f t="shared" si="62"/>
        <v>0.99941215292449592</v>
      </c>
      <c r="BK121">
        <f t="shared" si="63"/>
        <v>-3.3856746167040895E-2</v>
      </c>
      <c r="BL121">
        <f t="shared" si="64"/>
        <v>-9.1775579652396476E-4</v>
      </c>
      <c r="BM121">
        <f t="shared" si="82"/>
        <v>120.00000000000055</v>
      </c>
      <c r="BN121">
        <f t="shared" si="83"/>
        <v>-119.99999999999829</v>
      </c>
      <c r="BO121">
        <f>Data!$H$2*(1-BI121)*(1-BI121/Data!$H$3)*BM121</f>
        <v>5.7431844627471952E-7</v>
      </c>
      <c r="BP121">
        <f t="shared" si="65"/>
        <v>-114.12981203227045</v>
      </c>
      <c r="BQ121">
        <f>Data!$H$2*(1-BJ121)*(1-BJ121/Data!$H$3)*BN121</f>
        <v>-8.2935404202886049E-11</v>
      </c>
      <c r="BR121">
        <f t="shared" si="66"/>
        <v>119.92945835093781</v>
      </c>
      <c r="BS121">
        <f t="shared" si="67"/>
        <v>0</v>
      </c>
      <c r="BT121">
        <f t="shared" si="68"/>
        <v>0</v>
      </c>
      <c r="BU121">
        <f t="shared" si="69"/>
        <v>0</v>
      </c>
      <c r="BV121">
        <f t="shared" si="70"/>
        <v>0</v>
      </c>
      <c r="BW121">
        <f t="shared" si="84"/>
        <v>0</v>
      </c>
      <c r="BX121" t="str">
        <f t="shared" si="85"/>
        <v/>
      </c>
      <c r="BY121" s="66" t="str">
        <f t="shared" si="71"/>
        <v/>
      </c>
      <c r="BZ121" t="str">
        <f t="shared" si="72"/>
        <v/>
      </c>
      <c r="CA121" s="67" t="str">
        <f t="shared" si="73"/>
        <v/>
      </c>
    </row>
    <row r="122" spans="1:79" x14ac:dyDescent="0.25">
      <c r="D122" s="3">
        <f t="shared" si="98"/>
        <v>-8.3333333333333332E-3</v>
      </c>
      <c r="E122" s="3">
        <f t="shared" si="98"/>
        <v>0.6</v>
      </c>
      <c r="F122" t="str">
        <f>IF(A122&gt;0,IF(F121=1,1,IF(B122=Data!$H$4,1,0)),"")</f>
        <v/>
      </c>
      <c r="O122" s="3"/>
      <c r="P122" s="3"/>
      <c r="Q122" t="str">
        <f t="shared" si="74"/>
        <v/>
      </c>
      <c r="R122" s="4" t="str">
        <f t="shared" si="75"/>
        <v/>
      </c>
      <c r="S122" t="e">
        <f t="shared" si="86"/>
        <v>#DIV/0!</v>
      </c>
      <c r="T122" t="e">
        <f t="shared" si="99"/>
        <v>#DIV/0!</v>
      </c>
      <c r="U122" s="4">
        <f t="shared" si="76"/>
        <v>0</v>
      </c>
      <c r="V122" t="e">
        <f t="shared" si="87"/>
        <v>#DIV/0!</v>
      </c>
      <c r="W122" t="e">
        <f t="shared" si="88"/>
        <v>#DIV/0!</v>
      </c>
      <c r="X122" t="e">
        <f t="shared" si="89"/>
        <v>#VALUE!</v>
      </c>
      <c r="Y122" t="e">
        <f t="shared" si="90"/>
        <v>#VALUE!</v>
      </c>
      <c r="Z122" t="e">
        <f t="shared" si="91"/>
        <v>#VALUE!</v>
      </c>
      <c r="AA122" t="e">
        <f t="shared" si="77"/>
        <v>#VALUE!</v>
      </c>
      <c r="AB122" t="str">
        <f t="shared" si="92"/>
        <v/>
      </c>
      <c r="AC122" t="str">
        <f t="shared" si="93"/>
        <v/>
      </c>
      <c r="AD122" t="str">
        <f t="shared" si="94"/>
        <v/>
      </c>
      <c r="AE122" t="str">
        <f t="shared" si="95"/>
        <v/>
      </c>
      <c r="AK122" s="4">
        <f t="shared" si="96"/>
        <v>37.000000000000171</v>
      </c>
      <c r="AL122">
        <f t="shared" si="78"/>
        <v>1441.0000000000205</v>
      </c>
      <c r="AM122">
        <f t="shared" si="79"/>
        <v>10331.999999999924</v>
      </c>
      <c r="AN122">
        <f>IF($AK121+$AK$1&lt;=Data!$H$4-0.5,AVERAGE(AM120:AM124),AN121)</f>
        <v>10327.53999999993</v>
      </c>
      <c r="AO122">
        <f t="shared" si="80"/>
        <v>9420.99999999998</v>
      </c>
      <c r="AP122">
        <f t="shared" si="97"/>
        <v>10481.666666666652</v>
      </c>
      <c r="AQ122">
        <f>IF($AK121+$AK$1&lt;=Data!$H$4-0.5,AVERAGE(AP120:AP124),AQ121)</f>
        <v>10481.746666666651</v>
      </c>
      <c r="AR122">
        <f>IF($AK121+$AK$1&lt;=Data!$H$4-0.5,SLOPE($AN118:$AN126,$AK118:$AK126),AR121)</f>
        <v>-407.83333333335213</v>
      </c>
      <c r="AS122">
        <f>IF($AK121+$AK$1&lt;=Data!$H$4-0.5,SLOPE($AQ118:$AQ126,$AK118:$AK126),AS121)</f>
        <v>-80.999999999999446</v>
      </c>
      <c r="AT122" t="str">
        <f>IF(AND($AK122&gt;=Results!$G$13,$AK122&lt;=Results!$G$14),Curves!AR122,"")</f>
        <v/>
      </c>
      <c r="AU122" t="str">
        <f>IF(AND($AK122&gt;=Results!$G$13,$AK122&lt;=Results!$G$14),Curves!AS122,"")</f>
        <v/>
      </c>
      <c r="AV122" t="str">
        <f t="shared" si="81"/>
        <v/>
      </c>
      <c r="AW122" t="str">
        <f>IF(AND($AK122&lt;=Results!$I$21,$AK122&gt;=Results!$I$20,$AK122&lt;=Results!$F$4),$AN122,"")</f>
        <v/>
      </c>
      <c r="AX122" t="str">
        <f t="shared" si="81"/>
        <v/>
      </c>
      <c r="AY122" t="str">
        <f>IF(AND($AK122&lt;=Results!$I$23,$AK122&gt;=Results!$I$22,$AK122&gt;=Results!$F$4),$AN122,"")</f>
        <v/>
      </c>
      <c r="AZ122">
        <f t="shared" si="54"/>
        <v>37.000000000000171</v>
      </c>
      <c r="BA122">
        <f>IF(AND($AK122&lt;=Results!$I$27,$AK122&gt;=Results!$I$26,$AK122&lt;=Results!$F$4),$AQ122,"")</f>
        <v>10481.746666666651</v>
      </c>
      <c r="BB122" t="str">
        <f t="shared" si="55"/>
        <v/>
      </c>
      <c r="BC122" t="str">
        <f>IF(AND($AK122&lt;=Results!$I$29,$AK122&gt;=Results!$I$28,$AK122&gt;=Results!$F$4),$AQ122,"")</f>
        <v/>
      </c>
      <c r="BD122">
        <f t="shared" si="56"/>
        <v>10774.255645778321</v>
      </c>
      <c r="BE122">
        <f t="shared" si="57"/>
        <v>2248.1671486918417</v>
      </c>
      <c r="BF122">
        <f t="shared" si="58"/>
        <v>10487.954520048004</v>
      </c>
      <c r="BG122">
        <f t="shared" si="59"/>
        <v>1334.9946821572653</v>
      </c>
      <c r="BH122">
        <f t="shared" si="60"/>
        <v>0</v>
      </c>
      <c r="BI122">
        <f t="shared" si="61"/>
        <v>0.94760602755518641</v>
      </c>
      <c r="BJ122">
        <f t="shared" si="62"/>
        <v>0.99932176547354068</v>
      </c>
      <c r="BK122">
        <f t="shared" si="63"/>
        <v>-3.5660405831465285E-2</v>
      </c>
      <c r="BL122">
        <f t="shared" si="64"/>
        <v>-8.8996253826466418E-4</v>
      </c>
      <c r="BM122">
        <f t="shared" si="82"/>
        <v>120.00000000000055</v>
      </c>
      <c r="BN122">
        <f t="shared" si="83"/>
        <v>-119.99999999999829</v>
      </c>
      <c r="BO122">
        <f>Data!$H$2*(1-BI122)*(1-BI122/Data!$H$3)*BM122</f>
        <v>6.5883080365149548E-7</v>
      </c>
      <c r="BP122">
        <f t="shared" si="65"/>
        <v>-113.71272330662289</v>
      </c>
      <c r="BQ122">
        <f>Data!$H$2*(1-BJ122)*(1-BJ122/Data!$H$3)*BN122</f>
        <v>-1.1040049749155807E-10</v>
      </c>
      <c r="BR122">
        <f t="shared" si="66"/>
        <v>119.91861185682318</v>
      </c>
      <c r="BS122">
        <f t="shared" si="67"/>
        <v>0</v>
      </c>
      <c r="BT122">
        <f t="shared" si="68"/>
        <v>0</v>
      </c>
      <c r="BU122">
        <f t="shared" si="69"/>
        <v>0</v>
      </c>
      <c r="BV122">
        <f t="shared" si="70"/>
        <v>0</v>
      </c>
      <c r="BW122">
        <f t="shared" si="84"/>
        <v>0</v>
      </c>
      <c r="BX122" t="str">
        <f t="shared" si="85"/>
        <v/>
      </c>
      <c r="BY122" s="66" t="str">
        <f t="shared" si="71"/>
        <v/>
      </c>
      <c r="BZ122" t="str">
        <f t="shared" si="72"/>
        <v/>
      </c>
      <c r="CA122" s="67" t="str">
        <f t="shared" si="73"/>
        <v/>
      </c>
    </row>
    <row r="123" spans="1:79" x14ac:dyDescent="0.25">
      <c r="D123" s="3" t="e">
        <f t="shared" si="98"/>
        <v>#DIV/0!</v>
      </c>
      <c r="E123" s="3" t="e">
        <f t="shared" si="98"/>
        <v>#DIV/0!</v>
      </c>
      <c r="F123" t="str">
        <f>IF(A123&gt;0,IF(F122=1,1,IF(B123=Data!$H$4,1,0)),"")</f>
        <v/>
      </c>
      <c r="O123" s="3"/>
      <c r="P123" s="3"/>
      <c r="Q123" t="str">
        <f t="shared" si="74"/>
        <v/>
      </c>
      <c r="R123" s="4" t="str">
        <f t="shared" si="75"/>
        <v/>
      </c>
      <c r="S123" t="e">
        <f t="shared" si="86"/>
        <v>#DIV/0!</v>
      </c>
      <c r="T123" t="e">
        <f t="shared" si="99"/>
        <v>#DIV/0!</v>
      </c>
      <c r="U123" s="4">
        <f t="shared" si="76"/>
        <v>0</v>
      </c>
      <c r="V123" t="e">
        <f t="shared" si="87"/>
        <v>#DIV/0!</v>
      </c>
      <c r="W123" t="e">
        <f t="shared" si="88"/>
        <v>#DIV/0!</v>
      </c>
      <c r="X123" t="e">
        <f t="shared" si="89"/>
        <v>#VALUE!</v>
      </c>
      <c r="Y123" t="e">
        <f t="shared" si="90"/>
        <v>#VALUE!</v>
      </c>
      <c r="Z123" t="e">
        <f t="shared" si="91"/>
        <v>#VALUE!</v>
      </c>
      <c r="AA123" t="e">
        <f t="shared" si="77"/>
        <v>#VALUE!</v>
      </c>
      <c r="AB123" t="str">
        <f t="shared" si="92"/>
        <v/>
      </c>
      <c r="AC123" t="str">
        <f t="shared" si="93"/>
        <v/>
      </c>
      <c r="AD123" t="str">
        <f t="shared" si="94"/>
        <v/>
      </c>
      <c r="AE123" t="str">
        <f t="shared" si="95"/>
        <v/>
      </c>
      <c r="AK123" s="4">
        <f t="shared" si="96"/>
        <v>37.100000000000172</v>
      </c>
      <c r="AL123">
        <f t="shared" si="78"/>
        <v>1453.0000000000207</v>
      </c>
      <c r="AM123">
        <f t="shared" si="79"/>
        <v>10287.499999999924</v>
      </c>
      <c r="AN123">
        <f>IF($AK122+$AK$1&lt;=Data!$H$4-0.5,AVERAGE(AM121:AM125),AN122)</f>
        <v>10286.01333333326</v>
      </c>
      <c r="AO123">
        <f t="shared" si="80"/>
        <v>9408.99999999998</v>
      </c>
      <c r="AP123">
        <f t="shared" si="97"/>
        <v>10473.633333333319</v>
      </c>
      <c r="AQ123">
        <f>IF($AK122+$AK$1&lt;=Data!$H$4-0.5,AVERAGE(AP121:AP125),AQ122)</f>
        <v>10473.659999999985</v>
      </c>
      <c r="AR123">
        <f>IF($AK122+$AK$1&lt;=Data!$H$4-0.5,SLOPE($AN119:$AN127,$AK119:$AK127),AR122)</f>
        <v>-418.98333333335069</v>
      </c>
      <c r="AS123">
        <f>IF($AK122+$AK$1&lt;=Data!$H$4-0.5,SLOPE($AQ119:$AQ127,$AK119:$AK127),AS122)</f>
        <v>-80.799999999999031</v>
      </c>
      <c r="AT123" t="str">
        <f>IF(AND($AK123&gt;=Results!$G$13,$AK123&lt;=Results!$G$14),Curves!AR123,"")</f>
        <v/>
      </c>
      <c r="AU123" t="str">
        <f>IF(AND($AK123&gt;=Results!$G$13,$AK123&lt;=Results!$G$14),Curves!AS123,"")</f>
        <v/>
      </c>
      <c r="AV123" t="str">
        <f t="shared" si="81"/>
        <v/>
      </c>
      <c r="AW123" t="str">
        <f>IF(AND($AK123&lt;=Results!$I$21,$AK123&gt;=Results!$I$20,$AK123&lt;=Results!$F$4),$AN123,"")</f>
        <v/>
      </c>
      <c r="AX123" t="str">
        <f t="shared" si="81"/>
        <v/>
      </c>
      <c r="AY123" t="str">
        <f>IF(AND($AK123&lt;=Results!$I$23,$AK123&gt;=Results!$I$22,$AK123&gt;=Results!$F$4),$AN123,"")</f>
        <v/>
      </c>
      <c r="AZ123">
        <f t="shared" si="54"/>
        <v>37.100000000000172</v>
      </c>
      <c r="BA123">
        <f>IF(AND($AK123&lt;=Results!$I$27,$AK123&gt;=Results!$I$26,$AK123&lt;=Results!$F$4),$AQ123,"")</f>
        <v>10473.659999999985</v>
      </c>
      <c r="BB123" t="str">
        <f t="shared" si="55"/>
        <v/>
      </c>
      <c r="BC123" t="str">
        <f>IF(AND($AK123&lt;=Results!$I$29,$AK123&gt;=Results!$I$28,$AK123&gt;=Results!$F$4),$AQ123,"")</f>
        <v/>
      </c>
      <c r="BD123">
        <f t="shared" si="56"/>
        <v>10763.485450980401</v>
      </c>
      <c r="BE123">
        <f t="shared" si="57"/>
        <v>2244.8513594425212</v>
      </c>
      <c r="BF123">
        <f t="shared" si="58"/>
        <v>10480.664537815112</v>
      </c>
      <c r="BG123">
        <f t="shared" si="59"/>
        <v>1334.4438811977402</v>
      </c>
      <c r="BH123">
        <f t="shared" si="60"/>
        <v>0</v>
      </c>
      <c r="BI123">
        <f t="shared" si="61"/>
        <v>0.9439496857692895</v>
      </c>
      <c r="BJ123">
        <f t="shared" si="62"/>
        <v>0.99923416041684299</v>
      </c>
      <c r="BK123">
        <f t="shared" si="63"/>
        <v>-3.7468802560337043E-2</v>
      </c>
      <c r="BL123">
        <f t="shared" si="64"/>
        <v>-8.6210782087091527E-4</v>
      </c>
      <c r="BM123">
        <f t="shared" si="82"/>
        <v>120.00000000000055</v>
      </c>
      <c r="BN123">
        <f t="shared" si="83"/>
        <v>-119.99999999999829</v>
      </c>
      <c r="BO123">
        <f>Data!$H$2*(1-BI123)*(1-BI123/Data!$H$3)*BM123</f>
        <v>7.539930540867365E-7</v>
      </c>
      <c r="BP123">
        <f t="shared" si="65"/>
        <v>-113.27396229231526</v>
      </c>
      <c r="BQ123">
        <f>Data!$H$2*(1-BJ123)*(1-BJ123/Data!$H$3)*BN123</f>
        <v>-1.407624641112238E-10</v>
      </c>
      <c r="BR123">
        <f t="shared" si="66"/>
        <v>119.90809925001946</v>
      </c>
      <c r="BS123">
        <f t="shared" si="67"/>
        <v>0</v>
      </c>
      <c r="BT123">
        <f t="shared" si="68"/>
        <v>0</v>
      </c>
      <c r="BU123">
        <f t="shared" si="69"/>
        <v>0</v>
      </c>
      <c r="BV123">
        <f t="shared" si="70"/>
        <v>0</v>
      </c>
      <c r="BW123">
        <f t="shared" si="84"/>
        <v>0</v>
      </c>
      <c r="BX123" t="str">
        <f t="shared" si="85"/>
        <v/>
      </c>
      <c r="BY123" s="66" t="str">
        <f t="shared" si="71"/>
        <v/>
      </c>
      <c r="BZ123" t="str">
        <f t="shared" si="72"/>
        <v/>
      </c>
      <c r="CA123" s="67" t="str">
        <f t="shared" si="73"/>
        <v/>
      </c>
    </row>
    <row r="124" spans="1:79" x14ac:dyDescent="0.25">
      <c r="D124" s="3" t="e">
        <f t="shared" si="98"/>
        <v>#DIV/0!</v>
      </c>
      <c r="E124" s="3" t="e">
        <f t="shared" si="98"/>
        <v>#DIV/0!</v>
      </c>
      <c r="F124" t="str">
        <f>IF(A124&gt;0,IF(F123=1,1,IF(B124=Data!$H$4,1,0)),"")</f>
        <v/>
      </c>
      <c r="O124" s="3"/>
      <c r="P124" s="3"/>
      <c r="Q124" t="str">
        <f t="shared" si="74"/>
        <v/>
      </c>
      <c r="R124" s="4" t="str">
        <f t="shared" si="75"/>
        <v/>
      </c>
      <c r="S124" t="e">
        <f t="shared" si="86"/>
        <v>#DIV/0!</v>
      </c>
      <c r="T124" t="e">
        <f t="shared" si="99"/>
        <v>#DIV/0!</v>
      </c>
      <c r="U124" s="4">
        <f t="shared" si="76"/>
        <v>0</v>
      </c>
      <c r="V124" t="e">
        <f t="shared" si="87"/>
        <v>#DIV/0!</v>
      </c>
      <c r="W124" t="e">
        <f t="shared" si="88"/>
        <v>#DIV/0!</v>
      </c>
      <c r="X124" t="e">
        <f t="shared" si="89"/>
        <v>#VALUE!</v>
      </c>
      <c r="Y124" t="e">
        <f t="shared" si="90"/>
        <v>#VALUE!</v>
      </c>
      <c r="Z124" t="e">
        <f t="shared" si="91"/>
        <v>#VALUE!</v>
      </c>
      <c r="AA124" t="e">
        <f t="shared" si="77"/>
        <v>#VALUE!</v>
      </c>
      <c r="AB124" t="str">
        <f t="shared" si="92"/>
        <v/>
      </c>
      <c r="AC124" t="str">
        <f t="shared" si="93"/>
        <v/>
      </c>
      <c r="AD124" t="str">
        <f t="shared" si="94"/>
        <v/>
      </c>
      <c r="AE124" t="str">
        <f t="shared" si="95"/>
        <v/>
      </c>
      <c r="AK124" s="4">
        <f t="shared" si="96"/>
        <v>37.200000000000173</v>
      </c>
      <c r="AL124">
        <f t="shared" si="78"/>
        <v>1465.0000000000209</v>
      </c>
      <c r="AM124">
        <f t="shared" si="79"/>
        <v>10242.999999999924</v>
      </c>
      <c r="AN124">
        <f>IF($AK123+$AK$1&lt;=Data!$H$4-0.5,AVERAGE(AM122:AM126),AN123)</f>
        <v>10242.999999999924</v>
      </c>
      <c r="AO124">
        <f t="shared" si="80"/>
        <v>9396.99999999998</v>
      </c>
      <c r="AP124">
        <f t="shared" si="97"/>
        <v>10465.599999999986</v>
      </c>
      <c r="AQ124">
        <f>IF($AK123+$AK$1&lt;=Data!$H$4-0.5,AVERAGE(AP122:AP126),AQ123)</f>
        <v>10465.599999999986</v>
      </c>
      <c r="AR124">
        <f>IF($AK123+$AK$1&lt;=Data!$H$4-0.5,SLOPE($AN120:$AN128,$AK120:$AK128),AR123)</f>
        <v>-428.89444444445809</v>
      </c>
      <c r="AS124">
        <f>IF($AK123+$AK$1&lt;=Data!$H$4-0.5,SLOPE($AQ120:$AQ128,$AK120:$AK128),AS123)</f>
        <v>-80.622222222219904</v>
      </c>
      <c r="AT124" t="str">
        <f>IF(AND($AK124&gt;=Results!$G$13,$AK124&lt;=Results!$G$14),Curves!AR124,"")</f>
        <v/>
      </c>
      <c r="AU124" t="str">
        <f>IF(AND($AK124&gt;=Results!$G$13,$AK124&lt;=Results!$G$14),Curves!AS124,"")</f>
        <v/>
      </c>
      <c r="AV124" t="str">
        <f t="shared" si="81"/>
        <v/>
      </c>
      <c r="AW124" t="str">
        <f>IF(AND($AK124&lt;=Results!$I$21,$AK124&gt;=Results!$I$20,$AK124&lt;=Results!$F$4),$AN124,"")</f>
        <v/>
      </c>
      <c r="AX124" t="str">
        <f t="shared" si="81"/>
        <v/>
      </c>
      <c r="AY124" t="str">
        <f>IF(AND($AK124&lt;=Results!$I$23,$AK124&gt;=Results!$I$22,$AK124&gt;=Results!$F$4),$AN124,"")</f>
        <v/>
      </c>
      <c r="AZ124">
        <f t="shared" si="54"/>
        <v>37.200000000000173</v>
      </c>
      <c r="BA124">
        <f>IF(AND($AK124&lt;=Results!$I$27,$AK124&gt;=Results!$I$26,$AK124&lt;=Results!$F$4),$AQ124,"")</f>
        <v>10465.599999999986</v>
      </c>
      <c r="BB124" t="str">
        <f t="shared" si="55"/>
        <v/>
      </c>
      <c r="BC124" t="str">
        <f>IF(AND($AK124&lt;=Results!$I$29,$AK124&gt;=Results!$I$28,$AK124&gt;=Results!$F$4),$AQ124,"")</f>
        <v/>
      </c>
      <c r="BD124">
        <f t="shared" si="56"/>
        <v>10752.715256182481</v>
      </c>
      <c r="BE124">
        <f t="shared" si="57"/>
        <v>2241.5355701932003</v>
      </c>
      <c r="BF124">
        <f t="shared" si="58"/>
        <v>10473.374555582219</v>
      </c>
      <c r="BG124">
        <f t="shared" si="59"/>
        <v>1333.8930802382151</v>
      </c>
      <c r="BH124">
        <f t="shared" si="60"/>
        <v>0</v>
      </c>
      <c r="BI124">
        <f t="shared" si="61"/>
        <v>0.9401122670431189</v>
      </c>
      <c r="BJ124">
        <f t="shared" si="62"/>
        <v>0.99914934390936649</v>
      </c>
      <c r="BK124">
        <f t="shared" si="63"/>
        <v>-3.928195295652858E-2</v>
      </c>
      <c r="BL124">
        <f t="shared" si="64"/>
        <v>-8.3419146300166486E-4</v>
      </c>
      <c r="BM124">
        <f t="shared" si="82"/>
        <v>119.99999999999942</v>
      </c>
      <c r="BN124">
        <f t="shared" si="83"/>
        <v>-120.00000000000739</v>
      </c>
      <c r="BO124">
        <f>Data!$H$2*(1-BI124)*(1-BI124/Data!$H$3)*BM124</f>
        <v>8.6076973409152444E-7</v>
      </c>
      <c r="BP124">
        <f t="shared" si="65"/>
        <v>-112.81347204517373</v>
      </c>
      <c r="BQ124">
        <f>Data!$H$2*(1-BJ124)*(1-BJ124/Data!$H$3)*BN124</f>
        <v>-1.7366778828766175E-10</v>
      </c>
      <c r="BR124">
        <f t="shared" si="66"/>
        <v>119.89792126913136</v>
      </c>
      <c r="BS124">
        <f t="shared" si="67"/>
        <v>0</v>
      </c>
      <c r="BT124">
        <f t="shared" si="68"/>
        <v>0</v>
      </c>
      <c r="BU124">
        <f t="shared" si="69"/>
        <v>0</v>
      </c>
      <c r="BV124">
        <f t="shared" si="70"/>
        <v>0</v>
      </c>
      <c r="BW124">
        <f t="shared" si="84"/>
        <v>0</v>
      </c>
      <c r="BX124" t="str">
        <f t="shared" si="85"/>
        <v/>
      </c>
      <c r="BY124" s="66" t="str">
        <f t="shared" si="71"/>
        <v/>
      </c>
      <c r="BZ124" t="str">
        <f t="shared" si="72"/>
        <v/>
      </c>
      <c r="CA124" s="67" t="str">
        <f t="shared" si="73"/>
        <v/>
      </c>
    </row>
    <row r="125" spans="1:79" x14ac:dyDescent="0.25">
      <c r="D125" s="3" t="e">
        <f t="shared" si="98"/>
        <v>#DIV/0!</v>
      </c>
      <c r="E125" s="3" t="e">
        <f t="shared" si="98"/>
        <v>#DIV/0!</v>
      </c>
      <c r="F125" t="str">
        <f>IF(A125&gt;0,IF(F124=1,1,IF(B125=Data!$H$4,1,0)),"")</f>
        <v/>
      </c>
      <c r="O125" s="3"/>
      <c r="P125" s="3"/>
      <c r="Q125" t="str">
        <f t="shared" si="74"/>
        <v/>
      </c>
      <c r="R125" s="4" t="str">
        <f t="shared" si="75"/>
        <v/>
      </c>
      <c r="S125" t="e">
        <f t="shared" si="86"/>
        <v>#DIV/0!</v>
      </c>
      <c r="T125" t="e">
        <f t="shared" si="99"/>
        <v>#DIV/0!</v>
      </c>
      <c r="U125" s="4">
        <f t="shared" si="76"/>
        <v>0</v>
      </c>
      <c r="V125" t="e">
        <f t="shared" si="87"/>
        <v>#DIV/0!</v>
      </c>
      <c r="W125" t="e">
        <f t="shared" si="88"/>
        <v>#DIV/0!</v>
      </c>
      <c r="X125" t="e">
        <f t="shared" si="89"/>
        <v>#VALUE!</v>
      </c>
      <c r="Y125" t="e">
        <f t="shared" si="90"/>
        <v>#VALUE!</v>
      </c>
      <c r="Z125" t="e">
        <f t="shared" si="91"/>
        <v>#VALUE!</v>
      </c>
      <c r="AA125" t="e">
        <f t="shared" si="77"/>
        <v>#VALUE!</v>
      </c>
      <c r="AB125" t="str">
        <f t="shared" si="92"/>
        <v/>
      </c>
      <c r="AC125" t="str">
        <f t="shared" si="93"/>
        <v/>
      </c>
      <c r="AD125" t="str">
        <f t="shared" si="94"/>
        <v/>
      </c>
      <c r="AE125" t="str">
        <f t="shared" si="95"/>
        <v/>
      </c>
      <c r="AK125" s="4">
        <f t="shared" si="96"/>
        <v>37.300000000000175</v>
      </c>
      <c r="AL125">
        <f t="shared" si="78"/>
        <v>1477.0000000000209</v>
      </c>
      <c r="AM125">
        <f t="shared" si="79"/>
        <v>10198.499999999922</v>
      </c>
      <c r="AN125">
        <f>IF($AK124+$AK$1&lt;=Data!$H$4-0.5,AVERAGE(AM123:AM127),AN124)</f>
        <v>10198.499999999922</v>
      </c>
      <c r="AO125">
        <f t="shared" si="80"/>
        <v>9384.9999999999782</v>
      </c>
      <c r="AP125">
        <f t="shared" si="97"/>
        <v>10457.566666666653</v>
      </c>
      <c r="AQ125">
        <f>IF($AK124+$AK$1&lt;=Data!$H$4-0.5,AVERAGE(AP123:AP127),AQ124)</f>
        <v>10457.566666666653</v>
      </c>
      <c r="AR125">
        <f>IF($AK124+$AK$1&lt;=Data!$H$4-0.5,SLOPE($AN121:$AN129,$AK121:$AK129),AR124)</f>
        <v>-436.32777777778682</v>
      </c>
      <c r="AS125">
        <f>IF($AK124+$AK$1&lt;=Data!$H$4-0.5,SLOPE($AQ121:$AQ129,$AK121:$AK129),AS124)</f>
        <v>-80.488888888885796</v>
      </c>
      <c r="AT125" t="str">
        <f>IF(AND($AK125&gt;=Results!$G$13,$AK125&lt;=Results!$G$14),Curves!AR125,"")</f>
        <v/>
      </c>
      <c r="AU125" t="str">
        <f>IF(AND($AK125&gt;=Results!$G$13,$AK125&lt;=Results!$G$14),Curves!AS125,"")</f>
        <v/>
      </c>
      <c r="AV125" t="str">
        <f t="shared" si="81"/>
        <v/>
      </c>
      <c r="AW125" t="str">
        <f>IF(AND($AK125&lt;=Results!$I$21,$AK125&gt;=Results!$I$20,$AK125&lt;=Results!$F$4),$AN125,"")</f>
        <v/>
      </c>
      <c r="AX125" t="str">
        <f t="shared" si="81"/>
        <v/>
      </c>
      <c r="AY125" t="str">
        <f>IF(AND($AK125&lt;=Results!$I$23,$AK125&gt;=Results!$I$22,$AK125&gt;=Results!$F$4),$AN125,"")</f>
        <v/>
      </c>
      <c r="AZ125">
        <f t="shared" si="54"/>
        <v>37.300000000000175</v>
      </c>
      <c r="BA125">
        <f>IF(AND($AK125&lt;=Results!$I$27,$AK125&gt;=Results!$I$26,$AK125&lt;=Results!$F$4),$AQ125,"")</f>
        <v>10457.566666666653</v>
      </c>
      <c r="BB125" t="str">
        <f t="shared" si="55"/>
        <v/>
      </c>
      <c r="BC125" t="str">
        <f>IF(AND($AK125&lt;=Results!$I$29,$AK125&gt;=Results!$I$28,$AK125&gt;=Results!$F$4),$AQ125,"")</f>
        <v/>
      </c>
      <c r="BD125">
        <f t="shared" si="56"/>
        <v>10741.945061384562</v>
      </c>
      <c r="BE125">
        <f t="shared" si="57"/>
        <v>2238.2197809438794</v>
      </c>
      <c r="BF125">
        <f t="shared" si="58"/>
        <v>10466.084573349326</v>
      </c>
      <c r="BG125">
        <f t="shared" si="59"/>
        <v>1333.3422792786903</v>
      </c>
      <c r="BH125">
        <f t="shared" si="60"/>
        <v>0</v>
      </c>
      <c r="BI125">
        <f t="shared" si="61"/>
        <v>0.93609329517798368</v>
      </c>
      <c r="BJ125">
        <f t="shared" si="62"/>
        <v>0.99906732212424265</v>
      </c>
      <c r="BK125">
        <f t="shared" si="63"/>
        <v>-4.022498005792683E-2</v>
      </c>
      <c r="BL125">
        <f t="shared" si="64"/>
        <v>-8.208235486850563E-4</v>
      </c>
      <c r="BM125">
        <f t="shared" si="82"/>
        <v>119.99999999999942</v>
      </c>
      <c r="BN125">
        <f t="shared" si="83"/>
        <v>-120.00000000000739</v>
      </c>
      <c r="BO125">
        <f>Data!$H$2*(1-BI125)*(1-BI125/Data!$H$3)*BM125</f>
        <v>9.8017606108999305E-7</v>
      </c>
      <c r="BP125">
        <f t="shared" si="65"/>
        <v>-112.33119542135749</v>
      </c>
      <c r="BQ125">
        <f>Data!$H$2*(1-BJ125)*(1-BJ125/Data!$H$3)*BN125</f>
        <v>-2.0877312478255043E-10</v>
      </c>
      <c r="BR125">
        <f t="shared" si="66"/>
        <v>119.8880786549165</v>
      </c>
      <c r="BS125">
        <f t="shared" si="67"/>
        <v>0</v>
      </c>
      <c r="BT125">
        <f t="shared" si="68"/>
        <v>0</v>
      </c>
      <c r="BU125">
        <f t="shared" si="69"/>
        <v>0</v>
      </c>
      <c r="BV125">
        <f t="shared" si="70"/>
        <v>0</v>
      </c>
      <c r="BW125">
        <f t="shared" si="84"/>
        <v>0</v>
      </c>
      <c r="BX125" t="str">
        <f t="shared" si="85"/>
        <v/>
      </c>
      <c r="BY125" s="66" t="str">
        <f t="shared" si="71"/>
        <v/>
      </c>
      <c r="BZ125" t="str">
        <f t="shared" si="72"/>
        <v/>
      </c>
      <c r="CA125" s="67" t="str">
        <f t="shared" si="73"/>
        <v/>
      </c>
    </row>
    <row r="126" spans="1:79" x14ac:dyDescent="0.25">
      <c r="D126" s="3" t="e">
        <f t="shared" si="98"/>
        <v>#DIV/0!</v>
      </c>
      <c r="E126" s="3" t="e">
        <f t="shared" si="98"/>
        <v>#DIV/0!</v>
      </c>
      <c r="F126" t="str">
        <f>IF(A126&gt;0,IF(F125=1,1,IF(B126=Data!$H$4,1,0)),"")</f>
        <v/>
      </c>
      <c r="O126" s="3"/>
      <c r="P126" s="3"/>
      <c r="Q126" t="str">
        <f t="shared" si="74"/>
        <v/>
      </c>
      <c r="R126" s="4" t="str">
        <f t="shared" si="75"/>
        <v/>
      </c>
      <c r="S126" t="e">
        <f t="shared" si="86"/>
        <v>#DIV/0!</v>
      </c>
      <c r="T126" t="e">
        <f t="shared" si="99"/>
        <v>#DIV/0!</v>
      </c>
      <c r="U126" s="4">
        <f t="shared" si="76"/>
        <v>0</v>
      </c>
      <c r="V126" t="e">
        <f t="shared" si="87"/>
        <v>#DIV/0!</v>
      </c>
      <c r="W126" t="e">
        <f t="shared" si="88"/>
        <v>#DIV/0!</v>
      </c>
      <c r="X126" t="e">
        <f t="shared" si="89"/>
        <v>#VALUE!</v>
      </c>
      <c r="Y126" t="e">
        <f t="shared" si="90"/>
        <v>#VALUE!</v>
      </c>
      <c r="Z126" t="e">
        <f t="shared" si="91"/>
        <v>#VALUE!</v>
      </c>
      <c r="AA126" t="e">
        <f t="shared" si="77"/>
        <v>#VALUE!</v>
      </c>
      <c r="AB126" t="str">
        <f t="shared" si="92"/>
        <v/>
      </c>
      <c r="AC126" t="str">
        <f t="shared" si="93"/>
        <v/>
      </c>
      <c r="AD126" t="str">
        <f t="shared" si="94"/>
        <v/>
      </c>
      <c r="AE126" t="str">
        <f t="shared" si="95"/>
        <v/>
      </c>
      <c r="AK126" s="4">
        <f t="shared" si="96"/>
        <v>37.400000000000176</v>
      </c>
      <c r="AL126">
        <f t="shared" si="78"/>
        <v>1489.0000000000211</v>
      </c>
      <c r="AM126">
        <f t="shared" si="79"/>
        <v>10153.999999999922</v>
      </c>
      <c r="AN126">
        <f>IF($AK125+$AK$1&lt;=Data!$H$4-0.5,AVERAGE(AM124:AM128),AN125)</f>
        <v>10153.999999999922</v>
      </c>
      <c r="AO126">
        <f t="shared" si="80"/>
        <v>9372.9999999999782</v>
      </c>
      <c r="AP126">
        <f t="shared" si="97"/>
        <v>10449.533333333318</v>
      </c>
      <c r="AQ126">
        <f>IF($AK125+$AK$1&lt;=Data!$H$4-0.5,AVERAGE(AP124:AP128),AQ125)</f>
        <v>10449.533333333318</v>
      </c>
      <c r="AR126">
        <f>IF($AK125+$AK$1&lt;=Data!$H$4-0.5,SLOPE($AN122:$AN130,$AK122:$AK130),AR125)</f>
        <v>-441.28333333333569</v>
      </c>
      <c r="AS126">
        <f>IF($AK125+$AK$1&lt;=Data!$H$4-0.5,SLOPE($AQ122:$AQ130,$AK122:$AK130),AS125)</f>
        <v>-80.399999999995757</v>
      </c>
      <c r="AT126" t="str">
        <f>IF(AND($AK126&gt;=Results!$G$13,$AK126&lt;=Results!$G$14),Curves!AR126,"")</f>
        <v/>
      </c>
      <c r="AU126" t="str">
        <f>IF(AND($AK126&gt;=Results!$G$13,$AK126&lt;=Results!$G$14),Curves!AS126,"")</f>
        <v/>
      </c>
      <c r="AV126" t="str">
        <f t="shared" si="81"/>
        <v/>
      </c>
      <c r="AW126" t="str">
        <f>IF(AND($AK126&lt;=Results!$I$21,$AK126&gt;=Results!$I$20,$AK126&lt;=Results!$F$4),$AN126,"")</f>
        <v/>
      </c>
      <c r="AX126" t="str">
        <f t="shared" si="81"/>
        <v/>
      </c>
      <c r="AY126" t="str">
        <f>IF(AND($AK126&lt;=Results!$I$23,$AK126&gt;=Results!$I$22,$AK126&gt;=Results!$F$4),$AN126,"")</f>
        <v/>
      </c>
      <c r="AZ126">
        <f t="shared" si="54"/>
        <v>37.400000000000176</v>
      </c>
      <c r="BA126">
        <f>IF(AND($AK126&lt;=Results!$I$27,$AK126&gt;=Results!$I$26,$AK126&lt;=Results!$F$4),$AQ126,"")</f>
        <v>10449.533333333318</v>
      </c>
      <c r="BB126" t="str">
        <f t="shared" si="55"/>
        <v/>
      </c>
      <c r="BC126" t="str">
        <f>IF(AND($AK126&lt;=Results!$I$29,$AK126&gt;=Results!$I$28,$AK126&gt;=Results!$F$4),$AQ126,"")</f>
        <v/>
      </c>
      <c r="BD126">
        <f t="shared" si="56"/>
        <v>10731.174866586642</v>
      </c>
      <c r="BE126">
        <f t="shared" si="57"/>
        <v>2234.9039916945585</v>
      </c>
      <c r="BF126">
        <f t="shared" si="58"/>
        <v>10458.794591116432</v>
      </c>
      <c r="BG126">
        <f t="shared" si="59"/>
        <v>1332.7914783191652</v>
      </c>
      <c r="BH126">
        <f t="shared" si="60"/>
        <v>0</v>
      </c>
      <c r="BI126">
        <f t="shared" si="61"/>
        <v>0.93206727103153342</v>
      </c>
      <c r="BJ126">
        <f t="shared" si="62"/>
        <v>0.99898517919962948</v>
      </c>
      <c r="BK126">
        <f t="shared" si="63"/>
        <v>-4.0295595764886484E-2</v>
      </c>
      <c r="BL126">
        <f t="shared" si="64"/>
        <v>-8.2203628641918042E-4</v>
      </c>
      <c r="BM126">
        <f t="shared" si="82"/>
        <v>120.00000000000055</v>
      </c>
      <c r="BN126">
        <f t="shared" si="83"/>
        <v>-119.99999999999829</v>
      </c>
      <c r="BO126">
        <f>Data!$H$2*(1-BI126)*(1-BI126/Data!$H$3)*BM126</f>
        <v>1.1075653596247584E-6</v>
      </c>
      <c r="BP126">
        <f t="shared" si="65"/>
        <v>-111.84807252378452</v>
      </c>
      <c r="BQ126">
        <f>Data!$H$2*(1-BJ126)*(1-BJ126/Data!$H$3)*BN126</f>
        <v>-2.4716670164751529E-10</v>
      </c>
      <c r="BR126">
        <f t="shared" si="66"/>
        <v>119.87822150395384</v>
      </c>
      <c r="BS126">
        <f t="shared" si="67"/>
        <v>0</v>
      </c>
      <c r="BT126">
        <f t="shared" si="68"/>
        <v>0</v>
      </c>
      <c r="BU126">
        <f t="shared" si="69"/>
        <v>0</v>
      </c>
      <c r="BV126">
        <f t="shared" si="70"/>
        <v>0</v>
      </c>
      <c r="BW126">
        <f t="shared" si="84"/>
        <v>0</v>
      </c>
      <c r="BX126" t="str">
        <f t="shared" si="85"/>
        <v/>
      </c>
      <c r="BY126" s="66" t="str">
        <f t="shared" si="71"/>
        <v/>
      </c>
      <c r="BZ126" t="str">
        <f t="shared" si="72"/>
        <v/>
      </c>
      <c r="CA126" s="67" t="str">
        <f t="shared" si="73"/>
        <v/>
      </c>
    </row>
    <row r="127" spans="1:79" x14ac:dyDescent="0.25">
      <c r="D127" s="3" t="e">
        <f t="shared" si="98"/>
        <v>#DIV/0!</v>
      </c>
      <c r="E127" s="3" t="e">
        <f t="shared" si="98"/>
        <v>#DIV/0!</v>
      </c>
      <c r="F127" t="str">
        <f>IF(A127&gt;0,IF(F126=1,1,IF(B127=Data!$H$4,1,0)),"")</f>
        <v/>
      </c>
      <c r="O127" s="3"/>
      <c r="P127" s="3"/>
      <c r="Q127" t="str">
        <f t="shared" si="74"/>
        <v/>
      </c>
      <c r="R127" s="4" t="str">
        <f t="shared" si="75"/>
        <v/>
      </c>
      <c r="S127" t="e">
        <f t="shared" si="86"/>
        <v>#DIV/0!</v>
      </c>
      <c r="T127" t="e">
        <f t="shared" si="99"/>
        <v>#DIV/0!</v>
      </c>
      <c r="U127" s="4">
        <f t="shared" si="76"/>
        <v>0</v>
      </c>
      <c r="V127" t="e">
        <f t="shared" si="87"/>
        <v>#DIV/0!</v>
      </c>
      <c r="W127" t="e">
        <f t="shared" si="88"/>
        <v>#DIV/0!</v>
      </c>
      <c r="X127" t="e">
        <f t="shared" si="89"/>
        <v>#VALUE!</v>
      </c>
      <c r="Y127" t="e">
        <f t="shared" si="90"/>
        <v>#VALUE!</v>
      </c>
      <c r="Z127" t="e">
        <f t="shared" si="91"/>
        <v>#VALUE!</v>
      </c>
      <c r="AA127" t="e">
        <f t="shared" si="77"/>
        <v>#VALUE!</v>
      </c>
      <c r="AB127" t="str">
        <f t="shared" si="92"/>
        <v/>
      </c>
      <c r="AC127" t="str">
        <f t="shared" si="93"/>
        <v/>
      </c>
      <c r="AD127" t="str">
        <f t="shared" si="94"/>
        <v/>
      </c>
      <c r="AE127" t="str">
        <f t="shared" si="95"/>
        <v/>
      </c>
      <c r="AK127" s="4">
        <f t="shared" si="96"/>
        <v>37.500000000000178</v>
      </c>
      <c r="AL127">
        <f t="shared" si="78"/>
        <v>1501.0000000000214</v>
      </c>
      <c r="AM127">
        <f t="shared" si="79"/>
        <v>10109.499999999922</v>
      </c>
      <c r="AN127">
        <f>IF($AK126+$AK$1&lt;=Data!$H$4-0.5,AVERAGE(AM125:AM129),AN126)</f>
        <v>10109.499999999922</v>
      </c>
      <c r="AO127">
        <f t="shared" si="80"/>
        <v>9360.9999999999782</v>
      </c>
      <c r="AP127">
        <f t="shared" si="97"/>
        <v>10441.499999999985</v>
      </c>
      <c r="AQ127">
        <f>IF($AK126+$AK$1&lt;=Data!$H$4-0.5,AVERAGE(AP125:AP129),AQ126)</f>
        <v>10441.499999999985</v>
      </c>
      <c r="AR127">
        <f>IF($AK126+$AK$1&lt;=Data!$H$4-0.5,SLOPE($AN123:$AN131,$AK123:$AK131),AR126)</f>
        <v>-442.3377777777709</v>
      </c>
      <c r="AS127">
        <f>IF($AK126+$AK$1&lt;=Data!$H$4-0.5,SLOPE($AQ123:$AQ131,$AK123:$AK131),AS126)</f>
        <v>-79.991111111106335</v>
      </c>
      <c r="AT127" t="str">
        <f>IF(AND($AK127&gt;=Results!$G$13,$AK127&lt;=Results!$G$14),Curves!AR127,"")</f>
        <v/>
      </c>
      <c r="AU127" t="str">
        <f>IF(AND($AK127&gt;=Results!$G$13,$AK127&lt;=Results!$G$14),Curves!AS127,"")</f>
        <v/>
      </c>
      <c r="AV127" t="str">
        <f t="shared" si="81"/>
        <v/>
      </c>
      <c r="AW127" t="str">
        <f>IF(AND($AK127&lt;=Results!$I$21,$AK127&gt;=Results!$I$20,$AK127&lt;=Results!$F$4),$AN127,"")</f>
        <v/>
      </c>
      <c r="AX127" t="str">
        <f t="shared" si="81"/>
        <v/>
      </c>
      <c r="AY127" t="str">
        <f>IF(AND($AK127&lt;=Results!$I$23,$AK127&gt;=Results!$I$22,$AK127&gt;=Results!$F$4),$AN127,"")</f>
        <v/>
      </c>
      <c r="AZ127">
        <f t="shared" si="54"/>
        <v>37.500000000000178</v>
      </c>
      <c r="BA127">
        <f>IF(AND($AK127&lt;=Results!$I$27,$AK127&gt;=Results!$I$26,$AK127&lt;=Results!$F$4),$AQ127,"")</f>
        <v>10441.499999999985</v>
      </c>
      <c r="BB127" t="str">
        <f t="shared" si="55"/>
        <v/>
      </c>
      <c r="BC127" t="str">
        <f>IF(AND($AK127&lt;=Results!$I$29,$AK127&gt;=Results!$I$28,$AK127&gt;=Results!$F$4),$AQ127,"")</f>
        <v/>
      </c>
      <c r="BD127">
        <f t="shared" si="56"/>
        <v>10720.404671788723</v>
      </c>
      <c r="BE127">
        <f t="shared" si="57"/>
        <v>2231.5882024452376</v>
      </c>
      <c r="BF127">
        <f t="shared" si="58"/>
        <v>10451.504608883539</v>
      </c>
      <c r="BG127">
        <f t="shared" si="59"/>
        <v>1332.2406773596404</v>
      </c>
      <c r="BH127">
        <f t="shared" si="60"/>
        <v>0</v>
      </c>
      <c r="BI127">
        <f t="shared" si="61"/>
        <v>0.92803417602500626</v>
      </c>
      <c r="BJ127">
        <f t="shared" si="62"/>
        <v>0.99890291486695881</v>
      </c>
      <c r="BK127">
        <f t="shared" si="63"/>
        <v>-4.036639758604519E-2</v>
      </c>
      <c r="BL127">
        <f t="shared" si="64"/>
        <v>-8.2325171380569434E-4</v>
      </c>
      <c r="BM127">
        <f t="shared" si="82"/>
        <v>119.99999999999942</v>
      </c>
      <c r="BN127">
        <f t="shared" si="83"/>
        <v>-119.99999999999829</v>
      </c>
      <c r="BO127">
        <f>Data!$H$2*(1-BI127)*(1-BI127/Data!$H$3)*BM127</f>
        <v>1.2429791568959419E-6</v>
      </c>
      <c r="BP127">
        <f t="shared" si="65"/>
        <v>-111.36410112300021</v>
      </c>
      <c r="BQ127">
        <f>Data!$H$2*(1-BJ127)*(1-BJ127/Data!$H$3)*BN127</f>
        <v>-2.8886298939359555E-10</v>
      </c>
      <c r="BR127">
        <f t="shared" si="66"/>
        <v>119.86834978403336</v>
      </c>
      <c r="BS127">
        <f t="shared" si="67"/>
        <v>0</v>
      </c>
      <c r="BT127">
        <f t="shared" si="68"/>
        <v>0</v>
      </c>
      <c r="BU127">
        <f t="shared" si="69"/>
        <v>0</v>
      </c>
      <c r="BV127">
        <f t="shared" si="70"/>
        <v>0</v>
      </c>
      <c r="BW127">
        <f t="shared" si="84"/>
        <v>0</v>
      </c>
      <c r="BX127" t="str">
        <f t="shared" si="85"/>
        <v/>
      </c>
      <c r="BY127" s="66" t="str">
        <f t="shared" si="71"/>
        <v/>
      </c>
      <c r="BZ127" t="str">
        <f t="shared" si="72"/>
        <v/>
      </c>
      <c r="CA127" s="67" t="str">
        <f t="shared" si="73"/>
        <v/>
      </c>
    </row>
    <row r="128" spans="1:79" x14ac:dyDescent="0.25">
      <c r="D128" s="3" t="e">
        <f t="shared" si="98"/>
        <v>#DIV/0!</v>
      </c>
      <c r="E128" s="3" t="e">
        <f t="shared" si="98"/>
        <v>#DIV/0!</v>
      </c>
      <c r="F128" t="str">
        <f>IF(A128&gt;0,IF(F127=1,1,IF(B128=Data!$H$4,1,0)),"")</f>
        <v/>
      </c>
      <c r="O128" s="3"/>
      <c r="P128" s="3"/>
      <c r="Q128" t="str">
        <f t="shared" si="74"/>
        <v/>
      </c>
      <c r="R128" s="4" t="str">
        <f t="shared" si="75"/>
        <v/>
      </c>
      <c r="S128" t="e">
        <f t="shared" si="86"/>
        <v>#DIV/0!</v>
      </c>
      <c r="T128" t="e">
        <f t="shared" si="99"/>
        <v>#DIV/0!</v>
      </c>
      <c r="U128" s="4">
        <f t="shared" si="76"/>
        <v>0</v>
      </c>
      <c r="V128" t="e">
        <f t="shared" si="87"/>
        <v>#DIV/0!</v>
      </c>
      <c r="W128" t="e">
        <f t="shared" si="88"/>
        <v>#DIV/0!</v>
      </c>
      <c r="X128" t="e">
        <f t="shared" si="89"/>
        <v>#VALUE!</v>
      </c>
      <c r="Y128" t="e">
        <f t="shared" si="90"/>
        <v>#VALUE!</v>
      </c>
      <c r="Z128" t="e">
        <f t="shared" si="91"/>
        <v>#VALUE!</v>
      </c>
      <c r="AA128" t="e">
        <f t="shared" si="77"/>
        <v>#VALUE!</v>
      </c>
      <c r="AB128" t="str">
        <f t="shared" si="92"/>
        <v/>
      </c>
      <c r="AC128" t="str">
        <f t="shared" si="93"/>
        <v/>
      </c>
      <c r="AD128" t="str">
        <f t="shared" si="94"/>
        <v/>
      </c>
      <c r="AE128" t="str">
        <f t="shared" si="95"/>
        <v/>
      </c>
      <c r="AK128" s="4">
        <f t="shared" si="96"/>
        <v>37.600000000000179</v>
      </c>
      <c r="AL128">
        <f t="shared" si="78"/>
        <v>1513.0000000000214</v>
      </c>
      <c r="AM128">
        <f t="shared" si="79"/>
        <v>10064.99999999992</v>
      </c>
      <c r="AN128">
        <f>IF($AK127+$AK$1&lt;=Data!$H$4-0.5,AVERAGE(AM126:AM130),AN127)</f>
        <v>10064.99999999992</v>
      </c>
      <c r="AO128">
        <f t="shared" si="80"/>
        <v>9348.9999999999782</v>
      </c>
      <c r="AP128">
        <f t="shared" si="97"/>
        <v>10433.466666666653</v>
      </c>
      <c r="AQ128">
        <f>IF($AK127+$AK$1&lt;=Data!$H$4-0.5,AVERAGE(AP126:AP130),AQ127)</f>
        <v>10433.466666666653</v>
      </c>
      <c r="AR128">
        <f>IF($AK127+$AK$1&lt;=Data!$H$4-0.5,SLOPE($AN124:$AN132,$AK124:$AK132),AR127)</f>
        <v>-438.73333333331709</v>
      </c>
      <c r="AS128">
        <f>IF($AK127+$AK$1&lt;=Data!$H$4-0.5,SLOPE($AQ124:$AQ132,$AK124:$AK132),AS127)</f>
        <v>-78.983333333327892</v>
      </c>
      <c r="AT128" t="str">
        <f>IF(AND($AK128&gt;=Results!$G$13,$AK128&lt;=Results!$G$14),Curves!AR128,"")</f>
        <v/>
      </c>
      <c r="AU128" t="str">
        <f>IF(AND($AK128&gt;=Results!$G$13,$AK128&lt;=Results!$G$14),Curves!AS128,"")</f>
        <v/>
      </c>
      <c r="AV128" t="str">
        <f t="shared" si="81"/>
        <v/>
      </c>
      <c r="AW128" t="str">
        <f>IF(AND($AK128&lt;=Results!$I$21,$AK128&gt;=Results!$I$20,$AK128&lt;=Results!$F$4),$AN128,"")</f>
        <v/>
      </c>
      <c r="AX128" t="str">
        <f t="shared" si="81"/>
        <v/>
      </c>
      <c r="AY128" t="str">
        <f>IF(AND($AK128&lt;=Results!$I$23,$AK128&gt;=Results!$I$22,$AK128&gt;=Results!$F$4),$AN128,"")</f>
        <v/>
      </c>
      <c r="AZ128">
        <f t="shared" si="54"/>
        <v>37.600000000000179</v>
      </c>
      <c r="BA128">
        <f>IF(AND($AK128&lt;=Results!$I$27,$AK128&gt;=Results!$I$26,$AK128&lt;=Results!$F$4),$AQ128,"")</f>
        <v>10433.466666666653</v>
      </c>
      <c r="BB128" t="str">
        <f t="shared" si="55"/>
        <v/>
      </c>
      <c r="BC128" t="str">
        <f>IF(AND($AK128&lt;=Results!$I$29,$AK128&gt;=Results!$I$28,$AK128&gt;=Results!$F$4),$AQ128,"")</f>
        <v/>
      </c>
      <c r="BD128">
        <f t="shared" si="56"/>
        <v>10709.634476990803</v>
      </c>
      <c r="BE128">
        <f t="shared" si="57"/>
        <v>2228.2724131959167</v>
      </c>
      <c r="BF128">
        <f t="shared" si="58"/>
        <v>10444.214626650646</v>
      </c>
      <c r="BG128">
        <f t="shared" si="59"/>
        <v>1331.6898764001153</v>
      </c>
      <c r="BH128">
        <f t="shared" si="60"/>
        <v>0</v>
      </c>
      <c r="BI128">
        <f t="shared" si="61"/>
        <v>0.92399399151432426</v>
      </c>
      <c r="BJ128">
        <f t="shared" si="62"/>
        <v>0.99882052885686834</v>
      </c>
      <c r="BK128">
        <f t="shared" si="63"/>
        <v>-4.0437386176002101E-2</v>
      </c>
      <c r="BL128">
        <f t="shared" si="64"/>
        <v>-8.2446983880378683E-4</v>
      </c>
      <c r="BM128">
        <f t="shared" si="82"/>
        <v>119.99999999999942</v>
      </c>
      <c r="BN128">
        <f t="shared" si="83"/>
        <v>-119.99999999999829</v>
      </c>
      <c r="BO128">
        <f>Data!$H$2*(1-BI128)*(1-BI128/Data!$H$3)*BM128</f>
        <v>1.3864591982219002E-6</v>
      </c>
      <c r="BP128">
        <f t="shared" si="65"/>
        <v>-110.87927898171837</v>
      </c>
      <c r="BQ128">
        <f>Data!$H$2*(1-BJ128)*(1-BJ128/Data!$H$3)*BN128</f>
        <v>-3.3387652259526878E-10</v>
      </c>
      <c r="BR128">
        <f t="shared" si="66"/>
        <v>119.8584634628225</v>
      </c>
      <c r="BS128">
        <f t="shared" si="67"/>
        <v>0</v>
      </c>
      <c r="BT128">
        <f t="shared" si="68"/>
        <v>0</v>
      </c>
      <c r="BU128">
        <f t="shared" si="69"/>
        <v>0</v>
      </c>
      <c r="BV128">
        <f t="shared" si="70"/>
        <v>0</v>
      </c>
      <c r="BW128">
        <f t="shared" si="84"/>
        <v>0</v>
      </c>
      <c r="BX128" t="str">
        <f t="shared" si="85"/>
        <v/>
      </c>
      <c r="BY128" s="66" t="str">
        <f t="shared" si="71"/>
        <v/>
      </c>
      <c r="BZ128" t="str">
        <f t="shared" si="72"/>
        <v/>
      </c>
      <c r="CA128" s="67" t="str">
        <f t="shared" si="73"/>
        <v/>
      </c>
    </row>
    <row r="129" spans="4:79" x14ac:dyDescent="0.25">
      <c r="D129" s="3" t="e">
        <f t="shared" si="98"/>
        <v>#DIV/0!</v>
      </c>
      <c r="E129" s="3" t="e">
        <f t="shared" si="98"/>
        <v>#DIV/0!</v>
      </c>
      <c r="F129" t="str">
        <f>IF(A129&gt;0,IF(F128=1,1,IF(B129=Data!$H$4,1,0)),"")</f>
        <v/>
      </c>
      <c r="O129" s="3"/>
      <c r="P129" s="3"/>
      <c r="Q129" t="str">
        <f t="shared" si="74"/>
        <v/>
      </c>
      <c r="R129" s="4" t="str">
        <f t="shared" si="75"/>
        <v/>
      </c>
      <c r="S129" t="e">
        <f t="shared" si="86"/>
        <v>#DIV/0!</v>
      </c>
      <c r="T129" t="e">
        <f t="shared" si="99"/>
        <v>#DIV/0!</v>
      </c>
      <c r="U129" s="4">
        <f t="shared" si="76"/>
        <v>0</v>
      </c>
      <c r="V129" t="e">
        <f t="shared" si="87"/>
        <v>#DIV/0!</v>
      </c>
      <c r="W129" t="e">
        <f t="shared" si="88"/>
        <v>#DIV/0!</v>
      </c>
      <c r="X129" t="e">
        <f t="shared" si="89"/>
        <v>#VALUE!</v>
      </c>
      <c r="Y129" t="e">
        <f t="shared" si="90"/>
        <v>#VALUE!</v>
      </c>
      <c r="Z129" t="e">
        <f t="shared" si="91"/>
        <v>#VALUE!</v>
      </c>
      <c r="AA129" t="e">
        <f t="shared" si="77"/>
        <v>#VALUE!</v>
      </c>
      <c r="AB129" t="str">
        <f t="shared" si="92"/>
        <v/>
      </c>
      <c r="AC129" t="str">
        <f t="shared" si="93"/>
        <v/>
      </c>
      <c r="AD129" t="str">
        <f t="shared" si="94"/>
        <v/>
      </c>
      <c r="AE129" t="str">
        <f t="shared" si="95"/>
        <v/>
      </c>
      <c r="AK129" s="4">
        <f t="shared" si="96"/>
        <v>37.70000000000018</v>
      </c>
      <c r="AL129">
        <f t="shared" si="78"/>
        <v>1525.0000000000216</v>
      </c>
      <c r="AM129">
        <f t="shared" si="79"/>
        <v>10020.49999999992</v>
      </c>
      <c r="AN129">
        <f>IF($AK128+$AK$1&lt;=Data!$H$4-0.5,AVERAGE(AM127:AM131),AN128)</f>
        <v>10020.49999999992</v>
      </c>
      <c r="AO129">
        <f t="shared" si="80"/>
        <v>9336.9999999999782</v>
      </c>
      <c r="AP129">
        <f t="shared" si="97"/>
        <v>10425.43333333332</v>
      </c>
      <c r="AQ129">
        <f>IF($AK128+$AK$1&lt;=Data!$H$4-0.5,AVERAGE(AP127:AP131),AQ128)</f>
        <v>10425.43333333332</v>
      </c>
      <c r="AR129">
        <f>IF($AK128+$AK$1&lt;=Data!$H$4-0.5,SLOPE($AN125:$AN133,$AK125:$AK133),AR128)</f>
        <v>-430.37777777775278</v>
      </c>
      <c r="AS129">
        <f>IF($AK128+$AK$1&lt;=Data!$H$4-0.5,SLOPE($AQ125:$AQ133,$AK125:$AK133),AS128)</f>
        <v>-77.183333333326516</v>
      </c>
      <c r="AT129" t="str">
        <f>IF(AND($AK129&gt;=Results!$G$13,$AK129&lt;=Results!$G$14),Curves!AR129,"")</f>
        <v/>
      </c>
      <c r="AU129" t="str">
        <f>IF(AND($AK129&gt;=Results!$G$13,$AK129&lt;=Results!$G$14),Curves!AS129,"")</f>
        <v/>
      </c>
      <c r="AV129" t="str">
        <f t="shared" si="81"/>
        <v/>
      </c>
      <c r="AW129" t="str">
        <f>IF(AND($AK129&lt;=Results!$I$21,$AK129&gt;=Results!$I$20,$AK129&lt;=Results!$F$4),$AN129,"")</f>
        <v/>
      </c>
      <c r="AX129" t="str">
        <f t="shared" si="81"/>
        <v/>
      </c>
      <c r="AY129" t="str">
        <f>IF(AND($AK129&lt;=Results!$I$23,$AK129&gt;=Results!$I$22,$AK129&gt;=Results!$F$4),$AN129,"")</f>
        <v/>
      </c>
      <c r="AZ129">
        <f t="shared" si="54"/>
        <v>37.70000000000018</v>
      </c>
      <c r="BA129">
        <f>IF(AND($AK129&lt;=Results!$I$27,$AK129&gt;=Results!$I$26,$AK129&lt;=Results!$F$4),$AQ129,"")</f>
        <v>10425.43333333332</v>
      </c>
      <c r="BB129" t="str">
        <f t="shared" si="55"/>
        <v/>
      </c>
      <c r="BC129" t="str">
        <f>IF(AND($AK129&lt;=Results!$I$29,$AK129&gt;=Results!$I$28,$AK129&gt;=Results!$F$4),$AQ129,"")</f>
        <v/>
      </c>
      <c r="BD129">
        <f t="shared" si="56"/>
        <v>10698.864282192882</v>
      </c>
      <c r="BE129">
        <f t="shared" si="57"/>
        <v>2224.9566239465958</v>
      </c>
      <c r="BF129">
        <f t="shared" si="58"/>
        <v>10436.924644417753</v>
      </c>
      <c r="BG129">
        <f t="shared" si="59"/>
        <v>1331.1390754405902</v>
      </c>
      <c r="BH129">
        <f t="shared" si="60"/>
        <v>0</v>
      </c>
      <c r="BI129">
        <f t="shared" si="61"/>
        <v>0.91994669878980573</v>
      </c>
      <c r="BJ129">
        <f t="shared" si="62"/>
        <v>0.99873802089919805</v>
      </c>
      <c r="BK129">
        <f t="shared" si="63"/>
        <v>-4.0508562192241283E-2</v>
      </c>
      <c r="BL129">
        <f t="shared" si="64"/>
        <v>-8.2569066940317776E-4</v>
      </c>
      <c r="BM129">
        <f t="shared" si="82"/>
        <v>120.00000000000055</v>
      </c>
      <c r="BN129">
        <f t="shared" si="83"/>
        <v>-119.99999999999829</v>
      </c>
      <c r="BO129">
        <f>Data!$H$2*(1-BI129)*(1-BI129/Data!$H$3)*BM129</f>
        <v>1.5380474483160291E-6</v>
      </c>
      <c r="BP129">
        <f t="shared" si="65"/>
        <v>-110.3936038547772</v>
      </c>
      <c r="BQ129">
        <f>Data!$H$2*(1-BJ129)*(1-BJ129/Data!$H$3)*BN129</f>
        <v>-3.8222190020660799E-10</v>
      </c>
      <c r="BR129">
        <f t="shared" si="66"/>
        <v>119.84856250790206</v>
      </c>
      <c r="BS129">
        <f t="shared" si="67"/>
        <v>0</v>
      </c>
      <c r="BT129">
        <f t="shared" si="68"/>
        <v>0</v>
      </c>
      <c r="BU129">
        <f t="shared" si="69"/>
        <v>0</v>
      </c>
      <c r="BV129">
        <f t="shared" si="70"/>
        <v>0</v>
      </c>
      <c r="BW129">
        <f t="shared" si="84"/>
        <v>0</v>
      </c>
      <c r="BX129" t="str">
        <f t="shared" si="85"/>
        <v/>
      </c>
      <c r="BY129" s="66" t="str">
        <f t="shared" si="71"/>
        <v/>
      </c>
      <c r="BZ129" t="str">
        <f t="shared" si="72"/>
        <v/>
      </c>
      <c r="CA129" s="67" t="str">
        <f t="shared" si="73"/>
        <v/>
      </c>
    </row>
    <row r="130" spans="4:79" x14ac:dyDescent="0.25">
      <c r="D130" s="3" t="e">
        <f t="shared" si="98"/>
        <v>#DIV/0!</v>
      </c>
      <c r="E130" s="3" t="e">
        <f t="shared" si="98"/>
        <v>#DIV/0!</v>
      </c>
      <c r="F130" t="str">
        <f>IF(A130&gt;0,IF(F129=1,1,IF(B130=Data!$H$4,1,0)),"")</f>
        <v/>
      </c>
      <c r="O130" s="3"/>
      <c r="P130" s="3"/>
      <c r="Q130" t="str">
        <f t="shared" si="74"/>
        <v/>
      </c>
      <c r="R130" s="4" t="str">
        <f t="shared" si="75"/>
        <v/>
      </c>
      <c r="S130" t="e">
        <f t="shared" si="86"/>
        <v>#DIV/0!</v>
      </c>
      <c r="T130" t="e">
        <f t="shared" si="99"/>
        <v>#DIV/0!</v>
      </c>
      <c r="U130" s="4">
        <f t="shared" si="76"/>
        <v>0</v>
      </c>
      <c r="V130" t="e">
        <f t="shared" si="87"/>
        <v>#DIV/0!</v>
      </c>
      <c r="W130" t="e">
        <f t="shared" si="88"/>
        <v>#DIV/0!</v>
      </c>
      <c r="X130" t="e">
        <f t="shared" si="89"/>
        <v>#VALUE!</v>
      </c>
      <c r="Y130" t="e">
        <f t="shared" si="90"/>
        <v>#VALUE!</v>
      </c>
      <c r="Z130" t="e">
        <f t="shared" si="91"/>
        <v>#VALUE!</v>
      </c>
      <c r="AA130" t="e">
        <f t="shared" si="77"/>
        <v>#VALUE!</v>
      </c>
      <c r="AB130" t="str">
        <f t="shared" si="92"/>
        <v/>
      </c>
      <c r="AC130" t="str">
        <f t="shared" si="93"/>
        <v/>
      </c>
      <c r="AD130" t="str">
        <f t="shared" si="94"/>
        <v/>
      </c>
      <c r="AE130" t="str">
        <f t="shared" si="95"/>
        <v/>
      </c>
      <c r="AK130" s="4">
        <f t="shared" si="96"/>
        <v>37.800000000000182</v>
      </c>
      <c r="AL130">
        <f t="shared" si="78"/>
        <v>1537.0000000000218</v>
      </c>
      <c r="AM130">
        <f t="shared" si="79"/>
        <v>9975.99999999992</v>
      </c>
      <c r="AN130">
        <f>IF($AK129+$AK$1&lt;=Data!$H$4-0.5,AVERAGE(AM128:AM132),AN129)</f>
        <v>9975.9999999999236</v>
      </c>
      <c r="AO130">
        <f t="shared" si="80"/>
        <v>9324.9999999999782</v>
      </c>
      <c r="AP130">
        <f t="shared" si="97"/>
        <v>10417.399999999985</v>
      </c>
      <c r="AQ130">
        <f>IF($AK129+$AK$1&lt;=Data!$H$4-0.5,AVERAGE(AP128:AP132),AQ129)</f>
        <v>10417.399999999989</v>
      </c>
      <c r="AR130">
        <f>IF($AK129+$AK$1&lt;=Data!$H$4-0.5,SLOPE($AN126:$AN134,$AK126:$AK134),AR129)</f>
        <v>-417.84444444441232</v>
      </c>
      <c r="AS130">
        <f>IF($AK129+$AK$1&lt;=Data!$H$4-0.5,SLOPE($AQ126:$AQ134,$AK126:$AK134),AS129)</f>
        <v>-74.483333333325248</v>
      </c>
      <c r="AT130" t="str">
        <f>IF(AND($AK130&gt;=Results!$G$13,$AK130&lt;=Results!$G$14),Curves!AR130,"")</f>
        <v/>
      </c>
      <c r="AU130" t="str">
        <f>IF(AND($AK130&gt;=Results!$G$13,$AK130&lt;=Results!$G$14),Curves!AS130,"")</f>
        <v/>
      </c>
      <c r="AV130" t="str">
        <f t="shared" si="81"/>
        <v/>
      </c>
      <c r="AW130" t="str">
        <f>IF(AND($AK130&lt;=Results!$I$21,$AK130&gt;=Results!$I$20,$AK130&lt;=Results!$F$4),$AN130,"")</f>
        <v/>
      </c>
      <c r="AX130" t="str">
        <f t="shared" si="81"/>
        <v/>
      </c>
      <c r="AY130" t="str">
        <f>IF(AND($AK130&lt;=Results!$I$23,$AK130&gt;=Results!$I$22,$AK130&gt;=Results!$F$4),$AN130,"")</f>
        <v/>
      </c>
      <c r="AZ130">
        <f t="shared" ref="AZ130:AZ193" si="104">IF(BA130="","",$AK130)</f>
        <v>37.800000000000182</v>
      </c>
      <c r="BA130">
        <f>IF(AND($AK130&lt;=Results!$I$27,$AK130&gt;=Results!$I$26,$AK130&lt;=Results!$F$4),$AQ130,"")</f>
        <v>10417.399999999989</v>
      </c>
      <c r="BB130" t="str">
        <f t="shared" ref="BB130:BB193" si="105">IF(BC130="","",$AK130)</f>
        <v/>
      </c>
      <c r="BC130" t="str">
        <f>IF(AND($AK130&lt;=Results!$I$29,$AK130&gt;=Results!$I$28,$AK130&gt;=Results!$F$4),$AQ130,"")</f>
        <v/>
      </c>
      <c r="BD130">
        <f t="shared" ref="BD130:BD193" si="106">IF($AV$513&gt;0,INTERCEPT($AW$2:$AW$512,$AV$2:$AV$512)+$AK130*SLOPE($AW$2:$AW$512,$AV$2:$AV$512),INTERCEPT($AN$2:$AN$30,$AK$2:$AK$30)+$AK130*SLOPE($AN$2:$AN$30,$AK$2:$AK$30))</f>
        <v>10688.094087394964</v>
      </c>
      <c r="BE130">
        <f t="shared" ref="BE130:BE193" si="107">IF($AX$513&gt;0,INTERCEPT($AY$2:$AY$512,$AX$2:$AX$512)+$AK130*SLOPE($AY$2:$AY$512,$AX$2:$AX$512),INTERCEPT($AN$460:$AN$512,$AK$460:$AK$512)+$AK130*SLOPE($AN$460:$AN$512,$AK$460:$AK$512))</f>
        <v>2221.6408346972748</v>
      </c>
      <c r="BF130">
        <f t="shared" ref="BF130:BF193" si="108">IF($AZ$513&gt;0,INTERCEPT($BA$2:$BA$512,$AZ$2:$AZ$512)+$AK130*SLOPE($BA$2:$BA$512,$AZ$2:$AZ$512),INTERCEPT($AQ$2:$AQ$30,$AK$2:$AK$30)+$AK130*SLOPE($AQ$2:$AQ$30,$AK$2:$AK$30))</f>
        <v>10429.634662184861</v>
      </c>
      <c r="BG130">
        <f t="shared" ref="BG130:BG193" si="109">IF($BB$513&gt;0,INTERCEPT($BC$2:$BC$512,$BB$2:$BB$512)+$AK130*SLOPE($BC$2:$BC$512,$BB$2:$BB$512),INTERCEPT($AQ$460:$AQ$512,$AK$460:$AK$512)+$AK130*SLOPE($AQ$460:$AQ$512,$AK$460:$AK$512))</f>
        <v>1330.5882744810651</v>
      </c>
      <c r="BH130">
        <f t="shared" ref="BH130:BH193" si="110">IF(OR(BJ130=0.5,AND(BJ130&gt;0.5,BJ131&lt;0.5)),$AK$1*(0.5-BJ130)/(BJ131-BJ130)+AK130,0)</f>
        <v>0</v>
      </c>
      <c r="BI130">
        <f t="shared" ref="BI130:BI193" si="111">1-(AN130-BD130)/(BE130-BD130)</f>
        <v>0.91589227907587589</v>
      </c>
      <c r="BJ130">
        <f t="shared" ref="BJ130:BJ193" si="112">1-(AQ130-BF130)/(BG130-BF130)</f>
        <v>0.9986553907229877</v>
      </c>
      <c r="BK130">
        <f t="shared" ref="BK130:BK193" si="113">SLOPE($BI129:$BI131,$AK129:$AK131)</f>
        <v>-3.9098269475014713E-2</v>
      </c>
      <c r="BL130">
        <f t="shared" ref="BL130:BL193" si="114">SLOPE($BJ129:$BJ131,$AK129:$AK131)</f>
        <v>-5.2995988303382942E-4</v>
      </c>
      <c r="BM130">
        <f t="shared" si="82"/>
        <v>120.00000000000055</v>
      </c>
      <c r="BN130">
        <f t="shared" si="83"/>
        <v>-119.99999999999829</v>
      </c>
      <c r="BO130">
        <f>Data!$H$2*(1-BI130)*(1-BI130/Data!$H$3)*BM130</f>
        <v>1.6977860925720905E-6</v>
      </c>
      <c r="BP130">
        <f t="shared" ref="BP130:BP193" si="115">-BI130*BM130</f>
        <v>-109.90707348910561</v>
      </c>
      <c r="BQ130">
        <f>Data!$H$2*(1-BJ130)*(1-BJ130/Data!$H$3)*BN130</f>
        <v>-4.3391378587860256E-10</v>
      </c>
      <c r="BR130">
        <f t="shared" ref="BR130:BR193" si="116">-BJ130*BN130</f>
        <v>119.83864688675682</v>
      </c>
      <c r="BS130">
        <f t="shared" ref="BS130:BS193" si="117">IF(AND(BI130&gt;0.4,BI130&lt;0.6),(BL130-BT130*BR130)/BQ130,0)</f>
        <v>0</v>
      </c>
      <c r="BT130">
        <f t="shared" ref="BT130:BT193" si="118">IF(AND(BI130&gt;0.4,BI130&lt;0.6),(BQ130*BK130-BO130*BL130)/(BQ130*BP130-BO130*BR130),0)</f>
        <v>0</v>
      </c>
      <c r="BU130">
        <f t="shared" ref="BU130:BU193" si="119">IF(AND(BI130&gt;0.4,BI130&lt;0.6),1/(273.15+AK130),0)</f>
        <v>0</v>
      </c>
      <c r="BV130">
        <f t="shared" ref="BV130:BV193" si="120">IF(BS130&lt;=0,0,LN(BS130))</f>
        <v>0</v>
      </c>
      <c r="BW130">
        <f t="shared" si="84"/>
        <v>0</v>
      </c>
      <c r="BX130" t="str">
        <f t="shared" si="85"/>
        <v/>
      </c>
      <c r="BY130" s="66" t="str">
        <f t="shared" ref="BY130:BY193" si="121">IF(BU130=0,"",BI130)</f>
        <v/>
      </c>
      <c r="BZ130" t="str">
        <f t="shared" ref="BZ130:BZ193" si="122">IF(BU130=0,"",BV130)</f>
        <v/>
      </c>
      <c r="CA130" s="67" t="str">
        <f t="shared" ref="CA130:CA193" si="123">IF(BU130=0,"",BW130)</f>
        <v/>
      </c>
    </row>
    <row r="131" spans="4:79" x14ac:dyDescent="0.25">
      <c r="D131" s="3" t="e">
        <f t="shared" si="98"/>
        <v>#DIV/0!</v>
      </c>
      <c r="E131" s="3" t="e">
        <f t="shared" si="98"/>
        <v>#DIV/0!</v>
      </c>
      <c r="F131" t="str">
        <f>IF(A131&gt;0,IF(F130=1,1,IF(B131=Data!$H$4,1,0)),"")</f>
        <v/>
      </c>
      <c r="O131" s="3"/>
      <c r="P131" s="3"/>
      <c r="Q131" t="str">
        <f t="shared" ref="Q131:Q194" si="124">IF(MAX(ABS(MIN($K:$K)),ABS(MAX($K:$K)))=ABS(K131),H131,"")</f>
        <v/>
      </c>
      <c r="R131" s="4" t="str">
        <f t="shared" ref="R131:R194" si="125">IF(H131=0,"",ROUND(H131,0))</f>
        <v/>
      </c>
      <c r="S131" t="e">
        <f t="shared" si="86"/>
        <v>#DIV/0!</v>
      </c>
      <c r="T131" t="e">
        <f t="shared" si="99"/>
        <v>#DIV/0!</v>
      </c>
      <c r="U131" s="4">
        <f t="shared" ref="U131:U194" si="126">ROUND(M131,0)</f>
        <v>0</v>
      </c>
      <c r="V131" t="e">
        <f t="shared" si="87"/>
        <v>#DIV/0!</v>
      </c>
      <c r="W131" t="e">
        <f t="shared" si="88"/>
        <v>#DIV/0!</v>
      </c>
      <c r="X131" t="e">
        <f t="shared" si="89"/>
        <v>#VALUE!</v>
      </c>
      <c r="Y131" t="e">
        <f t="shared" si="90"/>
        <v>#VALUE!</v>
      </c>
      <c r="Z131" t="e">
        <f t="shared" si="91"/>
        <v>#VALUE!</v>
      </c>
      <c r="AA131" t="e">
        <f t="shared" ref="AA131:AA194" si="127">X131</f>
        <v>#VALUE!</v>
      </c>
      <c r="AB131" t="str">
        <f t="shared" si="92"/>
        <v/>
      </c>
      <c r="AC131" t="str">
        <f t="shared" si="93"/>
        <v/>
      </c>
      <c r="AD131" t="str">
        <f t="shared" si="94"/>
        <v/>
      </c>
      <c r="AE131" t="str">
        <f t="shared" si="95"/>
        <v/>
      </c>
      <c r="AK131" s="4">
        <f t="shared" si="96"/>
        <v>37.900000000000183</v>
      </c>
      <c r="AL131">
        <f t="shared" ref="AL131:AL194" si="128">IF($AK131=ROUND($AK131,0),VLOOKUP($AK131,$AF$2:$AJ$112,2),($AK131-FLOOR($AK131,1))/(CEILING($AK131,1)-FLOOR($AK131,1))*(VLOOKUP(CEILING($AK131,1),$AF$2:$AJ$112,2,FALSE)-VLOOKUP(FLOOR($AK131,1),$AF$2:$AJ$112,2,FALSE))+VLOOKUP(FLOOR($AK131,1),$AF$2:$AJ$112,2,FALSE))</f>
        <v>1549.0000000000221</v>
      </c>
      <c r="AM131">
        <f t="shared" ref="AM131:AM194" si="129">IF($AK131=ROUND($AK131,0),VLOOKUP($AK131,$AF$2:$AJ$112,3),($AK131-FLOOR($AK131,1))/(CEILING($AK131,1)-FLOOR($AK131,1))*(VLOOKUP(CEILING($AK131,1),$AF$2:$AJ$112,3,FALSE)-VLOOKUP(FLOOR($AK131,1),$AF$2:$AJ$112,3,FALSE))+VLOOKUP(FLOOR($AK131,1),$AF$2:$AJ$112,3,FALSE))</f>
        <v>9931.4999999999181</v>
      </c>
      <c r="AN131">
        <f>IF($AK130+$AK$1&lt;=Data!$H$4-0.5,AVERAGE(AM129:AM133),AN130)</f>
        <v>9934.0066666665953</v>
      </c>
      <c r="AO131">
        <f t="shared" ref="AO131:AO194" si="130">IF($AK131=ROUND($AK131,0),VLOOKUP($AK131,$AF$2:$AJ$112,4),($AK131-FLOOR($AK131,1))/(CEILING($AK131,1)-FLOOR($AK131,1))*(VLOOKUP(CEILING($AK131,1),$AF$2:$AJ$112,4,FALSE)-VLOOKUP(FLOOR($AK131,1),$AF$2:$AJ$112,4,FALSE))+VLOOKUP(FLOOR($AK131,1),$AF$2:$AJ$112,4,FALSE))</f>
        <v>9312.9999999999782</v>
      </c>
      <c r="AP131">
        <f t="shared" si="97"/>
        <v>10409.366666666652</v>
      </c>
      <c r="AQ131">
        <f>IF($AK130+$AK$1&lt;=Data!$H$4-0.5,AVERAGE(AP129:AP133),AQ130)</f>
        <v>10409.906666666655</v>
      </c>
      <c r="AR131">
        <f>IF($AK130+$AK$1&lt;=Data!$H$4-0.5,SLOPE($AN127:$AN135,$AK127:$AK135),AR130)</f>
        <v>-401.13333333329751</v>
      </c>
      <c r="AS131">
        <f>IF($AK130+$AK$1&lt;=Data!$H$4-0.5,SLOPE($AQ127:$AQ135,$AK127:$AK135),AS130)</f>
        <v>-70.883333333324927</v>
      </c>
      <c r="AT131" t="str">
        <f>IF(AND($AK131&gt;=Results!$G$13,$AK131&lt;=Results!$G$14),Curves!AR131,"")</f>
        <v/>
      </c>
      <c r="AU131" t="str">
        <f>IF(AND($AK131&gt;=Results!$G$13,$AK131&lt;=Results!$G$14),Curves!AS131,"")</f>
        <v/>
      </c>
      <c r="AV131" t="str">
        <f t="shared" ref="AV131:AX194" si="131">IF(AW131="","",$AK131)</f>
        <v/>
      </c>
      <c r="AW131" t="str">
        <f>IF(AND($AK131&lt;=Results!$I$21,$AK131&gt;=Results!$I$20,$AK131&lt;=Results!$F$4),$AN131,"")</f>
        <v/>
      </c>
      <c r="AX131" t="str">
        <f t="shared" si="131"/>
        <v/>
      </c>
      <c r="AY131" t="str">
        <f>IF(AND($AK131&lt;=Results!$I$23,$AK131&gt;=Results!$I$22,$AK131&gt;=Results!$F$4),$AN131,"")</f>
        <v/>
      </c>
      <c r="AZ131">
        <f t="shared" si="104"/>
        <v>37.900000000000183</v>
      </c>
      <c r="BA131">
        <f>IF(AND($AK131&lt;=Results!$I$27,$AK131&gt;=Results!$I$26,$AK131&lt;=Results!$F$4),$AQ131,"")</f>
        <v>10409.906666666655</v>
      </c>
      <c r="BB131" t="str">
        <f t="shared" si="105"/>
        <v/>
      </c>
      <c r="BC131" t="str">
        <f>IF(AND($AK131&lt;=Results!$I$29,$AK131&gt;=Results!$I$28,$AK131&gt;=Results!$F$4),$AQ131,"")</f>
        <v/>
      </c>
      <c r="BD131">
        <f t="shared" si="106"/>
        <v>10677.323892597044</v>
      </c>
      <c r="BE131">
        <f t="shared" si="107"/>
        <v>2218.3250454479544</v>
      </c>
      <c r="BF131">
        <f t="shared" si="108"/>
        <v>10422.344679951966</v>
      </c>
      <c r="BG131">
        <f t="shared" si="109"/>
        <v>1330.0374735215403</v>
      </c>
      <c r="BH131">
        <f t="shared" si="110"/>
        <v>0</v>
      </c>
      <c r="BI131">
        <f t="shared" si="111"/>
        <v>0.91212704489480267</v>
      </c>
      <c r="BJ131">
        <f t="shared" si="112"/>
        <v>0.99863202892259129</v>
      </c>
      <c r="BK131">
        <f t="shared" si="113"/>
        <v>-3.6202588148276968E-2</v>
      </c>
      <c r="BL131">
        <f t="shared" si="114"/>
        <v>6.3383306075358783E-5</v>
      </c>
      <c r="BM131">
        <f t="shared" ref="BM131:BM194" si="132">SLOPE(AL130:AL132,AK130:AK132)</f>
        <v>120.00000000000055</v>
      </c>
      <c r="BN131">
        <f t="shared" ref="BN131:BN194" si="133">SLOPE(AO130:AO132,AK130:AK132)</f>
        <v>-119.99999999999829</v>
      </c>
      <c r="BO131">
        <f>Data!$H$2*(1-BI131)*(1-BI131/Data!$H$3)*BM131</f>
        <v>1.8531974973408145E-6</v>
      </c>
      <c r="BP131">
        <f t="shared" si="115"/>
        <v>-109.45524538737682</v>
      </c>
      <c r="BQ131">
        <f>Data!$H$2*(1-BJ131)*(1-BJ131/Data!$H$3)*BN131</f>
        <v>-4.4912276847041543E-10</v>
      </c>
      <c r="BR131">
        <f t="shared" si="116"/>
        <v>119.83584347070925</v>
      </c>
      <c r="BS131">
        <f t="shared" si="117"/>
        <v>0</v>
      </c>
      <c r="BT131">
        <f t="shared" si="118"/>
        <v>0</v>
      </c>
      <c r="BU131">
        <f t="shared" si="119"/>
        <v>0</v>
      </c>
      <c r="BV131">
        <f t="shared" si="120"/>
        <v>0</v>
      </c>
      <c r="BW131">
        <f t="shared" ref="BW131:BW194" si="134">IF(BT131&lt;=0,0,LN(BT131))</f>
        <v>0</v>
      </c>
      <c r="BX131" t="str">
        <f t="shared" ref="BX131:BX194" si="135">IF(BU131=0,"",BU131)</f>
        <v/>
      </c>
      <c r="BY131" s="66" t="str">
        <f t="shared" si="121"/>
        <v/>
      </c>
      <c r="BZ131" t="str">
        <f t="shared" si="122"/>
        <v/>
      </c>
      <c r="CA131" s="67" t="str">
        <f t="shared" si="123"/>
        <v/>
      </c>
    </row>
    <row r="132" spans="4:79" x14ac:dyDescent="0.25">
      <c r="D132" s="3" t="e">
        <f t="shared" si="98"/>
        <v>#DIV/0!</v>
      </c>
      <c r="E132" s="3" t="e">
        <f t="shared" si="98"/>
        <v>#DIV/0!</v>
      </c>
      <c r="F132" t="str">
        <f>IF(A132&gt;0,IF(F131=1,1,IF(B132=Data!$H$4,1,0)),"")</f>
        <v/>
      </c>
      <c r="O132" s="3"/>
      <c r="P132" s="3"/>
      <c r="Q132" t="str">
        <f t="shared" si="124"/>
        <v/>
      </c>
      <c r="R132" s="4" t="str">
        <f t="shared" si="125"/>
        <v/>
      </c>
      <c r="S132" t="e">
        <f t="shared" ref="S132:S195" si="136">INTERCEPT($G131:$G133,$H131:$H133)+SLOPE($G131:$G133,$H131:$H133)*$R132</f>
        <v>#DIV/0!</v>
      </c>
      <c r="T132" t="e">
        <f t="shared" si="99"/>
        <v>#DIV/0!</v>
      </c>
      <c r="U132" s="4">
        <f t="shared" si="126"/>
        <v>0</v>
      </c>
      <c r="V132" t="e">
        <f t="shared" ref="V132:V195" si="137">INTERCEPT($L131:$L133,$M131:$M133)+SLOPE($L131:$L133,$M131:$M133)*$U132</f>
        <v>#DIV/0!</v>
      </c>
      <c r="W132" t="e">
        <f t="shared" ref="W132:W195" si="138">INTERCEPT($N131:$N133,$M131:$M133)+SLOPE($N131:$N133,$M131:$M133)*$U132</f>
        <v>#DIV/0!</v>
      </c>
      <c r="X132" t="e">
        <f t="shared" ref="X132:X195" si="139">IF($R132-$R131&gt;1,$R131+1,"")</f>
        <v>#VALUE!</v>
      </c>
      <c r="Y132" t="e">
        <f t="shared" ref="Y132:Y195" si="140">IF($R132-$R131&gt;2,$R131+2,"")</f>
        <v>#VALUE!</v>
      </c>
      <c r="Z132" t="e">
        <f t="shared" ref="Z132:Z195" si="141">IF($R132-$R131&gt;3,$R131+3,"")</f>
        <v>#VALUE!</v>
      </c>
      <c r="AA132" t="e">
        <f t="shared" si="127"/>
        <v>#VALUE!</v>
      </c>
      <c r="AB132" t="str">
        <f t="shared" ref="AB132:AB195" si="142">IF($U132-$U131&gt;1,$U131+1,"")</f>
        <v/>
      </c>
      <c r="AC132" t="str">
        <f t="shared" ref="AC132:AC195" si="143">IF($U132-$U131&gt;2,$U131+2,"")</f>
        <v/>
      </c>
      <c r="AD132" t="str">
        <f t="shared" ref="AD132:AD195" si="144">IF($U132-$U131&gt;3,$U131+3,"")</f>
        <v/>
      </c>
      <c r="AE132" t="str">
        <f t="shared" ref="AE132:AE195" si="145">AB132</f>
        <v/>
      </c>
      <c r="AK132" s="4">
        <f t="shared" ref="AK132:AK195" si="146">IF($AK131+$AK$1&lt;=MAX($AF$2:$AF$113),AK131+$AK$1,AK131)</f>
        <v>38.000000000000185</v>
      </c>
      <c r="AL132">
        <f t="shared" si="128"/>
        <v>1561.0000000000223</v>
      </c>
      <c r="AM132">
        <f t="shared" si="129"/>
        <v>9886.9999999999418</v>
      </c>
      <c r="AN132">
        <f>IF($AK131+$AK$1&lt;=Data!$H$4-0.5,AVERAGE(AM130:AM134),AN131)</f>
        <v>9894.5199999999331</v>
      </c>
      <c r="AO132">
        <f t="shared" si="130"/>
        <v>9300.9999999999782</v>
      </c>
      <c r="AP132">
        <f t="shared" ref="AP132:AP195" si="147">IF($AK132=ROUND($AK131,0),VLOOKUP($AK131,$AF$2:$AJ$112,5),($AK132-FLOOR($AK132,1))/(CEILING($AK132,1)-FLOOR($AK132,1))*(VLOOKUP(CEILING($AK132,1),$AF$2:$AJ$112,5,FALSE)-VLOOKUP(FLOOR($AK132,1),$AF$2:$AJ$112,5,FALSE))+VLOOKUP(FLOOR($AK132,1),$AF$2:$AJ$112,5,FALSE))</f>
        <v>10401.333333333325</v>
      </c>
      <c r="AQ132">
        <f>IF($AK131+$AK$1&lt;=Data!$H$4-0.5,AVERAGE(AP130:AP134),AQ131)</f>
        <v>10402.953333333322</v>
      </c>
      <c r="AR132">
        <f>IF($AK131+$AK$1&lt;=Data!$H$4-0.5,SLOPE($AN128:$AN136,$AK128:$AK136),AR131)</f>
        <v>-382.33333333329716</v>
      </c>
      <c r="AS132">
        <f>IF($AK131+$AK$1&lt;=Data!$H$4-0.5,SLOPE($AQ128:$AQ136,$AK128:$AK136),AS131)</f>
        <v>-66.833333333326905</v>
      </c>
      <c r="AT132" t="str">
        <f>IF(AND($AK132&gt;=Results!$G$13,$AK132&lt;=Results!$G$14),Curves!AR132,"")</f>
        <v/>
      </c>
      <c r="AU132" t="str">
        <f>IF(AND($AK132&gt;=Results!$G$13,$AK132&lt;=Results!$G$14),Curves!AS132,"")</f>
        <v/>
      </c>
      <c r="AV132" t="str">
        <f t="shared" si="131"/>
        <v/>
      </c>
      <c r="AW132" t="str">
        <f>IF(AND($AK132&lt;=Results!$I$21,$AK132&gt;=Results!$I$20,$AK132&lt;=Results!$F$4),$AN132,"")</f>
        <v/>
      </c>
      <c r="AX132" t="str">
        <f t="shared" si="131"/>
        <v/>
      </c>
      <c r="AY132" t="str">
        <f>IF(AND($AK132&lt;=Results!$I$23,$AK132&gt;=Results!$I$22,$AK132&gt;=Results!$F$4),$AN132,"")</f>
        <v/>
      </c>
      <c r="AZ132">
        <f t="shared" si="104"/>
        <v>38.000000000000185</v>
      </c>
      <c r="BA132">
        <f>IF(AND($AK132&lt;=Results!$I$27,$AK132&gt;=Results!$I$26,$AK132&lt;=Results!$F$4),$AQ132,"")</f>
        <v>10402.953333333322</v>
      </c>
      <c r="BB132" t="str">
        <f t="shared" si="105"/>
        <v/>
      </c>
      <c r="BC132" t="str">
        <f>IF(AND($AK132&lt;=Results!$I$29,$AK132&gt;=Results!$I$28,$AK132&gt;=Results!$F$4),$AQ132,"")</f>
        <v/>
      </c>
      <c r="BD132">
        <f t="shared" si="106"/>
        <v>10666.553697799125</v>
      </c>
      <c r="BE132">
        <f t="shared" si="107"/>
        <v>2215.0092561986335</v>
      </c>
      <c r="BF132">
        <f t="shared" si="108"/>
        <v>10415.054697719073</v>
      </c>
      <c r="BG132">
        <f t="shared" si="109"/>
        <v>1329.4866725620152</v>
      </c>
      <c r="BH132">
        <f t="shared" si="110"/>
        <v>0</v>
      </c>
      <c r="BI132">
        <f t="shared" si="111"/>
        <v>0.9086517614462204</v>
      </c>
      <c r="BJ132">
        <f t="shared" si="112"/>
        <v>0.99866806738420277</v>
      </c>
      <c r="BK132">
        <f t="shared" si="113"/>
        <v>-3.3299241314893112E-2</v>
      </c>
      <c r="BL132">
        <f t="shared" si="114"/>
        <v>6.5804731509576831E-4</v>
      </c>
      <c r="BM132">
        <f t="shared" si="132"/>
        <v>119.99999999999945</v>
      </c>
      <c r="BN132">
        <f t="shared" si="133"/>
        <v>-119.99999999999829</v>
      </c>
      <c r="BO132">
        <f>Data!$H$2*(1-BI132)*(1-BI132/Data!$H$3)*BM132</f>
        <v>2.0026801648507649E-6</v>
      </c>
      <c r="BP132">
        <f t="shared" si="115"/>
        <v>-109.03821137354595</v>
      </c>
      <c r="BQ132">
        <f>Data!$H$2*(1-BJ132)*(1-BJ132/Data!$H$3)*BN132</f>
        <v>-4.2577067832586016E-10</v>
      </c>
      <c r="BR132">
        <f t="shared" si="116"/>
        <v>119.84016808610264</v>
      </c>
      <c r="BS132">
        <f t="shared" si="117"/>
        <v>0</v>
      </c>
      <c r="BT132">
        <f t="shared" si="118"/>
        <v>0</v>
      </c>
      <c r="BU132">
        <f t="shared" si="119"/>
        <v>0</v>
      </c>
      <c r="BV132">
        <f t="shared" si="120"/>
        <v>0</v>
      </c>
      <c r="BW132">
        <f t="shared" si="134"/>
        <v>0</v>
      </c>
      <c r="BX132" t="str">
        <f t="shared" si="135"/>
        <v/>
      </c>
      <c r="BY132" s="66" t="str">
        <f t="shared" si="121"/>
        <v/>
      </c>
      <c r="BZ132" t="str">
        <f t="shared" si="122"/>
        <v/>
      </c>
      <c r="CA132" s="67" t="str">
        <f t="shared" si="123"/>
        <v/>
      </c>
    </row>
    <row r="133" spans="4:79" x14ac:dyDescent="0.25">
      <c r="D133" s="3" t="e">
        <f t="shared" ref="D133:E196" si="148">SLOPE(B131:B135,$A131:$A135)</f>
        <v>#DIV/0!</v>
      </c>
      <c r="E133" s="3" t="e">
        <f t="shared" si="148"/>
        <v>#DIV/0!</v>
      </c>
      <c r="F133" t="str">
        <f>IF(A133&gt;0,IF(F132=1,1,IF(B133=Data!$H$4,1,0)),"")</f>
        <v/>
      </c>
      <c r="O133" s="3"/>
      <c r="P133" s="3"/>
      <c r="Q133" t="str">
        <f t="shared" si="124"/>
        <v/>
      </c>
      <c r="R133" s="4" t="str">
        <f t="shared" si="125"/>
        <v/>
      </c>
      <c r="S133" t="e">
        <f t="shared" si="136"/>
        <v>#DIV/0!</v>
      </c>
      <c r="T133" t="e">
        <f t="shared" ref="T133:T196" si="149">INTERCEPT($I132:$I134,$H132:$H134)+SLOPE($I132:$I134,$H132:$H134)*$R133</f>
        <v>#DIV/0!</v>
      </c>
      <c r="U133" s="4">
        <f t="shared" si="126"/>
        <v>0</v>
      </c>
      <c r="V133" t="e">
        <f t="shared" si="137"/>
        <v>#DIV/0!</v>
      </c>
      <c r="W133" t="e">
        <f t="shared" si="138"/>
        <v>#DIV/0!</v>
      </c>
      <c r="X133" t="e">
        <f t="shared" si="139"/>
        <v>#VALUE!</v>
      </c>
      <c r="Y133" t="e">
        <f t="shared" si="140"/>
        <v>#VALUE!</v>
      </c>
      <c r="Z133" t="e">
        <f t="shared" si="141"/>
        <v>#VALUE!</v>
      </c>
      <c r="AA133" t="e">
        <f t="shared" si="127"/>
        <v>#VALUE!</v>
      </c>
      <c r="AB133" t="str">
        <f t="shared" si="142"/>
        <v/>
      </c>
      <c r="AC133" t="str">
        <f t="shared" si="143"/>
        <v/>
      </c>
      <c r="AD133" t="str">
        <f t="shared" si="144"/>
        <v/>
      </c>
      <c r="AE133" t="str">
        <f t="shared" si="145"/>
        <v/>
      </c>
      <c r="AK133" s="4">
        <f t="shared" si="146"/>
        <v>38.100000000000186</v>
      </c>
      <c r="AL133">
        <f t="shared" si="128"/>
        <v>1573.0000000000223</v>
      </c>
      <c r="AM133">
        <f t="shared" si="129"/>
        <v>9855.0333333332746</v>
      </c>
      <c r="AN133">
        <f>IF($AK132+$AK$1&lt;=Data!$H$4-0.5,AVERAGE(AM131:AM135),AN132)</f>
        <v>9857.5399999999372</v>
      </c>
      <c r="AO133">
        <f t="shared" si="130"/>
        <v>9288.9999999999782</v>
      </c>
      <c r="AP133">
        <f t="shared" si="147"/>
        <v>10395.999999999991</v>
      </c>
      <c r="AQ133">
        <f>IF($AK132+$AK$1&lt;=Data!$H$4-0.5,AVERAGE(AP131:AP135),AQ132)</f>
        <v>10396.53999999999</v>
      </c>
      <c r="AR133">
        <f>IF($AK132+$AK$1&lt;=Data!$H$4-0.5,SLOPE($AN129:$AN137,$AK129:$AK137),AR132)</f>
        <v>-363.53333333330193</v>
      </c>
      <c r="AS133">
        <f>IF($AK132+$AK$1&lt;=Data!$H$4-0.5,SLOPE($AQ129:$AQ137,$AK129:$AK137),AS132)</f>
        <v>-62.783333333328315</v>
      </c>
      <c r="AT133" t="str">
        <f>IF(AND($AK133&gt;=Results!$G$13,$AK133&lt;=Results!$G$14),Curves!AR133,"")</f>
        <v/>
      </c>
      <c r="AU133" t="str">
        <f>IF(AND($AK133&gt;=Results!$G$13,$AK133&lt;=Results!$G$14),Curves!AS133,"")</f>
        <v/>
      </c>
      <c r="AV133" t="str">
        <f t="shared" si="131"/>
        <v/>
      </c>
      <c r="AW133" t="str">
        <f>IF(AND($AK133&lt;=Results!$I$21,$AK133&gt;=Results!$I$20,$AK133&lt;=Results!$F$4),$AN133,"")</f>
        <v/>
      </c>
      <c r="AX133" t="str">
        <f t="shared" si="131"/>
        <v/>
      </c>
      <c r="AY133" t="str">
        <f>IF(AND($AK133&lt;=Results!$I$23,$AK133&gt;=Results!$I$22,$AK133&gt;=Results!$F$4),$AN133,"")</f>
        <v/>
      </c>
      <c r="AZ133">
        <f t="shared" si="104"/>
        <v>38.100000000000186</v>
      </c>
      <c r="BA133">
        <f>IF(AND($AK133&lt;=Results!$I$27,$AK133&gt;=Results!$I$26,$AK133&lt;=Results!$F$4),$AQ133,"")</f>
        <v>10396.53999999999</v>
      </c>
      <c r="BB133" t="str">
        <f t="shared" si="105"/>
        <v/>
      </c>
      <c r="BC133" t="str">
        <f>IF(AND($AK133&lt;=Results!$I$29,$AK133&gt;=Results!$I$28,$AK133&gt;=Results!$F$4),$AQ133,"")</f>
        <v/>
      </c>
      <c r="BD133">
        <f t="shared" si="106"/>
        <v>10655.783503001205</v>
      </c>
      <c r="BE133">
        <f t="shared" si="107"/>
        <v>2211.693466949313</v>
      </c>
      <c r="BF133">
        <f t="shared" si="108"/>
        <v>10407.764715486181</v>
      </c>
      <c r="BG133">
        <f t="shared" si="109"/>
        <v>1328.9358716024904</v>
      </c>
      <c r="BH133">
        <f t="shared" si="110"/>
        <v>0</v>
      </c>
      <c r="BI133">
        <f t="shared" si="111"/>
        <v>0.90546719663182396</v>
      </c>
      <c r="BJ133">
        <f t="shared" si="112"/>
        <v>0.99876363838561044</v>
      </c>
      <c r="BK133">
        <f t="shared" si="113"/>
        <v>-3.0388201894577926E-2</v>
      </c>
      <c r="BL133">
        <f t="shared" si="114"/>
        <v>1.2540360672447059E-3</v>
      </c>
      <c r="BM133">
        <f t="shared" si="132"/>
        <v>119.99999999999942</v>
      </c>
      <c r="BN133">
        <f t="shared" si="133"/>
        <v>-119.99999999999829</v>
      </c>
      <c r="BO133">
        <f>Data!$H$2*(1-BI133)*(1-BI133/Data!$H$3)*BM133</f>
        <v>2.1447482190350863E-6</v>
      </c>
      <c r="BP133">
        <f t="shared" si="115"/>
        <v>-108.65606359581835</v>
      </c>
      <c r="BQ133">
        <f>Data!$H$2*(1-BJ133)*(1-BJ133/Data!$H$3)*BN133</f>
        <v>-3.66861609968624E-10</v>
      </c>
      <c r="BR133">
        <f t="shared" si="116"/>
        <v>119.85163660627155</v>
      </c>
      <c r="BS133">
        <f t="shared" si="117"/>
        <v>0</v>
      </c>
      <c r="BT133">
        <f t="shared" si="118"/>
        <v>0</v>
      </c>
      <c r="BU133">
        <f t="shared" si="119"/>
        <v>0</v>
      </c>
      <c r="BV133">
        <f t="shared" si="120"/>
        <v>0</v>
      </c>
      <c r="BW133">
        <f t="shared" si="134"/>
        <v>0</v>
      </c>
      <c r="BX133" t="str">
        <f t="shared" si="135"/>
        <v/>
      </c>
      <c r="BY133" s="66" t="str">
        <f t="shared" si="121"/>
        <v/>
      </c>
      <c r="BZ133" t="str">
        <f t="shared" si="122"/>
        <v/>
      </c>
      <c r="CA133" s="67" t="str">
        <f t="shared" si="123"/>
        <v/>
      </c>
    </row>
    <row r="134" spans="4:79" x14ac:dyDescent="0.25">
      <c r="D134" s="3" t="e">
        <f t="shared" si="148"/>
        <v>#DIV/0!</v>
      </c>
      <c r="E134" s="3" t="e">
        <f t="shared" si="148"/>
        <v>#DIV/0!</v>
      </c>
      <c r="F134" t="str">
        <f>IF(A134&gt;0,IF(F133=1,1,IF(B134=Data!$H$4,1,0)),"")</f>
        <v/>
      </c>
      <c r="O134" s="3"/>
      <c r="P134" s="3"/>
      <c r="Q134" t="str">
        <f t="shared" si="124"/>
        <v/>
      </c>
      <c r="R134" s="4" t="str">
        <f t="shared" si="125"/>
        <v/>
      </c>
      <c r="S134" t="e">
        <f t="shared" si="136"/>
        <v>#DIV/0!</v>
      </c>
      <c r="T134" t="e">
        <f t="shared" si="149"/>
        <v>#DIV/0!</v>
      </c>
      <c r="U134" s="4">
        <f t="shared" si="126"/>
        <v>0</v>
      </c>
      <c r="V134" t="e">
        <f t="shared" si="137"/>
        <v>#DIV/0!</v>
      </c>
      <c r="W134" t="e">
        <f t="shared" si="138"/>
        <v>#DIV/0!</v>
      </c>
      <c r="X134" t="e">
        <f t="shared" si="139"/>
        <v>#VALUE!</v>
      </c>
      <c r="Y134" t="e">
        <f t="shared" si="140"/>
        <v>#VALUE!</v>
      </c>
      <c r="Z134" t="e">
        <f t="shared" si="141"/>
        <v>#VALUE!</v>
      </c>
      <c r="AA134" t="e">
        <f t="shared" si="127"/>
        <v>#VALUE!</v>
      </c>
      <c r="AB134" t="str">
        <f t="shared" si="142"/>
        <v/>
      </c>
      <c r="AC134" t="str">
        <f t="shared" si="143"/>
        <v/>
      </c>
      <c r="AD134" t="str">
        <f t="shared" si="144"/>
        <v/>
      </c>
      <c r="AE134" t="str">
        <f t="shared" si="145"/>
        <v/>
      </c>
      <c r="AK134" s="4">
        <f t="shared" si="146"/>
        <v>38.200000000000188</v>
      </c>
      <c r="AL134">
        <f t="shared" si="128"/>
        <v>1585.0000000000225</v>
      </c>
      <c r="AM134">
        <f t="shared" si="129"/>
        <v>9823.0666666666075</v>
      </c>
      <c r="AN134">
        <f>IF($AK133+$AK$1&lt;=Data!$H$4-0.5,AVERAGE(AM132:AM136),AN133)</f>
        <v>9823.0666666666075</v>
      </c>
      <c r="AO134">
        <f t="shared" si="130"/>
        <v>9276.9999999999782</v>
      </c>
      <c r="AP134">
        <f t="shared" si="147"/>
        <v>10390.666666666657</v>
      </c>
      <c r="AQ134">
        <f>IF($AK133+$AK$1&lt;=Data!$H$4-0.5,AVERAGE(AP132:AP136),AQ133)</f>
        <v>10390.666666666657</v>
      </c>
      <c r="AR134">
        <f>IF($AK133+$AK$1&lt;=Data!$H$4-0.5,SLOPE($AN130:$AN138,$AK130:$AK138),AR133)</f>
        <v>-346.82222222219895</v>
      </c>
      <c r="AS134">
        <f>IF($AK133+$AK$1&lt;=Data!$H$4-0.5,SLOPE($AQ130:$AQ138,$AK130:$AK138),AS133)</f>
        <v>-59.183333333330424</v>
      </c>
      <c r="AT134" t="str">
        <f>IF(AND($AK134&gt;=Results!$G$13,$AK134&lt;=Results!$G$14),Curves!AR134,"")</f>
        <v/>
      </c>
      <c r="AU134" t="str">
        <f>IF(AND($AK134&gt;=Results!$G$13,$AK134&lt;=Results!$G$14),Curves!AS134,"")</f>
        <v/>
      </c>
      <c r="AV134" t="str">
        <f t="shared" si="131"/>
        <v/>
      </c>
      <c r="AW134" t="str">
        <f>IF(AND($AK134&lt;=Results!$I$21,$AK134&gt;=Results!$I$20,$AK134&lt;=Results!$F$4),$AN134,"")</f>
        <v/>
      </c>
      <c r="AX134" t="str">
        <f t="shared" si="131"/>
        <v/>
      </c>
      <c r="AY134" t="str">
        <f>IF(AND($AK134&lt;=Results!$I$23,$AK134&gt;=Results!$I$22,$AK134&gt;=Results!$F$4),$AN134,"")</f>
        <v/>
      </c>
      <c r="AZ134">
        <f t="shared" si="104"/>
        <v>38.200000000000188</v>
      </c>
      <c r="BA134">
        <f>IF(AND($AK134&lt;=Results!$I$27,$AK134&gt;=Results!$I$26,$AK134&lt;=Results!$F$4),$AQ134,"")</f>
        <v>10390.666666666657</v>
      </c>
      <c r="BB134" t="str">
        <f t="shared" si="105"/>
        <v/>
      </c>
      <c r="BC134" t="str">
        <f>IF(AND($AK134&lt;=Results!$I$29,$AK134&gt;=Results!$I$28,$AK134&gt;=Results!$F$4),$AQ134,"")</f>
        <v/>
      </c>
      <c r="BD134">
        <f t="shared" si="106"/>
        <v>10645.013308203284</v>
      </c>
      <c r="BE134">
        <f t="shared" si="107"/>
        <v>2208.3776776999921</v>
      </c>
      <c r="BF134">
        <f t="shared" si="108"/>
        <v>10400.474733253286</v>
      </c>
      <c r="BG134">
        <f t="shared" si="109"/>
        <v>1328.3850706429653</v>
      </c>
      <c r="BH134">
        <f t="shared" si="110"/>
        <v>0</v>
      </c>
      <c r="BI134">
        <f t="shared" si="111"/>
        <v>0.90257412106730472</v>
      </c>
      <c r="BJ134">
        <f t="shared" si="112"/>
        <v>0.99891887459765172</v>
      </c>
      <c r="BK134">
        <f t="shared" si="113"/>
        <v>-2.7469442687365227E-2</v>
      </c>
      <c r="BL134">
        <f t="shared" si="114"/>
        <v>1.8513535003167061E-3</v>
      </c>
      <c r="BM134">
        <f t="shared" si="132"/>
        <v>120.00000000000055</v>
      </c>
      <c r="BN134">
        <f t="shared" si="133"/>
        <v>-119.99999999999829</v>
      </c>
      <c r="BO134">
        <f>Data!$H$2*(1-BI134)*(1-BI134/Data!$H$3)*BM134</f>
        <v>2.2780324525939781E-6</v>
      </c>
      <c r="BP134">
        <f t="shared" si="115"/>
        <v>-108.30889452807706</v>
      </c>
      <c r="BQ134">
        <f>Data!$H$2*(1-BJ134)*(1-BJ134/Data!$H$3)*BN134</f>
        <v>-2.8051971254465229E-10</v>
      </c>
      <c r="BR134">
        <f t="shared" si="116"/>
        <v>119.87026495171651</v>
      </c>
      <c r="BS134">
        <f t="shared" si="117"/>
        <v>0</v>
      </c>
      <c r="BT134">
        <f t="shared" si="118"/>
        <v>0</v>
      </c>
      <c r="BU134">
        <f t="shared" si="119"/>
        <v>0</v>
      </c>
      <c r="BV134">
        <f t="shared" si="120"/>
        <v>0</v>
      </c>
      <c r="BW134">
        <f t="shared" si="134"/>
        <v>0</v>
      </c>
      <c r="BX134" t="str">
        <f t="shared" si="135"/>
        <v/>
      </c>
      <c r="BY134" s="66" t="str">
        <f t="shared" si="121"/>
        <v/>
      </c>
      <c r="BZ134" t="str">
        <f t="shared" si="122"/>
        <v/>
      </c>
      <c r="CA134" s="67" t="str">
        <f t="shared" si="123"/>
        <v/>
      </c>
    </row>
    <row r="135" spans="4:79" x14ac:dyDescent="0.25">
      <c r="D135" s="3" t="e">
        <f t="shared" si="148"/>
        <v>#DIV/0!</v>
      </c>
      <c r="E135" s="3" t="e">
        <f t="shared" si="148"/>
        <v>#DIV/0!</v>
      </c>
      <c r="F135" t="str">
        <f>IF(A135&gt;0,IF(F134=1,1,IF(B135=Data!$H$4,1,0)),"")</f>
        <v/>
      </c>
      <c r="O135" s="3"/>
      <c r="P135" s="3"/>
      <c r="Q135" t="str">
        <f t="shared" si="124"/>
        <v/>
      </c>
      <c r="R135" s="4" t="str">
        <f t="shared" si="125"/>
        <v/>
      </c>
      <c r="S135" t="e">
        <f t="shared" si="136"/>
        <v>#DIV/0!</v>
      </c>
      <c r="T135" t="e">
        <f t="shared" si="149"/>
        <v>#DIV/0!</v>
      </c>
      <c r="U135" s="4">
        <f t="shared" si="126"/>
        <v>0</v>
      </c>
      <c r="V135" t="e">
        <f t="shared" si="137"/>
        <v>#DIV/0!</v>
      </c>
      <c r="W135" t="e">
        <f t="shared" si="138"/>
        <v>#DIV/0!</v>
      </c>
      <c r="X135" t="e">
        <f t="shared" si="139"/>
        <v>#VALUE!</v>
      </c>
      <c r="Y135" t="e">
        <f t="shared" si="140"/>
        <v>#VALUE!</v>
      </c>
      <c r="Z135" t="e">
        <f t="shared" si="141"/>
        <v>#VALUE!</v>
      </c>
      <c r="AA135" t="e">
        <f t="shared" si="127"/>
        <v>#VALUE!</v>
      </c>
      <c r="AB135" t="str">
        <f t="shared" si="142"/>
        <v/>
      </c>
      <c r="AC135" t="str">
        <f t="shared" si="143"/>
        <v/>
      </c>
      <c r="AD135" t="str">
        <f t="shared" si="144"/>
        <v/>
      </c>
      <c r="AE135" t="str">
        <f t="shared" si="145"/>
        <v/>
      </c>
      <c r="AK135" s="4">
        <f t="shared" si="146"/>
        <v>38.300000000000189</v>
      </c>
      <c r="AL135">
        <f t="shared" si="128"/>
        <v>1597.0000000000227</v>
      </c>
      <c r="AM135">
        <f t="shared" si="129"/>
        <v>9791.0999999999403</v>
      </c>
      <c r="AN135">
        <f>IF($AK134+$AK$1&lt;=Data!$H$4-0.5,AVERAGE(AM133:AM137),AN134)</f>
        <v>9791.0999999999403</v>
      </c>
      <c r="AO135">
        <f t="shared" si="130"/>
        <v>9264.9999999999782</v>
      </c>
      <c r="AP135">
        <f t="shared" si="147"/>
        <v>10385.333333333323</v>
      </c>
      <c r="AQ135">
        <f>IF($AK134+$AK$1&lt;=Data!$H$4-0.5,AVERAGE(AP133:AP137),AQ134)</f>
        <v>10385.333333333325</v>
      </c>
      <c r="AR135">
        <f>IF($AK134+$AK$1&lt;=Data!$H$4-0.5,SLOPE($AN131:$AN139,$AK131:$AK139),AR134)</f>
        <v>-334.28888888887417</v>
      </c>
      <c r="AS135">
        <f>IF($AK134+$AK$1&lt;=Data!$H$4-0.5,SLOPE($AQ131:$AQ139,$AK131:$AK139),AS134)</f>
        <v>-56.483333333331558</v>
      </c>
      <c r="AT135" t="str">
        <f>IF(AND($AK135&gt;=Results!$G$13,$AK135&lt;=Results!$G$14),Curves!AR135,"")</f>
        <v/>
      </c>
      <c r="AU135" t="str">
        <f>IF(AND($AK135&gt;=Results!$G$13,$AK135&lt;=Results!$G$14),Curves!AS135,"")</f>
        <v/>
      </c>
      <c r="AV135" t="str">
        <f t="shared" si="131"/>
        <v/>
      </c>
      <c r="AW135" t="str">
        <f>IF(AND($AK135&lt;=Results!$I$21,$AK135&gt;=Results!$I$20,$AK135&lt;=Results!$F$4),$AN135,"")</f>
        <v/>
      </c>
      <c r="AX135" t="str">
        <f t="shared" si="131"/>
        <v/>
      </c>
      <c r="AY135" t="str">
        <f>IF(AND($AK135&lt;=Results!$I$23,$AK135&gt;=Results!$I$22,$AK135&gt;=Results!$F$4),$AN135,"")</f>
        <v/>
      </c>
      <c r="AZ135">
        <f t="shared" si="104"/>
        <v>38.300000000000189</v>
      </c>
      <c r="BA135">
        <f>IF(AND($AK135&lt;=Results!$I$27,$AK135&gt;=Results!$I$26,$AK135&lt;=Results!$F$4),$AQ135,"")</f>
        <v>10385.333333333325</v>
      </c>
      <c r="BB135" t="str">
        <f t="shared" si="105"/>
        <v/>
      </c>
      <c r="BC135" t="str">
        <f>IF(AND($AK135&lt;=Results!$I$29,$AK135&gt;=Results!$I$28,$AK135&gt;=Results!$F$4),$AQ135,"")</f>
        <v/>
      </c>
      <c r="BD135">
        <f t="shared" si="106"/>
        <v>10634.243113405366</v>
      </c>
      <c r="BE135">
        <f t="shared" si="107"/>
        <v>2205.0618884506712</v>
      </c>
      <c r="BF135">
        <f t="shared" si="108"/>
        <v>10393.184751020393</v>
      </c>
      <c r="BG135">
        <f t="shared" si="109"/>
        <v>1327.8342696834402</v>
      </c>
      <c r="BH135">
        <f t="shared" si="110"/>
        <v>0</v>
      </c>
      <c r="BI135">
        <f t="shared" si="111"/>
        <v>0.89997330809435083</v>
      </c>
      <c r="BJ135">
        <f t="shared" si="112"/>
        <v>0.99913390908567379</v>
      </c>
      <c r="BK135">
        <f t="shared" si="113"/>
        <v>-2.603115056014867E-2</v>
      </c>
      <c r="BL135">
        <f t="shared" si="114"/>
        <v>2.1519446357959019E-3</v>
      </c>
      <c r="BM135">
        <f t="shared" si="132"/>
        <v>119.99999999999942</v>
      </c>
      <c r="BN135">
        <f t="shared" si="133"/>
        <v>-120.00000000000739</v>
      </c>
      <c r="BO135">
        <f>Data!$H$2*(1-BI135)*(1-BI135/Data!$H$3)*BM135</f>
        <v>2.4012813824610271E-6</v>
      </c>
      <c r="BP135">
        <f t="shared" si="115"/>
        <v>-107.99679697132157</v>
      </c>
      <c r="BQ135">
        <f>Data!$H$2*(1-BJ135)*(1-BJ135/Data!$H$3)*BN135</f>
        <v>-1.8002723325083037E-10</v>
      </c>
      <c r="BR135">
        <f t="shared" si="116"/>
        <v>119.89606909028824</v>
      </c>
      <c r="BS135">
        <f t="shared" si="117"/>
        <v>0</v>
      </c>
      <c r="BT135">
        <f t="shared" si="118"/>
        <v>0</v>
      </c>
      <c r="BU135">
        <f t="shared" si="119"/>
        <v>0</v>
      </c>
      <c r="BV135">
        <f t="shared" si="120"/>
        <v>0</v>
      </c>
      <c r="BW135">
        <f t="shared" si="134"/>
        <v>0</v>
      </c>
      <c r="BX135" t="str">
        <f t="shared" si="135"/>
        <v/>
      </c>
      <c r="BY135" s="66" t="str">
        <f t="shared" si="121"/>
        <v/>
      </c>
      <c r="BZ135" t="str">
        <f t="shared" si="122"/>
        <v/>
      </c>
      <c r="CA135" s="67" t="str">
        <f t="shared" si="123"/>
        <v/>
      </c>
    </row>
    <row r="136" spans="4:79" x14ac:dyDescent="0.25">
      <c r="D136" s="3" t="e">
        <f t="shared" si="148"/>
        <v>#DIV/0!</v>
      </c>
      <c r="E136" s="3" t="e">
        <f t="shared" si="148"/>
        <v>#DIV/0!</v>
      </c>
      <c r="F136" t="str">
        <f>IF(A136&gt;0,IF(F135=1,1,IF(B136=Data!$H$4,1,0)),"")</f>
        <v/>
      </c>
      <c r="O136" s="3"/>
      <c r="P136" s="3"/>
      <c r="Q136" t="str">
        <f t="shared" si="124"/>
        <v/>
      </c>
      <c r="R136" s="4" t="str">
        <f t="shared" si="125"/>
        <v/>
      </c>
      <c r="S136" t="e">
        <f t="shared" si="136"/>
        <v>#DIV/0!</v>
      </c>
      <c r="T136" t="e">
        <f t="shared" si="149"/>
        <v>#DIV/0!</v>
      </c>
      <c r="U136" s="4">
        <f t="shared" si="126"/>
        <v>0</v>
      </c>
      <c r="V136" t="e">
        <f t="shared" si="137"/>
        <v>#DIV/0!</v>
      </c>
      <c r="W136" t="e">
        <f t="shared" si="138"/>
        <v>#DIV/0!</v>
      </c>
      <c r="X136" t="e">
        <f t="shared" si="139"/>
        <v>#VALUE!</v>
      </c>
      <c r="Y136" t="e">
        <f t="shared" si="140"/>
        <v>#VALUE!</v>
      </c>
      <c r="Z136" t="e">
        <f t="shared" si="141"/>
        <v>#VALUE!</v>
      </c>
      <c r="AA136" t="e">
        <f t="shared" si="127"/>
        <v>#VALUE!</v>
      </c>
      <c r="AB136" t="str">
        <f t="shared" si="142"/>
        <v/>
      </c>
      <c r="AC136" t="str">
        <f t="shared" si="143"/>
        <v/>
      </c>
      <c r="AD136" t="str">
        <f t="shared" si="144"/>
        <v/>
      </c>
      <c r="AE136" t="str">
        <f t="shared" si="145"/>
        <v/>
      </c>
      <c r="AK136" s="4">
        <f t="shared" si="146"/>
        <v>38.40000000000019</v>
      </c>
      <c r="AL136">
        <f t="shared" si="128"/>
        <v>1609.0000000000227</v>
      </c>
      <c r="AM136">
        <f t="shared" si="129"/>
        <v>9759.1333333332732</v>
      </c>
      <c r="AN136">
        <f>IF($AK135+$AK$1&lt;=Data!$H$4-0.5,AVERAGE(AM134:AM138),AN135)</f>
        <v>9759.1333333332732</v>
      </c>
      <c r="AO136">
        <f t="shared" si="130"/>
        <v>9252.9999999999764</v>
      </c>
      <c r="AP136">
        <f t="shared" si="147"/>
        <v>10379.999999999991</v>
      </c>
      <c r="AQ136">
        <f>IF($AK135+$AK$1&lt;=Data!$H$4-0.5,AVERAGE(AP134:AP138),AQ135)</f>
        <v>10379.999999999989</v>
      </c>
      <c r="AR136">
        <f>IF($AK135+$AK$1&lt;=Data!$H$4-0.5,SLOPE($AN132:$AN140,$AK132:$AK140),AR135)</f>
        <v>-325.93333333331964</v>
      </c>
      <c r="AS136">
        <f>IF($AK135+$AK$1&lt;=Data!$H$4-0.5,SLOPE($AQ132:$AQ140,$AK132:$AK140),AS135)</f>
        <v>-54.683333333333508</v>
      </c>
      <c r="AT136" t="str">
        <f>IF(AND($AK136&gt;=Results!$G$13,$AK136&lt;=Results!$G$14),Curves!AR136,"")</f>
        <v/>
      </c>
      <c r="AU136" t="str">
        <f>IF(AND($AK136&gt;=Results!$G$13,$AK136&lt;=Results!$G$14),Curves!AS136,"")</f>
        <v/>
      </c>
      <c r="AV136" t="str">
        <f t="shared" si="131"/>
        <v/>
      </c>
      <c r="AW136" t="str">
        <f>IF(AND($AK136&lt;=Results!$I$21,$AK136&gt;=Results!$I$20,$AK136&lt;=Results!$F$4),$AN136,"")</f>
        <v/>
      </c>
      <c r="AX136" t="str">
        <f t="shared" si="131"/>
        <v/>
      </c>
      <c r="AY136" t="str">
        <f>IF(AND($AK136&lt;=Results!$I$23,$AK136&gt;=Results!$I$22,$AK136&gt;=Results!$F$4),$AN136,"")</f>
        <v/>
      </c>
      <c r="AZ136">
        <f t="shared" si="104"/>
        <v>38.40000000000019</v>
      </c>
      <c r="BA136">
        <f>IF(AND($AK136&lt;=Results!$I$27,$AK136&gt;=Results!$I$26,$AK136&lt;=Results!$F$4),$AQ136,"")</f>
        <v>10379.999999999989</v>
      </c>
      <c r="BB136" t="str">
        <f t="shared" si="105"/>
        <v/>
      </c>
      <c r="BC136" t="str">
        <f>IF(AND($AK136&lt;=Results!$I$29,$AK136&gt;=Results!$I$28,$AK136&gt;=Results!$F$4),$AQ136,"")</f>
        <v/>
      </c>
      <c r="BD136">
        <f t="shared" si="106"/>
        <v>10623.472918607446</v>
      </c>
      <c r="BE136">
        <f t="shared" si="107"/>
        <v>2201.7460992013503</v>
      </c>
      <c r="BF136">
        <f t="shared" si="108"/>
        <v>10385.894768787501</v>
      </c>
      <c r="BG136">
        <f t="shared" si="109"/>
        <v>1327.2834687239151</v>
      </c>
      <c r="BH136">
        <f t="shared" si="110"/>
        <v>0</v>
      </c>
      <c r="BI136">
        <f t="shared" si="111"/>
        <v>0.89736789095527492</v>
      </c>
      <c r="BJ136">
        <f t="shared" si="112"/>
        <v>0.9993492635248109</v>
      </c>
      <c r="BK136">
        <f t="shared" si="113"/>
        <v>-2.6077253405486684E-2</v>
      </c>
      <c r="BL136">
        <f t="shared" si="114"/>
        <v>2.1551477200370786E-3</v>
      </c>
      <c r="BM136">
        <f t="shared" si="132"/>
        <v>119.99999999999942</v>
      </c>
      <c r="BN136">
        <f t="shared" si="133"/>
        <v>-120.00000000000739</v>
      </c>
      <c r="BO136">
        <f>Data!$H$2*(1-BI136)*(1-BI136/Data!$H$3)*BM136</f>
        <v>2.5280039536723892E-6</v>
      </c>
      <c r="BP136">
        <f t="shared" si="115"/>
        <v>-107.68414691463246</v>
      </c>
      <c r="BQ136">
        <f>Data!$H$2*(1-BJ136)*(1-BJ136/Data!$H$3)*BN136</f>
        <v>-1.0162991043397301E-10</v>
      </c>
      <c r="BR136">
        <f t="shared" si="116"/>
        <v>119.92191162298469</v>
      </c>
      <c r="BS136">
        <f t="shared" si="117"/>
        <v>0</v>
      </c>
      <c r="BT136">
        <f t="shared" si="118"/>
        <v>0</v>
      </c>
      <c r="BU136">
        <f t="shared" si="119"/>
        <v>0</v>
      </c>
      <c r="BV136">
        <f t="shared" si="120"/>
        <v>0</v>
      </c>
      <c r="BW136">
        <f t="shared" si="134"/>
        <v>0</v>
      </c>
      <c r="BX136" t="str">
        <f t="shared" si="135"/>
        <v/>
      </c>
      <c r="BY136" s="66" t="str">
        <f t="shared" si="121"/>
        <v/>
      </c>
      <c r="BZ136" t="str">
        <f t="shared" si="122"/>
        <v/>
      </c>
      <c r="CA136" s="67" t="str">
        <f t="shared" si="123"/>
        <v/>
      </c>
    </row>
    <row r="137" spans="4:79" x14ac:dyDescent="0.25">
      <c r="D137" s="3" t="e">
        <f t="shared" si="148"/>
        <v>#DIV/0!</v>
      </c>
      <c r="E137" s="3" t="e">
        <f t="shared" si="148"/>
        <v>#DIV/0!</v>
      </c>
      <c r="F137" t="str">
        <f>IF(A137&gt;0,IF(F136=1,1,IF(B137=Data!$H$4,1,0)),"")</f>
        <v/>
      </c>
      <c r="O137" s="3"/>
      <c r="P137" s="3"/>
      <c r="Q137" t="str">
        <f t="shared" si="124"/>
        <v/>
      </c>
      <c r="R137" s="4" t="str">
        <f t="shared" si="125"/>
        <v/>
      </c>
      <c r="S137" t="e">
        <f t="shared" si="136"/>
        <v>#DIV/0!</v>
      </c>
      <c r="T137" t="e">
        <f t="shared" si="149"/>
        <v>#DIV/0!</v>
      </c>
      <c r="U137" s="4">
        <f t="shared" si="126"/>
        <v>0</v>
      </c>
      <c r="V137" t="e">
        <f t="shared" si="137"/>
        <v>#DIV/0!</v>
      </c>
      <c r="W137" t="e">
        <f t="shared" si="138"/>
        <v>#DIV/0!</v>
      </c>
      <c r="X137" t="e">
        <f t="shared" si="139"/>
        <v>#VALUE!</v>
      </c>
      <c r="Y137" t="e">
        <f t="shared" si="140"/>
        <v>#VALUE!</v>
      </c>
      <c r="Z137" t="e">
        <f t="shared" si="141"/>
        <v>#VALUE!</v>
      </c>
      <c r="AA137" t="e">
        <f t="shared" si="127"/>
        <v>#VALUE!</v>
      </c>
      <c r="AB137" t="str">
        <f t="shared" si="142"/>
        <v/>
      </c>
      <c r="AC137" t="str">
        <f t="shared" si="143"/>
        <v/>
      </c>
      <c r="AD137" t="str">
        <f t="shared" si="144"/>
        <v/>
      </c>
      <c r="AE137" t="str">
        <f t="shared" si="145"/>
        <v/>
      </c>
      <c r="AK137" s="4">
        <f t="shared" si="146"/>
        <v>38.500000000000192</v>
      </c>
      <c r="AL137">
        <f t="shared" si="128"/>
        <v>1621.000000000023</v>
      </c>
      <c r="AM137">
        <f t="shared" si="129"/>
        <v>9727.166666666606</v>
      </c>
      <c r="AN137">
        <f>IF($AK136+$AK$1&lt;=Data!$H$4-0.5,AVERAGE(AM135:AM139),AN136)</f>
        <v>9727.166666666606</v>
      </c>
      <c r="AO137">
        <f t="shared" si="130"/>
        <v>9240.9999999999764</v>
      </c>
      <c r="AP137">
        <f t="shared" si="147"/>
        <v>10374.666666666657</v>
      </c>
      <c r="AQ137">
        <f>IF($AK136+$AK$1&lt;=Data!$H$4-0.5,AVERAGE(AP135:AP139),AQ136)</f>
        <v>10374.666666666657</v>
      </c>
      <c r="AR137">
        <f>IF($AK136+$AK$1&lt;=Data!$H$4-0.5,SLOPE($AN133:$AN141,$AK133:$AK141),AR136)</f>
        <v>-318.31523809521786</v>
      </c>
      <c r="AS137">
        <f>IF($AK136+$AK$1&lt;=Data!$H$4-0.5,SLOPE($AQ133:$AQ141,$AK133:$AK141),AS136)</f>
        <v>-53.866666666667847</v>
      </c>
      <c r="AT137" t="str">
        <f>IF(AND($AK137&gt;=Results!$G$13,$AK137&lt;=Results!$G$14),Curves!AR137,"")</f>
        <v/>
      </c>
      <c r="AU137" t="str">
        <f>IF(AND($AK137&gt;=Results!$G$13,$AK137&lt;=Results!$G$14),Curves!AS137,"")</f>
        <v/>
      </c>
      <c r="AV137" t="str">
        <f t="shared" si="131"/>
        <v/>
      </c>
      <c r="AW137" t="str">
        <f>IF(AND($AK137&lt;=Results!$I$21,$AK137&gt;=Results!$I$20,$AK137&lt;=Results!$F$4),$AN137,"")</f>
        <v/>
      </c>
      <c r="AX137" t="str">
        <f t="shared" si="131"/>
        <v/>
      </c>
      <c r="AY137" t="str">
        <f>IF(AND($AK137&lt;=Results!$I$23,$AK137&gt;=Results!$I$22,$AK137&gt;=Results!$F$4),$AN137,"")</f>
        <v/>
      </c>
      <c r="AZ137">
        <f t="shared" si="104"/>
        <v>38.500000000000192</v>
      </c>
      <c r="BA137">
        <f>IF(AND($AK137&lt;=Results!$I$27,$AK137&gt;=Results!$I$26,$AK137&lt;=Results!$F$4),$AQ137,"")</f>
        <v>10374.666666666657</v>
      </c>
      <c r="BB137" t="str">
        <f t="shared" si="105"/>
        <v/>
      </c>
      <c r="BC137" t="str">
        <f>IF(AND($AK137&lt;=Results!$I$29,$AK137&gt;=Results!$I$28,$AK137&gt;=Results!$F$4),$AQ137,"")</f>
        <v/>
      </c>
      <c r="BD137">
        <f t="shared" si="106"/>
        <v>10612.702723809525</v>
      </c>
      <c r="BE137">
        <f t="shared" si="107"/>
        <v>2198.4303099520293</v>
      </c>
      <c r="BF137">
        <f t="shared" si="108"/>
        <v>10378.604786554608</v>
      </c>
      <c r="BG137">
        <f t="shared" si="109"/>
        <v>1326.7326677643903</v>
      </c>
      <c r="BH137">
        <f t="shared" si="110"/>
        <v>0</v>
      </c>
      <c r="BI137">
        <f t="shared" si="111"/>
        <v>0.89475785741325342</v>
      </c>
      <c r="BJ137">
        <f t="shared" si="112"/>
        <v>0.99956493862968121</v>
      </c>
      <c r="BK137">
        <f t="shared" si="113"/>
        <v>-2.6123478836069986E-2</v>
      </c>
      <c r="BL137">
        <f t="shared" si="114"/>
        <v>2.1583579611028332E-3</v>
      </c>
      <c r="BM137">
        <f t="shared" si="132"/>
        <v>120.00000000000055</v>
      </c>
      <c r="BN137">
        <f t="shared" si="133"/>
        <v>-119.99999999999829</v>
      </c>
      <c r="BO137">
        <f>Data!$H$2*(1-BI137)*(1-BI137/Data!$H$3)*BM137</f>
        <v>2.6582180582997953E-6</v>
      </c>
      <c r="BP137">
        <f t="shared" si="115"/>
        <v>-107.37094288959091</v>
      </c>
      <c r="BQ137">
        <f>Data!$H$2*(1-BJ137)*(1-BJ137/Data!$H$3)*BN137</f>
        <v>-4.5426815026478551E-11</v>
      </c>
      <c r="BR137">
        <f t="shared" si="116"/>
        <v>119.94779263556003</v>
      </c>
      <c r="BS137">
        <f t="shared" si="117"/>
        <v>0</v>
      </c>
      <c r="BT137">
        <f t="shared" si="118"/>
        <v>0</v>
      </c>
      <c r="BU137">
        <f t="shared" si="119"/>
        <v>0</v>
      </c>
      <c r="BV137">
        <f t="shared" si="120"/>
        <v>0</v>
      </c>
      <c r="BW137">
        <f t="shared" si="134"/>
        <v>0</v>
      </c>
      <c r="BX137" t="str">
        <f t="shared" si="135"/>
        <v/>
      </c>
      <c r="BY137" s="66" t="str">
        <f t="shared" si="121"/>
        <v/>
      </c>
      <c r="BZ137" t="str">
        <f t="shared" si="122"/>
        <v/>
      </c>
      <c r="CA137" s="67" t="str">
        <f t="shared" si="123"/>
        <v/>
      </c>
    </row>
    <row r="138" spans="4:79" x14ac:dyDescent="0.25">
      <c r="D138" s="3" t="e">
        <f t="shared" si="148"/>
        <v>#DIV/0!</v>
      </c>
      <c r="E138" s="3" t="e">
        <f t="shared" si="148"/>
        <v>#DIV/0!</v>
      </c>
      <c r="F138" t="str">
        <f>IF(A138&gt;0,IF(F137=1,1,IF(B138=Data!$H$4,1,0)),"")</f>
        <v/>
      </c>
      <c r="O138" s="3"/>
      <c r="P138" s="3"/>
      <c r="Q138" t="str">
        <f t="shared" si="124"/>
        <v/>
      </c>
      <c r="R138" s="4" t="str">
        <f t="shared" si="125"/>
        <v/>
      </c>
      <c r="S138" t="e">
        <f t="shared" si="136"/>
        <v>#DIV/0!</v>
      </c>
      <c r="T138" t="e">
        <f t="shared" si="149"/>
        <v>#DIV/0!</v>
      </c>
      <c r="U138" s="4">
        <f t="shared" si="126"/>
        <v>0</v>
      </c>
      <c r="V138" t="e">
        <f t="shared" si="137"/>
        <v>#DIV/0!</v>
      </c>
      <c r="W138" t="e">
        <f t="shared" si="138"/>
        <v>#DIV/0!</v>
      </c>
      <c r="X138" t="e">
        <f t="shared" si="139"/>
        <v>#VALUE!</v>
      </c>
      <c r="Y138" t="e">
        <f t="shared" si="140"/>
        <v>#VALUE!</v>
      </c>
      <c r="Z138" t="e">
        <f t="shared" si="141"/>
        <v>#VALUE!</v>
      </c>
      <c r="AA138" t="e">
        <f t="shared" si="127"/>
        <v>#VALUE!</v>
      </c>
      <c r="AB138" t="str">
        <f t="shared" si="142"/>
        <v/>
      </c>
      <c r="AC138" t="str">
        <f t="shared" si="143"/>
        <v/>
      </c>
      <c r="AD138" t="str">
        <f t="shared" si="144"/>
        <v/>
      </c>
      <c r="AE138" t="str">
        <f t="shared" si="145"/>
        <v/>
      </c>
      <c r="AK138" s="4">
        <f t="shared" si="146"/>
        <v>38.600000000000193</v>
      </c>
      <c r="AL138">
        <f t="shared" si="128"/>
        <v>1633.0000000000232</v>
      </c>
      <c r="AM138">
        <f t="shared" si="129"/>
        <v>9695.1999999999389</v>
      </c>
      <c r="AN138">
        <f>IF($AK137+$AK$1&lt;=Data!$H$4-0.5,AVERAGE(AM136:AM140),AN137)</f>
        <v>9695.1999999999389</v>
      </c>
      <c r="AO138">
        <f t="shared" si="130"/>
        <v>9228.9999999999764</v>
      </c>
      <c r="AP138">
        <f t="shared" si="147"/>
        <v>10369.333333333323</v>
      </c>
      <c r="AQ138">
        <f>IF($AK137+$AK$1&lt;=Data!$H$4-0.5,AVERAGE(AP136:AP140),AQ137)</f>
        <v>10369.333333333323</v>
      </c>
      <c r="AR138">
        <f>IF($AK137+$AK$1&lt;=Data!$H$4-0.5,SLOPE($AN134:$AN142,$AK134:$AK142),AR137)</f>
        <v>-308.33214285711119</v>
      </c>
      <c r="AS138">
        <f>IF($AK137+$AK$1&lt;=Data!$H$4-0.5,SLOPE($AQ134:$AQ142,$AK134:$AK142),AS137)</f>
        <v>-53.983333333336439</v>
      </c>
      <c r="AT138" t="str">
        <f>IF(AND($AK138&gt;=Results!$G$13,$AK138&lt;=Results!$G$14),Curves!AR138,"")</f>
        <v/>
      </c>
      <c r="AU138" t="str">
        <f>IF(AND($AK138&gt;=Results!$G$13,$AK138&lt;=Results!$G$14),Curves!AS138,"")</f>
        <v/>
      </c>
      <c r="AV138" t="str">
        <f t="shared" si="131"/>
        <v/>
      </c>
      <c r="AW138" t="str">
        <f>IF(AND($AK138&lt;=Results!$I$21,$AK138&gt;=Results!$I$20,$AK138&lt;=Results!$F$4),$AN138,"")</f>
        <v/>
      </c>
      <c r="AX138" t="str">
        <f t="shared" si="131"/>
        <v/>
      </c>
      <c r="AY138" t="str">
        <f>IF(AND($AK138&lt;=Results!$I$23,$AK138&gt;=Results!$I$22,$AK138&gt;=Results!$F$4),$AN138,"")</f>
        <v/>
      </c>
      <c r="AZ138">
        <f t="shared" si="104"/>
        <v>38.600000000000193</v>
      </c>
      <c r="BA138">
        <f>IF(AND($AK138&lt;=Results!$I$27,$AK138&gt;=Results!$I$26,$AK138&lt;=Results!$F$4),$AQ138,"")</f>
        <v>10369.333333333323</v>
      </c>
      <c r="BB138" t="str">
        <f t="shared" si="105"/>
        <v/>
      </c>
      <c r="BC138" t="str">
        <f>IF(AND($AK138&lt;=Results!$I$29,$AK138&gt;=Results!$I$28,$AK138&gt;=Results!$F$4),$AQ138,"")</f>
        <v/>
      </c>
      <c r="BD138">
        <f t="shared" si="106"/>
        <v>10601.932529011607</v>
      </c>
      <c r="BE138">
        <f t="shared" si="107"/>
        <v>2195.1145207027084</v>
      </c>
      <c r="BF138">
        <f t="shared" si="108"/>
        <v>10371.314804321715</v>
      </c>
      <c r="BG138">
        <f t="shared" si="109"/>
        <v>1326.1818668048652</v>
      </c>
      <c r="BH138">
        <f t="shared" si="110"/>
        <v>0</v>
      </c>
      <c r="BI138">
        <f t="shared" si="111"/>
        <v>0.89214319518806084</v>
      </c>
      <c r="BJ138">
        <f t="shared" si="112"/>
        <v>0.99978093511703148</v>
      </c>
      <c r="BK138">
        <f t="shared" si="113"/>
        <v>-2.6169827286877848E-2</v>
      </c>
      <c r="BL138">
        <f t="shared" si="114"/>
        <v>2.1615753803277652E-3</v>
      </c>
      <c r="BM138">
        <f t="shared" si="132"/>
        <v>120.00000000000055</v>
      </c>
      <c r="BN138">
        <f t="shared" si="133"/>
        <v>-119.99999999999829</v>
      </c>
      <c r="BO138">
        <f>Data!$H$2*(1-BI138)*(1-BI138/Data!$H$3)*BM138</f>
        <v>2.7919416826177908E-6</v>
      </c>
      <c r="BP138">
        <f t="shared" si="115"/>
        <v>-107.05718342256779</v>
      </c>
      <c r="BQ138">
        <f>Data!$H$2*(1-BJ138)*(1-BJ138/Data!$H$3)*BN138</f>
        <v>-1.1517461508002844E-11</v>
      </c>
      <c r="BR138">
        <f t="shared" si="116"/>
        <v>119.97371221404207</v>
      </c>
      <c r="BS138">
        <f t="shared" si="117"/>
        <v>0</v>
      </c>
      <c r="BT138">
        <f t="shared" si="118"/>
        <v>0</v>
      </c>
      <c r="BU138">
        <f t="shared" si="119"/>
        <v>0</v>
      </c>
      <c r="BV138">
        <f t="shared" si="120"/>
        <v>0</v>
      </c>
      <c r="BW138">
        <f t="shared" si="134"/>
        <v>0</v>
      </c>
      <c r="BX138" t="str">
        <f t="shared" si="135"/>
        <v/>
      </c>
      <c r="BY138" s="66" t="str">
        <f t="shared" si="121"/>
        <v/>
      </c>
      <c r="BZ138" t="str">
        <f t="shared" si="122"/>
        <v/>
      </c>
      <c r="CA138" s="67" t="str">
        <f t="shared" si="123"/>
        <v/>
      </c>
    </row>
    <row r="139" spans="4:79" x14ac:dyDescent="0.25">
      <c r="D139" s="3" t="e">
        <f t="shared" si="148"/>
        <v>#DIV/0!</v>
      </c>
      <c r="E139" s="3" t="e">
        <f t="shared" si="148"/>
        <v>#DIV/0!</v>
      </c>
      <c r="F139" t="str">
        <f>IF(A139&gt;0,IF(F138=1,1,IF(B139=Data!$H$4,1,0)),"")</f>
        <v/>
      </c>
      <c r="O139" s="3"/>
      <c r="P139" s="3"/>
      <c r="Q139" t="str">
        <f t="shared" si="124"/>
        <v/>
      </c>
      <c r="R139" s="4" t="str">
        <f t="shared" si="125"/>
        <v/>
      </c>
      <c r="S139" t="e">
        <f t="shared" si="136"/>
        <v>#DIV/0!</v>
      </c>
      <c r="T139" t="e">
        <f t="shared" si="149"/>
        <v>#DIV/0!</v>
      </c>
      <c r="U139" s="4">
        <f t="shared" si="126"/>
        <v>0</v>
      </c>
      <c r="V139" t="e">
        <f t="shared" si="137"/>
        <v>#DIV/0!</v>
      </c>
      <c r="W139" t="e">
        <f t="shared" si="138"/>
        <v>#DIV/0!</v>
      </c>
      <c r="X139" t="e">
        <f t="shared" si="139"/>
        <v>#VALUE!</v>
      </c>
      <c r="Y139" t="e">
        <f t="shared" si="140"/>
        <v>#VALUE!</v>
      </c>
      <c r="Z139" t="e">
        <f t="shared" si="141"/>
        <v>#VALUE!</v>
      </c>
      <c r="AA139" t="e">
        <f t="shared" si="127"/>
        <v>#VALUE!</v>
      </c>
      <c r="AB139" t="str">
        <f t="shared" si="142"/>
        <v/>
      </c>
      <c r="AC139" t="str">
        <f t="shared" si="143"/>
        <v/>
      </c>
      <c r="AD139" t="str">
        <f t="shared" si="144"/>
        <v/>
      </c>
      <c r="AE139" t="str">
        <f t="shared" si="145"/>
        <v/>
      </c>
      <c r="AK139" s="4">
        <f t="shared" si="146"/>
        <v>38.700000000000195</v>
      </c>
      <c r="AL139">
        <f t="shared" si="128"/>
        <v>1645.0000000000234</v>
      </c>
      <c r="AM139">
        <f t="shared" si="129"/>
        <v>9663.2333333332735</v>
      </c>
      <c r="AN139">
        <f>IF($AK138+$AK$1&lt;=Data!$H$4-0.5,AVERAGE(AM137:AM141),AN138)</f>
        <v>9663.2333333332717</v>
      </c>
      <c r="AO139">
        <f t="shared" si="130"/>
        <v>9216.9999999999764</v>
      </c>
      <c r="AP139">
        <f t="shared" si="147"/>
        <v>10363.999999999989</v>
      </c>
      <c r="AQ139">
        <f>IF($AK138+$AK$1&lt;=Data!$H$4-0.5,AVERAGE(AP137:AP141),AQ138)</f>
        <v>10363.999999999989</v>
      </c>
      <c r="AR139">
        <f>IF($AK138+$AK$1&lt;=Data!$H$4-0.5,SLOPE($AN135:$AN143,$AK135:$AK143),AR138)</f>
        <v>-293.21944444439771</v>
      </c>
      <c r="AS139">
        <f>IF($AK138+$AK$1&lt;=Data!$H$4-0.5,SLOPE($AQ135:$AQ143,$AK135:$AK143),AS138)</f>
        <v>-54.850000000003824</v>
      </c>
      <c r="AT139" t="str">
        <f>IF(AND($AK139&gt;=Results!$G$13,$AK139&lt;=Results!$G$14),Curves!AR139,"")</f>
        <v/>
      </c>
      <c r="AU139" t="str">
        <f>IF(AND($AK139&gt;=Results!$G$13,$AK139&lt;=Results!$G$14),Curves!AS139,"")</f>
        <v/>
      </c>
      <c r="AV139" t="str">
        <f t="shared" si="131"/>
        <v/>
      </c>
      <c r="AW139" t="str">
        <f>IF(AND($AK139&lt;=Results!$I$21,$AK139&gt;=Results!$I$20,$AK139&lt;=Results!$F$4),$AN139,"")</f>
        <v/>
      </c>
      <c r="AX139" t="str">
        <f t="shared" si="131"/>
        <v/>
      </c>
      <c r="AY139" t="str">
        <f>IF(AND($AK139&lt;=Results!$I$23,$AK139&gt;=Results!$I$22,$AK139&gt;=Results!$F$4),$AN139,"")</f>
        <v/>
      </c>
      <c r="AZ139">
        <f t="shared" si="104"/>
        <v>38.700000000000195</v>
      </c>
      <c r="BA139">
        <f>IF(AND($AK139&lt;=Results!$I$27,$AK139&gt;=Results!$I$26,$AK139&lt;=Results!$F$4),$AQ139,"")</f>
        <v>10363.999999999989</v>
      </c>
      <c r="BB139" t="str">
        <f t="shared" si="105"/>
        <v/>
      </c>
      <c r="BC139" t="str">
        <f>IF(AND($AK139&lt;=Results!$I$29,$AK139&gt;=Results!$I$28,$AK139&gt;=Results!$F$4),$AQ139,"")</f>
        <v/>
      </c>
      <c r="BD139">
        <f t="shared" si="106"/>
        <v>10591.162334213686</v>
      </c>
      <c r="BE139">
        <f t="shared" si="107"/>
        <v>2191.7987314533875</v>
      </c>
      <c r="BF139">
        <f t="shared" si="108"/>
        <v>10364.024822088821</v>
      </c>
      <c r="BG139">
        <f t="shared" si="109"/>
        <v>1325.6310658453403</v>
      </c>
      <c r="BH139">
        <f t="shared" si="110"/>
        <v>0</v>
      </c>
      <c r="BI139">
        <f t="shared" si="111"/>
        <v>0.88952389195587778</v>
      </c>
      <c r="BJ139">
        <f t="shared" si="112"/>
        <v>0.99999725370574677</v>
      </c>
      <c r="BK139">
        <f t="shared" si="113"/>
        <v>-2.6216299194819669E-2</v>
      </c>
      <c r="BL139">
        <f t="shared" si="114"/>
        <v>2.164799999129188E-3</v>
      </c>
      <c r="BM139">
        <f t="shared" si="132"/>
        <v>120.00000000000055</v>
      </c>
      <c r="BN139">
        <f t="shared" si="133"/>
        <v>-119.99999999999829</v>
      </c>
      <c r="BO139">
        <f>Data!$H$2*(1-BI139)*(1-BI139/Data!$H$3)*BM139</f>
        <v>2.9291929076583894E-6</v>
      </c>
      <c r="BP139">
        <f t="shared" si="115"/>
        <v>-106.74286703470582</v>
      </c>
      <c r="BQ139">
        <f>Data!$H$2*(1-BJ139)*(1-BJ139/Data!$H$3)*BN139</f>
        <v>-1.8101117100788283E-15</v>
      </c>
      <c r="BR139">
        <f t="shared" si="116"/>
        <v>119.99967044468791</v>
      </c>
      <c r="BS139">
        <f t="shared" si="117"/>
        <v>0</v>
      </c>
      <c r="BT139">
        <f t="shared" si="118"/>
        <v>0</v>
      </c>
      <c r="BU139">
        <f t="shared" si="119"/>
        <v>0</v>
      </c>
      <c r="BV139">
        <f t="shared" si="120"/>
        <v>0</v>
      </c>
      <c r="BW139">
        <f t="shared" si="134"/>
        <v>0</v>
      </c>
      <c r="BX139" t="str">
        <f t="shared" si="135"/>
        <v/>
      </c>
      <c r="BY139" s="66" t="str">
        <f t="shared" si="121"/>
        <v/>
      </c>
      <c r="BZ139" t="str">
        <f t="shared" si="122"/>
        <v/>
      </c>
      <c r="CA139" s="67" t="str">
        <f t="shared" si="123"/>
        <v/>
      </c>
    </row>
    <row r="140" spans="4:79" x14ac:dyDescent="0.25">
      <c r="D140" s="3" t="e">
        <f t="shared" si="148"/>
        <v>#DIV/0!</v>
      </c>
      <c r="E140" s="3" t="e">
        <f t="shared" si="148"/>
        <v>#DIV/0!</v>
      </c>
      <c r="F140" t="str">
        <f>IF(A140&gt;0,IF(F139=1,1,IF(B140=Data!$H$4,1,0)),"")</f>
        <v/>
      </c>
      <c r="O140" s="3"/>
      <c r="P140" s="3"/>
      <c r="Q140" t="str">
        <f t="shared" si="124"/>
        <v/>
      </c>
      <c r="R140" s="4" t="str">
        <f t="shared" si="125"/>
        <v/>
      </c>
      <c r="S140" t="e">
        <f t="shared" si="136"/>
        <v>#DIV/0!</v>
      </c>
      <c r="T140" t="e">
        <f t="shared" si="149"/>
        <v>#DIV/0!</v>
      </c>
      <c r="U140" s="4">
        <f t="shared" si="126"/>
        <v>0</v>
      </c>
      <c r="V140" t="e">
        <f t="shared" si="137"/>
        <v>#DIV/0!</v>
      </c>
      <c r="W140" t="e">
        <f t="shared" si="138"/>
        <v>#DIV/0!</v>
      </c>
      <c r="X140" t="e">
        <f t="shared" si="139"/>
        <v>#VALUE!</v>
      </c>
      <c r="Y140" t="e">
        <f t="shared" si="140"/>
        <v>#VALUE!</v>
      </c>
      <c r="Z140" t="e">
        <f t="shared" si="141"/>
        <v>#VALUE!</v>
      </c>
      <c r="AA140" t="e">
        <f t="shared" si="127"/>
        <v>#VALUE!</v>
      </c>
      <c r="AB140" t="str">
        <f t="shared" si="142"/>
        <v/>
      </c>
      <c r="AC140" t="str">
        <f t="shared" si="143"/>
        <v/>
      </c>
      <c r="AD140" t="str">
        <f t="shared" si="144"/>
        <v/>
      </c>
      <c r="AE140" t="str">
        <f t="shared" si="145"/>
        <v/>
      </c>
      <c r="AK140" s="4">
        <f t="shared" si="146"/>
        <v>38.800000000000196</v>
      </c>
      <c r="AL140">
        <f t="shared" si="128"/>
        <v>1657.0000000000236</v>
      </c>
      <c r="AM140">
        <f t="shared" si="129"/>
        <v>9631.2666666666064</v>
      </c>
      <c r="AN140">
        <f>IF($AK139+$AK$1&lt;=Data!$H$4-0.5,AVERAGE(AM138:AM142),AN139)</f>
        <v>9631.2666666666137</v>
      </c>
      <c r="AO140">
        <f t="shared" si="130"/>
        <v>9204.9999999999764</v>
      </c>
      <c r="AP140">
        <f t="shared" si="147"/>
        <v>10358.666666666657</v>
      </c>
      <c r="AQ140">
        <f>IF($AK139+$AK$1&lt;=Data!$H$4-0.5,AVERAGE(AP138:AP142),AQ139)</f>
        <v>10358.666666666655</v>
      </c>
      <c r="AR140">
        <f>IF($AK139+$AK$1&lt;=Data!$H$4-0.5,SLOPE($AN136:$AN144,$AK136:$AK144),AR139)</f>
        <v>-270.5503968253343</v>
      </c>
      <c r="AS140">
        <f>IF($AK139+$AK$1&lt;=Data!$H$4-0.5,SLOPE($AQ136:$AQ144,$AK136:$AK144),AS139)</f>
        <v>-56.150000000003985</v>
      </c>
      <c r="AT140" t="str">
        <f>IF(AND($AK140&gt;=Results!$G$13,$AK140&lt;=Results!$G$14),Curves!AR140,"")</f>
        <v/>
      </c>
      <c r="AU140" t="str">
        <f>IF(AND($AK140&gt;=Results!$G$13,$AK140&lt;=Results!$G$14),Curves!AS140,"")</f>
        <v/>
      </c>
      <c r="AV140" t="str">
        <f t="shared" si="131"/>
        <v/>
      </c>
      <c r="AW140" t="str">
        <f>IF(AND($AK140&lt;=Results!$I$21,$AK140&gt;=Results!$I$20,$AK140&lt;=Results!$F$4),$AN140,"")</f>
        <v/>
      </c>
      <c r="AX140" t="str">
        <f t="shared" si="131"/>
        <v/>
      </c>
      <c r="AY140" t="str">
        <f>IF(AND($AK140&lt;=Results!$I$23,$AK140&gt;=Results!$I$22,$AK140&gt;=Results!$F$4),$AN140,"")</f>
        <v/>
      </c>
      <c r="AZ140">
        <f t="shared" si="104"/>
        <v>38.800000000000196</v>
      </c>
      <c r="BA140">
        <f>IF(AND($AK140&lt;=Results!$I$27,$AK140&gt;=Results!$I$26,$AK140&lt;=Results!$F$4),$AQ140,"")</f>
        <v>10358.666666666655</v>
      </c>
      <c r="BB140" t="str">
        <f t="shared" si="105"/>
        <v/>
      </c>
      <c r="BC140" t="str">
        <f>IF(AND($AK140&lt;=Results!$I$29,$AK140&gt;=Results!$I$28,$AK140&gt;=Results!$F$4),$AQ140,"")</f>
        <v/>
      </c>
      <c r="BD140">
        <f t="shared" si="106"/>
        <v>10580.392139415766</v>
      </c>
      <c r="BE140">
        <f t="shared" si="107"/>
        <v>2188.4829422040666</v>
      </c>
      <c r="BF140">
        <f t="shared" si="108"/>
        <v>10356.734839855928</v>
      </c>
      <c r="BG140">
        <f t="shared" si="109"/>
        <v>1325.0802648858153</v>
      </c>
      <c r="BH140">
        <f t="shared" si="110"/>
        <v>0</v>
      </c>
      <c r="BI140">
        <f t="shared" si="111"/>
        <v>0.88689993534909684</v>
      </c>
      <c r="BJ140">
        <f t="shared" si="112"/>
        <v>1.0002138951168573</v>
      </c>
      <c r="BK140">
        <f t="shared" si="113"/>
        <v>-2.3559195332850336E-2</v>
      </c>
      <c r="BL140">
        <f t="shared" si="114"/>
        <v>2.0239861672949042E-3</v>
      </c>
      <c r="BM140">
        <f t="shared" si="132"/>
        <v>119.99999999999942</v>
      </c>
      <c r="BN140">
        <f t="shared" si="133"/>
        <v>-119.99999999999829</v>
      </c>
      <c r="BO140">
        <f>Data!$H$2*(1-BI140)*(1-BI140/Data!$H$3)*BM140</f>
        <v>3.069989909769219E-6</v>
      </c>
      <c r="BP140">
        <f t="shared" si="115"/>
        <v>-106.4279922418911</v>
      </c>
      <c r="BQ140">
        <f>Data!$H$2*(1-BJ140)*(1-BJ140/Data!$H$3)*BN140</f>
        <v>-1.0980269043697536E-11</v>
      </c>
      <c r="BR140">
        <f t="shared" si="116"/>
        <v>120.02566741402117</v>
      </c>
      <c r="BS140">
        <f t="shared" si="117"/>
        <v>0</v>
      </c>
      <c r="BT140">
        <f t="shared" si="118"/>
        <v>0</v>
      </c>
      <c r="BU140">
        <f t="shared" si="119"/>
        <v>0</v>
      </c>
      <c r="BV140">
        <f t="shared" si="120"/>
        <v>0</v>
      </c>
      <c r="BW140">
        <f t="shared" si="134"/>
        <v>0</v>
      </c>
      <c r="BX140" t="str">
        <f t="shared" si="135"/>
        <v/>
      </c>
      <c r="BY140" s="66" t="str">
        <f t="shared" si="121"/>
        <v/>
      </c>
      <c r="BZ140" t="str">
        <f t="shared" si="122"/>
        <v/>
      </c>
      <c r="CA140" s="67" t="str">
        <f t="shared" si="123"/>
        <v/>
      </c>
    </row>
    <row r="141" spans="4:79" x14ac:dyDescent="0.25">
      <c r="D141" s="3" t="e">
        <f t="shared" si="148"/>
        <v>#DIV/0!</v>
      </c>
      <c r="E141" s="3" t="e">
        <f t="shared" si="148"/>
        <v>#DIV/0!</v>
      </c>
      <c r="F141" t="str">
        <f>IF(A141&gt;0,IF(F140=1,1,IF(B141=Data!$H$4,1,0)),"")</f>
        <v/>
      </c>
      <c r="O141" s="3"/>
      <c r="P141" s="3"/>
      <c r="Q141" t="str">
        <f t="shared" si="124"/>
        <v/>
      </c>
      <c r="R141" s="4" t="str">
        <f t="shared" si="125"/>
        <v/>
      </c>
      <c r="S141" t="e">
        <f t="shared" si="136"/>
        <v>#DIV/0!</v>
      </c>
      <c r="T141" t="e">
        <f t="shared" si="149"/>
        <v>#DIV/0!</v>
      </c>
      <c r="U141" s="4">
        <f t="shared" si="126"/>
        <v>0</v>
      </c>
      <c r="V141" t="e">
        <f t="shared" si="137"/>
        <v>#DIV/0!</v>
      </c>
      <c r="W141" t="e">
        <f t="shared" si="138"/>
        <v>#DIV/0!</v>
      </c>
      <c r="X141" t="e">
        <f t="shared" si="139"/>
        <v>#VALUE!</v>
      </c>
      <c r="Y141" t="e">
        <f t="shared" si="140"/>
        <v>#VALUE!</v>
      </c>
      <c r="Z141" t="e">
        <f t="shared" si="141"/>
        <v>#VALUE!</v>
      </c>
      <c r="AA141" t="e">
        <f t="shared" si="127"/>
        <v>#VALUE!</v>
      </c>
      <c r="AB141" t="str">
        <f t="shared" si="142"/>
        <v/>
      </c>
      <c r="AC141" t="str">
        <f t="shared" si="143"/>
        <v/>
      </c>
      <c r="AD141" t="str">
        <f t="shared" si="144"/>
        <v/>
      </c>
      <c r="AE141" t="str">
        <f t="shared" si="145"/>
        <v/>
      </c>
      <c r="AK141" s="4">
        <f t="shared" si="146"/>
        <v>38.900000000000198</v>
      </c>
      <c r="AL141">
        <f t="shared" si="128"/>
        <v>1669.0000000000236</v>
      </c>
      <c r="AM141">
        <f t="shared" si="129"/>
        <v>9599.2999999999392</v>
      </c>
      <c r="AN141">
        <f>IF($AK140+$AK$1&lt;=Data!$H$4-0.5,AVERAGE(AM139:AM143),AN140)</f>
        <v>9603.8338095237668</v>
      </c>
      <c r="AO141">
        <f t="shared" si="130"/>
        <v>9192.9999999999764</v>
      </c>
      <c r="AP141">
        <f t="shared" si="147"/>
        <v>10353.333333333323</v>
      </c>
      <c r="AQ141">
        <f>IF($AK140+$AK$1&lt;=Data!$H$4-0.5,AVERAGE(AP139:AP143),AQ140)</f>
        <v>10353.073333333323</v>
      </c>
      <c r="AR141">
        <f>IF($AK140+$AK$1&lt;=Data!$H$4-0.5,SLOPE($AN137:$AN145,$AK137:$AK145),AR140)</f>
        <v>-240.32499999993033</v>
      </c>
      <c r="AS141">
        <f>IF($AK140+$AK$1&lt;=Data!$H$4-0.5,SLOPE($AQ137:$AQ145,$AK137:$AK145),AS140)</f>
        <v>-57.883333333337234</v>
      </c>
      <c r="AT141" t="str">
        <f>IF(AND($AK141&gt;=Results!$G$13,$AK141&lt;=Results!$G$14),Curves!AR141,"")</f>
        <v/>
      </c>
      <c r="AU141" t="str">
        <f>IF(AND($AK141&gt;=Results!$G$13,$AK141&lt;=Results!$G$14),Curves!AS141,"")</f>
        <v/>
      </c>
      <c r="AV141" t="str">
        <f t="shared" si="131"/>
        <v/>
      </c>
      <c r="AW141" t="str">
        <f>IF(AND($AK141&lt;=Results!$I$21,$AK141&gt;=Results!$I$20,$AK141&lt;=Results!$F$4),$AN141,"")</f>
        <v/>
      </c>
      <c r="AX141" t="str">
        <f t="shared" si="131"/>
        <v/>
      </c>
      <c r="AY141" t="str">
        <f>IF(AND($AK141&lt;=Results!$I$23,$AK141&gt;=Results!$I$22,$AK141&gt;=Results!$F$4),$AN141,"")</f>
        <v/>
      </c>
      <c r="AZ141">
        <f t="shared" si="104"/>
        <v>38.900000000000198</v>
      </c>
      <c r="BA141">
        <f>IF(AND($AK141&lt;=Results!$I$27,$AK141&gt;=Results!$I$26,$AK141&lt;=Results!$F$4),$AQ141,"")</f>
        <v>10353.073333333323</v>
      </c>
      <c r="BB141" t="str">
        <f t="shared" si="105"/>
        <v/>
      </c>
      <c r="BC141" t="str">
        <f>IF(AND($AK141&lt;=Results!$I$29,$AK141&gt;=Results!$I$28,$AK141&gt;=Results!$F$4),$AQ141,"")</f>
        <v/>
      </c>
      <c r="BD141">
        <f t="shared" si="106"/>
        <v>10569.621944617847</v>
      </c>
      <c r="BE141">
        <f t="shared" si="107"/>
        <v>2185.1671529547461</v>
      </c>
      <c r="BF141">
        <f t="shared" si="108"/>
        <v>10349.444857623035</v>
      </c>
      <c r="BG141">
        <f t="shared" si="109"/>
        <v>1324.5294639262902</v>
      </c>
      <c r="BH141">
        <f t="shared" si="110"/>
        <v>0</v>
      </c>
      <c r="BI141">
        <f t="shared" si="111"/>
        <v>0.88481205288930764</v>
      </c>
      <c r="BJ141">
        <f t="shared" si="112"/>
        <v>1.0004020509392058</v>
      </c>
      <c r="BK141">
        <f t="shared" si="113"/>
        <v>-1.8191298352765745E-2</v>
      </c>
      <c r="BL141">
        <f t="shared" si="114"/>
        <v>1.7388109752891376E-3</v>
      </c>
      <c r="BM141">
        <f t="shared" si="132"/>
        <v>119.99999999999942</v>
      </c>
      <c r="BN141">
        <f t="shared" si="133"/>
        <v>-119.99999999999829</v>
      </c>
      <c r="BO141">
        <f>Data!$H$2*(1-BI141)*(1-BI141/Data!$H$3)*BM141</f>
        <v>3.1843831582981425E-6</v>
      </c>
      <c r="BP141">
        <f t="shared" si="115"/>
        <v>-106.17744634671641</v>
      </c>
      <c r="BQ141">
        <f>Data!$H$2*(1-BJ141)*(1-BJ141/Data!$H$3)*BN141</f>
        <v>-3.8794789851894741E-11</v>
      </c>
      <c r="BR141">
        <f t="shared" si="116"/>
        <v>120.04824611270298</v>
      </c>
      <c r="BS141">
        <f t="shared" si="117"/>
        <v>0</v>
      </c>
      <c r="BT141">
        <f t="shared" si="118"/>
        <v>0</v>
      </c>
      <c r="BU141">
        <f t="shared" si="119"/>
        <v>0</v>
      </c>
      <c r="BV141">
        <f t="shared" si="120"/>
        <v>0</v>
      </c>
      <c r="BW141">
        <f t="shared" si="134"/>
        <v>0</v>
      </c>
      <c r="BX141" t="str">
        <f t="shared" si="135"/>
        <v/>
      </c>
      <c r="BY141" s="66" t="str">
        <f t="shared" si="121"/>
        <v/>
      </c>
      <c r="BZ141" t="str">
        <f t="shared" si="122"/>
        <v/>
      </c>
      <c r="CA141" s="67" t="str">
        <f t="shared" si="123"/>
        <v/>
      </c>
    </row>
    <row r="142" spans="4:79" x14ac:dyDescent="0.25">
      <c r="D142" s="3" t="e">
        <f t="shared" si="148"/>
        <v>#DIV/0!</v>
      </c>
      <c r="E142" s="3" t="e">
        <f t="shared" si="148"/>
        <v>#DIV/0!</v>
      </c>
      <c r="F142" t="str">
        <f>IF(A142&gt;0,IF(F141=1,1,IF(B142=Data!$H$4,1,0)),"")</f>
        <v/>
      </c>
      <c r="O142" s="3"/>
      <c r="P142" s="3"/>
      <c r="Q142" t="str">
        <f t="shared" si="124"/>
        <v/>
      </c>
      <c r="R142" s="4" t="str">
        <f t="shared" si="125"/>
        <v/>
      </c>
      <c r="S142" t="e">
        <f t="shared" si="136"/>
        <v>#DIV/0!</v>
      </c>
      <c r="T142" t="e">
        <f t="shared" si="149"/>
        <v>#DIV/0!</v>
      </c>
      <c r="U142" s="4">
        <f t="shared" si="126"/>
        <v>0</v>
      </c>
      <c r="V142" t="e">
        <f t="shared" si="137"/>
        <v>#DIV/0!</v>
      </c>
      <c r="W142" t="e">
        <f t="shared" si="138"/>
        <v>#DIV/0!</v>
      </c>
      <c r="X142" t="e">
        <f t="shared" si="139"/>
        <v>#VALUE!</v>
      </c>
      <c r="Y142" t="e">
        <f t="shared" si="140"/>
        <v>#VALUE!</v>
      </c>
      <c r="Z142" t="e">
        <f t="shared" si="141"/>
        <v>#VALUE!</v>
      </c>
      <c r="AA142" t="e">
        <f t="shared" si="127"/>
        <v>#VALUE!</v>
      </c>
      <c r="AB142" t="str">
        <f t="shared" si="142"/>
        <v/>
      </c>
      <c r="AC142" t="str">
        <f t="shared" si="143"/>
        <v/>
      </c>
      <c r="AD142" t="str">
        <f t="shared" si="144"/>
        <v/>
      </c>
      <c r="AE142" t="str">
        <f t="shared" si="145"/>
        <v/>
      </c>
      <c r="AK142" s="4">
        <f t="shared" si="146"/>
        <v>39.000000000000199</v>
      </c>
      <c r="AL142">
        <f t="shared" si="128"/>
        <v>1681.0000000000239</v>
      </c>
      <c r="AM142">
        <f t="shared" si="129"/>
        <v>9567.3333333333176</v>
      </c>
      <c r="AN142">
        <f>IF($AK141+$AK$1&lt;=Data!$H$4-0.5,AVERAGE(AM140:AM144),AN141)</f>
        <v>9580.9347619047276</v>
      </c>
      <c r="AO142">
        <f t="shared" si="130"/>
        <v>9180.9999999999764</v>
      </c>
      <c r="AP142">
        <f t="shared" si="147"/>
        <v>10347.999999999987</v>
      </c>
      <c r="AQ142">
        <f>IF($AK141+$AK$1&lt;=Data!$H$4-0.5,AVERAGE(AP140:AP144),AQ141)</f>
        <v>10347.219999999987</v>
      </c>
      <c r="AR142">
        <f>IF($AK141+$AK$1&lt;=Data!$H$4-0.5,SLOPE($AN138:$AN146,$AK138:$AK146),AR141)</f>
        <v>-206.32142857135881</v>
      </c>
      <c r="AS142">
        <f>IF($AK141+$AK$1&lt;=Data!$H$4-0.5,SLOPE($AQ138:$AQ146,$AK138:$AK146),AS141)</f>
        <v>-59.833333333335808</v>
      </c>
      <c r="AT142" t="str">
        <f>IF(AND($AK142&gt;=Results!$G$13,$AK142&lt;=Results!$G$14),Curves!AR142,"")</f>
        <v/>
      </c>
      <c r="AU142" t="str">
        <f>IF(AND($AK142&gt;=Results!$G$13,$AK142&lt;=Results!$G$14),Curves!AS142,"")</f>
        <v/>
      </c>
      <c r="AV142" t="str">
        <f t="shared" si="131"/>
        <v/>
      </c>
      <c r="AW142" t="str">
        <f>IF(AND($AK142&lt;=Results!$I$21,$AK142&gt;=Results!$I$20,$AK142&lt;=Results!$F$4),$AN142,"")</f>
        <v/>
      </c>
      <c r="AX142" t="str">
        <f t="shared" si="131"/>
        <v/>
      </c>
      <c r="AY142" t="str">
        <f>IF(AND($AK142&lt;=Results!$I$23,$AK142&gt;=Results!$I$22,$AK142&gt;=Results!$F$4),$AN142,"")</f>
        <v/>
      </c>
      <c r="AZ142">
        <f t="shared" si="104"/>
        <v>39.000000000000199</v>
      </c>
      <c r="BA142">
        <f>IF(AND($AK142&lt;=Results!$I$27,$AK142&gt;=Results!$I$26,$AK142&lt;=Results!$F$4),$AQ142,"")</f>
        <v>10347.219999999987</v>
      </c>
      <c r="BB142" t="str">
        <f t="shared" si="105"/>
        <v/>
      </c>
      <c r="BC142" t="str">
        <f>IF(AND($AK142&lt;=Results!$I$29,$AK142&gt;=Results!$I$28,$AK142&gt;=Results!$F$4),$AQ142,"")</f>
        <v/>
      </c>
      <c r="BD142">
        <f t="shared" si="106"/>
        <v>10558.851749819927</v>
      </c>
      <c r="BE142">
        <f t="shared" si="107"/>
        <v>2181.8513637054252</v>
      </c>
      <c r="BF142">
        <f t="shared" si="108"/>
        <v>10342.154875390141</v>
      </c>
      <c r="BG142">
        <f t="shared" si="109"/>
        <v>1323.9786629667651</v>
      </c>
      <c r="BH142">
        <f t="shared" si="110"/>
        <v>0</v>
      </c>
      <c r="BI142">
        <f t="shared" si="111"/>
        <v>0.88326167567854363</v>
      </c>
      <c r="BJ142">
        <f t="shared" si="112"/>
        <v>1.0005616573119152</v>
      </c>
      <c r="BK142">
        <f t="shared" si="113"/>
        <v>-1.2809064859887571E-2</v>
      </c>
      <c r="BL142">
        <f t="shared" si="114"/>
        <v>1.4529962193521109E-3</v>
      </c>
      <c r="BM142">
        <f t="shared" si="132"/>
        <v>119.99999999999942</v>
      </c>
      <c r="BN142">
        <f t="shared" si="133"/>
        <v>-119.99999999999829</v>
      </c>
      <c r="BO142">
        <f>Data!$H$2*(1-BI142)*(1-BI142/Data!$H$3)*BM142</f>
        <v>3.2706807276915511E-6</v>
      </c>
      <c r="BP142">
        <f t="shared" si="115"/>
        <v>-105.99140108142473</v>
      </c>
      <c r="BQ142">
        <f>Data!$H$2*(1-BJ142)*(1-BJ142/Data!$H$3)*BN142</f>
        <v>-7.5710144646660382E-11</v>
      </c>
      <c r="BR142">
        <f t="shared" si="116"/>
        <v>120.06739887742812</v>
      </c>
      <c r="BS142">
        <f t="shared" si="117"/>
        <v>0</v>
      </c>
      <c r="BT142">
        <f t="shared" si="118"/>
        <v>0</v>
      </c>
      <c r="BU142">
        <f t="shared" si="119"/>
        <v>0</v>
      </c>
      <c r="BV142">
        <f t="shared" si="120"/>
        <v>0</v>
      </c>
      <c r="BW142">
        <f t="shared" si="134"/>
        <v>0</v>
      </c>
      <c r="BX142" t="str">
        <f t="shared" si="135"/>
        <v/>
      </c>
      <c r="BY142" s="66" t="str">
        <f t="shared" si="121"/>
        <v/>
      </c>
      <c r="BZ142" t="str">
        <f t="shared" si="122"/>
        <v/>
      </c>
      <c r="CA142" s="67" t="str">
        <f t="shared" si="123"/>
        <v/>
      </c>
    </row>
    <row r="143" spans="4:79" x14ac:dyDescent="0.25">
      <c r="D143" s="3" t="e">
        <f t="shared" si="148"/>
        <v>#DIV/0!</v>
      </c>
      <c r="E143" s="3" t="e">
        <f t="shared" si="148"/>
        <v>#DIV/0!</v>
      </c>
      <c r="F143" t="str">
        <f>IF(A143&gt;0,IF(F142=1,1,IF(B143=Data!$H$4,1,0)),"")</f>
        <v/>
      </c>
      <c r="O143" s="3"/>
      <c r="P143" s="3"/>
      <c r="Q143" t="str">
        <f t="shared" si="124"/>
        <v/>
      </c>
      <c r="R143" s="4" t="str">
        <f t="shared" si="125"/>
        <v/>
      </c>
      <c r="S143" t="e">
        <f t="shared" si="136"/>
        <v>#DIV/0!</v>
      </c>
      <c r="T143" t="e">
        <f t="shared" si="149"/>
        <v>#DIV/0!</v>
      </c>
      <c r="U143" s="4">
        <f t="shared" si="126"/>
        <v>0</v>
      </c>
      <c r="V143" t="e">
        <f t="shared" si="137"/>
        <v>#DIV/0!</v>
      </c>
      <c r="W143" t="e">
        <f t="shared" si="138"/>
        <v>#DIV/0!</v>
      </c>
      <c r="X143" t="e">
        <f t="shared" si="139"/>
        <v>#VALUE!</v>
      </c>
      <c r="Y143" t="e">
        <f t="shared" si="140"/>
        <v>#VALUE!</v>
      </c>
      <c r="Z143" t="e">
        <f t="shared" si="141"/>
        <v>#VALUE!</v>
      </c>
      <c r="AA143" t="e">
        <f t="shared" si="127"/>
        <v>#VALUE!</v>
      </c>
      <c r="AB143" t="str">
        <f t="shared" si="142"/>
        <v/>
      </c>
      <c r="AC143" t="str">
        <f t="shared" si="143"/>
        <v/>
      </c>
      <c r="AD143" t="str">
        <f t="shared" si="144"/>
        <v/>
      </c>
      <c r="AE143" t="str">
        <f t="shared" si="145"/>
        <v/>
      </c>
      <c r="AK143" s="4">
        <f t="shared" si="146"/>
        <v>39.1000000000002</v>
      </c>
      <c r="AL143">
        <f t="shared" si="128"/>
        <v>1693.0000000000239</v>
      </c>
      <c r="AM143">
        <f t="shared" si="129"/>
        <v>9558.0357142856974</v>
      </c>
      <c r="AN143">
        <f>IF($AK142+$AK$1&lt;=Data!$H$4-0.5,AVERAGE(AM141:AM145),AN142)</f>
        <v>9562.5695238094977</v>
      </c>
      <c r="AO143">
        <f t="shared" si="130"/>
        <v>9168.9999999999764</v>
      </c>
      <c r="AP143">
        <f t="shared" si="147"/>
        <v>10341.366666666654</v>
      </c>
      <c r="AQ143">
        <f>IF($AK142+$AK$1&lt;=Data!$H$4-0.5,AVERAGE(AP141:AP145),AQ142)</f>
        <v>10341.106666666654</v>
      </c>
      <c r="AR143">
        <f>IF($AK142+$AK$1&lt;=Data!$H$4-0.5,SLOPE($AN139:$AN147,$AK139:$AK147),AR142)</f>
        <v>-172.31785714279701</v>
      </c>
      <c r="AS143">
        <f>IF($AK142+$AK$1&lt;=Data!$H$4-0.5,SLOPE($AQ139:$AQ147,$AK139:$AK147),AS142)</f>
        <v>-61.783333333335605</v>
      </c>
      <c r="AT143" t="str">
        <f>IF(AND($AK143&gt;=Results!$G$13,$AK143&lt;=Results!$G$14),Curves!AR143,"")</f>
        <v/>
      </c>
      <c r="AU143" t="str">
        <f>IF(AND($AK143&gt;=Results!$G$13,$AK143&lt;=Results!$G$14),Curves!AS143,"")</f>
        <v/>
      </c>
      <c r="AV143" t="str">
        <f t="shared" si="131"/>
        <v/>
      </c>
      <c r="AW143" t="str">
        <f>IF(AND($AK143&lt;=Results!$I$21,$AK143&gt;=Results!$I$20,$AK143&lt;=Results!$F$4),$AN143,"")</f>
        <v/>
      </c>
      <c r="AX143" t="str">
        <f t="shared" si="131"/>
        <v/>
      </c>
      <c r="AY143" t="str">
        <f>IF(AND($AK143&lt;=Results!$I$23,$AK143&gt;=Results!$I$22,$AK143&gt;=Results!$F$4),$AN143,"")</f>
        <v/>
      </c>
      <c r="AZ143">
        <f t="shared" si="104"/>
        <v>39.1000000000002</v>
      </c>
      <c r="BA143">
        <f>IF(AND($AK143&lt;=Results!$I$27,$AK143&gt;=Results!$I$26,$AK143&lt;=Results!$F$4),$AQ143,"")</f>
        <v>10341.106666666654</v>
      </c>
      <c r="BB143" t="str">
        <f t="shared" si="105"/>
        <v/>
      </c>
      <c r="BC143" t="str">
        <f>IF(AND($AK143&lt;=Results!$I$29,$AK143&gt;=Results!$I$28,$AK143&gt;=Results!$F$4),$AQ143,"")</f>
        <v/>
      </c>
      <c r="BD143">
        <f t="shared" si="106"/>
        <v>10548.081555022007</v>
      </c>
      <c r="BE143">
        <f t="shared" si="107"/>
        <v>2178.5355744561048</v>
      </c>
      <c r="BF143">
        <f t="shared" si="108"/>
        <v>10334.864893157248</v>
      </c>
      <c r="BG143">
        <f t="shared" si="109"/>
        <v>1323.4278620072403</v>
      </c>
      <c r="BH143">
        <f t="shared" si="110"/>
        <v>0</v>
      </c>
      <c r="BI143">
        <f t="shared" si="111"/>
        <v>0.88225023991733009</v>
      </c>
      <c r="BJ143">
        <f t="shared" si="112"/>
        <v>1.0006926501830762</v>
      </c>
      <c r="BK143">
        <f t="shared" si="113"/>
        <v>-7.4124437556731867E-3</v>
      </c>
      <c r="BL143">
        <f t="shared" si="114"/>
        <v>1.1665399855820104E-3</v>
      </c>
      <c r="BM143">
        <f t="shared" si="132"/>
        <v>119.99999999999942</v>
      </c>
      <c r="BN143">
        <f t="shared" si="133"/>
        <v>-119.99999999999829</v>
      </c>
      <c r="BO143">
        <f>Data!$H$2*(1-BI143)*(1-BI143/Data!$H$3)*BM143</f>
        <v>3.3276014398863018E-6</v>
      </c>
      <c r="BP143">
        <f t="shared" si="115"/>
        <v>-105.8700287900791</v>
      </c>
      <c r="BQ143">
        <f>Data!$H$2*(1-BJ143)*(1-BJ143/Data!$H$3)*BN143</f>
        <v>-1.1514342626771086E-10</v>
      </c>
      <c r="BR143">
        <f t="shared" si="116"/>
        <v>120.08311802196744</v>
      </c>
      <c r="BS143">
        <f t="shared" si="117"/>
        <v>0</v>
      </c>
      <c r="BT143">
        <f t="shared" si="118"/>
        <v>0</v>
      </c>
      <c r="BU143">
        <f t="shared" si="119"/>
        <v>0</v>
      </c>
      <c r="BV143">
        <f t="shared" si="120"/>
        <v>0</v>
      </c>
      <c r="BW143">
        <f t="shared" si="134"/>
        <v>0</v>
      </c>
      <c r="BX143" t="str">
        <f t="shared" si="135"/>
        <v/>
      </c>
      <c r="BY143" s="66" t="str">
        <f t="shared" si="121"/>
        <v/>
      </c>
      <c r="BZ143" t="str">
        <f t="shared" si="122"/>
        <v/>
      </c>
      <c r="CA143" s="67" t="str">
        <f t="shared" si="123"/>
        <v/>
      </c>
    </row>
    <row r="144" spans="4:79" x14ac:dyDescent="0.25">
      <c r="D144" s="3" t="e">
        <f t="shared" si="148"/>
        <v>#DIV/0!</v>
      </c>
      <c r="E144" s="3" t="e">
        <f t="shared" si="148"/>
        <v>#DIV/0!</v>
      </c>
      <c r="F144" t="str">
        <f>IF(A144&gt;0,IF(F143=1,1,IF(B144=Data!$H$4,1,0)),"")</f>
        <v/>
      </c>
      <c r="O144" s="3"/>
      <c r="P144" s="3"/>
      <c r="Q144" t="str">
        <f t="shared" si="124"/>
        <v/>
      </c>
      <c r="R144" s="4" t="str">
        <f t="shared" si="125"/>
        <v/>
      </c>
      <c r="S144" t="e">
        <f t="shared" si="136"/>
        <v>#DIV/0!</v>
      </c>
      <c r="T144" t="e">
        <f t="shared" si="149"/>
        <v>#DIV/0!</v>
      </c>
      <c r="U144" s="4">
        <f t="shared" si="126"/>
        <v>0</v>
      </c>
      <c r="V144" t="e">
        <f t="shared" si="137"/>
        <v>#DIV/0!</v>
      </c>
      <c r="W144" t="e">
        <f t="shared" si="138"/>
        <v>#DIV/0!</v>
      </c>
      <c r="X144" t="e">
        <f t="shared" si="139"/>
        <v>#VALUE!</v>
      </c>
      <c r="Y144" t="e">
        <f t="shared" si="140"/>
        <v>#VALUE!</v>
      </c>
      <c r="Z144" t="e">
        <f t="shared" si="141"/>
        <v>#VALUE!</v>
      </c>
      <c r="AA144" t="e">
        <f t="shared" si="127"/>
        <v>#VALUE!</v>
      </c>
      <c r="AB144" t="str">
        <f t="shared" si="142"/>
        <v/>
      </c>
      <c r="AC144" t="str">
        <f t="shared" si="143"/>
        <v/>
      </c>
      <c r="AD144" t="str">
        <f t="shared" si="144"/>
        <v/>
      </c>
      <c r="AE144" t="str">
        <f t="shared" si="145"/>
        <v/>
      </c>
      <c r="AK144" s="4">
        <f t="shared" si="146"/>
        <v>39.200000000000202</v>
      </c>
      <c r="AL144">
        <f t="shared" si="128"/>
        <v>1705.0000000000241</v>
      </c>
      <c r="AM144">
        <f t="shared" si="129"/>
        <v>9548.7380952380772</v>
      </c>
      <c r="AN144">
        <f>IF($AK143+$AK$1&lt;=Data!$H$4-0.5,AVERAGE(AM142:AM146),AN143)</f>
        <v>9548.738095238079</v>
      </c>
      <c r="AO144">
        <f t="shared" si="130"/>
        <v>9156.9999999999764</v>
      </c>
      <c r="AP144">
        <f t="shared" si="147"/>
        <v>10334.733333333319</v>
      </c>
      <c r="AQ144">
        <f>IF($AK143+$AK$1&lt;=Data!$H$4-0.5,AVERAGE(AP142:AP146),AQ143)</f>
        <v>10334.733333333319</v>
      </c>
      <c r="AR144">
        <f>IF($AK143+$AK$1&lt;=Data!$H$4-0.5,SLOPE($AN140:$AN148,$AK140:$AK148),AR143)</f>
        <v>-142.0924603174166</v>
      </c>
      <c r="AS144">
        <f>IF($AK143+$AK$1&lt;=Data!$H$4-0.5,SLOPE($AQ140:$AQ148,$AK140:$AK148),AS143)</f>
        <v>-63.516666666668556</v>
      </c>
      <c r="AT144" t="str">
        <f>IF(AND($AK144&gt;=Results!$G$13,$AK144&lt;=Results!$G$14),Curves!AR144,"")</f>
        <v/>
      </c>
      <c r="AU144" t="str">
        <f>IF(AND($AK144&gt;=Results!$G$13,$AK144&lt;=Results!$G$14),Curves!AS144,"")</f>
        <v/>
      </c>
      <c r="AV144" t="str">
        <f t="shared" si="131"/>
        <v/>
      </c>
      <c r="AW144" t="str">
        <f>IF(AND($AK144&lt;=Results!$I$21,$AK144&gt;=Results!$I$20,$AK144&lt;=Results!$F$4),$AN144,"")</f>
        <v/>
      </c>
      <c r="AX144" t="str">
        <f t="shared" si="131"/>
        <v/>
      </c>
      <c r="AY144" t="str">
        <f>IF(AND($AK144&lt;=Results!$I$23,$AK144&gt;=Results!$I$22,$AK144&gt;=Results!$F$4),$AN144,"")</f>
        <v/>
      </c>
      <c r="AZ144">
        <f t="shared" si="104"/>
        <v>39.200000000000202</v>
      </c>
      <c r="BA144">
        <f>IF(AND($AK144&lt;=Results!$I$27,$AK144&gt;=Results!$I$26,$AK144&lt;=Results!$F$4),$AQ144,"")</f>
        <v>10334.733333333319</v>
      </c>
      <c r="BB144" t="str">
        <f t="shared" si="105"/>
        <v/>
      </c>
      <c r="BC144" t="str">
        <f>IF(AND($AK144&lt;=Results!$I$29,$AK144&gt;=Results!$I$28,$AK144&gt;=Results!$F$4),$AQ144,"")</f>
        <v/>
      </c>
      <c r="BD144">
        <f t="shared" si="106"/>
        <v>10537.311360224088</v>
      </c>
      <c r="BE144">
        <f t="shared" si="107"/>
        <v>2175.2197852067839</v>
      </c>
      <c r="BF144">
        <f t="shared" si="108"/>
        <v>10327.574910924355</v>
      </c>
      <c r="BG144">
        <f t="shared" si="109"/>
        <v>1322.8770610477152</v>
      </c>
      <c r="BH144">
        <f t="shared" si="110"/>
        <v>0</v>
      </c>
      <c r="BI144">
        <f t="shared" si="111"/>
        <v>0.88177918692740898</v>
      </c>
      <c r="BJ144">
        <f t="shared" si="112"/>
        <v>1.0007949653090316</v>
      </c>
      <c r="BK144">
        <f t="shared" si="113"/>
        <v>-2.0013837137261284E-3</v>
      </c>
      <c r="BL144">
        <f t="shared" si="114"/>
        <v>8.7944035291441654E-4</v>
      </c>
      <c r="BM144">
        <f t="shared" si="132"/>
        <v>119.99999999999945</v>
      </c>
      <c r="BN144">
        <f t="shared" si="133"/>
        <v>-119.99999999999829</v>
      </c>
      <c r="BO144">
        <f>Data!$H$2*(1-BI144)*(1-BI144/Data!$H$3)*BM144</f>
        <v>3.3542785544506666E-6</v>
      </c>
      <c r="BP144">
        <f t="shared" si="115"/>
        <v>-105.81350243128858</v>
      </c>
      <c r="BQ144">
        <f>Data!$H$2*(1-BJ144)*(1-BJ144/Data!$H$3)*BN144</f>
        <v>-1.516727622152719E-10</v>
      </c>
      <c r="BR144">
        <f t="shared" si="116"/>
        <v>120.09539583708208</v>
      </c>
      <c r="BS144">
        <f t="shared" si="117"/>
        <v>0</v>
      </c>
      <c r="BT144">
        <f t="shared" si="118"/>
        <v>0</v>
      </c>
      <c r="BU144">
        <f t="shared" si="119"/>
        <v>0</v>
      </c>
      <c r="BV144">
        <f t="shared" si="120"/>
        <v>0</v>
      </c>
      <c r="BW144">
        <f t="shared" si="134"/>
        <v>0</v>
      </c>
      <c r="BX144" t="str">
        <f t="shared" si="135"/>
        <v/>
      </c>
      <c r="BY144" s="66" t="str">
        <f t="shared" si="121"/>
        <v/>
      </c>
      <c r="BZ144" t="str">
        <f t="shared" si="122"/>
        <v/>
      </c>
      <c r="CA144" s="67" t="str">
        <f t="shared" si="123"/>
        <v/>
      </c>
    </row>
    <row r="145" spans="4:79" x14ac:dyDescent="0.25">
      <c r="D145" s="3" t="e">
        <f t="shared" si="148"/>
        <v>#DIV/0!</v>
      </c>
      <c r="E145" s="3" t="e">
        <f t="shared" si="148"/>
        <v>#DIV/0!</v>
      </c>
      <c r="F145" t="str">
        <f>IF(A145&gt;0,IF(F144=1,1,IF(B145=Data!$H$4,1,0)),"")</f>
        <v/>
      </c>
      <c r="O145" s="3"/>
      <c r="P145" s="3"/>
      <c r="Q145" t="str">
        <f t="shared" si="124"/>
        <v/>
      </c>
      <c r="R145" s="4" t="str">
        <f t="shared" si="125"/>
        <v/>
      </c>
      <c r="S145" t="e">
        <f t="shared" si="136"/>
        <v>#DIV/0!</v>
      </c>
      <c r="T145" t="e">
        <f t="shared" si="149"/>
        <v>#DIV/0!</v>
      </c>
      <c r="U145" s="4">
        <f t="shared" si="126"/>
        <v>0</v>
      </c>
      <c r="V145" t="e">
        <f t="shared" si="137"/>
        <v>#DIV/0!</v>
      </c>
      <c r="W145" t="e">
        <f t="shared" si="138"/>
        <v>#DIV/0!</v>
      </c>
      <c r="X145" t="e">
        <f t="shared" si="139"/>
        <v>#VALUE!</v>
      </c>
      <c r="Y145" t="e">
        <f t="shared" si="140"/>
        <v>#VALUE!</v>
      </c>
      <c r="Z145" t="e">
        <f t="shared" si="141"/>
        <v>#VALUE!</v>
      </c>
      <c r="AA145" t="e">
        <f t="shared" si="127"/>
        <v>#VALUE!</v>
      </c>
      <c r="AB145" t="str">
        <f t="shared" si="142"/>
        <v/>
      </c>
      <c r="AC145" t="str">
        <f t="shared" si="143"/>
        <v/>
      </c>
      <c r="AD145" t="str">
        <f t="shared" si="144"/>
        <v/>
      </c>
      <c r="AE145" t="str">
        <f t="shared" si="145"/>
        <v/>
      </c>
      <c r="AK145" s="4">
        <f t="shared" si="146"/>
        <v>39.300000000000203</v>
      </c>
      <c r="AL145">
        <f t="shared" si="128"/>
        <v>1717.0000000000241</v>
      </c>
      <c r="AM145">
        <f t="shared" si="129"/>
        <v>9539.4404761904589</v>
      </c>
      <c r="AN145">
        <f>IF($AK144+$AK$1&lt;=Data!$H$4-0.5,AVERAGE(AM143:AM147),AN144)</f>
        <v>9539.4404761904589</v>
      </c>
      <c r="AO145">
        <f t="shared" si="130"/>
        <v>9144.9999999999764</v>
      </c>
      <c r="AP145">
        <f t="shared" si="147"/>
        <v>10328.099999999986</v>
      </c>
      <c r="AQ145">
        <f>IF($AK144+$AK$1&lt;=Data!$H$4-0.5,AVERAGE(AP143:AP147),AQ144)</f>
        <v>10328.099999999988</v>
      </c>
      <c r="AR145">
        <f>IF($AK144+$AK$1&lt;=Data!$H$4-0.5,SLOPE($AN141:$AN149,$AK141:$AK149),AR144)</f>
        <v>-119.42341269838604</v>
      </c>
      <c r="AS145">
        <f>IF($AK144+$AK$1&lt;=Data!$H$4-0.5,SLOPE($AQ141:$AQ149,$AK141:$AK149),AS144)</f>
        <v>-64.81666666666932</v>
      </c>
      <c r="AT145" t="str">
        <f>IF(AND($AK145&gt;=Results!$G$13,$AK145&lt;=Results!$G$14),Curves!AR145,"")</f>
        <v/>
      </c>
      <c r="AU145" t="str">
        <f>IF(AND($AK145&gt;=Results!$G$13,$AK145&lt;=Results!$G$14),Curves!AS145,"")</f>
        <v/>
      </c>
      <c r="AV145" t="str">
        <f t="shared" si="131"/>
        <v/>
      </c>
      <c r="AW145" t="str">
        <f>IF(AND($AK145&lt;=Results!$I$21,$AK145&gt;=Results!$I$20,$AK145&lt;=Results!$F$4),$AN145,"")</f>
        <v/>
      </c>
      <c r="AX145" t="str">
        <f t="shared" si="131"/>
        <v/>
      </c>
      <c r="AY145" t="str">
        <f>IF(AND($AK145&lt;=Results!$I$23,$AK145&gt;=Results!$I$22,$AK145&gt;=Results!$F$4),$AN145,"")</f>
        <v/>
      </c>
      <c r="AZ145">
        <f t="shared" si="104"/>
        <v>39.300000000000203</v>
      </c>
      <c r="BA145">
        <f>IF(AND($AK145&lt;=Results!$I$27,$AK145&gt;=Results!$I$26,$AK145&lt;=Results!$F$4),$AQ145,"")</f>
        <v>10328.099999999988</v>
      </c>
      <c r="BB145" t="str">
        <f t="shared" si="105"/>
        <v/>
      </c>
      <c r="BC145" t="str">
        <f>IF(AND($AK145&lt;=Results!$I$29,$AK145&gt;=Results!$I$28,$AK145&gt;=Results!$F$4),$AQ145,"")</f>
        <v/>
      </c>
      <c r="BD145">
        <f t="shared" si="106"/>
        <v>10526.541165426168</v>
      </c>
      <c r="BE145">
        <f t="shared" si="107"/>
        <v>2171.9039959574629</v>
      </c>
      <c r="BF145">
        <f t="shared" si="108"/>
        <v>10320.284928691462</v>
      </c>
      <c r="BG145">
        <f t="shared" si="109"/>
        <v>1322.3262600881903</v>
      </c>
      <c r="BH145">
        <f t="shared" si="110"/>
        <v>0</v>
      </c>
      <c r="BI145">
        <f t="shared" si="111"/>
        <v>0.88184996317458486</v>
      </c>
      <c r="BJ145">
        <f t="shared" si="112"/>
        <v>1.0008685382536591</v>
      </c>
      <c r="BK145">
        <f t="shared" si="113"/>
        <v>7.0839453513437225E-4</v>
      </c>
      <c r="BL145">
        <f t="shared" si="114"/>
        <v>7.3628089695464485E-4</v>
      </c>
      <c r="BM145">
        <f t="shared" si="132"/>
        <v>119.99999999999829</v>
      </c>
      <c r="BN145">
        <f t="shared" si="133"/>
        <v>-120.00000000000739</v>
      </c>
      <c r="BO145">
        <f>Data!$H$2*(1-BI145)*(1-BI145/Data!$H$3)*BM145</f>
        <v>3.350263488443221E-6</v>
      </c>
      <c r="BP145">
        <f t="shared" si="115"/>
        <v>-105.82199558094868</v>
      </c>
      <c r="BQ145">
        <f>Data!$H$2*(1-BJ145)*(1-BJ145/Data!$H$3)*BN145</f>
        <v>-1.8104608753660556E-10</v>
      </c>
      <c r="BR145">
        <f t="shared" si="116"/>
        <v>120.10422459044648</v>
      </c>
      <c r="BS145">
        <f t="shared" si="117"/>
        <v>0</v>
      </c>
      <c r="BT145">
        <f t="shared" si="118"/>
        <v>0</v>
      </c>
      <c r="BU145">
        <f t="shared" si="119"/>
        <v>0</v>
      </c>
      <c r="BV145">
        <f t="shared" si="120"/>
        <v>0</v>
      </c>
      <c r="BW145">
        <f t="shared" si="134"/>
        <v>0</v>
      </c>
      <c r="BX145" t="str">
        <f t="shared" si="135"/>
        <v/>
      </c>
      <c r="BY145" s="66" t="str">
        <f t="shared" si="121"/>
        <v/>
      </c>
      <c r="BZ145" t="str">
        <f t="shared" si="122"/>
        <v/>
      </c>
      <c r="CA145" s="67" t="str">
        <f t="shared" si="123"/>
        <v/>
      </c>
    </row>
    <row r="146" spans="4:79" x14ac:dyDescent="0.25">
      <c r="D146" s="3" t="e">
        <f t="shared" si="148"/>
        <v>#DIV/0!</v>
      </c>
      <c r="E146" s="3" t="e">
        <f t="shared" si="148"/>
        <v>#DIV/0!</v>
      </c>
      <c r="F146" t="str">
        <f>IF(A146&gt;0,IF(F145=1,1,IF(B146=Data!$H$4,1,0)),"")</f>
        <v/>
      </c>
      <c r="O146" s="3"/>
      <c r="P146" s="3"/>
      <c r="Q146" t="str">
        <f t="shared" si="124"/>
        <v/>
      </c>
      <c r="R146" s="4" t="str">
        <f t="shared" si="125"/>
        <v/>
      </c>
      <c r="S146" t="e">
        <f t="shared" si="136"/>
        <v>#DIV/0!</v>
      </c>
      <c r="T146" t="e">
        <f t="shared" si="149"/>
        <v>#DIV/0!</v>
      </c>
      <c r="U146" s="4">
        <f t="shared" si="126"/>
        <v>0</v>
      </c>
      <c r="V146" t="e">
        <f t="shared" si="137"/>
        <v>#DIV/0!</v>
      </c>
      <c r="W146" t="e">
        <f t="shared" si="138"/>
        <v>#DIV/0!</v>
      </c>
      <c r="X146" t="e">
        <f t="shared" si="139"/>
        <v>#VALUE!</v>
      </c>
      <c r="Y146" t="e">
        <f t="shared" si="140"/>
        <v>#VALUE!</v>
      </c>
      <c r="Z146" t="e">
        <f t="shared" si="141"/>
        <v>#VALUE!</v>
      </c>
      <c r="AA146" t="e">
        <f t="shared" si="127"/>
        <v>#VALUE!</v>
      </c>
      <c r="AB146" t="str">
        <f t="shared" si="142"/>
        <v/>
      </c>
      <c r="AC146" t="str">
        <f t="shared" si="143"/>
        <v/>
      </c>
      <c r="AD146" t="str">
        <f t="shared" si="144"/>
        <v/>
      </c>
      <c r="AE146" t="str">
        <f t="shared" si="145"/>
        <v/>
      </c>
      <c r="AK146" s="4">
        <f t="shared" si="146"/>
        <v>39.400000000000205</v>
      </c>
      <c r="AL146">
        <f t="shared" si="128"/>
        <v>1729.0000000000241</v>
      </c>
      <c r="AM146">
        <f t="shared" si="129"/>
        <v>9530.1428571428387</v>
      </c>
      <c r="AN146">
        <f>IF($AK145+$AK$1&lt;=Data!$H$4-0.5,AVERAGE(AM144:AM148),AN145)</f>
        <v>9530.1428571428405</v>
      </c>
      <c r="AO146">
        <f t="shared" si="130"/>
        <v>9132.9999999999745</v>
      </c>
      <c r="AP146">
        <f t="shared" si="147"/>
        <v>10321.466666666653</v>
      </c>
      <c r="AQ146">
        <f>IF($AK145+$AK$1&lt;=Data!$H$4-0.5,AVERAGE(AP144:AP148),AQ145)</f>
        <v>10321.466666666654</v>
      </c>
      <c r="AR146">
        <f>IF($AK145+$AK$1&lt;=Data!$H$4-0.5,SLOPE($AN142:$AN150,$AK142:$AK150),AR145)</f>
        <v>-104.31071428568524</v>
      </c>
      <c r="AS146">
        <f>IF($AK145+$AK$1&lt;=Data!$H$4-0.5,SLOPE($AQ142:$AQ150,$AK142:$AK150),AS145)</f>
        <v>-65.68333333333517</v>
      </c>
      <c r="AT146" t="str">
        <f>IF(AND($AK146&gt;=Results!$G$13,$AK146&lt;=Results!$G$14),Curves!AR146,"")</f>
        <v/>
      </c>
      <c r="AU146" t="str">
        <f>IF(AND($AK146&gt;=Results!$G$13,$AK146&lt;=Results!$G$14),Curves!AS146,"")</f>
        <v/>
      </c>
      <c r="AV146" t="str">
        <f t="shared" si="131"/>
        <v/>
      </c>
      <c r="AW146" t="str">
        <f>IF(AND($AK146&lt;=Results!$I$21,$AK146&gt;=Results!$I$20,$AK146&lt;=Results!$F$4),$AN146,"")</f>
        <v/>
      </c>
      <c r="AX146" t="str">
        <f t="shared" si="131"/>
        <v/>
      </c>
      <c r="AY146" t="str">
        <f>IF(AND($AK146&lt;=Results!$I$23,$AK146&gt;=Results!$I$22,$AK146&gt;=Results!$F$4),$AN146,"")</f>
        <v/>
      </c>
      <c r="AZ146">
        <f t="shared" si="104"/>
        <v>39.400000000000205</v>
      </c>
      <c r="BA146">
        <f>IF(AND($AK146&lt;=Results!$I$27,$AK146&gt;=Results!$I$26,$AK146&lt;=Results!$F$4),$AQ146,"")</f>
        <v>10321.466666666654</v>
      </c>
      <c r="BB146" t="str">
        <f t="shared" si="105"/>
        <v/>
      </c>
      <c r="BC146" t="str">
        <f>IF(AND($AK146&lt;=Results!$I$29,$AK146&gt;=Results!$I$28,$AK146&gt;=Results!$F$4),$AQ146,"")</f>
        <v/>
      </c>
      <c r="BD146">
        <f t="shared" si="106"/>
        <v>10515.770970628248</v>
      </c>
      <c r="BE146">
        <f t="shared" si="107"/>
        <v>2168.588206708142</v>
      </c>
      <c r="BF146">
        <f t="shared" si="108"/>
        <v>10312.99494645857</v>
      </c>
      <c r="BG146">
        <f t="shared" si="109"/>
        <v>1321.7754591286653</v>
      </c>
      <c r="BH146">
        <f t="shared" si="110"/>
        <v>0</v>
      </c>
      <c r="BI146">
        <f t="shared" si="111"/>
        <v>0.88192086583443585</v>
      </c>
      <c r="BJ146">
        <f t="shared" si="112"/>
        <v>1.0009422214884225</v>
      </c>
      <c r="BK146">
        <f t="shared" si="113"/>
        <v>7.0966035677521124E-4</v>
      </c>
      <c r="BL146">
        <f t="shared" si="114"/>
        <v>7.3738503922892221E-4</v>
      </c>
      <c r="BM146">
        <f t="shared" si="132"/>
        <v>119.99999999999942</v>
      </c>
      <c r="BN146">
        <f t="shared" si="133"/>
        <v>-120.00000000000739</v>
      </c>
      <c r="BO146">
        <f>Data!$H$2*(1-BI146)*(1-BI146/Data!$H$3)*BM146</f>
        <v>3.3462436620694156E-6</v>
      </c>
      <c r="BP146">
        <f t="shared" si="115"/>
        <v>-105.83050390013179</v>
      </c>
      <c r="BQ146">
        <f>Data!$H$2*(1-BJ146)*(1-BJ146/Data!$H$3)*BN146</f>
        <v>-2.130675199788353E-10</v>
      </c>
      <c r="BR146">
        <f t="shared" si="116"/>
        <v>120.11306657861809</v>
      </c>
      <c r="BS146">
        <f t="shared" si="117"/>
        <v>0</v>
      </c>
      <c r="BT146">
        <f t="shared" si="118"/>
        <v>0</v>
      </c>
      <c r="BU146">
        <f t="shared" si="119"/>
        <v>0</v>
      </c>
      <c r="BV146">
        <f t="shared" si="120"/>
        <v>0</v>
      </c>
      <c r="BW146">
        <f t="shared" si="134"/>
        <v>0</v>
      </c>
      <c r="BX146" t="str">
        <f t="shared" si="135"/>
        <v/>
      </c>
      <c r="BY146" s="66" t="str">
        <f t="shared" si="121"/>
        <v/>
      </c>
      <c r="BZ146" t="str">
        <f t="shared" si="122"/>
        <v/>
      </c>
      <c r="CA146" s="67" t="str">
        <f t="shared" si="123"/>
        <v/>
      </c>
    </row>
    <row r="147" spans="4:79" x14ac:dyDescent="0.25">
      <c r="D147" s="3" t="e">
        <f t="shared" si="148"/>
        <v>#DIV/0!</v>
      </c>
      <c r="E147" s="3" t="e">
        <f t="shared" si="148"/>
        <v>#DIV/0!</v>
      </c>
      <c r="F147" t="str">
        <f>IF(A147&gt;0,IF(F146=1,1,IF(B147=Data!$H$4,1,0)),"")</f>
        <v/>
      </c>
      <c r="O147" s="3"/>
      <c r="P147" s="3"/>
      <c r="Q147" t="str">
        <f t="shared" si="124"/>
        <v/>
      </c>
      <c r="R147" s="4" t="str">
        <f t="shared" si="125"/>
        <v/>
      </c>
      <c r="S147" t="e">
        <f t="shared" si="136"/>
        <v>#DIV/0!</v>
      </c>
      <c r="T147" t="e">
        <f t="shared" si="149"/>
        <v>#DIV/0!</v>
      </c>
      <c r="U147" s="4">
        <f t="shared" si="126"/>
        <v>0</v>
      </c>
      <c r="V147" t="e">
        <f t="shared" si="137"/>
        <v>#DIV/0!</v>
      </c>
      <c r="W147" t="e">
        <f t="shared" si="138"/>
        <v>#DIV/0!</v>
      </c>
      <c r="X147" t="e">
        <f t="shared" si="139"/>
        <v>#VALUE!</v>
      </c>
      <c r="Y147" t="e">
        <f t="shared" si="140"/>
        <v>#VALUE!</v>
      </c>
      <c r="Z147" t="e">
        <f t="shared" si="141"/>
        <v>#VALUE!</v>
      </c>
      <c r="AA147" t="e">
        <f t="shared" si="127"/>
        <v>#VALUE!</v>
      </c>
      <c r="AB147" t="str">
        <f t="shared" si="142"/>
        <v/>
      </c>
      <c r="AC147" t="str">
        <f t="shared" si="143"/>
        <v/>
      </c>
      <c r="AD147" t="str">
        <f t="shared" si="144"/>
        <v/>
      </c>
      <c r="AE147" t="str">
        <f t="shared" si="145"/>
        <v/>
      </c>
      <c r="AK147" s="4">
        <f t="shared" si="146"/>
        <v>39.500000000000206</v>
      </c>
      <c r="AL147">
        <f t="shared" si="128"/>
        <v>1741.0000000000243</v>
      </c>
      <c r="AM147">
        <f t="shared" si="129"/>
        <v>9520.8452380952185</v>
      </c>
      <c r="AN147">
        <f>IF($AK146+$AK$1&lt;=Data!$H$4-0.5,AVERAGE(AM145:AM149),AN146)</f>
        <v>9520.8452380952185</v>
      </c>
      <c r="AO147">
        <f t="shared" si="130"/>
        <v>9120.9999999999745</v>
      </c>
      <c r="AP147">
        <f t="shared" si="147"/>
        <v>10314.833333333319</v>
      </c>
      <c r="AQ147">
        <f>IF($AK146+$AK$1&lt;=Data!$H$4-0.5,AVERAGE(AP145:AP149),AQ146)</f>
        <v>10314.833333333319</v>
      </c>
      <c r="AR147">
        <f>IF($AK146+$AK$1&lt;=Data!$H$4-0.5,SLOPE($AN143:$AN151,$AK143:$AK151),AR146)</f>
        <v>-88.859365079320568</v>
      </c>
      <c r="AS147">
        <f>IF($AK146+$AK$1&lt;=Data!$H$4-0.5,SLOPE($AQ143:$AQ151,$AK143:$AK151),AS146)</f>
        <v>-66.311111111115338</v>
      </c>
      <c r="AT147" t="str">
        <f>IF(AND($AK147&gt;=Results!$G$13,$AK147&lt;=Results!$G$14),Curves!AR147,"")</f>
        <v/>
      </c>
      <c r="AU147" t="str">
        <f>IF(AND($AK147&gt;=Results!$G$13,$AK147&lt;=Results!$G$14),Curves!AS147,"")</f>
        <v/>
      </c>
      <c r="AV147" t="str">
        <f t="shared" si="131"/>
        <v/>
      </c>
      <c r="AW147" t="str">
        <f>IF(AND($AK147&lt;=Results!$I$21,$AK147&gt;=Results!$I$20,$AK147&lt;=Results!$F$4),$AN147,"")</f>
        <v/>
      </c>
      <c r="AX147" t="str">
        <f t="shared" si="131"/>
        <v/>
      </c>
      <c r="AY147" t="str">
        <f>IF(AND($AK147&lt;=Results!$I$23,$AK147&gt;=Results!$I$22,$AK147&gt;=Results!$F$4),$AN147,"")</f>
        <v/>
      </c>
      <c r="AZ147">
        <f t="shared" si="104"/>
        <v>39.500000000000206</v>
      </c>
      <c r="BA147">
        <f>IF(AND($AK147&lt;=Results!$I$27,$AK147&gt;=Results!$I$26,$AK147&lt;=Results!$F$4),$AQ147,"")</f>
        <v>10314.833333333319</v>
      </c>
      <c r="BB147" t="str">
        <f t="shared" si="105"/>
        <v/>
      </c>
      <c r="BC147" t="str">
        <f>IF(AND($AK147&lt;=Results!$I$29,$AK147&gt;=Results!$I$28,$AK147&gt;=Results!$F$4),$AQ147,"")</f>
        <v/>
      </c>
      <c r="BD147">
        <f t="shared" si="106"/>
        <v>10505.000775830329</v>
      </c>
      <c r="BE147">
        <f t="shared" si="107"/>
        <v>2165.2724174588211</v>
      </c>
      <c r="BF147">
        <f t="shared" si="108"/>
        <v>10305.704964225675</v>
      </c>
      <c r="BG147">
        <f t="shared" si="109"/>
        <v>1321.2246581691402</v>
      </c>
      <c r="BH147">
        <f t="shared" si="110"/>
        <v>0</v>
      </c>
      <c r="BI147">
        <f t="shared" si="111"/>
        <v>0.88199189524593991</v>
      </c>
      <c r="BJ147">
        <f t="shared" si="112"/>
        <v>1.0010160152615049</v>
      </c>
      <c r="BK147">
        <f t="shared" si="113"/>
        <v>7.1092957427408945E-4</v>
      </c>
      <c r="BL147">
        <f t="shared" si="114"/>
        <v>7.3849166706162531E-4</v>
      </c>
      <c r="BM147">
        <f t="shared" si="132"/>
        <v>119.99999999999942</v>
      </c>
      <c r="BN147">
        <f t="shared" si="133"/>
        <v>-119.99999999999829</v>
      </c>
      <c r="BO147">
        <f>Data!$H$2*(1-BI147)*(1-BI147/Data!$H$3)*BM147</f>
        <v>3.3422190690348363E-6</v>
      </c>
      <c r="BP147">
        <f t="shared" si="115"/>
        <v>-105.83902742951227</v>
      </c>
      <c r="BQ147">
        <f>Data!$H$2*(1-BJ147)*(1-BJ147/Data!$H$3)*BN147</f>
        <v>-2.4774888278658317E-10</v>
      </c>
      <c r="BR147">
        <f t="shared" si="116"/>
        <v>120.12192183137887</v>
      </c>
      <c r="BS147">
        <f t="shared" si="117"/>
        <v>0</v>
      </c>
      <c r="BT147">
        <f t="shared" si="118"/>
        <v>0</v>
      </c>
      <c r="BU147">
        <f t="shared" si="119"/>
        <v>0</v>
      </c>
      <c r="BV147">
        <f t="shared" si="120"/>
        <v>0</v>
      </c>
      <c r="BW147">
        <f t="shared" si="134"/>
        <v>0</v>
      </c>
      <c r="BX147" t="str">
        <f t="shared" si="135"/>
        <v/>
      </c>
      <c r="BY147" s="66" t="str">
        <f t="shared" si="121"/>
        <v/>
      </c>
      <c r="BZ147" t="str">
        <f t="shared" si="122"/>
        <v/>
      </c>
      <c r="CA147" s="67" t="str">
        <f t="shared" si="123"/>
        <v/>
      </c>
    </row>
    <row r="148" spans="4:79" x14ac:dyDescent="0.25">
      <c r="D148" s="3" t="e">
        <f t="shared" si="148"/>
        <v>#DIV/0!</v>
      </c>
      <c r="E148" s="3" t="e">
        <f t="shared" si="148"/>
        <v>#DIV/0!</v>
      </c>
      <c r="F148" t="str">
        <f>IF(A148&gt;0,IF(F147=1,1,IF(B148=Data!$H$4,1,0)),"")</f>
        <v/>
      </c>
      <c r="O148" s="3"/>
      <c r="P148" s="3"/>
      <c r="Q148" t="str">
        <f t="shared" si="124"/>
        <v/>
      </c>
      <c r="R148" s="4" t="str">
        <f t="shared" si="125"/>
        <v/>
      </c>
      <c r="S148" t="e">
        <f t="shared" si="136"/>
        <v>#DIV/0!</v>
      </c>
      <c r="T148" t="e">
        <f t="shared" si="149"/>
        <v>#DIV/0!</v>
      </c>
      <c r="U148" s="4">
        <f t="shared" si="126"/>
        <v>0</v>
      </c>
      <c r="V148" t="e">
        <f t="shared" si="137"/>
        <v>#DIV/0!</v>
      </c>
      <c r="W148" t="e">
        <f t="shared" si="138"/>
        <v>#DIV/0!</v>
      </c>
      <c r="X148" t="e">
        <f t="shared" si="139"/>
        <v>#VALUE!</v>
      </c>
      <c r="Y148" t="e">
        <f t="shared" si="140"/>
        <v>#VALUE!</v>
      </c>
      <c r="Z148" t="e">
        <f t="shared" si="141"/>
        <v>#VALUE!</v>
      </c>
      <c r="AA148" t="e">
        <f t="shared" si="127"/>
        <v>#VALUE!</v>
      </c>
      <c r="AB148" t="str">
        <f t="shared" si="142"/>
        <v/>
      </c>
      <c r="AC148" t="str">
        <f t="shared" si="143"/>
        <v/>
      </c>
      <c r="AD148" t="str">
        <f t="shared" si="144"/>
        <v/>
      </c>
      <c r="AE148" t="str">
        <f t="shared" si="145"/>
        <v/>
      </c>
      <c r="AK148" s="4">
        <f t="shared" si="146"/>
        <v>39.600000000000207</v>
      </c>
      <c r="AL148">
        <f t="shared" si="128"/>
        <v>1753.0000000000243</v>
      </c>
      <c r="AM148">
        <f t="shared" si="129"/>
        <v>9511.5476190476002</v>
      </c>
      <c r="AN148">
        <f>IF($AK147+$AK$1&lt;=Data!$H$4-0.5,AVERAGE(AM146:AM150),AN147)</f>
        <v>9511.5476190476002</v>
      </c>
      <c r="AO148">
        <f t="shared" si="130"/>
        <v>9108.9999999999745</v>
      </c>
      <c r="AP148">
        <f t="shared" si="147"/>
        <v>10308.199999999986</v>
      </c>
      <c r="AQ148">
        <f>IF($AK147+$AK$1&lt;=Data!$H$4-0.5,AVERAGE(AP146:AP150),AQ147)</f>
        <v>10308.199999999986</v>
      </c>
      <c r="AR148">
        <f>IF($AK147+$AK$1&lt;=Data!$H$4-0.5,SLOPE($AN144:$AN152,$AK144:$AK152),AR147)</f>
        <v>-66.203571428499288</v>
      </c>
      <c r="AS148">
        <f>IF($AK147+$AK$1&lt;=Data!$H$4-0.5,SLOPE($AQ144:$AQ152,$AK144:$AK152),AS147)</f>
        <v>-66.900000000003814</v>
      </c>
      <c r="AT148" t="str">
        <f>IF(AND($AK148&gt;=Results!$G$13,$AK148&lt;=Results!$G$14),Curves!AR148,"")</f>
        <v/>
      </c>
      <c r="AU148" t="str">
        <f>IF(AND($AK148&gt;=Results!$G$13,$AK148&lt;=Results!$G$14),Curves!AS148,"")</f>
        <v/>
      </c>
      <c r="AV148" t="str">
        <f t="shared" si="131"/>
        <v/>
      </c>
      <c r="AW148" t="str">
        <f>IF(AND($AK148&lt;=Results!$I$21,$AK148&gt;=Results!$I$20,$AK148&lt;=Results!$F$4),$AN148,"")</f>
        <v/>
      </c>
      <c r="AX148" t="str">
        <f t="shared" si="131"/>
        <v/>
      </c>
      <c r="AY148" t="str">
        <f>IF(AND($AK148&lt;=Results!$I$23,$AK148&gt;=Results!$I$22,$AK148&gt;=Results!$F$4),$AN148,"")</f>
        <v/>
      </c>
      <c r="AZ148">
        <f t="shared" si="104"/>
        <v>39.600000000000207</v>
      </c>
      <c r="BA148">
        <f>IF(AND($AK148&lt;=Results!$I$27,$AK148&gt;=Results!$I$26,$AK148&lt;=Results!$F$4),$AQ148,"")</f>
        <v>10308.199999999986</v>
      </c>
      <c r="BB148" t="str">
        <f t="shared" si="105"/>
        <v/>
      </c>
      <c r="BC148" t="str">
        <f>IF(AND($AK148&lt;=Results!$I$29,$AK148&gt;=Results!$I$28,$AK148&gt;=Results!$F$4),$AQ148,"")</f>
        <v/>
      </c>
      <c r="BD148">
        <f t="shared" si="106"/>
        <v>10494.230581032409</v>
      </c>
      <c r="BE148">
        <f t="shared" si="107"/>
        <v>2161.9566282095002</v>
      </c>
      <c r="BF148">
        <f t="shared" si="108"/>
        <v>10298.414981992782</v>
      </c>
      <c r="BG148">
        <f t="shared" si="109"/>
        <v>1320.6738572096151</v>
      </c>
      <c r="BH148">
        <f t="shared" si="110"/>
        <v>0</v>
      </c>
      <c r="BI148">
        <f t="shared" si="111"/>
        <v>0.88206305174929067</v>
      </c>
      <c r="BJ148">
        <f t="shared" si="112"/>
        <v>1.0010899198218348</v>
      </c>
      <c r="BK148">
        <f t="shared" si="113"/>
        <v>7.1220219979016932E-4</v>
      </c>
      <c r="BL148">
        <f t="shared" si="114"/>
        <v>7.39600787917894E-4</v>
      </c>
      <c r="BM148">
        <f t="shared" si="132"/>
        <v>119.99999999999829</v>
      </c>
      <c r="BN148">
        <f t="shared" si="133"/>
        <v>-119.99999999999829</v>
      </c>
      <c r="BO148">
        <f>Data!$H$2*(1-BI148)*(1-BI148/Data!$H$3)*BM148</f>
        <v>3.3381897030456704E-6</v>
      </c>
      <c r="BP148">
        <f t="shared" si="115"/>
        <v>-105.84756620991338</v>
      </c>
      <c r="BQ148">
        <f>Data!$H$2*(1-BJ148)*(1-BJ148/Data!$H$3)*BN148</f>
        <v>-2.8510205232682149E-10</v>
      </c>
      <c r="BR148">
        <f t="shared" si="116"/>
        <v>120.13079037861847</v>
      </c>
      <c r="BS148">
        <f t="shared" si="117"/>
        <v>0</v>
      </c>
      <c r="BT148">
        <f t="shared" si="118"/>
        <v>0</v>
      </c>
      <c r="BU148">
        <f t="shared" si="119"/>
        <v>0</v>
      </c>
      <c r="BV148">
        <f t="shared" si="120"/>
        <v>0</v>
      </c>
      <c r="BW148">
        <f t="shared" si="134"/>
        <v>0</v>
      </c>
      <c r="BX148" t="str">
        <f t="shared" si="135"/>
        <v/>
      </c>
      <c r="BY148" s="66" t="str">
        <f t="shared" si="121"/>
        <v/>
      </c>
      <c r="BZ148" t="str">
        <f t="shared" si="122"/>
        <v/>
      </c>
      <c r="CA148" s="67" t="str">
        <f t="shared" si="123"/>
        <v/>
      </c>
    </row>
    <row r="149" spans="4:79" x14ac:dyDescent="0.25">
      <c r="D149" s="3" t="e">
        <f t="shared" si="148"/>
        <v>#DIV/0!</v>
      </c>
      <c r="E149" s="3" t="e">
        <f t="shared" si="148"/>
        <v>#DIV/0!</v>
      </c>
      <c r="F149" t="str">
        <f>IF(A149&gt;0,IF(F148=1,1,IF(B149=Data!$H$4,1,0)),"")</f>
        <v/>
      </c>
      <c r="O149" s="3"/>
      <c r="P149" s="3"/>
      <c r="Q149" t="str">
        <f t="shared" si="124"/>
        <v/>
      </c>
      <c r="R149" s="4" t="str">
        <f t="shared" si="125"/>
        <v/>
      </c>
      <c r="S149" t="e">
        <f t="shared" si="136"/>
        <v>#DIV/0!</v>
      </c>
      <c r="T149" t="e">
        <f t="shared" si="149"/>
        <v>#DIV/0!</v>
      </c>
      <c r="U149" s="4">
        <f t="shared" si="126"/>
        <v>0</v>
      </c>
      <c r="V149" t="e">
        <f t="shared" si="137"/>
        <v>#DIV/0!</v>
      </c>
      <c r="W149" t="e">
        <f t="shared" si="138"/>
        <v>#DIV/0!</v>
      </c>
      <c r="X149" t="e">
        <f t="shared" si="139"/>
        <v>#VALUE!</v>
      </c>
      <c r="Y149" t="e">
        <f t="shared" si="140"/>
        <v>#VALUE!</v>
      </c>
      <c r="Z149" t="e">
        <f t="shared" si="141"/>
        <v>#VALUE!</v>
      </c>
      <c r="AA149" t="e">
        <f t="shared" si="127"/>
        <v>#VALUE!</v>
      </c>
      <c r="AB149" t="str">
        <f t="shared" si="142"/>
        <v/>
      </c>
      <c r="AC149" t="str">
        <f t="shared" si="143"/>
        <v/>
      </c>
      <c r="AD149" t="str">
        <f t="shared" si="144"/>
        <v/>
      </c>
      <c r="AE149" t="str">
        <f t="shared" si="145"/>
        <v/>
      </c>
      <c r="AK149" s="4">
        <f t="shared" si="146"/>
        <v>39.700000000000209</v>
      </c>
      <c r="AL149">
        <f t="shared" si="128"/>
        <v>1765.0000000000243</v>
      </c>
      <c r="AM149">
        <f t="shared" si="129"/>
        <v>9502.24999999998</v>
      </c>
      <c r="AN149">
        <f>IF($AK148+$AK$1&lt;=Data!$H$4-0.5,AVERAGE(AM147:AM151),AN148)</f>
        <v>9502.24999999998</v>
      </c>
      <c r="AO149">
        <f t="shared" si="130"/>
        <v>9096.9999999999745</v>
      </c>
      <c r="AP149">
        <f t="shared" si="147"/>
        <v>10301.566666666653</v>
      </c>
      <c r="AQ149">
        <f>IF($AK148+$AK$1&lt;=Data!$H$4-0.5,AVERAGE(AP147:AP151),AQ148)</f>
        <v>10301.566666666651</v>
      </c>
      <c r="AR149">
        <f>IF($AK148+$AK$1&lt;=Data!$H$4-0.5,SLOPE($AN145:$AN153,$AK145:$AK153),AR148)</f>
        <v>-30.506746031636361</v>
      </c>
      <c r="AS149">
        <f>IF($AK148+$AK$1&lt;=Data!$H$4-0.5,SLOPE($AQ145:$AQ153,$AK145:$AK153),AS148)</f>
        <v>-67.655555555561122</v>
      </c>
      <c r="AT149" t="str">
        <f>IF(AND($AK149&gt;=Results!$G$13,$AK149&lt;=Results!$G$14),Curves!AR149,"")</f>
        <v/>
      </c>
      <c r="AU149" t="str">
        <f>IF(AND($AK149&gt;=Results!$G$13,$AK149&lt;=Results!$G$14),Curves!AS149,"")</f>
        <v/>
      </c>
      <c r="AV149" t="str">
        <f t="shared" si="131"/>
        <v/>
      </c>
      <c r="AW149" t="str">
        <f>IF(AND($AK149&lt;=Results!$I$21,$AK149&gt;=Results!$I$20,$AK149&lt;=Results!$F$4),$AN149,"")</f>
        <v/>
      </c>
      <c r="AX149" t="str">
        <f t="shared" si="131"/>
        <v/>
      </c>
      <c r="AY149" t="str">
        <f>IF(AND($AK149&lt;=Results!$I$23,$AK149&gt;=Results!$I$22,$AK149&gt;=Results!$F$4),$AN149,"")</f>
        <v/>
      </c>
      <c r="AZ149">
        <f t="shared" si="104"/>
        <v>39.700000000000209</v>
      </c>
      <c r="BA149">
        <f>IF(AND($AK149&lt;=Results!$I$27,$AK149&gt;=Results!$I$26,$AK149&lt;=Results!$F$4),$AQ149,"")</f>
        <v>10301.566666666651</v>
      </c>
      <c r="BB149" t="str">
        <f t="shared" si="105"/>
        <v/>
      </c>
      <c r="BC149" t="str">
        <f>IF(AND($AK149&lt;=Results!$I$29,$AK149&gt;=Results!$I$28,$AK149&gt;=Results!$F$4),$AQ149,"")</f>
        <v/>
      </c>
      <c r="BD149">
        <f t="shared" si="106"/>
        <v>10483.460386234488</v>
      </c>
      <c r="BE149">
        <f t="shared" si="107"/>
        <v>2158.6408389601793</v>
      </c>
      <c r="BF149">
        <f t="shared" si="108"/>
        <v>10291.12499975989</v>
      </c>
      <c r="BG149">
        <f t="shared" si="109"/>
        <v>1320.1230562500903</v>
      </c>
      <c r="BH149">
        <f t="shared" si="110"/>
        <v>0</v>
      </c>
      <c r="BI149">
        <f t="shared" si="111"/>
        <v>0.88213433568589794</v>
      </c>
      <c r="BJ149">
        <f t="shared" si="112"/>
        <v>1.0011639354190884</v>
      </c>
      <c r="BK149">
        <f t="shared" si="113"/>
        <v>7.1347824554423103E-4</v>
      </c>
      <c r="BL149">
        <f t="shared" si="114"/>
        <v>7.4071240929062313E-4</v>
      </c>
      <c r="BM149">
        <f t="shared" si="132"/>
        <v>119.99999999999942</v>
      </c>
      <c r="BN149">
        <f t="shared" si="133"/>
        <v>-119.99999999999829</v>
      </c>
      <c r="BO149">
        <f>Data!$H$2*(1-BI149)*(1-BI149/Data!$H$3)*BM149</f>
        <v>3.3341555578090857E-6</v>
      </c>
      <c r="BP149">
        <f t="shared" si="115"/>
        <v>-105.85612028230724</v>
      </c>
      <c r="BQ149">
        <f>Data!$H$2*(1-BJ149)*(1-BJ149/Data!$H$3)*BN149</f>
        <v>-3.2513895835405264E-10</v>
      </c>
      <c r="BR149">
        <f t="shared" si="116"/>
        <v>120.13967225028891</v>
      </c>
      <c r="BS149">
        <f t="shared" si="117"/>
        <v>0</v>
      </c>
      <c r="BT149">
        <f t="shared" si="118"/>
        <v>0</v>
      </c>
      <c r="BU149">
        <f t="shared" si="119"/>
        <v>0</v>
      </c>
      <c r="BV149">
        <f t="shared" si="120"/>
        <v>0</v>
      </c>
      <c r="BW149">
        <f t="shared" si="134"/>
        <v>0</v>
      </c>
      <c r="BX149" t="str">
        <f t="shared" si="135"/>
        <v/>
      </c>
      <c r="BY149" s="66" t="str">
        <f t="shared" si="121"/>
        <v/>
      </c>
      <c r="BZ149" t="str">
        <f t="shared" si="122"/>
        <v/>
      </c>
      <c r="CA149" s="67" t="str">
        <f t="shared" si="123"/>
        <v/>
      </c>
    </row>
    <row r="150" spans="4:79" x14ac:dyDescent="0.25">
      <c r="D150" s="3" t="e">
        <f t="shared" si="148"/>
        <v>#DIV/0!</v>
      </c>
      <c r="E150" s="3" t="e">
        <f t="shared" si="148"/>
        <v>#DIV/0!</v>
      </c>
      <c r="F150" t="str">
        <f>IF(A150&gt;0,IF(F149=1,1,IF(B150=Data!$H$4,1,0)),"")</f>
        <v/>
      </c>
      <c r="O150" s="3"/>
      <c r="P150" s="3"/>
      <c r="Q150" t="str">
        <f t="shared" si="124"/>
        <v/>
      </c>
      <c r="R150" s="4" t="str">
        <f t="shared" si="125"/>
        <v/>
      </c>
      <c r="S150" t="e">
        <f t="shared" si="136"/>
        <v>#DIV/0!</v>
      </c>
      <c r="T150" t="e">
        <f t="shared" si="149"/>
        <v>#DIV/0!</v>
      </c>
      <c r="U150" s="4">
        <f t="shared" si="126"/>
        <v>0</v>
      </c>
      <c r="V150" t="e">
        <f t="shared" si="137"/>
        <v>#DIV/0!</v>
      </c>
      <c r="W150" t="e">
        <f t="shared" si="138"/>
        <v>#DIV/0!</v>
      </c>
      <c r="X150" t="e">
        <f t="shared" si="139"/>
        <v>#VALUE!</v>
      </c>
      <c r="Y150" t="e">
        <f t="shared" si="140"/>
        <v>#VALUE!</v>
      </c>
      <c r="Z150" t="e">
        <f t="shared" si="141"/>
        <v>#VALUE!</v>
      </c>
      <c r="AA150" t="e">
        <f t="shared" si="127"/>
        <v>#VALUE!</v>
      </c>
      <c r="AB150" t="str">
        <f t="shared" si="142"/>
        <v/>
      </c>
      <c r="AC150" t="str">
        <f t="shared" si="143"/>
        <v/>
      </c>
      <c r="AD150" t="str">
        <f t="shared" si="144"/>
        <v/>
      </c>
      <c r="AE150" t="str">
        <f t="shared" si="145"/>
        <v/>
      </c>
      <c r="AK150" s="4">
        <f t="shared" si="146"/>
        <v>39.80000000000021</v>
      </c>
      <c r="AL150">
        <f t="shared" si="128"/>
        <v>1777.0000000000246</v>
      </c>
      <c r="AM150">
        <f t="shared" si="129"/>
        <v>9492.9523809523598</v>
      </c>
      <c r="AN150">
        <f>IF($AK149+$AK$1&lt;=Data!$H$4-0.5,AVERAGE(AM148:AM152),AN149)</f>
        <v>9492.9523809523853</v>
      </c>
      <c r="AO150">
        <f t="shared" si="130"/>
        <v>9084.9999999999745</v>
      </c>
      <c r="AP150">
        <f t="shared" si="147"/>
        <v>10294.93333333332</v>
      </c>
      <c r="AQ150">
        <f>IF($AK149+$AK$1&lt;=Data!$H$4-0.5,AVERAGE(AP148:AP152),AQ149)</f>
        <v>10294.933333333318</v>
      </c>
      <c r="AR150">
        <f>IF($AK149+$AK$1&lt;=Data!$H$4-0.5,SLOPE($AN146:$AN154,$AK146:$AK154),AR149)</f>
        <v>23.038492063639424</v>
      </c>
      <c r="AS150">
        <f>IF($AK149+$AK$1&lt;=Data!$H$4-0.5,SLOPE($AQ146:$AQ154,$AK146:$AK154),AS149)</f>
        <v>-68.78888888889341</v>
      </c>
      <c r="AT150" t="str">
        <f>IF(AND($AK150&gt;=Results!$G$13,$AK150&lt;=Results!$G$14),Curves!AR150,"")</f>
        <v/>
      </c>
      <c r="AU150" t="str">
        <f>IF(AND($AK150&gt;=Results!$G$13,$AK150&lt;=Results!$G$14),Curves!AS150,"")</f>
        <v/>
      </c>
      <c r="AV150" t="str">
        <f t="shared" si="131"/>
        <v/>
      </c>
      <c r="AW150" t="str">
        <f>IF(AND($AK150&lt;=Results!$I$21,$AK150&gt;=Results!$I$20,$AK150&lt;=Results!$F$4),$AN150,"")</f>
        <v/>
      </c>
      <c r="AX150" t="str">
        <f t="shared" si="131"/>
        <v/>
      </c>
      <c r="AY150" t="str">
        <f>IF(AND($AK150&lt;=Results!$I$23,$AK150&gt;=Results!$I$22,$AK150&gt;=Results!$F$4),$AN150,"")</f>
        <v/>
      </c>
      <c r="AZ150">
        <f t="shared" si="104"/>
        <v>39.80000000000021</v>
      </c>
      <c r="BA150">
        <f>IF(AND($AK150&lt;=Results!$I$27,$AK150&gt;=Results!$I$26,$AK150&lt;=Results!$F$4),$AQ150,"")</f>
        <v>10294.933333333318</v>
      </c>
      <c r="BB150" t="str">
        <f t="shared" si="105"/>
        <v/>
      </c>
      <c r="BC150" t="str">
        <f>IF(AND($AK150&lt;=Results!$I$29,$AK150&gt;=Results!$I$28,$AK150&gt;=Results!$F$4),$AQ150,"")</f>
        <v/>
      </c>
      <c r="BD150">
        <f t="shared" si="106"/>
        <v>10472.69019143657</v>
      </c>
      <c r="BE150">
        <f t="shared" si="107"/>
        <v>2155.3250497108584</v>
      </c>
      <c r="BF150">
        <f t="shared" si="108"/>
        <v>10283.835017526995</v>
      </c>
      <c r="BG150">
        <f t="shared" si="109"/>
        <v>1319.5722552905652</v>
      </c>
      <c r="BH150">
        <f t="shared" si="110"/>
        <v>0</v>
      </c>
      <c r="BI150">
        <f t="shared" si="111"/>
        <v>0.88220574739839952</v>
      </c>
      <c r="BJ150">
        <f t="shared" si="112"/>
        <v>1.0012380623036929</v>
      </c>
      <c r="BK150">
        <f t="shared" si="113"/>
        <v>7.1582972268257128E-3</v>
      </c>
      <c r="BL150">
        <f t="shared" si="114"/>
        <v>6.1530347425064146E-4</v>
      </c>
      <c r="BM150">
        <f t="shared" si="132"/>
        <v>119.99999999999942</v>
      </c>
      <c r="BN150">
        <f t="shared" si="133"/>
        <v>-119.99999999999829</v>
      </c>
      <c r="BO150">
        <f>Data!$H$2*(1-BI150)*(1-BI150/Data!$H$3)*BM150</f>
        <v>3.3301166270327022E-6</v>
      </c>
      <c r="BP150">
        <f t="shared" si="115"/>
        <v>-105.86468968780743</v>
      </c>
      <c r="BQ150">
        <f>Data!$H$2*(1-BJ150)*(1-BJ150/Data!$H$3)*BN150</f>
        <v>-3.6787158427810978E-10</v>
      </c>
      <c r="BR150">
        <f t="shared" si="116"/>
        <v>120.14856747644144</v>
      </c>
      <c r="BS150">
        <f t="shared" si="117"/>
        <v>0</v>
      </c>
      <c r="BT150">
        <f t="shared" si="118"/>
        <v>0</v>
      </c>
      <c r="BU150">
        <f t="shared" si="119"/>
        <v>0</v>
      </c>
      <c r="BV150">
        <f t="shared" si="120"/>
        <v>0</v>
      </c>
      <c r="BW150">
        <f t="shared" si="134"/>
        <v>0</v>
      </c>
      <c r="BX150" t="str">
        <f t="shared" si="135"/>
        <v/>
      </c>
      <c r="BY150" s="66" t="str">
        <f t="shared" si="121"/>
        <v/>
      </c>
      <c r="BZ150" t="str">
        <f t="shared" si="122"/>
        <v/>
      </c>
      <c r="CA150" s="67" t="str">
        <f t="shared" si="123"/>
        <v/>
      </c>
    </row>
    <row r="151" spans="4:79" x14ac:dyDescent="0.25">
      <c r="D151" s="3" t="e">
        <f t="shared" si="148"/>
        <v>#DIV/0!</v>
      </c>
      <c r="E151" s="3" t="e">
        <f t="shared" si="148"/>
        <v>#DIV/0!</v>
      </c>
      <c r="F151" t="str">
        <f>IF(A151&gt;0,IF(F150=1,1,IF(B151=Data!$H$4,1,0)),"")</f>
        <v/>
      </c>
      <c r="O151" s="3"/>
      <c r="P151" s="3"/>
      <c r="Q151" t="str">
        <f t="shared" si="124"/>
        <v/>
      </c>
      <c r="R151" s="4" t="str">
        <f t="shared" si="125"/>
        <v/>
      </c>
      <c r="S151" t="e">
        <f t="shared" si="136"/>
        <v>#DIV/0!</v>
      </c>
      <c r="T151" t="e">
        <f t="shared" si="149"/>
        <v>#DIV/0!</v>
      </c>
      <c r="U151" s="4">
        <f t="shared" si="126"/>
        <v>0</v>
      </c>
      <c r="V151" t="e">
        <f t="shared" si="137"/>
        <v>#DIV/0!</v>
      </c>
      <c r="W151" t="e">
        <f t="shared" si="138"/>
        <v>#DIV/0!</v>
      </c>
      <c r="X151" t="e">
        <f t="shared" si="139"/>
        <v>#VALUE!</v>
      </c>
      <c r="Y151" t="e">
        <f t="shared" si="140"/>
        <v>#VALUE!</v>
      </c>
      <c r="Z151" t="e">
        <f t="shared" si="141"/>
        <v>#VALUE!</v>
      </c>
      <c r="AA151" t="e">
        <f t="shared" si="127"/>
        <v>#VALUE!</v>
      </c>
      <c r="AB151" t="str">
        <f t="shared" si="142"/>
        <v/>
      </c>
      <c r="AC151" t="str">
        <f t="shared" si="143"/>
        <v/>
      </c>
      <c r="AD151" t="str">
        <f t="shared" si="144"/>
        <v/>
      </c>
      <c r="AE151" t="str">
        <f t="shared" si="145"/>
        <v/>
      </c>
      <c r="AK151" s="4">
        <f t="shared" si="146"/>
        <v>39.900000000000212</v>
      </c>
      <c r="AL151">
        <f t="shared" si="128"/>
        <v>1789.0000000000246</v>
      </c>
      <c r="AM151">
        <f t="shared" si="129"/>
        <v>9483.6547619047415</v>
      </c>
      <c r="AN151">
        <f>IF($AK150+$AK$1&lt;=Data!$H$4-0.5,AVERAGE(AM149:AM153),AN150)</f>
        <v>9494.3638095238348</v>
      </c>
      <c r="AO151">
        <f t="shared" si="130"/>
        <v>9072.9999999999745</v>
      </c>
      <c r="AP151">
        <f t="shared" si="147"/>
        <v>10288.299999999985</v>
      </c>
      <c r="AQ151">
        <f>IF($AK150+$AK$1&lt;=Data!$H$4-0.5,AVERAGE(AP149:AP153),AQ150)</f>
        <v>10288.073333333316</v>
      </c>
      <c r="AR151">
        <f>IF($AK150+$AK$1&lt;=Data!$H$4-0.5,SLOPE($AN147:$AN155,$AK147:$AK155),AR150)</f>
        <v>94.432142857312272</v>
      </c>
      <c r="AS151">
        <f>IF($AK150+$AK$1&lt;=Data!$H$4-0.5,SLOPE($AQ147:$AQ155,$AK147:$AK155),AS150)</f>
        <v>-70.300000000002512</v>
      </c>
      <c r="AT151" t="str">
        <f>IF(AND($AK151&gt;=Results!$G$13,$AK151&lt;=Results!$G$14),Curves!AR151,"")</f>
        <v/>
      </c>
      <c r="AU151" t="str">
        <f>IF(AND($AK151&gt;=Results!$G$13,$AK151&lt;=Results!$G$14),Curves!AS151,"")</f>
        <v/>
      </c>
      <c r="AV151" t="str">
        <f t="shared" si="131"/>
        <v/>
      </c>
      <c r="AW151" t="str">
        <f>IF(AND($AK151&lt;=Results!$I$21,$AK151&gt;=Results!$I$20,$AK151&lt;=Results!$F$4),$AN151,"")</f>
        <v/>
      </c>
      <c r="AX151" t="str">
        <f t="shared" si="131"/>
        <v/>
      </c>
      <c r="AY151" t="str">
        <f>IF(AND($AK151&lt;=Results!$I$23,$AK151&gt;=Results!$I$22,$AK151&gt;=Results!$F$4),$AN151,"")</f>
        <v/>
      </c>
      <c r="AZ151">
        <f t="shared" si="104"/>
        <v>39.900000000000212</v>
      </c>
      <c r="BA151">
        <f>IF(AND($AK151&lt;=Results!$I$27,$AK151&gt;=Results!$I$26,$AK151&lt;=Results!$F$4),$AQ151,"")</f>
        <v>10288.073333333316</v>
      </c>
      <c r="BB151" t="str">
        <f t="shared" si="105"/>
        <v/>
      </c>
      <c r="BC151" t="str">
        <f>IF(AND($AK151&lt;=Results!$I$29,$AK151&gt;=Results!$I$28,$AK151&gt;=Results!$F$4),$AQ151,"")</f>
        <v/>
      </c>
      <c r="BD151">
        <f t="shared" si="106"/>
        <v>10461.91999663865</v>
      </c>
      <c r="BE151">
        <f t="shared" si="107"/>
        <v>2152.0092604615379</v>
      </c>
      <c r="BF151">
        <f t="shared" si="108"/>
        <v>10276.545035294102</v>
      </c>
      <c r="BG151">
        <f t="shared" si="109"/>
        <v>1319.0214543310403</v>
      </c>
      <c r="BH151">
        <f t="shared" si="110"/>
        <v>0</v>
      </c>
      <c r="BI151">
        <f t="shared" si="111"/>
        <v>0.8835659951312631</v>
      </c>
      <c r="BJ151">
        <f t="shared" si="112"/>
        <v>1.0012869961139386</v>
      </c>
      <c r="BK151">
        <f t="shared" si="113"/>
        <v>2.0064015256852356E-2</v>
      </c>
      <c r="BL151">
        <f t="shared" si="114"/>
        <v>3.630882069538492E-4</v>
      </c>
      <c r="BM151">
        <f t="shared" si="132"/>
        <v>119.99999999999829</v>
      </c>
      <c r="BN151">
        <f t="shared" si="133"/>
        <v>-119.99999999999829</v>
      </c>
      <c r="BO151">
        <f>Data!$H$2*(1-BI151)*(1-BI151/Data!$H$3)*BM151</f>
        <v>3.2536505975454851E-6</v>
      </c>
      <c r="BP151">
        <f t="shared" si="115"/>
        <v>-106.02791941575006</v>
      </c>
      <c r="BQ151">
        <f>Data!$H$2*(1-BJ151)*(1-BJ151/Data!$H$3)*BN151</f>
        <v>-3.9752615935030694E-10</v>
      </c>
      <c r="BR151">
        <f t="shared" si="116"/>
        <v>120.15443953367092</v>
      </c>
      <c r="BS151">
        <f t="shared" si="117"/>
        <v>0</v>
      </c>
      <c r="BT151">
        <f t="shared" si="118"/>
        <v>0</v>
      </c>
      <c r="BU151">
        <f t="shared" si="119"/>
        <v>0</v>
      </c>
      <c r="BV151">
        <f t="shared" si="120"/>
        <v>0</v>
      </c>
      <c r="BW151">
        <f t="shared" si="134"/>
        <v>0</v>
      </c>
      <c r="BX151" t="str">
        <f t="shared" si="135"/>
        <v/>
      </c>
      <c r="BY151" s="66" t="str">
        <f t="shared" si="121"/>
        <v/>
      </c>
      <c r="BZ151" t="str">
        <f t="shared" si="122"/>
        <v/>
      </c>
      <c r="CA151" s="67" t="str">
        <f t="shared" si="123"/>
        <v/>
      </c>
    </row>
    <row r="152" spans="4:79" x14ac:dyDescent="0.25">
      <c r="D152" s="3" t="e">
        <f t="shared" si="148"/>
        <v>#DIV/0!</v>
      </c>
      <c r="E152" s="3" t="e">
        <f t="shared" si="148"/>
        <v>#DIV/0!</v>
      </c>
      <c r="F152" t="str">
        <f>IF(A152&gt;0,IF(F151=1,1,IF(B152=Data!$H$4,1,0)),"")</f>
        <v/>
      </c>
      <c r="O152" s="3"/>
      <c r="P152" s="3"/>
      <c r="Q152" t="str">
        <f t="shared" si="124"/>
        <v/>
      </c>
      <c r="R152" s="4" t="str">
        <f t="shared" si="125"/>
        <v/>
      </c>
      <c r="S152" t="e">
        <f t="shared" si="136"/>
        <v>#DIV/0!</v>
      </c>
      <c r="T152" t="e">
        <f t="shared" si="149"/>
        <v>#DIV/0!</v>
      </c>
      <c r="U152" s="4">
        <f t="shared" si="126"/>
        <v>0</v>
      </c>
      <c r="V152" t="e">
        <f t="shared" si="137"/>
        <v>#DIV/0!</v>
      </c>
      <c r="W152" t="e">
        <f t="shared" si="138"/>
        <v>#DIV/0!</v>
      </c>
      <c r="X152" t="e">
        <f t="shared" si="139"/>
        <v>#VALUE!</v>
      </c>
      <c r="Y152" t="e">
        <f t="shared" si="140"/>
        <v>#VALUE!</v>
      </c>
      <c r="Z152" t="e">
        <f t="shared" si="141"/>
        <v>#VALUE!</v>
      </c>
      <c r="AA152" t="e">
        <f t="shared" si="127"/>
        <v>#VALUE!</v>
      </c>
      <c r="AB152" t="str">
        <f t="shared" si="142"/>
        <v/>
      </c>
      <c r="AC152" t="str">
        <f t="shared" si="143"/>
        <v/>
      </c>
      <c r="AD152" t="str">
        <f t="shared" si="144"/>
        <v/>
      </c>
      <c r="AE152" t="str">
        <f t="shared" si="145"/>
        <v/>
      </c>
      <c r="AK152" s="4">
        <f t="shared" si="146"/>
        <v>40.000000000000213</v>
      </c>
      <c r="AL152">
        <f t="shared" si="128"/>
        <v>1801.0000000000246</v>
      </c>
      <c r="AM152">
        <f t="shared" si="129"/>
        <v>9474.3571428572359</v>
      </c>
      <c r="AN152">
        <f>IF($AK151+$AK$1&lt;=Data!$H$4-0.5,AVERAGE(AM150:AM154),AN151)</f>
        <v>9506.484285714334</v>
      </c>
      <c r="AO152">
        <f t="shared" si="130"/>
        <v>9060.9999999999745</v>
      </c>
      <c r="AP152">
        <f t="shared" si="147"/>
        <v>10281.66666666665</v>
      </c>
      <c r="AQ152">
        <f>IF($AK151+$AK$1&lt;=Data!$H$4-0.5,AVERAGE(AP150:AP154),AQ151)</f>
        <v>10280.986666666651</v>
      </c>
      <c r="AR152">
        <f>IF($AK151+$AK$1&lt;=Data!$H$4-0.5,SLOPE($AN148:$AN156,$AK148:$AK156),AR151)</f>
        <v>174.75000000016882</v>
      </c>
      <c r="AS152">
        <f>IF($AK151+$AK$1&lt;=Data!$H$4-0.5,SLOPE($AQ148:$AQ156,$AK148:$AK156),AS151)</f>
        <v>-72.000000000002316</v>
      </c>
      <c r="AT152" t="str">
        <f>IF(AND($AK152&gt;=Results!$G$13,$AK152&lt;=Results!$G$14),Curves!AR152,"")</f>
        <v/>
      </c>
      <c r="AU152" t="str">
        <f>IF(AND($AK152&gt;=Results!$G$13,$AK152&lt;=Results!$G$14),Curves!AS152,"")</f>
        <v/>
      </c>
      <c r="AV152" t="str">
        <f t="shared" si="131"/>
        <v/>
      </c>
      <c r="AW152" t="str">
        <f>IF(AND($AK152&lt;=Results!$I$21,$AK152&gt;=Results!$I$20,$AK152&lt;=Results!$F$4),$AN152,"")</f>
        <v/>
      </c>
      <c r="AX152" t="str">
        <f t="shared" si="131"/>
        <v/>
      </c>
      <c r="AY152" t="str">
        <f>IF(AND($AK152&lt;=Results!$I$23,$AK152&gt;=Results!$I$22,$AK152&gt;=Results!$F$4),$AN152,"")</f>
        <v/>
      </c>
      <c r="AZ152" t="str">
        <f t="shared" si="104"/>
        <v/>
      </c>
      <c r="BA152" t="str">
        <f>IF(AND($AK152&lt;=Results!$I$27,$AK152&gt;=Results!$I$26,$AK152&lt;=Results!$F$4),$AQ152,"")</f>
        <v/>
      </c>
      <c r="BB152" t="str">
        <f t="shared" si="105"/>
        <v/>
      </c>
      <c r="BC152" t="str">
        <f>IF(AND($AK152&lt;=Results!$I$29,$AK152&gt;=Results!$I$28,$AK152&gt;=Results!$F$4),$AQ152,"")</f>
        <v/>
      </c>
      <c r="BD152">
        <f t="shared" si="106"/>
        <v>10451.149801840729</v>
      </c>
      <c r="BE152">
        <f t="shared" si="107"/>
        <v>2148.693471212217</v>
      </c>
      <c r="BF152">
        <f t="shared" si="108"/>
        <v>10269.25505306121</v>
      </c>
      <c r="BG152">
        <f t="shared" si="109"/>
        <v>1318.4706533715153</v>
      </c>
      <c r="BH152">
        <f t="shared" si="110"/>
        <v>0</v>
      </c>
      <c r="BI152">
        <f t="shared" si="111"/>
        <v>0.88621855044977005</v>
      </c>
      <c r="BJ152">
        <f t="shared" si="112"/>
        <v>1.0013106799450837</v>
      </c>
      <c r="BK152">
        <f t="shared" si="113"/>
        <v>3.3004511334984804E-2</v>
      </c>
      <c r="BL152">
        <f t="shared" si="114"/>
        <v>1.103030346938356E-4</v>
      </c>
      <c r="BM152">
        <f t="shared" si="132"/>
        <v>120.00000000000055</v>
      </c>
      <c r="BN152">
        <f t="shared" si="133"/>
        <v>-119.99999999999829</v>
      </c>
      <c r="BO152">
        <f>Data!$H$2*(1-BI152)*(1-BI152/Data!$H$3)*BM152</f>
        <v>3.1070923828203798E-6</v>
      </c>
      <c r="BP152">
        <f t="shared" si="115"/>
        <v>-106.3462260539729</v>
      </c>
      <c r="BQ152">
        <f>Data!$H$2*(1-BJ152)*(1-BJ152/Data!$H$3)*BN152</f>
        <v>-4.1229166042670999E-10</v>
      </c>
      <c r="BR152">
        <f t="shared" si="116"/>
        <v>120.15728159340834</v>
      </c>
      <c r="BS152">
        <f t="shared" si="117"/>
        <v>0</v>
      </c>
      <c r="BT152">
        <f t="shared" si="118"/>
        <v>0</v>
      </c>
      <c r="BU152">
        <f t="shared" si="119"/>
        <v>0</v>
      </c>
      <c r="BV152">
        <f t="shared" si="120"/>
        <v>0</v>
      </c>
      <c r="BW152">
        <f t="shared" si="134"/>
        <v>0</v>
      </c>
      <c r="BX152" t="str">
        <f t="shared" si="135"/>
        <v/>
      </c>
      <c r="BY152" s="66" t="str">
        <f t="shared" si="121"/>
        <v/>
      </c>
      <c r="BZ152" t="str">
        <f t="shared" si="122"/>
        <v/>
      </c>
      <c r="CA152" s="67" t="str">
        <f t="shared" si="123"/>
        <v/>
      </c>
    </row>
    <row r="153" spans="4:79" x14ac:dyDescent="0.25">
      <c r="D153" s="3" t="e">
        <f t="shared" si="148"/>
        <v>#DIV/0!</v>
      </c>
      <c r="E153" s="3" t="e">
        <f t="shared" si="148"/>
        <v>#DIV/0!</v>
      </c>
      <c r="F153" t="str">
        <f>IF(A153&gt;0,IF(F152=1,1,IF(B153=Data!$H$4,1,0)),"")</f>
        <v/>
      </c>
      <c r="O153" s="3"/>
      <c r="P153" s="3"/>
      <c r="Q153" t="str">
        <f t="shared" si="124"/>
        <v/>
      </c>
      <c r="R153" s="4" t="str">
        <f t="shared" si="125"/>
        <v/>
      </c>
      <c r="S153" t="e">
        <f t="shared" si="136"/>
        <v>#DIV/0!</v>
      </c>
      <c r="T153" t="e">
        <f t="shared" si="149"/>
        <v>#DIV/0!</v>
      </c>
      <c r="U153" s="4">
        <f t="shared" si="126"/>
        <v>0</v>
      </c>
      <c r="V153" t="e">
        <f t="shared" si="137"/>
        <v>#DIV/0!</v>
      </c>
      <c r="W153" t="e">
        <f t="shared" si="138"/>
        <v>#DIV/0!</v>
      </c>
      <c r="X153" t="e">
        <f t="shared" si="139"/>
        <v>#VALUE!</v>
      </c>
      <c r="Y153" t="e">
        <f t="shared" si="140"/>
        <v>#VALUE!</v>
      </c>
      <c r="Z153" t="e">
        <f t="shared" si="141"/>
        <v>#VALUE!</v>
      </c>
      <c r="AA153" t="e">
        <f t="shared" si="127"/>
        <v>#VALUE!</v>
      </c>
      <c r="AB153" t="str">
        <f t="shared" si="142"/>
        <v/>
      </c>
      <c r="AC153" t="str">
        <f t="shared" si="143"/>
        <v/>
      </c>
      <c r="AD153" t="str">
        <f t="shared" si="144"/>
        <v/>
      </c>
      <c r="AE153" t="str">
        <f t="shared" si="145"/>
        <v/>
      </c>
      <c r="AK153" s="4">
        <f t="shared" si="146"/>
        <v>40.100000000000215</v>
      </c>
      <c r="AL153">
        <f t="shared" si="128"/>
        <v>1813.000000000025</v>
      </c>
      <c r="AM153">
        <f t="shared" si="129"/>
        <v>9518.604761904855</v>
      </c>
      <c r="AN153">
        <f>IF($AK152+$AK$1&lt;=Data!$H$4-0.5,AVERAGE(AM151:AM155),AN152)</f>
        <v>9529.3138095238792</v>
      </c>
      <c r="AO153">
        <f t="shared" si="130"/>
        <v>9048.9999999999745</v>
      </c>
      <c r="AP153">
        <f t="shared" si="147"/>
        <v>10273.899999999983</v>
      </c>
      <c r="AQ153">
        <f>IF($AK152+$AK$1&lt;=Data!$H$4-0.5,AVERAGE(AP151:AP155),AQ152)</f>
        <v>10273.673333333316</v>
      </c>
      <c r="AR153">
        <f>IF($AK152+$AK$1&lt;=Data!$H$4-0.5,SLOPE($AN149:$AN157,$AK149:$AK157),AR152)</f>
        <v>255.06785714300804</v>
      </c>
      <c r="AS153">
        <f>IF($AK152+$AK$1&lt;=Data!$H$4-0.5,SLOPE($AQ149:$AQ157,$AK149:$AK157),AS152)</f>
        <v>-73.700000000001197</v>
      </c>
      <c r="AT153" t="str">
        <f>IF(AND($AK153&gt;=Results!$G$13,$AK153&lt;=Results!$G$14),Curves!AR153,"")</f>
        <v/>
      </c>
      <c r="AU153" t="str">
        <f>IF(AND($AK153&gt;=Results!$G$13,$AK153&lt;=Results!$G$14),Curves!AS153,"")</f>
        <v/>
      </c>
      <c r="AV153" t="str">
        <f t="shared" si="131"/>
        <v/>
      </c>
      <c r="AW153" t="str">
        <f>IF(AND($AK153&lt;=Results!$I$21,$AK153&gt;=Results!$I$20,$AK153&lt;=Results!$F$4),$AN153,"")</f>
        <v/>
      </c>
      <c r="AX153" t="str">
        <f t="shared" si="131"/>
        <v/>
      </c>
      <c r="AY153" t="str">
        <f>IF(AND($AK153&lt;=Results!$I$23,$AK153&gt;=Results!$I$22,$AK153&gt;=Results!$F$4),$AN153,"")</f>
        <v/>
      </c>
      <c r="AZ153" t="str">
        <f t="shared" si="104"/>
        <v/>
      </c>
      <c r="BA153" t="str">
        <f>IF(AND($AK153&lt;=Results!$I$27,$AK153&gt;=Results!$I$26,$AK153&lt;=Results!$F$4),$AQ153,"")</f>
        <v/>
      </c>
      <c r="BB153" t="str">
        <f t="shared" si="105"/>
        <v/>
      </c>
      <c r="BC153" t="str">
        <f>IF(AND($AK153&lt;=Results!$I$29,$AK153&gt;=Results!$I$28,$AK153&gt;=Results!$F$4),$AQ153,"")</f>
        <v/>
      </c>
      <c r="BD153">
        <f t="shared" si="106"/>
        <v>10440.379607042811</v>
      </c>
      <c r="BE153">
        <f t="shared" si="107"/>
        <v>2145.3776819628965</v>
      </c>
      <c r="BF153">
        <f t="shared" si="108"/>
        <v>10261.965070828317</v>
      </c>
      <c r="BG153">
        <f t="shared" si="109"/>
        <v>1317.9198524119902</v>
      </c>
      <c r="BH153">
        <f t="shared" si="110"/>
        <v>0</v>
      </c>
      <c r="BI153">
        <f t="shared" si="111"/>
        <v>0.89016689739826016</v>
      </c>
      <c r="BJ153">
        <f t="shared" si="112"/>
        <v>1.0013090567208773</v>
      </c>
      <c r="BK153">
        <f t="shared" si="113"/>
        <v>4.5979910532433672E-2</v>
      </c>
      <c r="BL153">
        <f t="shared" si="114"/>
        <v>-1.4305376083378692E-4</v>
      </c>
      <c r="BM153">
        <f t="shared" si="132"/>
        <v>120.00000000000171</v>
      </c>
      <c r="BN153">
        <f t="shared" si="133"/>
        <v>-119.99999999999829</v>
      </c>
      <c r="BO153">
        <f>Data!$H$2*(1-BI153)*(1-BI153/Data!$H$3)*BM153</f>
        <v>2.8951945025098753E-6</v>
      </c>
      <c r="BP153">
        <f t="shared" si="115"/>
        <v>-106.82002768779273</v>
      </c>
      <c r="BQ153">
        <f>Data!$H$2*(1-BJ153)*(1-BJ153/Data!$H$3)*BN153</f>
        <v>-4.1127107963378188E-10</v>
      </c>
      <c r="BR153">
        <f t="shared" si="116"/>
        <v>120.15708680650357</v>
      </c>
      <c r="BS153">
        <f t="shared" si="117"/>
        <v>0</v>
      </c>
      <c r="BT153">
        <f t="shared" si="118"/>
        <v>0</v>
      </c>
      <c r="BU153">
        <f t="shared" si="119"/>
        <v>0</v>
      </c>
      <c r="BV153">
        <f t="shared" si="120"/>
        <v>0</v>
      </c>
      <c r="BW153">
        <f t="shared" si="134"/>
        <v>0</v>
      </c>
      <c r="BX153" t="str">
        <f t="shared" si="135"/>
        <v/>
      </c>
      <c r="BY153" s="66" t="str">
        <f t="shared" si="121"/>
        <v/>
      </c>
      <c r="BZ153" t="str">
        <f t="shared" si="122"/>
        <v/>
      </c>
      <c r="CA153" s="67" t="str">
        <f t="shared" si="123"/>
        <v/>
      </c>
    </row>
    <row r="154" spans="4:79" x14ac:dyDescent="0.25">
      <c r="D154" s="3" t="e">
        <f t="shared" si="148"/>
        <v>#DIV/0!</v>
      </c>
      <c r="E154" s="3" t="e">
        <f t="shared" si="148"/>
        <v>#DIV/0!</v>
      </c>
      <c r="F154" t="str">
        <f>IF(A154&gt;0,IF(F153=1,1,IF(B154=Data!$H$4,1,0)),"")</f>
        <v/>
      </c>
      <c r="O154" s="3"/>
      <c r="P154" s="3"/>
      <c r="Q154" t="str">
        <f t="shared" si="124"/>
        <v/>
      </c>
      <c r="R154" s="4" t="str">
        <f t="shared" si="125"/>
        <v/>
      </c>
      <c r="S154" t="e">
        <f t="shared" si="136"/>
        <v>#DIV/0!</v>
      </c>
      <c r="T154" t="e">
        <f t="shared" si="149"/>
        <v>#DIV/0!</v>
      </c>
      <c r="U154" s="4">
        <f t="shared" si="126"/>
        <v>0</v>
      </c>
      <c r="V154" t="e">
        <f t="shared" si="137"/>
        <v>#DIV/0!</v>
      </c>
      <c r="W154" t="e">
        <f t="shared" si="138"/>
        <v>#DIV/0!</v>
      </c>
      <c r="X154" t="e">
        <f t="shared" si="139"/>
        <v>#VALUE!</v>
      </c>
      <c r="Y154" t="e">
        <f t="shared" si="140"/>
        <v>#VALUE!</v>
      </c>
      <c r="Z154" t="e">
        <f t="shared" si="141"/>
        <v>#VALUE!</v>
      </c>
      <c r="AA154" t="e">
        <f t="shared" si="127"/>
        <v>#VALUE!</v>
      </c>
      <c r="AB154" t="str">
        <f t="shared" si="142"/>
        <v/>
      </c>
      <c r="AC154" t="str">
        <f t="shared" si="143"/>
        <v/>
      </c>
      <c r="AD154" t="str">
        <f t="shared" si="144"/>
        <v/>
      </c>
      <c r="AE154" t="str">
        <f t="shared" si="145"/>
        <v/>
      </c>
      <c r="AK154" s="4">
        <f t="shared" si="146"/>
        <v>40.200000000000216</v>
      </c>
      <c r="AL154">
        <f t="shared" si="128"/>
        <v>1825.0000000000252</v>
      </c>
      <c r="AM154">
        <f t="shared" si="129"/>
        <v>9562.8523809524759</v>
      </c>
      <c r="AN154">
        <f>IF($AK153+$AK$1&lt;=Data!$H$4-0.5,AVERAGE(AM152:AM156),AN153)</f>
        <v>9562.852380952474</v>
      </c>
      <c r="AO154">
        <f t="shared" si="130"/>
        <v>9036.9999999999745</v>
      </c>
      <c r="AP154">
        <f t="shared" si="147"/>
        <v>10266.133333333317</v>
      </c>
      <c r="AQ154">
        <f>IF($AK153+$AK$1&lt;=Data!$H$4-0.5,AVERAGE(AP152:AP156),AQ153)</f>
        <v>10266.133333333317</v>
      </c>
      <c r="AR154">
        <f>IF($AK153+$AK$1&lt;=Data!$H$4-0.5,SLOPE($AN150:$AN158,$AK150:$AK158),AR153)</f>
        <v>326.46150793662207</v>
      </c>
      <c r="AS154">
        <f>IF($AK153+$AK$1&lt;=Data!$H$4-0.5,SLOPE($AQ150:$AQ158,$AK150:$AK158),AS153)</f>
        <v>-75.211111111111805</v>
      </c>
      <c r="AT154" t="str">
        <f>IF(AND($AK154&gt;=Results!$G$13,$AK154&lt;=Results!$G$14),Curves!AR154,"")</f>
        <v/>
      </c>
      <c r="AU154" t="str">
        <f>IF(AND($AK154&gt;=Results!$G$13,$AK154&lt;=Results!$G$14),Curves!AS154,"")</f>
        <v/>
      </c>
      <c r="AV154" t="str">
        <f t="shared" si="131"/>
        <v/>
      </c>
      <c r="AW154" t="str">
        <f>IF(AND($AK154&lt;=Results!$I$21,$AK154&gt;=Results!$I$20,$AK154&lt;=Results!$F$4),$AN154,"")</f>
        <v/>
      </c>
      <c r="AX154" t="str">
        <f t="shared" si="131"/>
        <v/>
      </c>
      <c r="AY154" t="str">
        <f>IF(AND($AK154&lt;=Results!$I$23,$AK154&gt;=Results!$I$22,$AK154&gt;=Results!$F$4),$AN154,"")</f>
        <v/>
      </c>
      <c r="AZ154" t="str">
        <f t="shared" si="104"/>
        <v/>
      </c>
      <c r="BA154" t="str">
        <f>IF(AND($AK154&lt;=Results!$I$27,$AK154&gt;=Results!$I$26,$AK154&lt;=Results!$F$4),$AQ154,"")</f>
        <v/>
      </c>
      <c r="BB154" t="str">
        <f t="shared" si="105"/>
        <v/>
      </c>
      <c r="BC154" t="str">
        <f>IF(AND($AK154&lt;=Results!$I$29,$AK154&gt;=Results!$I$28,$AK154&gt;=Results!$F$4),$AQ154,"")</f>
        <v/>
      </c>
      <c r="BD154">
        <f t="shared" si="106"/>
        <v>10429.60941224489</v>
      </c>
      <c r="BE154">
        <f t="shared" si="107"/>
        <v>2142.0618927135756</v>
      </c>
      <c r="BF154">
        <f t="shared" si="108"/>
        <v>10254.675088595424</v>
      </c>
      <c r="BG154">
        <f t="shared" si="109"/>
        <v>1317.3690514524651</v>
      </c>
      <c r="BH154">
        <f t="shared" si="110"/>
        <v>0</v>
      </c>
      <c r="BI154">
        <f t="shared" si="111"/>
        <v>0.89541453255625691</v>
      </c>
      <c r="BJ154">
        <f t="shared" si="112"/>
        <v>1.001282069192917</v>
      </c>
      <c r="BK154">
        <f t="shared" si="113"/>
        <v>5.8990338483138324E-2</v>
      </c>
      <c r="BL154">
        <f t="shared" si="114"/>
        <v>-3.9698390440600631E-4</v>
      </c>
      <c r="BM154">
        <f t="shared" si="132"/>
        <v>120.00000000000055</v>
      </c>
      <c r="BN154">
        <f t="shared" si="133"/>
        <v>-119.99999999999829</v>
      </c>
      <c r="BO154">
        <f>Data!$H$2*(1-BI154)*(1-BI154/Data!$H$3)*BM154</f>
        <v>2.6251488001023111E-6</v>
      </c>
      <c r="BP154">
        <f t="shared" si="115"/>
        <v>-107.44974390675132</v>
      </c>
      <c r="BQ154">
        <f>Data!$H$2*(1-BJ154)*(1-BJ154/Data!$H$3)*BN154</f>
        <v>-3.9448833970241138E-10</v>
      </c>
      <c r="BR154">
        <f t="shared" si="116"/>
        <v>120.15384830314832</v>
      </c>
      <c r="BS154">
        <f t="shared" si="117"/>
        <v>0</v>
      </c>
      <c r="BT154">
        <f t="shared" si="118"/>
        <v>0</v>
      </c>
      <c r="BU154">
        <f t="shared" si="119"/>
        <v>0</v>
      </c>
      <c r="BV154">
        <f t="shared" si="120"/>
        <v>0</v>
      </c>
      <c r="BW154">
        <f t="shared" si="134"/>
        <v>0</v>
      </c>
      <c r="BX154" t="str">
        <f t="shared" si="135"/>
        <v/>
      </c>
      <c r="BY154" s="66" t="str">
        <f t="shared" si="121"/>
        <v/>
      </c>
      <c r="BZ154" t="str">
        <f t="shared" si="122"/>
        <v/>
      </c>
      <c r="CA154" s="67" t="str">
        <f t="shared" si="123"/>
        <v/>
      </c>
    </row>
    <row r="155" spans="4:79" x14ac:dyDescent="0.25">
      <c r="D155" s="3" t="e">
        <f t="shared" si="148"/>
        <v>#DIV/0!</v>
      </c>
      <c r="E155" s="3" t="e">
        <f t="shared" si="148"/>
        <v>#DIV/0!</v>
      </c>
      <c r="F155" t="str">
        <f>IF(A155&gt;0,IF(F154=1,1,IF(B155=Data!$H$4,1,0)),"")</f>
        <v/>
      </c>
      <c r="O155" s="3"/>
      <c r="P155" s="3"/>
      <c r="Q155" t="str">
        <f t="shared" si="124"/>
        <v/>
      </c>
      <c r="R155" s="4" t="str">
        <f t="shared" si="125"/>
        <v/>
      </c>
      <c r="S155" t="e">
        <f t="shared" si="136"/>
        <v>#DIV/0!</v>
      </c>
      <c r="T155" t="e">
        <f t="shared" si="149"/>
        <v>#DIV/0!</v>
      </c>
      <c r="U155" s="4">
        <f t="shared" si="126"/>
        <v>0</v>
      </c>
      <c r="V155" t="e">
        <f t="shared" si="137"/>
        <v>#DIV/0!</v>
      </c>
      <c r="W155" t="e">
        <f t="shared" si="138"/>
        <v>#DIV/0!</v>
      </c>
      <c r="X155" t="e">
        <f t="shared" si="139"/>
        <v>#VALUE!</v>
      </c>
      <c r="Y155" t="e">
        <f t="shared" si="140"/>
        <v>#VALUE!</v>
      </c>
      <c r="Z155" t="e">
        <f t="shared" si="141"/>
        <v>#VALUE!</v>
      </c>
      <c r="AA155" t="e">
        <f t="shared" si="127"/>
        <v>#VALUE!</v>
      </c>
      <c r="AB155" t="str">
        <f t="shared" si="142"/>
        <v/>
      </c>
      <c r="AC155" t="str">
        <f t="shared" si="143"/>
        <v/>
      </c>
      <c r="AD155" t="str">
        <f t="shared" si="144"/>
        <v/>
      </c>
      <c r="AE155" t="str">
        <f t="shared" si="145"/>
        <v/>
      </c>
      <c r="AK155" s="4">
        <f t="shared" si="146"/>
        <v>40.300000000000217</v>
      </c>
      <c r="AL155">
        <f t="shared" si="128"/>
        <v>1837.0000000000255</v>
      </c>
      <c r="AM155">
        <f t="shared" si="129"/>
        <v>9607.100000000095</v>
      </c>
      <c r="AN155">
        <f>IF($AK154+$AK$1&lt;=Data!$H$4-0.5,AVERAGE(AM153:AM157),AN154)</f>
        <v>9607.1000000000968</v>
      </c>
      <c r="AO155">
        <f t="shared" si="130"/>
        <v>9024.9999999999745</v>
      </c>
      <c r="AP155">
        <f t="shared" si="147"/>
        <v>10258.366666666649</v>
      </c>
      <c r="AQ155">
        <f>IF($AK154+$AK$1&lt;=Data!$H$4-0.5,AVERAGE(AP153:AP157),AQ154)</f>
        <v>10258.36666666665</v>
      </c>
      <c r="AR155">
        <f>IF($AK154+$AK$1&lt;=Data!$H$4-0.5,SLOPE($AN151:$AN159,$AK151:$AK159),AR154)</f>
        <v>380.00674603182421</v>
      </c>
      <c r="AS155">
        <f>IF($AK154+$AK$1&lt;=Data!$H$4-0.5,SLOPE($AQ151:$AQ159,$AK151:$AK159),AS154)</f>
        <v>-76.344444444444107</v>
      </c>
      <c r="AT155" t="str">
        <f>IF(AND($AK155&gt;=Results!$G$13,$AK155&lt;=Results!$G$14),Curves!AR155,"")</f>
        <v/>
      </c>
      <c r="AU155" t="str">
        <f>IF(AND($AK155&gt;=Results!$G$13,$AK155&lt;=Results!$G$14),Curves!AS155,"")</f>
        <v/>
      </c>
      <c r="AV155" t="str">
        <f t="shared" si="131"/>
        <v/>
      </c>
      <c r="AW155" t="str">
        <f>IF(AND($AK155&lt;=Results!$I$21,$AK155&gt;=Results!$I$20,$AK155&lt;=Results!$F$4),$AN155,"")</f>
        <v/>
      </c>
      <c r="AX155" t="str">
        <f t="shared" si="131"/>
        <v/>
      </c>
      <c r="AY155" t="str">
        <f>IF(AND($AK155&lt;=Results!$I$23,$AK155&gt;=Results!$I$22,$AK155&gt;=Results!$F$4),$AN155,"")</f>
        <v/>
      </c>
      <c r="AZ155" t="str">
        <f t="shared" si="104"/>
        <v/>
      </c>
      <c r="BA155" t="str">
        <f>IF(AND($AK155&lt;=Results!$I$27,$AK155&gt;=Results!$I$26,$AK155&lt;=Results!$F$4),$AQ155,"")</f>
        <v/>
      </c>
      <c r="BB155" t="str">
        <f t="shared" si="105"/>
        <v/>
      </c>
      <c r="BC155" t="str">
        <f>IF(AND($AK155&lt;=Results!$I$29,$AK155&gt;=Results!$I$28,$AK155&gt;=Results!$F$4),$AQ155,"")</f>
        <v/>
      </c>
      <c r="BD155">
        <f t="shared" si="106"/>
        <v>10418.83921744697</v>
      </c>
      <c r="BE155">
        <f t="shared" si="107"/>
        <v>2138.7461034642547</v>
      </c>
      <c r="BF155">
        <f t="shared" si="108"/>
        <v>10247.38510636253</v>
      </c>
      <c r="BG155">
        <f t="shared" si="109"/>
        <v>1316.8182504929403</v>
      </c>
      <c r="BH155">
        <f t="shared" si="110"/>
        <v>0</v>
      </c>
      <c r="BI155">
        <f t="shared" si="111"/>
        <v>0.90196496509488799</v>
      </c>
      <c r="BJ155">
        <f t="shared" si="112"/>
        <v>1.0012296599399961</v>
      </c>
      <c r="BK155">
        <f t="shared" si="113"/>
        <v>6.556335078603942E-2</v>
      </c>
      <c r="BL155">
        <f t="shared" si="114"/>
        <v>-5.2448831840411854E-4</v>
      </c>
      <c r="BM155">
        <f t="shared" si="132"/>
        <v>120.00000000000055</v>
      </c>
      <c r="BN155">
        <f t="shared" si="133"/>
        <v>-119.99999999999829</v>
      </c>
      <c r="BO155">
        <f>Data!$H$2*(1-BI155)*(1-BI155/Data!$H$3)*BM155</f>
        <v>2.3066083365231773E-6</v>
      </c>
      <c r="BP155">
        <f t="shared" si="115"/>
        <v>-108.23579581138706</v>
      </c>
      <c r="BQ155">
        <f>Data!$H$2*(1-BJ155)*(1-BJ155/Data!$H$3)*BN155</f>
        <v>-3.6289525632750377E-10</v>
      </c>
      <c r="BR155">
        <f t="shared" si="116"/>
        <v>120.14755919279783</v>
      </c>
      <c r="BS155">
        <f t="shared" si="117"/>
        <v>0</v>
      </c>
      <c r="BT155">
        <f t="shared" si="118"/>
        <v>0</v>
      </c>
      <c r="BU155">
        <f t="shared" si="119"/>
        <v>0</v>
      </c>
      <c r="BV155">
        <f t="shared" si="120"/>
        <v>0</v>
      </c>
      <c r="BW155">
        <f t="shared" si="134"/>
        <v>0</v>
      </c>
      <c r="BX155" t="str">
        <f t="shared" si="135"/>
        <v/>
      </c>
      <c r="BY155" s="66" t="str">
        <f t="shared" si="121"/>
        <v/>
      </c>
      <c r="BZ155" t="str">
        <f t="shared" si="122"/>
        <v/>
      </c>
      <c r="CA155" s="67" t="str">
        <f t="shared" si="123"/>
        <v/>
      </c>
    </row>
    <row r="156" spans="4:79" x14ac:dyDescent="0.25">
      <c r="D156" s="3" t="e">
        <f t="shared" si="148"/>
        <v>#DIV/0!</v>
      </c>
      <c r="E156" s="3" t="e">
        <f t="shared" si="148"/>
        <v>#DIV/0!</v>
      </c>
      <c r="F156" t="str">
        <f>IF(A156&gt;0,IF(F155=1,1,IF(B156=Data!$H$4,1,0)),"")</f>
        <v/>
      </c>
      <c r="O156" s="3"/>
      <c r="P156" s="3"/>
      <c r="Q156" t="str">
        <f t="shared" si="124"/>
        <v/>
      </c>
      <c r="R156" s="4" t="str">
        <f t="shared" si="125"/>
        <v/>
      </c>
      <c r="S156" t="e">
        <f t="shared" si="136"/>
        <v>#DIV/0!</v>
      </c>
      <c r="T156" t="e">
        <f t="shared" si="149"/>
        <v>#DIV/0!</v>
      </c>
      <c r="U156" s="4">
        <f t="shared" si="126"/>
        <v>0</v>
      </c>
      <c r="V156" t="e">
        <f t="shared" si="137"/>
        <v>#DIV/0!</v>
      </c>
      <c r="W156" t="e">
        <f t="shared" si="138"/>
        <v>#DIV/0!</v>
      </c>
      <c r="X156" t="e">
        <f t="shared" si="139"/>
        <v>#VALUE!</v>
      </c>
      <c r="Y156" t="e">
        <f t="shared" si="140"/>
        <v>#VALUE!</v>
      </c>
      <c r="Z156" t="e">
        <f t="shared" si="141"/>
        <v>#VALUE!</v>
      </c>
      <c r="AA156" t="e">
        <f t="shared" si="127"/>
        <v>#VALUE!</v>
      </c>
      <c r="AB156" t="str">
        <f t="shared" si="142"/>
        <v/>
      </c>
      <c r="AC156" t="str">
        <f t="shared" si="143"/>
        <v/>
      </c>
      <c r="AD156" t="str">
        <f t="shared" si="144"/>
        <v/>
      </c>
      <c r="AE156" t="str">
        <f t="shared" si="145"/>
        <v/>
      </c>
      <c r="AK156" s="4">
        <f t="shared" si="146"/>
        <v>40.400000000000219</v>
      </c>
      <c r="AL156">
        <f t="shared" si="128"/>
        <v>1849.0000000000257</v>
      </c>
      <c r="AM156">
        <f t="shared" si="129"/>
        <v>9651.3476190477159</v>
      </c>
      <c r="AN156">
        <f>IF($AK155+$AK$1&lt;=Data!$H$4-0.5,AVERAGE(AM154:AM158),AN155)</f>
        <v>9651.347619047714</v>
      </c>
      <c r="AO156">
        <f t="shared" si="130"/>
        <v>9012.9999999999745</v>
      </c>
      <c r="AP156">
        <f t="shared" si="147"/>
        <v>10250.599999999982</v>
      </c>
      <c r="AQ156">
        <f>IF($AK155+$AK$1&lt;=Data!$H$4-0.5,AVERAGE(AP154:AP158),AQ155)</f>
        <v>10250.599999999982</v>
      </c>
      <c r="AR156">
        <f>IF($AK155+$AK$1&lt;=Data!$H$4-0.5,SLOPE($AN152:$AN160,$AK152:$AK160),AR155)</f>
        <v>415.70357142861195</v>
      </c>
      <c r="AS156">
        <f>IF($AK155+$AK$1&lt;=Data!$H$4-0.5,SLOPE($AQ152:$AQ160,$AK152:$AK160),AS155)</f>
        <v>-77.100000000001387</v>
      </c>
      <c r="AT156" t="str">
        <f>IF(AND($AK156&gt;=Results!$G$13,$AK156&lt;=Results!$G$14),Curves!AR156,"")</f>
        <v/>
      </c>
      <c r="AU156" t="str">
        <f>IF(AND($AK156&gt;=Results!$G$13,$AK156&lt;=Results!$G$14),Curves!AS156,"")</f>
        <v/>
      </c>
      <c r="AV156" t="str">
        <f t="shared" si="131"/>
        <v/>
      </c>
      <c r="AW156" t="str">
        <f>IF(AND($AK156&lt;=Results!$I$21,$AK156&gt;=Results!$I$20,$AK156&lt;=Results!$F$4),$AN156,"")</f>
        <v/>
      </c>
      <c r="AX156" t="str">
        <f t="shared" si="131"/>
        <v/>
      </c>
      <c r="AY156" t="str">
        <f>IF(AND($AK156&lt;=Results!$I$23,$AK156&gt;=Results!$I$22,$AK156&gt;=Results!$F$4),$AN156,"")</f>
        <v/>
      </c>
      <c r="AZ156" t="str">
        <f t="shared" si="104"/>
        <v/>
      </c>
      <c r="BA156" t="str">
        <f>IF(AND($AK156&lt;=Results!$I$27,$AK156&gt;=Results!$I$26,$AK156&lt;=Results!$F$4),$AQ156,"")</f>
        <v/>
      </c>
      <c r="BB156" t="str">
        <f t="shared" si="105"/>
        <v/>
      </c>
      <c r="BC156" t="str">
        <f>IF(AND($AK156&lt;=Results!$I$29,$AK156&gt;=Results!$I$28,$AK156&gt;=Results!$F$4),$AQ156,"")</f>
        <v/>
      </c>
      <c r="BD156">
        <f t="shared" si="106"/>
        <v>10408.069022649051</v>
      </c>
      <c r="BE156">
        <f t="shared" si="107"/>
        <v>2135.4303142149338</v>
      </c>
      <c r="BF156">
        <f t="shared" si="108"/>
        <v>10240.095124129637</v>
      </c>
      <c r="BG156">
        <f t="shared" si="109"/>
        <v>1316.2674495334152</v>
      </c>
      <c r="BH156">
        <f t="shared" si="110"/>
        <v>0</v>
      </c>
      <c r="BI156">
        <f t="shared" si="111"/>
        <v>0.90852720271346499</v>
      </c>
      <c r="BJ156">
        <f t="shared" si="112"/>
        <v>1.0011771715292361</v>
      </c>
      <c r="BK156">
        <f t="shared" si="113"/>
        <v>6.5681561291296597E-2</v>
      </c>
      <c r="BL156">
        <f t="shared" si="114"/>
        <v>-5.2528079415691627E-4</v>
      </c>
      <c r="BM156">
        <f t="shared" si="132"/>
        <v>120.00000000000055</v>
      </c>
      <c r="BN156">
        <f t="shared" si="133"/>
        <v>-120.00000000000739</v>
      </c>
      <c r="BO156">
        <f>Data!$H$2*(1-BI156)*(1-BI156/Data!$H$3)*BM156</f>
        <v>2.0081454344216557E-6</v>
      </c>
      <c r="BP156">
        <f t="shared" si="115"/>
        <v>-109.0232643256163</v>
      </c>
      <c r="BQ156">
        <f>Data!$H$2*(1-BJ156)*(1-BJ156/Data!$H$3)*BN156</f>
        <v>-3.3257587421861245E-10</v>
      </c>
      <c r="BR156">
        <f t="shared" si="116"/>
        <v>120.14126058351573</v>
      </c>
      <c r="BS156">
        <f t="shared" si="117"/>
        <v>0</v>
      </c>
      <c r="BT156">
        <f t="shared" si="118"/>
        <v>0</v>
      </c>
      <c r="BU156">
        <f t="shared" si="119"/>
        <v>0</v>
      </c>
      <c r="BV156">
        <f t="shared" si="120"/>
        <v>0</v>
      </c>
      <c r="BW156">
        <f t="shared" si="134"/>
        <v>0</v>
      </c>
      <c r="BX156" t="str">
        <f t="shared" si="135"/>
        <v/>
      </c>
      <c r="BY156" s="66" t="str">
        <f t="shared" si="121"/>
        <v/>
      </c>
      <c r="BZ156" t="str">
        <f t="shared" si="122"/>
        <v/>
      </c>
      <c r="CA156" s="67" t="str">
        <f t="shared" si="123"/>
        <v/>
      </c>
    </row>
    <row r="157" spans="4:79" x14ac:dyDescent="0.25">
      <c r="D157" s="3" t="e">
        <f t="shared" si="148"/>
        <v>#DIV/0!</v>
      </c>
      <c r="E157" s="3" t="e">
        <f t="shared" si="148"/>
        <v>#DIV/0!</v>
      </c>
      <c r="F157" t="str">
        <f>IF(A157&gt;0,IF(F156=1,1,IF(B157=Data!$H$4,1,0)),"")</f>
        <v/>
      </c>
      <c r="O157" s="3"/>
      <c r="P157" s="3"/>
      <c r="Q157" t="str">
        <f t="shared" si="124"/>
        <v/>
      </c>
      <c r="R157" s="4" t="str">
        <f t="shared" si="125"/>
        <v/>
      </c>
      <c r="S157" t="e">
        <f t="shared" si="136"/>
        <v>#DIV/0!</v>
      </c>
      <c r="T157" t="e">
        <f t="shared" si="149"/>
        <v>#DIV/0!</v>
      </c>
      <c r="U157" s="4">
        <f t="shared" si="126"/>
        <v>0</v>
      </c>
      <c r="V157" t="e">
        <f t="shared" si="137"/>
        <v>#DIV/0!</v>
      </c>
      <c r="W157" t="e">
        <f t="shared" si="138"/>
        <v>#DIV/0!</v>
      </c>
      <c r="X157" t="e">
        <f t="shared" si="139"/>
        <v>#VALUE!</v>
      </c>
      <c r="Y157" t="e">
        <f t="shared" si="140"/>
        <v>#VALUE!</v>
      </c>
      <c r="Z157" t="e">
        <f t="shared" si="141"/>
        <v>#VALUE!</v>
      </c>
      <c r="AA157" t="e">
        <f t="shared" si="127"/>
        <v>#VALUE!</v>
      </c>
      <c r="AB157" t="str">
        <f t="shared" si="142"/>
        <v/>
      </c>
      <c r="AC157" t="str">
        <f t="shared" si="143"/>
        <v/>
      </c>
      <c r="AD157" t="str">
        <f t="shared" si="144"/>
        <v/>
      </c>
      <c r="AE157" t="str">
        <f t="shared" si="145"/>
        <v/>
      </c>
      <c r="AK157" s="4">
        <f t="shared" si="146"/>
        <v>40.50000000000022</v>
      </c>
      <c r="AL157">
        <f t="shared" si="128"/>
        <v>1861.0000000000259</v>
      </c>
      <c r="AM157">
        <f t="shared" si="129"/>
        <v>9695.5952380953349</v>
      </c>
      <c r="AN157">
        <f>IF($AK156+$AK$1&lt;=Data!$H$4-0.5,AVERAGE(AM155:AM159),AN156)</f>
        <v>9695.5952380953349</v>
      </c>
      <c r="AO157">
        <f t="shared" si="130"/>
        <v>9000.9999999999727</v>
      </c>
      <c r="AP157">
        <f t="shared" si="147"/>
        <v>10242.833333333316</v>
      </c>
      <c r="AQ157">
        <f>IF($AK156+$AK$1&lt;=Data!$H$4-0.5,AVERAGE(AP155:AP159),AQ156)</f>
        <v>10242.833333333316</v>
      </c>
      <c r="AR157">
        <f>IF($AK156+$AK$1&lt;=Data!$H$4-0.5,SLOPE($AN153:$AN161,$AK153:$AK161),AR156)</f>
        <v>433.43269841270489</v>
      </c>
      <c r="AS157">
        <f>IF($AK156+$AK$1&lt;=Data!$H$4-0.5,SLOPE($AQ153:$AQ161,$AK153:$AK161),AS156)</f>
        <v>-78.008888888890809</v>
      </c>
      <c r="AT157" t="str">
        <f>IF(AND($AK157&gt;=Results!$G$13,$AK157&lt;=Results!$G$14),Curves!AR157,"")</f>
        <v/>
      </c>
      <c r="AU157" t="str">
        <f>IF(AND($AK157&gt;=Results!$G$13,$AK157&lt;=Results!$G$14),Curves!AS157,"")</f>
        <v/>
      </c>
      <c r="AV157" t="str">
        <f t="shared" si="131"/>
        <v/>
      </c>
      <c r="AW157" t="str">
        <f>IF(AND($AK157&lt;=Results!$I$21,$AK157&gt;=Results!$I$20,$AK157&lt;=Results!$F$4),$AN157,"")</f>
        <v/>
      </c>
      <c r="AX157" t="str">
        <f t="shared" si="131"/>
        <v/>
      </c>
      <c r="AY157" t="str">
        <f>IF(AND($AK157&lt;=Results!$I$23,$AK157&gt;=Results!$I$22,$AK157&gt;=Results!$F$4),$AN157,"")</f>
        <v/>
      </c>
      <c r="AZ157" t="str">
        <f t="shared" si="104"/>
        <v/>
      </c>
      <c r="BA157" t="str">
        <f>IF(AND($AK157&lt;=Results!$I$27,$AK157&gt;=Results!$I$26,$AK157&lt;=Results!$F$4),$AQ157,"")</f>
        <v/>
      </c>
      <c r="BB157" t="str">
        <f t="shared" si="105"/>
        <v/>
      </c>
      <c r="BC157" t="str">
        <f>IF(AND($AK157&lt;=Results!$I$29,$AK157&gt;=Results!$I$28,$AK157&gt;=Results!$F$4),$AQ157,"")</f>
        <v/>
      </c>
      <c r="BD157">
        <f t="shared" si="106"/>
        <v>10397.298827851131</v>
      </c>
      <c r="BE157">
        <f t="shared" si="107"/>
        <v>2132.1145249656129</v>
      </c>
      <c r="BF157">
        <f t="shared" si="108"/>
        <v>10232.805141896744</v>
      </c>
      <c r="BG157">
        <f t="shared" si="109"/>
        <v>1315.7166485738901</v>
      </c>
      <c r="BH157">
        <f t="shared" si="110"/>
        <v>0</v>
      </c>
      <c r="BI157">
        <f t="shared" si="111"/>
        <v>0.9151012773531475</v>
      </c>
      <c r="BJ157">
        <f t="shared" si="112"/>
        <v>1.0011246037811647</v>
      </c>
      <c r="BK157">
        <f t="shared" si="113"/>
        <v>6.5800091784819104E-2</v>
      </c>
      <c r="BL157">
        <f t="shared" si="114"/>
        <v>-5.2607506735190908E-4</v>
      </c>
      <c r="BM157">
        <f t="shared" si="132"/>
        <v>120.00000000000055</v>
      </c>
      <c r="BN157">
        <f t="shared" si="133"/>
        <v>-120.00000000000739</v>
      </c>
      <c r="BO157">
        <f>Data!$H$2*(1-BI157)*(1-BI157/Data!$H$3)*BM157</f>
        <v>1.7298703456961324E-6</v>
      </c>
      <c r="BP157">
        <f t="shared" si="115"/>
        <v>-109.8121532823782</v>
      </c>
      <c r="BQ157">
        <f>Data!$H$2*(1-BJ157)*(1-BJ157/Data!$H$3)*BN157</f>
        <v>-3.0353607950642911E-10</v>
      </c>
      <c r="BR157">
        <f t="shared" si="116"/>
        <v>120.13495245374716</v>
      </c>
      <c r="BS157">
        <f t="shared" si="117"/>
        <v>0</v>
      </c>
      <c r="BT157">
        <f t="shared" si="118"/>
        <v>0</v>
      </c>
      <c r="BU157">
        <f t="shared" si="119"/>
        <v>0</v>
      </c>
      <c r="BV157">
        <f t="shared" si="120"/>
        <v>0</v>
      </c>
      <c r="BW157">
        <f t="shared" si="134"/>
        <v>0</v>
      </c>
      <c r="BX157" t="str">
        <f t="shared" si="135"/>
        <v/>
      </c>
      <c r="BY157" s="66" t="str">
        <f t="shared" si="121"/>
        <v/>
      </c>
      <c r="BZ157" t="str">
        <f t="shared" si="122"/>
        <v/>
      </c>
      <c r="CA157" s="67" t="str">
        <f t="shared" si="123"/>
        <v/>
      </c>
    </row>
    <row r="158" spans="4:79" x14ac:dyDescent="0.25">
      <c r="D158" s="3" t="e">
        <f t="shared" si="148"/>
        <v>#DIV/0!</v>
      </c>
      <c r="E158" s="3" t="e">
        <f t="shared" si="148"/>
        <v>#DIV/0!</v>
      </c>
      <c r="F158" t="str">
        <f>IF(A158&gt;0,IF(F157=1,1,IF(B158=Data!$H$4,1,0)),"")</f>
        <v/>
      </c>
      <c r="O158" s="3"/>
      <c r="P158" s="3"/>
      <c r="Q158" t="str">
        <f t="shared" si="124"/>
        <v/>
      </c>
      <c r="R158" s="4" t="str">
        <f t="shared" si="125"/>
        <v/>
      </c>
      <c r="S158" t="e">
        <f t="shared" si="136"/>
        <v>#DIV/0!</v>
      </c>
      <c r="T158" t="e">
        <f t="shared" si="149"/>
        <v>#DIV/0!</v>
      </c>
      <c r="U158" s="4">
        <f t="shared" si="126"/>
        <v>0</v>
      </c>
      <c r="V158" t="e">
        <f t="shared" si="137"/>
        <v>#DIV/0!</v>
      </c>
      <c r="W158" t="e">
        <f t="shared" si="138"/>
        <v>#DIV/0!</v>
      </c>
      <c r="X158" t="e">
        <f t="shared" si="139"/>
        <v>#VALUE!</v>
      </c>
      <c r="Y158" t="e">
        <f t="shared" si="140"/>
        <v>#VALUE!</v>
      </c>
      <c r="Z158" t="e">
        <f t="shared" si="141"/>
        <v>#VALUE!</v>
      </c>
      <c r="AA158" t="e">
        <f t="shared" si="127"/>
        <v>#VALUE!</v>
      </c>
      <c r="AB158" t="str">
        <f t="shared" si="142"/>
        <v/>
      </c>
      <c r="AC158" t="str">
        <f t="shared" si="143"/>
        <v/>
      </c>
      <c r="AD158" t="str">
        <f t="shared" si="144"/>
        <v/>
      </c>
      <c r="AE158" t="str">
        <f t="shared" si="145"/>
        <v/>
      </c>
      <c r="AK158" s="4">
        <f t="shared" si="146"/>
        <v>40.600000000000222</v>
      </c>
      <c r="AL158">
        <f t="shared" si="128"/>
        <v>1873.0000000000261</v>
      </c>
      <c r="AM158">
        <f t="shared" si="129"/>
        <v>9739.8428571429558</v>
      </c>
      <c r="AN158">
        <f>IF($AK157+$AK$1&lt;=Data!$H$4-0.5,AVERAGE(AM156:AM160),AN157)</f>
        <v>9739.8428571429558</v>
      </c>
      <c r="AO158">
        <f t="shared" si="130"/>
        <v>8988.9999999999727</v>
      </c>
      <c r="AP158">
        <f t="shared" si="147"/>
        <v>10235.066666666649</v>
      </c>
      <c r="AQ158">
        <f>IF($AK157+$AK$1&lt;=Data!$H$4-0.5,AVERAGE(AP156:AP160),AQ157)</f>
        <v>10235.066666666649</v>
      </c>
      <c r="AR158">
        <f>IF($AK157+$AK$1&lt;=Data!$H$4-0.5,SLOPE($AN154:$AN162,$AK154:$AK162),AR157)</f>
        <v>435.33571428569411</v>
      </c>
      <c r="AS158">
        <f>IF($AK157+$AK$1&lt;=Data!$H$4-0.5,SLOPE($AQ154:$AQ162,$AK154:$AK162),AS157)</f>
        <v>-79.516666666670758</v>
      </c>
      <c r="AT158" t="str">
        <f>IF(AND($AK158&gt;=Results!$G$13,$AK158&lt;=Results!$G$14),Curves!AR158,"")</f>
        <v/>
      </c>
      <c r="AU158" t="str">
        <f>IF(AND($AK158&gt;=Results!$G$13,$AK158&lt;=Results!$G$14),Curves!AS158,"")</f>
        <v/>
      </c>
      <c r="AV158" t="str">
        <f t="shared" si="131"/>
        <v/>
      </c>
      <c r="AW158" t="str">
        <f>IF(AND($AK158&lt;=Results!$I$21,$AK158&gt;=Results!$I$20,$AK158&lt;=Results!$F$4),$AN158,"")</f>
        <v/>
      </c>
      <c r="AX158" t="str">
        <f t="shared" si="131"/>
        <v/>
      </c>
      <c r="AY158" t="str">
        <f>IF(AND($AK158&lt;=Results!$I$23,$AK158&gt;=Results!$I$22,$AK158&gt;=Results!$F$4),$AN158,"")</f>
        <v/>
      </c>
      <c r="AZ158" t="str">
        <f t="shared" si="104"/>
        <v/>
      </c>
      <c r="BA158" t="str">
        <f>IF(AND($AK158&lt;=Results!$I$27,$AK158&gt;=Results!$I$26,$AK158&lt;=Results!$F$4),$AQ158,"")</f>
        <v/>
      </c>
      <c r="BB158" t="str">
        <f t="shared" si="105"/>
        <v/>
      </c>
      <c r="BC158" t="str">
        <f>IF(AND($AK158&lt;=Results!$I$29,$AK158&gt;=Results!$I$28,$AK158&gt;=Results!$F$4),$AQ158,"")</f>
        <v/>
      </c>
      <c r="BD158">
        <f t="shared" si="106"/>
        <v>10386.528633053211</v>
      </c>
      <c r="BE158">
        <f t="shared" si="107"/>
        <v>2128.798735716292</v>
      </c>
      <c r="BF158">
        <f t="shared" si="108"/>
        <v>10225.51515966385</v>
      </c>
      <c r="BG158">
        <f t="shared" si="109"/>
        <v>1315.1658476143652</v>
      </c>
      <c r="BH158">
        <f t="shared" si="110"/>
        <v>0</v>
      </c>
      <c r="BI158">
        <f t="shared" si="111"/>
        <v>0.921687221070429</v>
      </c>
      <c r="BJ158">
        <f t="shared" si="112"/>
        <v>1.0010719565157657</v>
      </c>
      <c r="BK158">
        <f t="shared" si="113"/>
        <v>6.591894342255783E-2</v>
      </c>
      <c r="BL158">
        <f t="shared" si="114"/>
        <v>-5.2687114343696136E-4</v>
      </c>
      <c r="BM158">
        <f t="shared" si="132"/>
        <v>120.00000000000171</v>
      </c>
      <c r="BN158">
        <f t="shared" si="133"/>
        <v>-119.99999999999829</v>
      </c>
      <c r="BO158">
        <f>Data!$H$2*(1-BI158)*(1-BI158/Data!$H$3)*BM158</f>
        <v>1.4718939224812672E-6</v>
      </c>
      <c r="BP158">
        <f t="shared" si="115"/>
        <v>-110.60246652845305</v>
      </c>
      <c r="BQ158">
        <f>Data!$H$2*(1-BJ158)*(1-BJ158/Data!$H$3)*BN158</f>
        <v>-2.7578178520623049E-10</v>
      </c>
      <c r="BR158">
        <f t="shared" si="116"/>
        <v>120.12863478189018</v>
      </c>
      <c r="BS158">
        <f t="shared" si="117"/>
        <v>0</v>
      </c>
      <c r="BT158">
        <f t="shared" si="118"/>
        <v>0</v>
      </c>
      <c r="BU158">
        <f t="shared" si="119"/>
        <v>0</v>
      </c>
      <c r="BV158">
        <f t="shared" si="120"/>
        <v>0</v>
      </c>
      <c r="BW158">
        <f t="shared" si="134"/>
        <v>0</v>
      </c>
      <c r="BX158" t="str">
        <f t="shared" si="135"/>
        <v/>
      </c>
      <c r="BY158" s="66" t="str">
        <f t="shared" si="121"/>
        <v/>
      </c>
      <c r="BZ158" t="str">
        <f t="shared" si="122"/>
        <v/>
      </c>
      <c r="CA158" s="67" t="str">
        <f t="shared" si="123"/>
        <v/>
      </c>
    </row>
    <row r="159" spans="4:79" x14ac:dyDescent="0.25">
      <c r="D159" s="3" t="e">
        <f t="shared" si="148"/>
        <v>#DIV/0!</v>
      </c>
      <c r="E159" s="3" t="e">
        <f t="shared" si="148"/>
        <v>#DIV/0!</v>
      </c>
      <c r="F159" t="str">
        <f>IF(A159&gt;0,IF(F158=1,1,IF(B159=Data!$H$4,1,0)),"")</f>
        <v/>
      </c>
      <c r="O159" s="3"/>
      <c r="P159" s="3"/>
      <c r="Q159" t="str">
        <f t="shared" si="124"/>
        <v/>
      </c>
      <c r="R159" s="4" t="str">
        <f t="shared" si="125"/>
        <v/>
      </c>
      <c r="S159" t="e">
        <f t="shared" si="136"/>
        <v>#DIV/0!</v>
      </c>
      <c r="T159" t="e">
        <f t="shared" si="149"/>
        <v>#DIV/0!</v>
      </c>
      <c r="U159" s="4">
        <f t="shared" si="126"/>
        <v>0</v>
      </c>
      <c r="V159" t="e">
        <f t="shared" si="137"/>
        <v>#DIV/0!</v>
      </c>
      <c r="W159" t="e">
        <f t="shared" si="138"/>
        <v>#DIV/0!</v>
      </c>
      <c r="X159" t="e">
        <f t="shared" si="139"/>
        <v>#VALUE!</v>
      </c>
      <c r="Y159" t="e">
        <f t="shared" si="140"/>
        <v>#VALUE!</v>
      </c>
      <c r="Z159" t="e">
        <f t="shared" si="141"/>
        <v>#VALUE!</v>
      </c>
      <c r="AA159" t="e">
        <f t="shared" si="127"/>
        <v>#VALUE!</v>
      </c>
      <c r="AB159" t="str">
        <f t="shared" si="142"/>
        <v/>
      </c>
      <c r="AC159" t="str">
        <f t="shared" si="143"/>
        <v/>
      </c>
      <c r="AD159" t="str">
        <f t="shared" si="144"/>
        <v/>
      </c>
      <c r="AE159" t="str">
        <f t="shared" si="145"/>
        <v/>
      </c>
      <c r="AK159" s="4">
        <f t="shared" si="146"/>
        <v>40.700000000000223</v>
      </c>
      <c r="AL159">
        <f t="shared" si="128"/>
        <v>1885.0000000000266</v>
      </c>
      <c r="AM159">
        <f t="shared" si="129"/>
        <v>9784.0904761905749</v>
      </c>
      <c r="AN159">
        <f>IF($AK158+$AK$1&lt;=Data!$H$4-0.5,AVERAGE(AM157:AM161),AN158)</f>
        <v>9784.0904761905749</v>
      </c>
      <c r="AO159">
        <f t="shared" si="130"/>
        <v>8976.9999999999727</v>
      </c>
      <c r="AP159">
        <f t="shared" si="147"/>
        <v>10227.299999999983</v>
      </c>
      <c r="AQ159">
        <f>IF($AK158+$AK$1&lt;=Data!$H$4-0.5,AVERAGE(AP157:AP161),AQ158)</f>
        <v>10227.299999999983</v>
      </c>
      <c r="AR159">
        <f>IF($AK158+$AK$1&lt;=Data!$H$4-0.5,SLOPE($AN155:$AN163,$AK155:$AK163),AR158)</f>
        <v>425.81507936504659</v>
      </c>
      <c r="AS159">
        <f>IF($AK158+$AK$1&lt;=Data!$H$4-0.5,SLOPE($AQ155:$AQ163,$AK155:$AK163),AS158)</f>
        <v>-81.983333333339985</v>
      </c>
      <c r="AT159" t="str">
        <f>IF(AND($AK159&gt;=Results!$G$13,$AK159&lt;=Results!$G$14),Curves!AR159,"")</f>
        <v/>
      </c>
      <c r="AU159" t="str">
        <f>IF(AND($AK159&gt;=Results!$G$13,$AK159&lt;=Results!$G$14),Curves!AS159,"")</f>
        <v/>
      </c>
      <c r="AV159" t="str">
        <f t="shared" si="131"/>
        <v/>
      </c>
      <c r="AW159" t="str">
        <f>IF(AND($AK159&lt;=Results!$I$21,$AK159&gt;=Results!$I$20,$AK159&lt;=Results!$F$4),$AN159,"")</f>
        <v/>
      </c>
      <c r="AX159" t="str">
        <f t="shared" si="131"/>
        <v/>
      </c>
      <c r="AY159" t="str">
        <f>IF(AND($AK159&lt;=Results!$I$23,$AK159&gt;=Results!$I$22,$AK159&gt;=Results!$F$4),$AN159,"")</f>
        <v/>
      </c>
      <c r="AZ159" t="str">
        <f t="shared" si="104"/>
        <v/>
      </c>
      <c r="BA159" t="str">
        <f>IF(AND($AK159&lt;=Results!$I$27,$AK159&gt;=Results!$I$26,$AK159&lt;=Results!$F$4),$AQ159,"")</f>
        <v/>
      </c>
      <c r="BB159" t="str">
        <f t="shared" si="105"/>
        <v/>
      </c>
      <c r="BC159" t="str">
        <f>IF(AND($AK159&lt;=Results!$I$29,$AK159&gt;=Results!$I$28,$AK159&gt;=Results!$F$4),$AQ159,"")</f>
        <v/>
      </c>
      <c r="BD159">
        <f t="shared" si="106"/>
        <v>10375.758438255292</v>
      </c>
      <c r="BE159">
        <f t="shared" si="107"/>
        <v>2125.482946466971</v>
      </c>
      <c r="BF159">
        <f t="shared" si="108"/>
        <v>10218.225177430959</v>
      </c>
      <c r="BG159">
        <f t="shared" si="109"/>
        <v>1314.6150466548402</v>
      </c>
      <c r="BH159">
        <f t="shared" si="110"/>
        <v>0</v>
      </c>
      <c r="BI159">
        <f t="shared" si="111"/>
        <v>0.92828506603765926</v>
      </c>
      <c r="BJ159">
        <f t="shared" si="112"/>
        <v>1.0010192295524774</v>
      </c>
      <c r="BK159">
        <f t="shared" si="113"/>
        <v>6.6038117365700033E-2</v>
      </c>
      <c r="BL159">
        <f t="shared" si="114"/>
        <v>-5.2766902786659871E-4</v>
      </c>
      <c r="BM159">
        <f t="shared" si="132"/>
        <v>120.00000000000171</v>
      </c>
      <c r="BN159">
        <f t="shared" si="133"/>
        <v>-119.99999999999829</v>
      </c>
      <c r="BO159">
        <f>Data!$H$2*(1-BI159)*(1-BI159/Data!$H$3)*BM159</f>
        <v>1.234327620773512E-6</v>
      </c>
      <c r="BP159">
        <f t="shared" si="115"/>
        <v>-111.3942079245207</v>
      </c>
      <c r="BQ159">
        <f>Data!$H$2*(1-BJ159)*(1-BJ159/Data!$H$3)*BN159</f>
        <v>-2.4931893135436046E-10</v>
      </c>
      <c r="BR159">
        <f t="shared" si="116"/>
        <v>120.12230754629557</v>
      </c>
      <c r="BS159">
        <f t="shared" si="117"/>
        <v>0</v>
      </c>
      <c r="BT159">
        <f t="shared" si="118"/>
        <v>0</v>
      </c>
      <c r="BU159">
        <f t="shared" si="119"/>
        <v>0</v>
      </c>
      <c r="BV159">
        <f t="shared" si="120"/>
        <v>0</v>
      </c>
      <c r="BW159">
        <f t="shared" si="134"/>
        <v>0</v>
      </c>
      <c r="BX159" t="str">
        <f t="shared" si="135"/>
        <v/>
      </c>
      <c r="BY159" s="66" t="str">
        <f t="shared" si="121"/>
        <v/>
      </c>
      <c r="BZ159" t="str">
        <f t="shared" si="122"/>
        <v/>
      </c>
      <c r="CA159" s="67" t="str">
        <f t="shared" si="123"/>
        <v/>
      </c>
    </row>
    <row r="160" spans="4:79" x14ac:dyDescent="0.25">
      <c r="D160" s="3" t="e">
        <f t="shared" si="148"/>
        <v>#DIV/0!</v>
      </c>
      <c r="E160" s="3" t="e">
        <f t="shared" si="148"/>
        <v>#DIV/0!</v>
      </c>
      <c r="F160" t="str">
        <f>IF(A160&gt;0,IF(F159=1,1,IF(B160=Data!$H$4,1,0)),"")</f>
        <v/>
      </c>
      <c r="O160" s="3"/>
      <c r="P160" s="3"/>
      <c r="Q160" t="str">
        <f t="shared" si="124"/>
        <v/>
      </c>
      <c r="R160" s="4" t="str">
        <f t="shared" si="125"/>
        <v/>
      </c>
      <c r="S160" t="e">
        <f t="shared" si="136"/>
        <v>#DIV/0!</v>
      </c>
      <c r="T160" t="e">
        <f t="shared" si="149"/>
        <v>#DIV/0!</v>
      </c>
      <c r="U160" s="4">
        <f t="shared" si="126"/>
        <v>0</v>
      </c>
      <c r="V160" t="e">
        <f t="shared" si="137"/>
        <v>#DIV/0!</v>
      </c>
      <c r="W160" t="e">
        <f t="shared" si="138"/>
        <v>#DIV/0!</v>
      </c>
      <c r="X160" t="e">
        <f t="shared" si="139"/>
        <v>#VALUE!</v>
      </c>
      <c r="Y160" t="e">
        <f t="shared" si="140"/>
        <v>#VALUE!</v>
      </c>
      <c r="Z160" t="e">
        <f t="shared" si="141"/>
        <v>#VALUE!</v>
      </c>
      <c r="AA160" t="e">
        <f t="shared" si="127"/>
        <v>#VALUE!</v>
      </c>
      <c r="AB160" t="str">
        <f t="shared" si="142"/>
        <v/>
      </c>
      <c r="AC160" t="str">
        <f t="shared" si="143"/>
        <v/>
      </c>
      <c r="AD160" t="str">
        <f t="shared" si="144"/>
        <v/>
      </c>
      <c r="AE160" t="str">
        <f t="shared" si="145"/>
        <v/>
      </c>
      <c r="AK160" s="4">
        <f t="shared" si="146"/>
        <v>40.800000000000225</v>
      </c>
      <c r="AL160">
        <f t="shared" si="128"/>
        <v>1897.0000000000268</v>
      </c>
      <c r="AM160">
        <f t="shared" si="129"/>
        <v>9828.338095238194</v>
      </c>
      <c r="AN160">
        <f>IF($AK159+$AK$1&lt;=Data!$H$4-0.5,AVERAGE(AM158:AM162),AN159)</f>
        <v>9828.3380952381885</v>
      </c>
      <c r="AO160">
        <f t="shared" si="130"/>
        <v>8964.9999999999727</v>
      </c>
      <c r="AP160">
        <f t="shared" si="147"/>
        <v>10219.533333333316</v>
      </c>
      <c r="AQ160">
        <f>IF($AK159+$AK$1&lt;=Data!$H$4-0.5,AVERAGE(AP158:AP162),AQ159)</f>
        <v>10219.533333333315</v>
      </c>
      <c r="AR160">
        <f>IF($AK159+$AK$1&lt;=Data!$H$4-0.5,SLOPE($AN156:$AN164,$AK156:$AK164),AR159)</f>
        <v>411.53412698408425</v>
      </c>
      <c r="AS160">
        <f>IF($AK159+$AK$1&lt;=Data!$H$4-0.5,SLOPE($AQ156:$AQ164,$AK156:$AK164),AS159)</f>
        <v>-85.683333333342773</v>
      </c>
      <c r="AT160" t="str">
        <f>IF(AND($AK160&gt;=Results!$G$13,$AK160&lt;=Results!$G$14),Curves!AR160,"")</f>
        <v/>
      </c>
      <c r="AU160" t="str">
        <f>IF(AND($AK160&gt;=Results!$G$13,$AK160&lt;=Results!$G$14),Curves!AS160,"")</f>
        <v/>
      </c>
      <c r="AV160" t="str">
        <f t="shared" si="131"/>
        <v/>
      </c>
      <c r="AW160" t="str">
        <f>IF(AND($AK160&lt;=Results!$I$21,$AK160&gt;=Results!$I$20,$AK160&lt;=Results!$F$4),$AN160,"")</f>
        <v/>
      </c>
      <c r="AX160" t="str">
        <f t="shared" si="131"/>
        <v/>
      </c>
      <c r="AY160" t="str">
        <f>IF(AND($AK160&lt;=Results!$I$23,$AK160&gt;=Results!$I$22,$AK160&gt;=Results!$F$4),$AN160,"")</f>
        <v/>
      </c>
      <c r="AZ160" t="str">
        <f t="shared" si="104"/>
        <v/>
      </c>
      <c r="BA160" t="str">
        <f>IF(AND($AK160&lt;=Results!$I$27,$AK160&gt;=Results!$I$26,$AK160&lt;=Results!$F$4),$AQ160,"")</f>
        <v/>
      </c>
      <c r="BB160" t="str">
        <f t="shared" si="105"/>
        <v/>
      </c>
      <c r="BC160" t="str">
        <f>IF(AND($AK160&lt;=Results!$I$29,$AK160&gt;=Results!$I$28,$AK160&gt;=Results!$F$4),$AQ160,"")</f>
        <v/>
      </c>
      <c r="BD160">
        <f t="shared" si="106"/>
        <v>10364.988243457372</v>
      </c>
      <c r="BE160">
        <f t="shared" si="107"/>
        <v>2122.1671572176501</v>
      </c>
      <c r="BF160">
        <f t="shared" si="108"/>
        <v>10210.935195198064</v>
      </c>
      <c r="BG160">
        <f t="shared" si="109"/>
        <v>1314.0642456953151</v>
      </c>
      <c r="BH160">
        <f t="shared" si="110"/>
        <v>0</v>
      </c>
      <c r="BI160">
        <f t="shared" si="111"/>
        <v>0.93489484454356919</v>
      </c>
      <c r="BJ160">
        <f t="shared" si="112"/>
        <v>1.0009664227101924</v>
      </c>
      <c r="BK160">
        <f t="shared" si="113"/>
        <v>6.4423514413979491E-2</v>
      </c>
      <c r="BL160">
        <f t="shared" si="114"/>
        <v>-9.4466053254914383E-4</v>
      </c>
      <c r="BM160">
        <f t="shared" si="132"/>
        <v>120.00000000000055</v>
      </c>
      <c r="BN160">
        <f t="shared" si="133"/>
        <v>-119.99999999999829</v>
      </c>
      <c r="BO160">
        <f>Data!$H$2*(1-BI160)*(1-BI160/Data!$H$3)*BM160</f>
        <v>1.0172835040814499E-6</v>
      </c>
      <c r="BP160">
        <f t="shared" si="115"/>
        <v>-112.18738134522881</v>
      </c>
      <c r="BQ160">
        <f>Data!$H$2*(1-BJ160)*(1-BJ160/Data!$H$3)*BN160</f>
        <v>-2.2415348514615908E-10</v>
      </c>
      <c r="BR160">
        <f t="shared" si="116"/>
        <v>120.11597072522139</v>
      </c>
      <c r="BS160">
        <f t="shared" si="117"/>
        <v>0</v>
      </c>
      <c r="BT160">
        <f t="shared" si="118"/>
        <v>0</v>
      </c>
      <c r="BU160">
        <f t="shared" si="119"/>
        <v>0</v>
      </c>
      <c r="BV160">
        <f t="shared" si="120"/>
        <v>0</v>
      </c>
      <c r="BW160">
        <f t="shared" si="134"/>
        <v>0</v>
      </c>
      <c r="BX160" t="str">
        <f t="shared" si="135"/>
        <v/>
      </c>
      <c r="BY160" s="66" t="str">
        <f t="shared" si="121"/>
        <v/>
      </c>
      <c r="BZ160" t="str">
        <f t="shared" si="122"/>
        <v/>
      </c>
      <c r="CA160" s="67" t="str">
        <f t="shared" si="123"/>
        <v/>
      </c>
    </row>
    <row r="161" spans="4:79" x14ac:dyDescent="0.25">
      <c r="D161" s="3" t="e">
        <f t="shared" si="148"/>
        <v>#DIV/0!</v>
      </c>
      <c r="E161" s="3" t="e">
        <f t="shared" si="148"/>
        <v>#DIV/0!</v>
      </c>
      <c r="F161" t="str">
        <f>IF(A161&gt;0,IF(F160=1,1,IF(B161=Data!$H$4,1,0)),"")</f>
        <v/>
      </c>
      <c r="O161" s="3"/>
      <c r="P161" s="3"/>
      <c r="Q161" t="str">
        <f t="shared" si="124"/>
        <v/>
      </c>
      <c r="R161" s="4" t="str">
        <f t="shared" si="125"/>
        <v/>
      </c>
      <c r="S161" t="e">
        <f t="shared" si="136"/>
        <v>#DIV/0!</v>
      </c>
      <c r="T161" t="e">
        <f t="shared" si="149"/>
        <v>#DIV/0!</v>
      </c>
      <c r="U161" s="4">
        <f t="shared" si="126"/>
        <v>0</v>
      </c>
      <c r="V161" t="e">
        <f t="shared" si="137"/>
        <v>#DIV/0!</v>
      </c>
      <c r="W161" t="e">
        <f t="shared" si="138"/>
        <v>#DIV/0!</v>
      </c>
      <c r="X161" t="e">
        <f t="shared" si="139"/>
        <v>#VALUE!</v>
      </c>
      <c r="Y161" t="e">
        <f t="shared" si="140"/>
        <v>#VALUE!</v>
      </c>
      <c r="Z161" t="e">
        <f t="shared" si="141"/>
        <v>#VALUE!</v>
      </c>
      <c r="AA161" t="e">
        <f t="shared" si="127"/>
        <v>#VALUE!</v>
      </c>
      <c r="AB161" t="str">
        <f t="shared" si="142"/>
        <v/>
      </c>
      <c r="AC161" t="str">
        <f t="shared" si="143"/>
        <v/>
      </c>
      <c r="AD161" t="str">
        <f t="shared" si="144"/>
        <v/>
      </c>
      <c r="AE161" t="str">
        <f t="shared" si="145"/>
        <v/>
      </c>
      <c r="AK161" s="4">
        <f t="shared" si="146"/>
        <v>40.900000000000226</v>
      </c>
      <c r="AL161">
        <f t="shared" si="128"/>
        <v>1909.0000000000271</v>
      </c>
      <c r="AM161">
        <f t="shared" si="129"/>
        <v>9872.5857142858149</v>
      </c>
      <c r="AN161">
        <f>IF($AK160+$AK$1&lt;=Data!$H$4-0.5,AVERAGE(AM159:AM163),AN160)</f>
        <v>9869.7295238096103</v>
      </c>
      <c r="AO161">
        <f t="shared" si="130"/>
        <v>8952.9999999999727</v>
      </c>
      <c r="AP161">
        <f t="shared" si="147"/>
        <v>10211.766666666648</v>
      </c>
      <c r="AQ161">
        <f>IF($AK160+$AK$1&lt;=Data!$H$4-0.5,AVERAGE(AP159:AP163),AQ160)</f>
        <v>10211.026666666647</v>
      </c>
      <c r="AR161">
        <f>IF($AK160+$AK$1&lt;=Data!$H$4-0.5,SLOPE($AN157:$AN165,$AK157:$AK165),AR160)</f>
        <v>392.49285714280802</v>
      </c>
      <c r="AS161">
        <f>IF($AK160+$AK$1&lt;=Data!$H$4-0.5,SLOPE($AQ157:$AQ165,$AK157:$AK165),AS160)</f>
        <v>-90.616666666678853</v>
      </c>
      <c r="AT161" t="str">
        <f>IF(AND($AK161&gt;=Results!$G$13,$AK161&lt;=Results!$G$14),Curves!AR161,"")</f>
        <v/>
      </c>
      <c r="AU161" t="str">
        <f>IF(AND($AK161&gt;=Results!$G$13,$AK161&lt;=Results!$G$14),Curves!AS161,"")</f>
        <v/>
      </c>
      <c r="AV161" t="str">
        <f t="shared" si="131"/>
        <v/>
      </c>
      <c r="AW161" t="str">
        <f>IF(AND($AK161&lt;=Results!$I$21,$AK161&gt;=Results!$I$20,$AK161&lt;=Results!$F$4),$AN161,"")</f>
        <v/>
      </c>
      <c r="AX161" t="str">
        <f t="shared" si="131"/>
        <v/>
      </c>
      <c r="AY161" t="str">
        <f>IF(AND($AK161&lt;=Results!$I$23,$AK161&gt;=Results!$I$22,$AK161&gt;=Results!$F$4),$AN161,"")</f>
        <v/>
      </c>
      <c r="AZ161" t="str">
        <f t="shared" si="104"/>
        <v/>
      </c>
      <c r="BA161" t="str">
        <f>IF(AND($AK161&lt;=Results!$I$27,$AK161&gt;=Results!$I$26,$AK161&lt;=Results!$F$4),$AQ161,"")</f>
        <v/>
      </c>
      <c r="BB161" t="str">
        <f t="shared" si="105"/>
        <v/>
      </c>
      <c r="BC161" t="str">
        <f>IF(AND($AK161&lt;=Results!$I$29,$AK161&gt;=Results!$I$28,$AK161&gt;=Results!$F$4),$AQ161,"")</f>
        <v/>
      </c>
      <c r="BD161">
        <f t="shared" si="106"/>
        <v>10354.218048659452</v>
      </c>
      <c r="BE161">
        <f t="shared" si="107"/>
        <v>2118.8513679683297</v>
      </c>
      <c r="BF161">
        <f t="shared" si="108"/>
        <v>10203.645212965172</v>
      </c>
      <c r="BG161">
        <f t="shared" si="109"/>
        <v>1313.5134447357902</v>
      </c>
      <c r="BH161">
        <f t="shared" si="110"/>
        <v>0</v>
      </c>
      <c r="BI161">
        <f t="shared" si="111"/>
        <v>0.94116976892045534</v>
      </c>
      <c r="BJ161">
        <f t="shared" si="112"/>
        <v>1.0008302974459675</v>
      </c>
      <c r="BK161">
        <f t="shared" si="113"/>
        <v>6.10704225067812E-2</v>
      </c>
      <c r="BL161">
        <f t="shared" si="114"/>
        <v>-1.7787928659873408E-3</v>
      </c>
      <c r="BM161">
        <f t="shared" si="132"/>
        <v>120.00000000000055</v>
      </c>
      <c r="BN161">
        <f t="shared" si="133"/>
        <v>-119.99999999999829</v>
      </c>
      <c r="BO161">
        <f>Data!$H$2*(1-BI161)*(1-BI161/Data!$H$3)*BM161</f>
        <v>8.306390613294331E-7</v>
      </c>
      <c r="BP161">
        <f t="shared" si="115"/>
        <v>-112.94037227045516</v>
      </c>
      <c r="BQ161">
        <f>Data!$H$2*(1-BJ161)*(1-BJ161/Data!$H$3)*BN161</f>
        <v>-1.654545237072427E-10</v>
      </c>
      <c r="BR161">
        <f t="shared" si="116"/>
        <v>120.0996356935144</v>
      </c>
      <c r="BS161">
        <f t="shared" si="117"/>
        <v>0</v>
      </c>
      <c r="BT161">
        <f t="shared" si="118"/>
        <v>0</v>
      </c>
      <c r="BU161">
        <f t="shared" si="119"/>
        <v>0</v>
      </c>
      <c r="BV161">
        <f t="shared" si="120"/>
        <v>0</v>
      </c>
      <c r="BW161">
        <f t="shared" si="134"/>
        <v>0</v>
      </c>
      <c r="BX161" t="str">
        <f t="shared" si="135"/>
        <v/>
      </c>
      <c r="BY161" s="66" t="str">
        <f t="shared" si="121"/>
        <v/>
      </c>
      <c r="BZ161" t="str">
        <f t="shared" si="122"/>
        <v/>
      </c>
      <c r="CA161" s="67" t="str">
        <f t="shared" si="123"/>
        <v/>
      </c>
    </row>
    <row r="162" spans="4:79" x14ac:dyDescent="0.25">
      <c r="D162" s="3" t="e">
        <f t="shared" si="148"/>
        <v>#DIV/0!</v>
      </c>
      <c r="E162" s="3" t="e">
        <f t="shared" si="148"/>
        <v>#DIV/0!</v>
      </c>
      <c r="F162" t="str">
        <f>IF(A162&gt;0,IF(F161=1,1,IF(B162=Data!$H$4,1,0)),"")</f>
        <v/>
      </c>
      <c r="O162" s="3"/>
      <c r="P162" s="3"/>
      <c r="Q162" t="str">
        <f t="shared" si="124"/>
        <v/>
      </c>
      <c r="R162" s="4" t="str">
        <f t="shared" si="125"/>
        <v/>
      </c>
      <c r="S162" t="e">
        <f t="shared" si="136"/>
        <v>#DIV/0!</v>
      </c>
      <c r="T162" t="e">
        <f t="shared" si="149"/>
        <v>#DIV/0!</v>
      </c>
      <c r="U162" s="4">
        <f t="shared" si="126"/>
        <v>0</v>
      </c>
      <c r="V162" t="e">
        <f t="shared" si="137"/>
        <v>#DIV/0!</v>
      </c>
      <c r="W162" t="e">
        <f t="shared" si="138"/>
        <v>#DIV/0!</v>
      </c>
      <c r="X162" t="e">
        <f t="shared" si="139"/>
        <v>#VALUE!</v>
      </c>
      <c r="Y162" t="e">
        <f t="shared" si="140"/>
        <v>#VALUE!</v>
      </c>
      <c r="Z162" t="e">
        <f t="shared" si="141"/>
        <v>#VALUE!</v>
      </c>
      <c r="AA162" t="e">
        <f t="shared" si="127"/>
        <v>#VALUE!</v>
      </c>
      <c r="AB162" t="str">
        <f t="shared" si="142"/>
        <v/>
      </c>
      <c r="AC162" t="str">
        <f t="shared" si="143"/>
        <v/>
      </c>
      <c r="AD162" t="str">
        <f t="shared" si="144"/>
        <v/>
      </c>
      <c r="AE162" t="str">
        <f t="shared" si="145"/>
        <v/>
      </c>
      <c r="AK162" s="4">
        <f t="shared" si="146"/>
        <v>41.000000000000227</v>
      </c>
      <c r="AL162">
        <f t="shared" si="128"/>
        <v>1921.0000000000273</v>
      </c>
      <c r="AM162">
        <f t="shared" si="129"/>
        <v>9916.8333333334012</v>
      </c>
      <c r="AN162">
        <f>IF($AK161+$AK$1&lt;=Data!$H$4-0.5,AVERAGE(AM160:AM164),AN161)</f>
        <v>9908.2647619048421</v>
      </c>
      <c r="AO162">
        <f t="shared" si="130"/>
        <v>8940.9999999999727</v>
      </c>
      <c r="AP162">
        <f t="shared" si="147"/>
        <v>10203.999999999975</v>
      </c>
      <c r="AQ162">
        <f>IF($AK161+$AK$1&lt;=Data!$H$4-0.5,AVERAGE(AP160:AP164),AQ161)</f>
        <v>10201.779999999979</v>
      </c>
      <c r="AR162">
        <f>IF($AK161+$AK$1&lt;=Data!$H$4-0.5,SLOPE($AN158:$AN166,$AK158:$AK166),AR161)</f>
        <v>371.07142857137927</v>
      </c>
      <c r="AS162">
        <f>IF($AK161+$AK$1&lt;=Data!$H$4-0.5,SLOPE($AQ158:$AQ166,$AK158:$AK166),AS161)</f>
        <v>-96.166666666678935</v>
      </c>
      <c r="AT162" t="str">
        <f>IF(AND($AK162&gt;=Results!$G$13,$AK162&lt;=Results!$G$14),Curves!AR162,"")</f>
        <v/>
      </c>
      <c r="AU162" t="str">
        <f>IF(AND($AK162&gt;=Results!$G$13,$AK162&lt;=Results!$G$14),Curves!AS162,"")</f>
        <v/>
      </c>
      <c r="AV162" t="str">
        <f t="shared" si="131"/>
        <v/>
      </c>
      <c r="AW162" t="str">
        <f>IF(AND($AK162&lt;=Results!$I$21,$AK162&gt;=Results!$I$20,$AK162&lt;=Results!$F$4),$AN162,"")</f>
        <v/>
      </c>
      <c r="AX162" t="str">
        <f t="shared" si="131"/>
        <v/>
      </c>
      <c r="AY162" t="str">
        <f>IF(AND($AK162&lt;=Results!$I$23,$AK162&gt;=Results!$I$22,$AK162&gt;=Results!$F$4),$AN162,"")</f>
        <v/>
      </c>
      <c r="AZ162" t="str">
        <f t="shared" si="104"/>
        <v/>
      </c>
      <c r="BA162" t="str">
        <f>IF(AND($AK162&lt;=Results!$I$27,$AK162&gt;=Results!$I$26,$AK162&lt;=Results!$F$4),$AQ162,"")</f>
        <v/>
      </c>
      <c r="BB162" t="str">
        <f t="shared" si="105"/>
        <v/>
      </c>
      <c r="BC162" t="str">
        <f>IF(AND($AK162&lt;=Results!$I$29,$AK162&gt;=Results!$I$28,$AK162&gt;=Results!$F$4),$AQ162,"")</f>
        <v/>
      </c>
      <c r="BD162">
        <f t="shared" si="106"/>
        <v>10343.447853861533</v>
      </c>
      <c r="BE162">
        <f t="shared" si="107"/>
        <v>2115.5355787190088</v>
      </c>
      <c r="BF162">
        <f t="shared" si="108"/>
        <v>10196.355230732279</v>
      </c>
      <c r="BG162">
        <f t="shared" si="109"/>
        <v>1312.9626437762652</v>
      </c>
      <c r="BH162">
        <f t="shared" si="110"/>
        <v>0</v>
      </c>
      <c r="BI162">
        <f t="shared" si="111"/>
        <v>0.94710892904492561</v>
      </c>
      <c r="BJ162">
        <f t="shared" si="112"/>
        <v>1.000610664136995</v>
      </c>
      <c r="BK162">
        <f t="shared" si="113"/>
        <v>5.7708212859453899E-2</v>
      </c>
      <c r="BL162">
        <f t="shared" si="114"/>
        <v>-2.6148243067480501E-3</v>
      </c>
      <c r="BM162">
        <f t="shared" si="132"/>
        <v>120.00000000000055</v>
      </c>
      <c r="BN162">
        <f t="shared" si="133"/>
        <v>-119.99999999999829</v>
      </c>
      <c r="BO162">
        <f>Data!$H$2*(1-BI162)*(1-BI162/Data!$H$3)*BM162</f>
        <v>6.7139169282593439E-7</v>
      </c>
      <c r="BP162">
        <f t="shared" si="115"/>
        <v>-113.65307148539159</v>
      </c>
      <c r="BQ162">
        <f>Data!$H$2*(1-BJ162)*(1-BJ162/Data!$H$3)*BN162</f>
        <v>-8.9498565170828778E-11</v>
      </c>
      <c r="BR162">
        <f t="shared" si="116"/>
        <v>120.07327969643769</v>
      </c>
      <c r="BS162">
        <f t="shared" si="117"/>
        <v>0</v>
      </c>
      <c r="BT162">
        <f t="shared" si="118"/>
        <v>0</v>
      </c>
      <c r="BU162">
        <f t="shared" si="119"/>
        <v>0</v>
      </c>
      <c r="BV162">
        <f t="shared" si="120"/>
        <v>0</v>
      </c>
      <c r="BW162">
        <f t="shared" si="134"/>
        <v>0</v>
      </c>
      <c r="BX162" t="str">
        <f t="shared" si="135"/>
        <v/>
      </c>
      <c r="BY162" s="66" t="str">
        <f t="shared" si="121"/>
        <v/>
      </c>
      <c r="BZ162" t="str">
        <f t="shared" si="122"/>
        <v/>
      </c>
      <c r="CA162" s="67" t="str">
        <f t="shared" si="123"/>
        <v/>
      </c>
    </row>
    <row r="163" spans="4:79" x14ac:dyDescent="0.25">
      <c r="D163" s="3" t="e">
        <f t="shared" si="148"/>
        <v>#DIV/0!</v>
      </c>
      <c r="E163" s="3" t="e">
        <f t="shared" si="148"/>
        <v>#DIV/0!</v>
      </c>
      <c r="F163" t="str">
        <f>IF(A163&gt;0,IF(F162=1,1,IF(B163=Data!$H$4,1,0)),"")</f>
        <v/>
      </c>
      <c r="O163" s="3"/>
      <c r="P163" s="3"/>
      <c r="Q163" t="str">
        <f t="shared" si="124"/>
        <v/>
      </c>
      <c r="R163" s="4" t="str">
        <f t="shared" si="125"/>
        <v/>
      </c>
      <c r="S163" t="e">
        <f t="shared" si="136"/>
        <v>#DIV/0!</v>
      </c>
      <c r="T163" t="e">
        <f t="shared" si="149"/>
        <v>#DIV/0!</v>
      </c>
      <c r="U163" s="4">
        <f t="shared" si="126"/>
        <v>0</v>
      </c>
      <c r="V163" t="e">
        <f t="shared" si="137"/>
        <v>#DIV/0!</v>
      </c>
      <c r="W163" t="e">
        <f t="shared" si="138"/>
        <v>#DIV/0!</v>
      </c>
      <c r="X163" t="e">
        <f t="shared" si="139"/>
        <v>#VALUE!</v>
      </c>
      <c r="Y163" t="e">
        <f t="shared" si="140"/>
        <v>#VALUE!</v>
      </c>
      <c r="Z163" t="e">
        <f t="shared" si="141"/>
        <v>#VALUE!</v>
      </c>
      <c r="AA163" t="e">
        <f t="shared" si="127"/>
        <v>#VALUE!</v>
      </c>
      <c r="AB163" t="str">
        <f t="shared" si="142"/>
        <v/>
      </c>
      <c r="AC163" t="str">
        <f t="shared" si="143"/>
        <v/>
      </c>
      <c r="AD163" t="str">
        <f t="shared" si="144"/>
        <v/>
      </c>
      <c r="AE163" t="str">
        <f t="shared" si="145"/>
        <v/>
      </c>
      <c r="AK163" s="4">
        <f t="shared" si="146"/>
        <v>41.100000000000229</v>
      </c>
      <c r="AL163">
        <f t="shared" si="128"/>
        <v>1933.0000000000275</v>
      </c>
      <c r="AM163">
        <f t="shared" si="129"/>
        <v>9946.8000000000684</v>
      </c>
      <c r="AN163">
        <f>IF($AK162+$AK$1&lt;=Data!$H$4-0.5,AVERAGE(AM161:AM165),AN162)</f>
        <v>9943.9438095238838</v>
      </c>
      <c r="AO163">
        <f t="shared" si="130"/>
        <v>8928.9999999999727</v>
      </c>
      <c r="AP163">
        <f t="shared" si="147"/>
        <v>10192.533333333307</v>
      </c>
      <c r="AQ163">
        <f>IF($AK162+$AK$1&lt;=Data!$H$4-0.5,AVERAGE(AP161:AP165),AQ162)</f>
        <v>10191.793333333309</v>
      </c>
      <c r="AR163">
        <f>IF($AK162+$AK$1&lt;=Data!$H$4-0.5,SLOPE($AN159:$AN167,$AK159:$AK167),AR162)</f>
        <v>349.64999999995672</v>
      </c>
      <c r="AS163">
        <f>IF($AK162+$AK$1&lt;=Data!$H$4-0.5,SLOPE($AQ159:$AQ167,$AK159:$AK167),AS162)</f>
        <v>-101.71666666667782</v>
      </c>
      <c r="AT163" t="str">
        <f>IF(AND($AK163&gt;=Results!$G$13,$AK163&lt;=Results!$G$14),Curves!AR163,"")</f>
        <v/>
      </c>
      <c r="AU163" t="str">
        <f>IF(AND($AK163&gt;=Results!$G$13,$AK163&lt;=Results!$G$14),Curves!AS163,"")</f>
        <v/>
      </c>
      <c r="AV163" t="str">
        <f t="shared" si="131"/>
        <v/>
      </c>
      <c r="AW163" t="str">
        <f>IF(AND($AK163&lt;=Results!$I$21,$AK163&gt;=Results!$I$20,$AK163&lt;=Results!$F$4),$AN163,"")</f>
        <v/>
      </c>
      <c r="AX163" t="str">
        <f t="shared" si="131"/>
        <v/>
      </c>
      <c r="AY163" t="str">
        <f>IF(AND($AK163&lt;=Results!$I$23,$AK163&gt;=Results!$I$22,$AK163&gt;=Results!$F$4),$AN163,"")</f>
        <v/>
      </c>
      <c r="AZ163" t="str">
        <f t="shared" si="104"/>
        <v/>
      </c>
      <c r="BA163" t="str">
        <f>IF(AND($AK163&lt;=Results!$I$27,$AK163&gt;=Results!$I$26,$AK163&lt;=Results!$F$4),$AQ163,"")</f>
        <v/>
      </c>
      <c r="BB163" t="str">
        <f t="shared" si="105"/>
        <v/>
      </c>
      <c r="BC163" t="str">
        <f>IF(AND($AK163&lt;=Results!$I$29,$AK163&gt;=Results!$I$28,$AK163&gt;=Results!$F$4),$AQ163,"")</f>
        <v/>
      </c>
      <c r="BD163">
        <f t="shared" si="106"/>
        <v>10332.677659063615</v>
      </c>
      <c r="BE163">
        <f t="shared" si="107"/>
        <v>2112.2197894696883</v>
      </c>
      <c r="BF163">
        <f t="shared" si="108"/>
        <v>10189.065248499384</v>
      </c>
      <c r="BG163">
        <f t="shared" si="109"/>
        <v>1312.4118428167401</v>
      </c>
      <c r="BH163">
        <f t="shared" si="110"/>
        <v>0</v>
      </c>
      <c r="BI163">
        <f t="shared" si="111"/>
        <v>0.95271141149234628</v>
      </c>
      <c r="BJ163">
        <f t="shared" si="112"/>
        <v>1.0003073325846179</v>
      </c>
      <c r="BK163">
        <f t="shared" si="113"/>
        <v>5.4336852384677448E-2</v>
      </c>
      <c r="BL163">
        <f t="shared" si="114"/>
        <v>-3.4527606242589831E-3</v>
      </c>
      <c r="BM163">
        <f t="shared" si="132"/>
        <v>120.00000000000055</v>
      </c>
      <c r="BN163">
        <f t="shared" si="133"/>
        <v>-119.99999999999829</v>
      </c>
      <c r="BO163">
        <f>Data!$H$2*(1-BI163)*(1-BI163/Data!$H$3)*BM163</f>
        <v>5.3669054473109032E-7</v>
      </c>
      <c r="BP163">
        <f t="shared" si="115"/>
        <v>-114.32536937908208</v>
      </c>
      <c r="BQ163">
        <f>Data!$H$2*(1-BJ163)*(1-BJ163/Data!$H$3)*BN163</f>
        <v>-2.2668796216300622E-11</v>
      </c>
      <c r="BR163">
        <f t="shared" si="116"/>
        <v>120.03687991015244</v>
      </c>
      <c r="BS163">
        <f t="shared" si="117"/>
        <v>0</v>
      </c>
      <c r="BT163">
        <f t="shared" si="118"/>
        <v>0</v>
      </c>
      <c r="BU163">
        <f t="shared" si="119"/>
        <v>0</v>
      </c>
      <c r="BV163">
        <f t="shared" si="120"/>
        <v>0</v>
      </c>
      <c r="BW163">
        <f t="shared" si="134"/>
        <v>0</v>
      </c>
      <c r="BX163" t="str">
        <f t="shared" si="135"/>
        <v/>
      </c>
      <c r="BY163" s="66" t="str">
        <f t="shared" si="121"/>
        <v/>
      </c>
      <c r="BZ163" t="str">
        <f t="shared" si="122"/>
        <v/>
      </c>
      <c r="CA163" s="67" t="str">
        <f t="shared" si="123"/>
        <v/>
      </c>
    </row>
    <row r="164" spans="4:79" x14ac:dyDescent="0.25">
      <c r="D164" s="3" t="e">
        <f t="shared" si="148"/>
        <v>#DIV/0!</v>
      </c>
      <c r="E164" s="3" t="e">
        <f t="shared" si="148"/>
        <v>#DIV/0!</v>
      </c>
      <c r="F164" t="str">
        <f>IF(A164&gt;0,IF(F163=1,1,IF(B164=Data!$H$4,1,0)),"")</f>
        <v/>
      </c>
      <c r="O164" s="3"/>
      <c r="P164" s="3"/>
      <c r="Q164" t="str">
        <f t="shared" si="124"/>
        <v/>
      </c>
      <c r="R164" s="4" t="str">
        <f t="shared" si="125"/>
        <v/>
      </c>
      <c r="S164" t="e">
        <f t="shared" si="136"/>
        <v>#DIV/0!</v>
      </c>
      <c r="T164" t="e">
        <f t="shared" si="149"/>
        <v>#DIV/0!</v>
      </c>
      <c r="U164" s="4">
        <f t="shared" si="126"/>
        <v>0</v>
      </c>
      <c r="V164" t="e">
        <f t="shared" si="137"/>
        <v>#DIV/0!</v>
      </c>
      <c r="W164" t="e">
        <f t="shared" si="138"/>
        <v>#DIV/0!</v>
      </c>
      <c r="X164" t="e">
        <f t="shared" si="139"/>
        <v>#VALUE!</v>
      </c>
      <c r="Y164" t="e">
        <f t="shared" si="140"/>
        <v>#VALUE!</v>
      </c>
      <c r="Z164" t="e">
        <f t="shared" si="141"/>
        <v>#VALUE!</v>
      </c>
      <c r="AA164" t="e">
        <f t="shared" si="127"/>
        <v>#VALUE!</v>
      </c>
      <c r="AB164" t="str">
        <f t="shared" si="142"/>
        <v/>
      </c>
      <c r="AC164" t="str">
        <f t="shared" si="143"/>
        <v/>
      </c>
      <c r="AD164" t="str">
        <f t="shared" si="144"/>
        <v/>
      </c>
      <c r="AE164" t="str">
        <f t="shared" si="145"/>
        <v/>
      </c>
      <c r="AK164" s="4">
        <f t="shared" si="146"/>
        <v>41.20000000000023</v>
      </c>
      <c r="AL164">
        <f t="shared" si="128"/>
        <v>1945.0000000000277</v>
      </c>
      <c r="AM164">
        <f t="shared" si="129"/>
        <v>9976.7666666667355</v>
      </c>
      <c r="AN164">
        <f>IF($AK163+$AK$1&lt;=Data!$H$4-0.5,AVERAGE(AM162:AM166),AN163)</f>
        <v>9976.7666666667355</v>
      </c>
      <c r="AO164">
        <f t="shared" si="130"/>
        <v>8916.9999999999727</v>
      </c>
      <c r="AP164">
        <f t="shared" si="147"/>
        <v>10181.06666666664</v>
      </c>
      <c r="AQ164">
        <f>IF($AK163+$AK$1&lt;=Data!$H$4-0.5,AVERAGE(AP162:AP166),AQ163)</f>
        <v>10181.06666666664</v>
      </c>
      <c r="AR164">
        <f>IF($AK163+$AK$1&lt;=Data!$H$4-0.5,SLOPE($AN160:$AN168,$AK160:$AK168),AR163)</f>
        <v>330.60873015869805</v>
      </c>
      <c r="AS164">
        <f>IF($AK163+$AK$1&lt;=Data!$H$4-0.5,SLOPE($AQ160:$AQ168,$AK160:$AK168),AS163)</f>
        <v>-106.6500000000087</v>
      </c>
      <c r="AT164" t="str">
        <f>IF(AND($AK164&gt;=Results!$G$13,$AK164&lt;=Results!$G$14),Curves!AR164,"")</f>
        <v/>
      </c>
      <c r="AU164" t="str">
        <f>IF(AND($AK164&gt;=Results!$G$13,$AK164&lt;=Results!$G$14),Curves!AS164,"")</f>
        <v/>
      </c>
      <c r="AV164" t="str">
        <f t="shared" si="131"/>
        <v/>
      </c>
      <c r="AW164" t="str">
        <f>IF(AND($AK164&lt;=Results!$I$21,$AK164&gt;=Results!$I$20,$AK164&lt;=Results!$F$4),$AN164,"")</f>
        <v/>
      </c>
      <c r="AX164" t="str">
        <f t="shared" si="131"/>
        <v/>
      </c>
      <c r="AY164" t="str">
        <f>IF(AND($AK164&lt;=Results!$I$23,$AK164&gt;=Results!$I$22,$AK164&gt;=Results!$F$4),$AN164,"")</f>
        <v/>
      </c>
      <c r="AZ164" t="str">
        <f t="shared" si="104"/>
        <v/>
      </c>
      <c r="BA164" t="str">
        <f>IF(AND($AK164&lt;=Results!$I$27,$AK164&gt;=Results!$I$26,$AK164&lt;=Results!$F$4),$AQ164,"")</f>
        <v/>
      </c>
      <c r="BB164" t="str">
        <f t="shared" si="105"/>
        <v/>
      </c>
      <c r="BC164" t="str">
        <f>IF(AND($AK164&lt;=Results!$I$29,$AK164&gt;=Results!$I$28,$AK164&gt;=Results!$F$4),$AQ164,"")</f>
        <v/>
      </c>
      <c r="BD164">
        <f t="shared" si="106"/>
        <v>10321.907464265692</v>
      </c>
      <c r="BE164">
        <f t="shared" si="107"/>
        <v>2108.9040002203674</v>
      </c>
      <c r="BF164">
        <f t="shared" si="108"/>
        <v>10181.775266266492</v>
      </c>
      <c r="BG164">
        <f t="shared" si="109"/>
        <v>1311.8610418572152</v>
      </c>
      <c r="BH164">
        <f t="shared" si="110"/>
        <v>0</v>
      </c>
      <c r="BI164">
        <f t="shared" si="111"/>
        <v>0.95797629952186125</v>
      </c>
      <c r="BJ164">
        <f t="shared" si="112"/>
        <v>0.99992011201214315</v>
      </c>
      <c r="BK164">
        <f t="shared" si="113"/>
        <v>5.0956307844904174E-2</v>
      </c>
      <c r="BL164">
        <f t="shared" si="114"/>
        <v>-4.2926076098692085E-3</v>
      </c>
      <c r="BM164">
        <f t="shared" si="132"/>
        <v>119.99999999999945</v>
      </c>
      <c r="BN164">
        <f t="shared" si="133"/>
        <v>-119.99999999999829</v>
      </c>
      <c r="BO164">
        <f>Data!$H$2*(1-BI164)*(1-BI164/Data!$H$3)*BM164</f>
        <v>4.2383793645031458E-7</v>
      </c>
      <c r="BP164">
        <f t="shared" si="115"/>
        <v>-114.95715594262282</v>
      </c>
      <c r="BQ164">
        <f>Data!$H$2*(1-BJ164)*(1-BJ164/Data!$H$3)*BN164</f>
        <v>-1.5317017449159682E-12</v>
      </c>
      <c r="BR164">
        <f t="shared" si="116"/>
        <v>119.99041344145547</v>
      </c>
      <c r="BS164">
        <f t="shared" si="117"/>
        <v>0</v>
      </c>
      <c r="BT164">
        <f t="shared" si="118"/>
        <v>0</v>
      </c>
      <c r="BU164">
        <f t="shared" si="119"/>
        <v>0</v>
      </c>
      <c r="BV164">
        <f t="shared" si="120"/>
        <v>0</v>
      </c>
      <c r="BW164">
        <f t="shared" si="134"/>
        <v>0</v>
      </c>
      <c r="BX164" t="str">
        <f t="shared" si="135"/>
        <v/>
      </c>
      <c r="BY164" s="66" t="str">
        <f t="shared" si="121"/>
        <v/>
      </c>
      <c r="BZ164" t="str">
        <f t="shared" si="122"/>
        <v/>
      </c>
      <c r="CA164" s="67" t="str">
        <f t="shared" si="123"/>
        <v/>
      </c>
    </row>
    <row r="165" spans="4:79" x14ac:dyDescent="0.25">
      <c r="D165" s="3" t="e">
        <f t="shared" si="148"/>
        <v>#DIV/0!</v>
      </c>
      <c r="E165" s="3" t="e">
        <f t="shared" si="148"/>
        <v>#DIV/0!</v>
      </c>
      <c r="F165" t="str">
        <f>IF(A165&gt;0,IF(F164=1,1,IF(B165=Data!$H$4,1,0)),"")</f>
        <v/>
      </c>
      <c r="O165" s="3"/>
      <c r="P165" s="3"/>
      <c r="Q165" t="str">
        <f t="shared" si="124"/>
        <v/>
      </c>
      <c r="R165" s="4" t="str">
        <f t="shared" si="125"/>
        <v/>
      </c>
      <c r="S165" t="e">
        <f t="shared" si="136"/>
        <v>#DIV/0!</v>
      </c>
      <c r="T165" t="e">
        <f t="shared" si="149"/>
        <v>#DIV/0!</v>
      </c>
      <c r="U165" s="4">
        <f t="shared" si="126"/>
        <v>0</v>
      </c>
      <c r="V165" t="e">
        <f t="shared" si="137"/>
        <v>#DIV/0!</v>
      </c>
      <c r="W165" t="e">
        <f t="shared" si="138"/>
        <v>#DIV/0!</v>
      </c>
      <c r="X165" t="e">
        <f t="shared" si="139"/>
        <v>#VALUE!</v>
      </c>
      <c r="Y165" t="e">
        <f t="shared" si="140"/>
        <v>#VALUE!</v>
      </c>
      <c r="Z165" t="e">
        <f t="shared" si="141"/>
        <v>#VALUE!</v>
      </c>
      <c r="AA165" t="e">
        <f t="shared" si="127"/>
        <v>#VALUE!</v>
      </c>
      <c r="AB165" t="str">
        <f t="shared" si="142"/>
        <v/>
      </c>
      <c r="AC165" t="str">
        <f t="shared" si="143"/>
        <v/>
      </c>
      <c r="AD165" t="str">
        <f t="shared" si="144"/>
        <v/>
      </c>
      <c r="AE165" t="str">
        <f t="shared" si="145"/>
        <v/>
      </c>
      <c r="AK165" s="4">
        <f t="shared" si="146"/>
        <v>41.300000000000232</v>
      </c>
      <c r="AL165">
        <f t="shared" si="128"/>
        <v>1957.0000000000277</v>
      </c>
      <c r="AM165">
        <f t="shared" si="129"/>
        <v>10006.733333333403</v>
      </c>
      <c r="AN165">
        <f>IF($AK164+$AK$1&lt;=Data!$H$4-0.5,AVERAGE(AM163:AM167),AN164)</f>
        <v>10006.733333333403</v>
      </c>
      <c r="AO165">
        <f t="shared" si="130"/>
        <v>8904.9999999999727</v>
      </c>
      <c r="AP165">
        <f t="shared" si="147"/>
        <v>10169.599999999973</v>
      </c>
      <c r="AQ165">
        <f>IF($AK164+$AK$1&lt;=Data!$H$4-0.5,AVERAGE(AP163:AP167),AQ164)</f>
        <v>10169.599999999973</v>
      </c>
      <c r="AR165">
        <f>IF($AK164+$AK$1&lt;=Data!$H$4-0.5,SLOPE($AN161:$AN169,$AK161:$AK169),AR164)</f>
        <v>316.32777777775732</v>
      </c>
      <c r="AS165">
        <f>IF($AK164+$AK$1&lt;=Data!$H$4-0.5,SLOPE($AQ161:$AQ169,$AK161:$AK169),AS164)</f>
        <v>-110.35000000000637</v>
      </c>
      <c r="AT165" t="str">
        <f>IF(AND($AK165&gt;=Results!$G$13,$AK165&lt;=Results!$G$14),Curves!AR165,"")</f>
        <v/>
      </c>
      <c r="AU165" t="str">
        <f>IF(AND($AK165&gt;=Results!$G$13,$AK165&lt;=Results!$G$14),Curves!AS165,"")</f>
        <v/>
      </c>
      <c r="AV165" t="str">
        <f t="shared" si="131"/>
        <v/>
      </c>
      <c r="AW165" t="str">
        <f>IF(AND($AK165&lt;=Results!$I$21,$AK165&gt;=Results!$I$20,$AK165&lt;=Results!$F$4),$AN165,"")</f>
        <v/>
      </c>
      <c r="AX165" t="str">
        <f t="shared" si="131"/>
        <v/>
      </c>
      <c r="AY165" t="str">
        <f>IF(AND($AK165&lt;=Results!$I$23,$AK165&gt;=Results!$I$22,$AK165&gt;=Results!$F$4),$AN165,"")</f>
        <v/>
      </c>
      <c r="AZ165" t="str">
        <f t="shared" si="104"/>
        <v/>
      </c>
      <c r="BA165" t="str">
        <f>IF(AND($AK165&lt;=Results!$I$27,$AK165&gt;=Results!$I$26,$AK165&lt;=Results!$F$4),$AQ165,"")</f>
        <v/>
      </c>
      <c r="BB165" t="str">
        <f t="shared" si="105"/>
        <v/>
      </c>
      <c r="BC165" t="str">
        <f>IF(AND($AK165&lt;=Results!$I$29,$AK165&gt;=Results!$I$28,$AK165&gt;=Results!$F$4),$AQ165,"")</f>
        <v/>
      </c>
      <c r="BD165">
        <f t="shared" si="106"/>
        <v>10311.137269467774</v>
      </c>
      <c r="BE165">
        <f t="shared" si="107"/>
        <v>2105.5882109710465</v>
      </c>
      <c r="BF165">
        <f t="shared" si="108"/>
        <v>10174.485284033599</v>
      </c>
      <c r="BG165">
        <f t="shared" si="109"/>
        <v>1311.3102408976902</v>
      </c>
      <c r="BH165">
        <f t="shared" si="110"/>
        <v>0</v>
      </c>
      <c r="BI165">
        <f t="shared" si="111"/>
        <v>0.96290267306132726</v>
      </c>
      <c r="BJ165">
        <f t="shared" si="112"/>
        <v>0.99944881106264405</v>
      </c>
      <c r="BK165">
        <f t="shared" si="113"/>
        <v>4.9308530176620367E-2</v>
      </c>
      <c r="BL165">
        <f t="shared" si="114"/>
        <v>-4.7165957937927317E-3</v>
      </c>
      <c r="BM165">
        <f t="shared" si="132"/>
        <v>119.99999999999942</v>
      </c>
      <c r="BN165">
        <f t="shared" si="133"/>
        <v>-119.99999999999829</v>
      </c>
      <c r="BO165">
        <f>Data!$H$2*(1-BI165)*(1-BI165/Data!$H$3)*BM165</f>
        <v>3.3029079983874411E-7</v>
      </c>
      <c r="BP165">
        <f t="shared" si="115"/>
        <v>-115.54832076735872</v>
      </c>
      <c r="BQ165">
        <f>Data!$H$2*(1-BJ165)*(1-BJ165/Data!$H$3)*BN165</f>
        <v>-7.2914218719258722E-11</v>
      </c>
      <c r="BR165">
        <f t="shared" si="116"/>
        <v>119.93385732751558</v>
      </c>
      <c r="BS165">
        <f t="shared" si="117"/>
        <v>0</v>
      </c>
      <c r="BT165">
        <f t="shared" si="118"/>
        <v>0</v>
      </c>
      <c r="BU165">
        <f t="shared" si="119"/>
        <v>0</v>
      </c>
      <c r="BV165">
        <f t="shared" si="120"/>
        <v>0</v>
      </c>
      <c r="BW165">
        <f t="shared" si="134"/>
        <v>0</v>
      </c>
      <c r="BX165" t="str">
        <f t="shared" si="135"/>
        <v/>
      </c>
      <c r="BY165" s="66" t="str">
        <f t="shared" si="121"/>
        <v/>
      </c>
      <c r="BZ165" t="str">
        <f t="shared" si="122"/>
        <v/>
      </c>
      <c r="CA165" s="67" t="str">
        <f t="shared" si="123"/>
        <v/>
      </c>
    </row>
    <row r="166" spans="4:79" x14ac:dyDescent="0.25">
      <c r="D166" s="3" t="e">
        <f t="shared" si="148"/>
        <v>#DIV/0!</v>
      </c>
      <c r="E166" s="3" t="e">
        <f t="shared" si="148"/>
        <v>#DIV/0!</v>
      </c>
      <c r="F166" t="str">
        <f>IF(A166&gt;0,IF(F165=1,1,IF(B166=Data!$H$4,1,0)),"")</f>
        <v/>
      </c>
      <c r="O166" s="3"/>
      <c r="P166" s="3"/>
      <c r="Q166" t="str">
        <f t="shared" si="124"/>
        <v/>
      </c>
      <c r="R166" s="4" t="str">
        <f t="shared" si="125"/>
        <v/>
      </c>
      <c r="S166" t="e">
        <f t="shared" si="136"/>
        <v>#DIV/0!</v>
      </c>
      <c r="T166" t="e">
        <f t="shared" si="149"/>
        <v>#DIV/0!</v>
      </c>
      <c r="U166" s="4">
        <f t="shared" si="126"/>
        <v>0</v>
      </c>
      <c r="V166" t="e">
        <f t="shared" si="137"/>
        <v>#DIV/0!</v>
      </c>
      <c r="W166" t="e">
        <f t="shared" si="138"/>
        <v>#DIV/0!</v>
      </c>
      <c r="X166" t="e">
        <f t="shared" si="139"/>
        <v>#VALUE!</v>
      </c>
      <c r="Y166" t="e">
        <f t="shared" si="140"/>
        <v>#VALUE!</v>
      </c>
      <c r="Z166" t="e">
        <f t="shared" si="141"/>
        <v>#VALUE!</v>
      </c>
      <c r="AA166" t="e">
        <f t="shared" si="127"/>
        <v>#VALUE!</v>
      </c>
      <c r="AB166" t="str">
        <f t="shared" si="142"/>
        <v/>
      </c>
      <c r="AC166" t="str">
        <f t="shared" si="143"/>
        <v/>
      </c>
      <c r="AD166" t="str">
        <f t="shared" si="144"/>
        <v/>
      </c>
      <c r="AE166" t="str">
        <f t="shared" si="145"/>
        <v/>
      </c>
      <c r="AK166" s="4">
        <f t="shared" si="146"/>
        <v>41.400000000000233</v>
      </c>
      <c r="AL166">
        <f t="shared" si="128"/>
        <v>1969.000000000028</v>
      </c>
      <c r="AM166">
        <f t="shared" si="129"/>
        <v>10036.70000000007</v>
      </c>
      <c r="AN166">
        <f>IF($AK165+$AK$1&lt;=Data!$H$4-0.5,AVERAGE(AM164:AM168),AN165)</f>
        <v>10036.70000000007</v>
      </c>
      <c r="AO166">
        <f t="shared" si="130"/>
        <v>8892.9999999999727</v>
      </c>
      <c r="AP166">
        <f t="shared" si="147"/>
        <v>10158.133333333308</v>
      </c>
      <c r="AQ166">
        <f>IF($AK165+$AK$1&lt;=Data!$H$4-0.5,AVERAGE(AP164:AP168),AQ165)</f>
        <v>10158.133333333308</v>
      </c>
      <c r="AR166">
        <f>IF($AK165+$AK$1&lt;=Data!$H$4-0.5,SLOPE($AN162:$AN170,$AK162:$AK170),AR165)</f>
        <v>306.80714285712003</v>
      </c>
      <c r="AS166">
        <f>IF($AK165+$AK$1&lt;=Data!$H$4-0.5,SLOPE($AQ162:$AQ170,$AK162:$AK170),AS165)</f>
        <v>-112.81666666667074</v>
      </c>
      <c r="AT166" t="str">
        <f>IF(AND($AK166&gt;=Results!$G$13,$AK166&lt;=Results!$G$14),Curves!AR166,"")</f>
        <v/>
      </c>
      <c r="AU166" t="str">
        <f>IF(AND($AK166&gt;=Results!$G$13,$AK166&lt;=Results!$G$14),Curves!AS166,"")</f>
        <v/>
      </c>
      <c r="AV166" t="str">
        <f t="shared" si="131"/>
        <v/>
      </c>
      <c r="AW166" t="str">
        <f>IF(AND($AK166&lt;=Results!$I$21,$AK166&gt;=Results!$I$20,$AK166&lt;=Results!$F$4),$AN166,"")</f>
        <v/>
      </c>
      <c r="AX166" t="str">
        <f t="shared" si="131"/>
        <v/>
      </c>
      <c r="AY166" t="str">
        <f>IF(AND($AK166&lt;=Results!$I$23,$AK166&gt;=Results!$I$22,$AK166&gt;=Results!$F$4),$AN166,"")</f>
        <v/>
      </c>
      <c r="AZ166" t="str">
        <f t="shared" si="104"/>
        <v/>
      </c>
      <c r="BA166" t="str">
        <f>IF(AND($AK166&lt;=Results!$I$27,$AK166&gt;=Results!$I$26,$AK166&lt;=Results!$F$4),$AQ166,"")</f>
        <v/>
      </c>
      <c r="BB166" t="str">
        <f t="shared" si="105"/>
        <v/>
      </c>
      <c r="BC166" t="str">
        <f>IF(AND($AK166&lt;=Results!$I$29,$AK166&gt;=Results!$I$28,$AK166&gt;=Results!$F$4),$AQ166,"")</f>
        <v/>
      </c>
      <c r="BD166">
        <f t="shared" si="106"/>
        <v>10300.367074669855</v>
      </c>
      <c r="BE166">
        <f t="shared" si="107"/>
        <v>2102.2724217217256</v>
      </c>
      <c r="BF166">
        <f t="shared" si="108"/>
        <v>10167.195301800706</v>
      </c>
      <c r="BG166">
        <f t="shared" si="109"/>
        <v>1310.7594399381651</v>
      </c>
      <c r="BH166">
        <f t="shared" si="110"/>
        <v>0</v>
      </c>
      <c r="BI166">
        <f t="shared" si="111"/>
        <v>0.96783800555718547</v>
      </c>
      <c r="BJ166">
        <f t="shared" si="112"/>
        <v>0.99897679285338459</v>
      </c>
      <c r="BK166">
        <f t="shared" si="113"/>
        <v>4.9398242045440702E-2</v>
      </c>
      <c r="BL166">
        <f t="shared" si="114"/>
        <v>-4.7237765844648106E-3</v>
      </c>
      <c r="BM166">
        <f t="shared" si="132"/>
        <v>120.00000000000055</v>
      </c>
      <c r="BN166">
        <f t="shared" si="133"/>
        <v>-119.99999999999829</v>
      </c>
      <c r="BO166">
        <f>Data!$H$2*(1-BI166)*(1-BI166/Data!$H$3)*BM166</f>
        <v>2.4825453276951301E-7</v>
      </c>
      <c r="BP166">
        <f t="shared" si="115"/>
        <v>-116.1405606668628</v>
      </c>
      <c r="BQ166">
        <f>Data!$H$2*(1-BJ166)*(1-BJ166/Data!$H$3)*BN166</f>
        <v>-2.512686875723614E-10</v>
      </c>
      <c r="BR166">
        <f t="shared" si="116"/>
        <v>119.87721514240445</v>
      </c>
      <c r="BS166">
        <f t="shared" si="117"/>
        <v>0</v>
      </c>
      <c r="BT166">
        <f t="shared" si="118"/>
        <v>0</v>
      </c>
      <c r="BU166">
        <f t="shared" si="119"/>
        <v>0</v>
      </c>
      <c r="BV166">
        <f t="shared" si="120"/>
        <v>0</v>
      </c>
      <c r="BW166">
        <f t="shared" si="134"/>
        <v>0</v>
      </c>
      <c r="BX166" t="str">
        <f t="shared" si="135"/>
        <v/>
      </c>
      <c r="BY166" s="66" t="str">
        <f t="shared" si="121"/>
        <v/>
      </c>
      <c r="BZ166" t="str">
        <f t="shared" si="122"/>
        <v/>
      </c>
      <c r="CA166" s="67" t="str">
        <f t="shared" si="123"/>
        <v/>
      </c>
    </row>
    <row r="167" spans="4:79" x14ac:dyDescent="0.25">
      <c r="D167" s="3" t="e">
        <f t="shared" si="148"/>
        <v>#DIV/0!</v>
      </c>
      <c r="E167" s="3" t="e">
        <f t="shared" si="148"/>
        <v>#DIV/0!</v>
      </c>
      <c r="F167" t="str">
        <f>IF(A167&gt;0,IF(F166=1,1,IF(B167=Data!$H$4,1,0)),"")</f>
        <v/>
      </c>
      <c r="O167" s="3"/>
      <c r="P167" s="3"/>
      <c r="Q167" t="str">
        <f t="shared" si="124"/>
        <v/>
      </c>
      <c r="R167" s="4" t="str">
        <f t="shared" si="125"/>
        <v/>
      </c>
      <c r="S167" t="e">
        <f t="shared" si="136"/>
        <v>#DIV/0!</v>
      </c>
      <c r="T167" t="e">
        <f t="shared" si="149"/>
        <v>#DIV/0!</v>
      </c>
      <c r="U167" s="4">
        <f t="shared" si="126"/>
        <v>0</v>
      </c>
      <c r="V167" t="e">
        <f t="shared" si="137"/>
        <v>#DIV/0!</v>
      </c>
      <c r="W167" t="e">
        <f t="shared" si="138"/>
        <v>#DIV/0!</v>
      </c>
      <c r="X167" t="e">
        <f t="shared" si="139"/>
        <v>#VALUE!</v>
      </c>
      <c r="Y167" t="e">
        <f t="shared" si="140"/>
        <v>#VALUE!</v>
      </c>
      <c r="Z167" t="e">
        <f t="shared" si="141"/>
        <v>#VALUE!</v>
      </c>
      <c r="AA167" t="e">
        <f t="shared" si="127"/>
        <v>#VALUE!</v>
      </c>
      <c r="AB167" t="str">
        <f t="shared" si="142"/>
        <v/>
      </c>
      <c r="AC167" t="str">
        <f t="shared" si="143"/>
        <v/>
      </c>
      <c r="AD167" t="str">
        <f t="shared" si="144"/>
        <v/>
      </c>
      <c r="AE167" t="str">
        <f t="shared" si="145"/>
        <v/>
      </c>
      <c r="AK167" s="4">
        <f t="shared" si="146"/>
        <v>41.500000000000234</v>
      </c>
      <c r="AL167">
        <f t="shared" si="128"/>
        <v>1981.0000000000282</v>
      </c>
      <c r="AM167">
        <f t="shared" si="129"/>
        <v>10066.666666666737</v>
      </c>
      <c r="AN167">
        <f>IF($AK166+$AK$1&lt;=Data!$H$4-0.5,AVERAGE(AM165:AM169),AN166)</f>
        <v>10066.666666666737</v>
      </c>
      <c r="AO167">
        <f t="shared" si="130"/>
        <v>8880.9999999999727</v>
      </c>
      <c r="AP167">
        <f t="shared" si="147"/>
        <v>10146.666666666641</v>
      </c>
      <c r="AQ167">
        <f>IF($AK166+$AK$1&lt;=Data!$H$4-0.5,AVERAGE(AP165:AP169),AQ166)</f>
        <v>10146.666666666641</v>
      </c>
      <c r="AR167">
        <f>IF($AK166+$AK$1&lt;=Data!$H$4-0.5,SLOPE($AN163:$AN171,$AK163:$AK171),AR166)</f>
        <v>296.53523809520141</v>
      </c>
      <c r="AS167">
        <f>IF($AK166+$AK$1&lt;=Data!$H$4-0.5,SLOPE($AQ163:$AQ171,$AK163:$AK171),AS166)</f>
        <v>-114.22222222222432</v>
      </c>
      <c r="AT167" t="str">
        <f>IF(AND($AK167&gt;=Results!$G$13,$AK167&lt;=Results!$G$14),Curves!AR167,"")</f>
        <v/>
      </c>
      <c r="AU167" t="str">
        <f>IF(AND($AK167&gt;=Results!$G$13,$AK167&lt;=Results!$G$14),Curves!AS167,"")</f>
        <v/>
      </c>
      <c r="AV167" t="str">
        <f t="shared" si="131"/>
        <v/>
      </c>
      <c r="AW167" t="str">
        <f>IF(AND($AK167&lt;=Results!$I$21,$AK167&gt;=Results!$I$20,$AK167&lt;=Results!$F$4),$AN167,"")</f>
        <v/>
      </c>
      <c r="AX167" t="str">
        <f t="shared" si="131"/>
        <v/>
      </c>
      <c r="AY167" t="str">
        <f>IF(AND($AK167&lt;=Results!$I$23,$AK167&gt;=Results!$I$22,$AK167&gt;=Results!$F$4),$AN167,"")</f>
        <v/>
      </c>
      <c r="AZ167" t="str">
        <f t="shared" si="104"/>
        <v/>
      </c>
      <c r="BA167" t="str">
        <f>IF(AND($AK167&lt;=Results!$I$27,$AK167&gt;=Results!$I$26,$AK167&lt;=Results!$F$4),$AQ167,"")</f>
        <v/>
      </c>
      <c r="BB167" t="str">
        <f t="shared" si="105"/>
        <v/>
      </c>
      <c r="BC167" t="str">
        <f>IF(AND($AK167&lt;=Results!$I$29,$AK167&gt;=Results!$I$28,$AK167&gt;=Results!$F$4),$AQ167,"")</f>
        <v/>
      </c>
      <c r="BD167">
        <f t="shared" si="106"/>
        <v>10289.596879871933</v>
      </c>
      <c r="BE167">
        <f t="shared" si="107"/>
        <v>2098.9566324724046</v>
      </c>
      <c r="BF167">
        <f t="shared" si="108"/>
        <v>10159.905319567813</v>
      </c>
      <c r="BG167">
        <f t="shared" si="109"/>
        <v>1310.2086389786402</v>
      </c>
      <c r="BH167">
        <f t="shared" si="110"/>
        <v>0</v>
      </c>
      <c r="BI167">
        <f t="shared" si="111"/>
        <v>0.97278232147041555</v>
      </c>
      <c r="BJ167">
        <f t="shared" si="112"/>
        <v>0.99850405574575107</v>
      </c>
      <c r="BK167">
        <f t="shared" si="113"/>
        <v>4.9488198969703655E-2</v>
      </c>
      <c r="BL167">
        <f t="shared" si="114"/>
        <v>-4.7309737862454727E-3</v>
      </c>
      <c r="BM167">
        <f t="shared" si="132"/>
        <v>119.99999999999942</v>
      </c>
      <c r="BN167">
        <f t="shared" si="133"/>
        <v>-120.00000000000739</v>
      </c>
      <c r="BO167">
        <f>Data!$H$2*(1-BI167)*(1-BI167/Data!$H$3)*BM167</f>
        <v>1.7779248588955177E-7</v>
      </c>
      <c r="BP167">
        <f t="shared" si="115"/>
        <v>-116.7338785764493</v>
      </c>
      <c r="BQ167">
        <f>Data!$H$2*(1-BJ167)*(1-BJ167/Data!$H$3)*BN167</f>
        <v>-5.3708381083692354E-10</v>
      </c>
      <c r="BR167">
        <f t="shared" si="116"/>
        <v>119.82048668949751</v>
      </c>
      <c r="BS167">
        <f t="shared" si="117"/>
        <v>0</v>
      </c>
      <c r="BT167">
        <f t="shared" si="118"/>
        <v>0</v>
      </c>
      <c r="BU167">
        <f t="shared" si="119"/>
        <v>0</v>
      </c>
      <c r="BV167">
        <f t="shared" si="120"/>
        <v>0</v>
      </c>
      <c r="BW167">
        <f t="shared" si="134"/>
        <v>0</v>
      </c>
      <c r="BX167" t="str">
        <f t="shared" si="135"/>
        <v/>
      </c>
      <c r="BY167" s="66" t="str">
        <f t="shared" si="121"/>
        <v/>
      </c>
      <c r="BZ167" t="str">
        <f t="shared" si="122"/>
        <v/>
      </c>
      <c r="CA167" s="67" t="str">
        <f t="shared" si="123"/>
        <v/>
      </c>
    </row>
    <row r="168" spans="4:79" x14ac:dyDescent="0.25">
      <c r="D168" s="3" t="e">
        <f t="shared" si="148"/>
        <v>#DIV/0!</v>
      </c>
      <c r="E168" s="3" t="e">
        <f t="shared" si="148"/>
        <v>#DIV/0!</v>
      </c>
      <c r="F168" t="str">
        <f>IF(A168&gt;0,IF(F167=1,1,IF(B168=Data!$H$4,1,0)),"")</f>
        <v/>
      </c>
      <c r="O168" s="3"/>
      <c r="P168" s="3"/>
      <c r="Q168" t="str">
        <f t="shared" si="124"/>
        <v/>
      </c>
      <c r="R168" s="4" t="str">
        <f t="shared" si="125"/>
        <v/>
      </c>
      <c r="S168" t="e">
        <f t="shared" si="136"/>
        <v>#DIV/0!</v>
      </c>
      <c r="T168" t="e">
        <f t="shared" si="149"/>
        <v>#DIV/0!</v>
      </c>
      <c r="U168" s="4">
        <f t="shared" si="126"/>
        <v>0</v>
      </c>
      <c r="V168" t="e">
        <f t="shared" si="137"/>
        <v>#DIV/0!</v>
      </c>
      <c r="W168" t="e">
        <f t="shared" si="138"/>
        <v>#DIV/0!</v>
      </c>
      <c r="X168" t="e">
        <f t="shared" si="139"/>
        <v>#VALUE!</v>
      </c>
      <c r="Y168" t="e">
        <f t="shared" si="140"/>
        <v>#VALUE!</v>
      </c>
      <c r="Z168" t="e">
        <f t="shared" si="141"/>
        <v>#VALUE!</v>
      </c>
      <c r="AA168" t="e">
        <f t="shared" si="127"/>
        <v>#VALUE!</v>
      </c>
      <c r="AB168" t="str">
        <f t="shared" si="142"/>
        <v/>
      </c>
      <c r="AC168" t="str">
        <f t="shared" si="143"/>
        <v/>
      </c>
      <c r="AD168" t="str">
        <f t="shared" si="144"/>
        <v/>
      </c>
      <c r="AE168" t="str">
        <f t="shared" si="145"/>
        <v/>
      </c>
      <c r="AK168" s="4">
        <f t="shared" si="146"/>
        <v>41.600000000000236</v>
      </c>
      <c r="AL168">
        <f t="shared" si="128"/>
        <v>1993.0000000000282</v>
      </c>
      <c r="AM168">
        <f t="shared" si="129"/>
        <v>10096.633333333404</v>
      </c>
      <c r="AN168">
        <f>IF($AK167+$AK$1&lt;=Data!$H$4-0.5,AVERAGE(AM166:AM170),AN167)</f>
        <v>10096.633333333404</v>
      </c>
      <c r="AO168">
        <f t="shared" si="130"/>
        <v>8868.9999999999709</v>
      </c>
      <c r="AP168">
        <f t="shared" si="147"/>
        <v>10135.199999999973</v>
      </c>
      <c r="AQ168">
        <f>IF($AK167+$AK$1&lt;=Data!$H$4-0.5,AVERAGE(AP166:AP170),AQ167)</f>
        <v>10135.199999999973</v>
      </c>
      <c r="AR168">
        <f>IF($AK167+$AK$1&lt;=Data!$H$4-0.5,SLOPE($AN164:$AN172,$AK164:$AK172),AR167)</f>
        <v>280.78333333327254</v>
      </c>
      <c r="AS168">
        <f>IF($AK167+$AK$1&lt;=Data!$H$4-0.5,SLOPE($AQ164:$AQ172,$AK164:$AK172),AS167)</f>
        <v>-114.84999999999967</v>
      </c>
      <c r="AT168" t="str">
        <f>IF(AND($AK168&gt;=Results!$G$13,$AK168&lt;=Results!$G$14),Curves!AR168,"")</f>
        <v/>
      </c>
      <c r="AU168" t="str">
        <f>IF(AND($AK168&gt;=Results!$G$13,$AK168&lt;=Results!$G$14),Curves!AS168,"")</f>
        <v/>
      </c>
      <c r="AV168" t="str">
        <f t="shared" si="131"/>
        <v/>
      </c>
      <c r="AW168" t="str">
        <f>IF(AND($AK168&lt;=Results!$I$21,$AK168&gt;=Results!$I$20,$AK168&lt;=Results!$F$4),$AN168,"")</f>
        <v/>
      </c>
      <c r="AX168" t="str">
        <f t="shared" si="131"/>
        <v/>
      </c>
      <c r="AY168" t="str">
        <f>IF(AND($AK168&lt;=Results!$I$23,$AK168&gt;=Results!$I$22,$AK168&gt;=Results!$F$4),$AN168,"")</f>
        <v/>
      </c>
      <c r="AZ168" t="str">
        <f t="shared" si="104"/>
        <v/>
      </c>
      <c r="BA168" t="str">
        <f>IF(AND($AK168&lt;=Results!$I$27,$AK168&gt;=Results!$I$26,$AK168&lt;=Results!$F$4),$AQ168,"")</f>
        <v/>
      </c>
      <c r="BB168" t="str">
        <f t="shared" si="105"/>
        <v/>
      </c>
      <c r="BC168" t="str">
        <f>IF(AND($AK168&lt;=Results!$I$29,$AK168&gt;=Results!$I$28,$AK168&gt;=Results!$F$4),$AQ168,"")</f>
        <v/>
      </c>
      <c r="BD168">
        <f t="shared" si="106"/>
        <v>10278.826685074015</v>
      </c>
      <c r="BE168">
        <f t="shared" si="107"/>
        <v>2095.6408432230837</v>
      </c>
      <c r="BF168">
        <f t="shared" si="108"/>
        <v>10152.615337334919</v>
      </c>
      <c r="BG168">
        <f t="shared" si="109"/>
        <v>1309.6578380191152</v>
      </c>
      <c r="BH168">
        <f t="shared" si="110"/>
        <v>0</v>
      </c>
      <c r="BI168">
        <f t="shared" si="111"/>
        <v>0.97773564535112634</v>
      </c>
      <c r="BJ168">
        <f t="shared" si="112"/>
        <v>0.99803059809613548</v>
      </c>
      <c r="BK168">
        <f t="shared" si="113"/>
        <v>4.9578401842742939E-2</v>
      </c>
      <c r="BL168">
        <f t="shared" si="114"/>
        <v>-4.7381874491813506E-3</v>
      </c>
      <c r="BM168">
        <f t="shared" si="132"/>
        <v>119.99999999999942</v>
      </c>
      <c r="BN168">
        <f t="shared" si="133"/>
        <v>-120.00000000000739</v>
      </c>
      <c r="BO168">
        <f>Data!$H$2*(1-BI168)*(1-BI168/Data!$H$3)*BM168</f>
        <v>1.1896835710339676E-7</v>
      </c>
      <c r="BP168">
        <f t="shared" si="115"/>
        <v>-117.32827744213459</v>
      </c>
      <c r="BQ168">
        <f>Data!$H$2*(1-BJ168)*(1-BJ168/Data!$H$3)*BN168</f>
        <v>-9.3085052614690485E-10</v>
      </c>
      <c r="BR168">
        <f t="shared" si="116"/>
        <v>119.76367177154363</v>
      </c>
      <c r="BS168">
        <f t="shared" si="117"/>
        <v>0</v>
      </c>
      <c r="BT168">
        <f t="shared" si="118"/>
        <v>0</v>
      </c>
      <c r="BU168">
        <f t="shared" si="119"/>
        <v>0</v>
      </c>
      <c r="BV168">
        <f t="shared" si="120"/>
        <v>0</v>
      </c>
      <c r="BW168">
        <f t="shared" si="134"/>
        <v>0</v>
      </c>
      <c r="BX168" t="str">
        <f t="shared" si="135"/>
        <v/>
      </c>
      <c r="BY168" s="66" t="str">
        <f t="shared" si="121"/>
        <v/>
      </c>
      <c r="BZ168" t="str">
        <f t="shared" si="122"/>
        <v/>
      </c>
      <c r="CA168" s="67" t="str">
        <f t="shared" si="123"/>
        <v/>
      </c>
    </row>
    <row r="169" spans="4:79" x14ac:dyDescent="0.25">
      <c r="D169" s="3" t="e">
        <f t="shared" si="148"/>
        <v>#DIV/0!</v>
      </c>
      <c r="E169" s="3" t="e">
        <f t="shared" si="148"/>
        <v>#DIV/0!</v>
      </c>
      <c r="F169" t="str">
        <f>IF(A169&gt;0,IF(F168=1,1,IF(B169=Data!$H$4,1,0)),"")</f>
        <v/>
      </c>
      <c r="O169" s="3"/>
      <c r="P169" s="3"/>
      <c r="Q169" t="str">
        <f t="shared" si="124"/>
        <v/>
      </c>
      <c r="R169" s="4" t="str">
        <f t="shared" si="125"/>
        <v/>
      </c>
      <c r="S169" t="e">
        <f t="shared" si="136"/>
        <v>#DIV/0!</v>
      </c>
      <c r="T169" t="e">
        <f t="shared" si="149"/>
        <v>#DIV/0!</v>
      </c>
      <c r="U169" s="4">
        <f t="shared" si="126"/>
        <v>0</v>
      </c>
      <c r="V169" t="e">
        <f t="shared" si="137"/>
        <v>#DIV/0!</v>
      </c>
      <c r="W169" t="e">
        <f t="shared" si="138"/>
        <v>#DIV/0!</v>
      </c>
      <c r="X169" t="e">
        <f t="shared" si="139"/>
        <v>#VALUE!</v>
      </c>
      <c r="Y169" t="e">
        <f t="shared" si="140"/>
        <v>#VALUE!</v>
      </c>
      <c r="Z169" t="e">
        <f t="shared" si="141"/>
        <v>#VALUE!</v>
      </c>
      <c r="AA169" t="e">
        <f t="shared" si="127"/>
        <v>#VALUE!</v>
      </c>
      <c r="AB169" t="str">
        <f t="shared" si="142"/>
        <v/>
      </c>
      <c r="AC169" t="str">
        <f t="shared" si="143"/>
        <v/>
      </c>
      <c r="AD169" t="str">
        <f t="shared" si="144"/>
        <v/>
      </c>
      <c r="AE169" t="str">
        <f t="shared" si="145"/>
        <v/>
      </c>
      <c r="AK169" s="4">
        <f t="shared" si="146"/>
        <v>41.700000000000237</v>
      </c>
      <c r="AL169">
        <f t="shared" si="128"/>
        <v>2005.0000000000284</v>
      </c>
      <c r="AM169">
        <f t="shared" si="129"/>
        <v>10126.600000000071</v>
      </c>
      <c r="AN169">
        <f>IF($AK168+$AK$1&lt;=Data!$H$4-0.5,AVERAGE(AM167:AM171),AN168)</f>
        <v>10126.600000000071</v>
      </c>
      <c r="AO169">
        <f t="shared" si="130"/>
        <v>8856.9999999999709</v>
      </c>
      <c r="AP169">
        <f t="shared" si="147"/>
        <v>10123.733333333306</v>
      </c>
      <c r="AQ169">
        <f>IF($AK168+$AK$1&lt;=Data!$H$4-0.5,AVERAGE(AP167:AP171),AQ168)</f>
        <v>10123.733333333306</v>
      </c>
      <c r="AR169">
        <f>IF($AK168+$AK$1&lt;=Data!$H$4-0.5,SLOPE($AN165:$AN173,$AK165:$AK173),AR168)</f>
        <v>255.60555555546276</v>
      </c>
      <c r="AS169">
        <f>IF($AK168+$AK$1&lt;=Data!$H$4-0.5,SLOPE($AQ165:$AQ173,$AK165:$AK173),AS168)</f>
        <v>-115.09444444444448</v>
      </c>
      <c r="AT169" t="str">
        <f>IF(AND($AK169&gt;=Results!$G$13,$AK169&lt;=Results!$G$14),Curves!AR169,"")</f>
        <v/>
      </c>
      <c r="AU169" t="str">
        <f>IF(AND($AK169&gt;=Results!$G$13,$AK169&lt;=Results!$G$14),Curves!AS169,"")</f>
        <v/>
      </c>
      <c r="AV169" t="str">
        <f t="shared" si="131"/>
        <v/>
      </c>
      <c r="AW169" t="str">
        <f>IF(AND($AK169&lt;=Results!$I$21,$AK169&gt;=Results!$I$20,$AK169&lt;=Results!$F$4),$AN169,"")</f>
        <v/>
      </c>
      <c r="AX169" t="str">
        <f t="shared" si="131"/>
        <v/>
      </c>
      <c r="AY169" t="str">
        <f>IF(AND($AK169&lt;=Results!$I$23,$AK169&gt;=Results!$I$22,$AK169&gt;=Results!$F$4),$AN169,"")</f>
        <v/>
      </c>
      <c r="AZ169" t="str">
        <f t="shared" si="104"/>
        <v/>
      </c>
      <c r="BA169" t="str">
        <f>IF(AND($AK169&lt;=Results!$I$27,$AK169&gt;=Results!$I$26,$AK169&lt;=Results!$F$4),$AQ169,"")</f>
        <v/>
      </c>
      <c r="BB169" t="str">
        <f t="shared" si="105"/>
        <v/>
      </c>
      <c r="BC169" t="str">
        <f>IF(AND($AK169&lt;=Results!$I$29,$AK169&gt;=Results!$I$28,$AK169&gt;=Results!$F$4),$AQ169,"")</f>
        <v/>
      </c>
      <c r="BD169">
        <f t="shared" si="106"/>
        <v>10268.056490276096</v>
      </c>
      <c r="BE169">
        <f t="shared" si="107"/>
        <v>2092.3250539737628</v>
      </c>
      <c r="BF169">
        <f t="shared" si="108"/>
        <v>10145.325355102026</v>
      </c>
      <c r="BG169">
        <f t="shared" si="109"/>
        <v>1309.1070370595901</v>
      </c>
      <c r="BH169">
        <f t="shared" si="110"/>
        <v>0</v>
      </c>
      <c r="BI169">
        <f t="shared" si="111"/>
        <v>0.98269800183896427</v>
      </c>
      <c r="BJ169">
        <f t="shared" si="112"/>
        <v>0.99755641825591479</v>
      </c>
      <c r="BK169">
        <f t="shared" si="113"/>
        <v>4.966885156195907E-2</v>
      </c>
      <c r="BL169">
        <f t="shared" si="114"/>
        <v>-4.7454176235105939E-3</v>
      </c>
      <c r="BM169">
        <f t="shared" si="132"/>
        <v>120.00000000000055</v>
      </c>
      <c r="BN169">
        <f t="shared" si="133"/>
        <v>-119.99999999999829</v>
      </c>
      <c r="BO169">
        <f>Data!$H$2*(1-BI169)*(1-BI169/Data!$H$3)*BM169</f>
        <v>7.1846193687476404E-8</v>
      </c>
      <c r="BP169">
        <f t="shared" si="115"/>
        <v>-117.92376022067626</v>
      </c>
      <c r="BQ169">
        <f>Data!$H$2*(1-BJ169)*(1-BJ169/Data!$H$3)*BN169</f>
        <v>-1.4330620176063442E-9</v>
      </c>
      <c r="BR169">
        <f t="shared" si="116"/>
        <v>119.70677019070807</v>
      </c>
      <c r="BS169">
        <f t="shared" si="117"/>
        <v>0</v>
      </c>
      <c r="BT169">
        <f t="shared" si="118"/>
        <v>0</v>
      </c>
      <c r="BU169">
        <f t="shared" si="119"/>
        <v>0</v>
      </c>
      <c r="BV169">
        <f t="shared" si="120"/>
        <v>0</v>
      </c>
      <c r="BW169">
        <f t="shared" si="134"/>
        <v>0</v>
      </c>
      <c r="BX169" t="str">
        <f t="shared" si="135"/>
        <v/>
      </c>
      <c r="BY169" s="66" t="str">
        <f t="shared" si="121"/>
        <v/>
      </c>
      <c r="BZ169" t="str">
        <f t="shared" si="122"/>
        <v/>
      </c>
      <c r="CA169" s="67" t="str">
        <f t="shared" si="123"/>
        <v/>
      </c>
    </row>
    <row r="170" spans="4:79" x14ac:dyDescent="0.25">
      <c r="D170" s="3" t="e">
        <f t="shared" si="148"/>
        <v>#DIV/0!</v>
      </c>
      <c r="E170" s="3" t="e">
        <f t="shared" si="148"/>
        <v>#DIV/0!</v>
      </c>
      <c r="F170" t="str">
        <f>IF(A170&gt;0,IF(F169=1,1,IF(B170=Data!$H$4,1,0)),"")</f>
        <v/>
      </c>
      <c r="O170" s="3"/>
      <c r="P170" s="3"/>
      <c r="Q170" t="str">
        <f t="shared" si="124"/>
        <v/>
      </c>
      <c r="R170" s="4" t="str">
        <f t="shared" si="125"/>
        <v/>
      </c>
      <c r="S170" t="e">
        <f t="shared" si="136"/>
        <v>#DIV/0!</v>
      </c>
      <c r="T170" t="e">
        <f t="shared" si="149"/>
        <v>#DIV/0!</v>
      </c>
      <c r="U170" s="4">
        <f t="shared" si="126"/>
        <v>0</v>
      </c>
      <c r="V170" t="e">
        <f t="shared" si="137"/>
        <v>#DIV/0!</v>
      </c>
      <c r="W170" t="e">
        <f t="shared" si="138"/>
        <v>#DIV/0!</v>
      </c>
      <c r="X170" t="e">
        <f t="shared" si="139"/>
        <v>#VALUE!</v>
      </c>
      <c r="Y170" t="e">
        <f t="shared" si="140"/>
        <v>#VALUE!</v>
      </c>
      <c r="Z170" t="e">
        <f t="shared" si="141"/>
        <v>#VALUE!</v>
      </c>
      <c r="AA170" t="e">
        <f t="shared" si="127"/>
        <v>#VALUE!</v>
      </c>
      <c r="AB170" t="str">
        <f t="shared" si="142"/>
        <v/>
      </c>
      <c r="AC170" t="str">
        <f t="shared" si="143"/>
        <v/>
      </c>
      <c r="AD170" t="str">
        <f t="shared" si="144"/>
        <v/>
      </c>
      <c r="AE170" t="str">
        <f t="shared" si="145"/>
        <v/>
      </c>
      <c r="AK170" s="4">
        <f t="shared" si="146"/>
        <v>41.800000000000239</v>
      </c>
      <c r="AL170">
        <f t="shared" si="128"/>
        <v>2017.0000000000286</v>
      </c>
      <c r="AM170">
        <f t="shared" si="129"/>
        <v>10156.566666666738</v>
      </c>
      <c r="AN170">
        <f>IF($AK169+$AK$1&lt;=Data!$H$4-0.5,AVERAGE(AM168:AM172),AN169)</f>
        <v>10156.56666666672</v>
      </c>
      <c r="AO170">
        <f t="shared" si="130"/>
        <v>8844.9999999999709</v>
      </c>
      <c r="AP170">
        <f t="shared" si="147"/>
        <v>10112.266666666639</v>
      </c>
      <c r="AQ170">
        <f>IF($AK169+$AK$1&lt;=Data!$H$4-0.5,AVERAGE(AP168:AP172),AQ169)</f>
        <v>10112.266666666639</v>
      </c>
      <c r="AR170">
        <f>IF($AK169+$AK$1&lt;=Data!$H$4-0.5,SLOPE($AN166:$AN174,$AK166:$AK174),AR169)</f>
        <v>217.83888888876623</v>
      </c>
      <c r="AS170">
        <f>IF($AK169+$AK$1&lt;=Data!$H$4-0.5,SLOPE($AQ166:$AQ174,$AK166:$AK174),AS169)</f>
        <v>-115.46111111111186</v>
      </c>
      <c r="AT170" t="str">
        <f>IF(AND($AK170&gt;=Results!$G$13,$AK170&lt;=Results!$G$14),Curves!AR170,"")</f>
        <v/>
      </c>
      <c r="AU170" t="str">
        <f>IF(AND($AK170&gt;=Results!$G$13,$AK170&lt;=Results!$G$14),Curves!AS170,"")</f>
        <v/>
      </c>
      <c r="AV170" t="str">
        <f t="shared" si="131"/>
        <v/>
      </c>
      <c r="AW170" t="str">
        <f>IF(AND($AK170&lt;=Results!$I$21,$AK170&gt;=Results!$I$20,$AK170&lt;=Results!$F$4),$AN170,"")</f>
        <v/>
      </c>
      <c r="AX170" t="str">
        <f t="shared" si="131"/>
        <v/>
      </c>
      <c r="AY170" t="str">
        <f>IF(AND($AK170&lt;=Results!$I$23,$AK170&gt;=Results!$I$22,$AK170&gt;=Results!$F$4),$AN170,"")</f>
        <v/>
      </c>
      <c r="AZ170" t="str">
        <f t="shared" si="104"/>
        <v/>
      </c>
      <c r="BA170" t="str">
        <f>IF(AND($AK170&lt;=Results!$I$27,$AK170&gt;=Results!$I$26,$AK170&lt;=Results!$F$4),$AQ170,"")</f>
        <v/>
      </c>
      <c r="BB170" t="str">
        <f t="shared" si="105"/>
        <v/>
      </c>
      <c r="BC170" t="str">
        <f>IF(AND($AK170&lt;=Results!$I$29,$AK170&gt;=Results!$I$28,$AK170&gt;=Results!$F$4),$AQ170,"")</f>
        <v/>
      </c>
      <c r="BD170">
        <f t="shared" si="106"/>
        <v>10257.286295478176</v>
      </c>
      <c r="BE170">
        <f t="shared" si="107"/>
        <v>2089.0092647244419</v>
      </c>
      <c r="BF170">
        <f t="shared" si="108"/>
        <v>10138.035372869133</v>
      </c>
      <c r="BG170">
        <f t="shared" si="109"/>
        <v>1308.5562361000652</v>
      </c>
      <c r="BH170">
        <f t="shared" si="110"/>
        <v>0</v>
      </c>
      <c r="BI170">
        <f t="shared" si="111"/>
        <v>0.98766941566351829</v>
      </c>
      <c r="BJ170">
        <f t="shared" si="112"/>
        <v>0.99708151457143335</v>
      </c>
      <c r="BK170">
        <f t="shared" si="113"/>
        <v>4.5131747592520505E-2</v>
      </c>
      <c r="BL170">
        <f t="shared" si="114"/>
        <v>-4.7942236335950942E-3</v>
      </c>
      <c r="BM170">
        <f t="shared" si="132"/>
        <v>120.00000000000055</v>
      </c>
      <c r="BN170">
        <f t="shared" si="133"/>
        <v>-119.99999999999829</v>
      </c>
      <c r="BO170">
        <f>Data!$H$2*(1-BI170)*(1-BI170/Data!$H$3)*BM170</f>
        <v>3.6490394418981305E-8</v>
      </c>
      <c r="BP170">
        <f t="shared" si="115"/>
        <v>-118.52032987962274</v>
      </c>
      <c r="BQ170">
        <f>Data!$H$2*(1-BJ170)*(1-BJ170/Data!$H$3)*BN170</f>
        <v>-2.0442137272213818E-9</v>
      </c>
      <c r="BR170">
        <f t="shared" si="116"/>
        <v>119.64978174857031</v>
      </c>
      <c r="BS170">
        <f t="shared" si="117"/>
        <v>0</v>
      </c>
      <c r="BT170">
        <f t="shared" si="118"/>
        <v>0</v>
      </c>
      <c r="BU170">
        <f t="shared" si="119"/>
        <v>0</v>
      </c>
      <c r="BV170">
        <f t="shared" si="120"/>
        <v>0</v>
      </c>
      <c r="BW170">
        <f t="shared" si="134"/>
        <v>0</v>
      </c>
      <c r="BX170" t="str">
        <f t="shared" si="135"/>
        <v/>
      </c>
      <c r="BY170" s="66" t="str">
        <f t="shared" si="121"/>
        <v/>
      </c>
      <c r="BZ170" t="str">
        <f t="shared" si="122"/>
        <v/>
      </c>
      <c r="CA170" s="67" t="str">
        <f t="shared" si="123"/>
        <v/>
      </c>
    </row>
    <row r="171" spans="4:79" x14ac:dyDescent="0.25">
      <c r="D171" s="3" t="e">
        <f t="shared" si="148"/>
        <v>#DIV/0!</v>
      </c>
      <c r="E171" s="3" t="e">
        <f t="shared" si="148"/>
        <v>#DIV/0!</v>
      </c>
      <c r="F171" t="str">
        <f>IF(A171&gt;0,IF(F170=1,1,IF(B171=Data!$H$4,1,0)),"")</f>
        <v/>
      </c>
      <c r="O171" s="3"/>
      <c r="P171" s="3"/>
      <c r="Q171" t="str">
        <f t="shared" si="124"/>
        <v/>
      </c>
      <c r="R171" s="4" t="str">
        <f t="shared" si="125"/>
        <v/>
      </c>
      <c r="S171" t="e">
        <f t="shared" si="136"/>
        <v>#DIV/0!</v>
      </c>
      <c r="T171" t="e">
        <f t="shared" si="149"/>
        <v>#DIV/0!</v>
      </c>
      <c r="U171" s="4">
        <f t="shared" si="126"/>
        <v>0</v>
      </c>
      <c r="V171" t="e">
        <f t="shared" si="137"/>
        <v>#DIV/0!</v>
      </c>
      <c r="W171" t="e">
        <f t="shared" si="138"/>
        <v>#DIV/0!</v>
      </c>
      <c r="X171" t="e">
        <f t="shared" si="139"/>
        <v>#VALUE!</v>
      </c>
      <c r="Y171" t="e">
        <f t="shared" si="140"/>
        <v>#VALUE!</v>
      </c>
      <c r="Z171" t="e">
        <f t="shared" si="141"/>
        <v>#VALUE!</v>
      </c>
      <c r="AA171" t="e">
        <f t="shared" si="127"/>
        <v>#VALUE!</v>
      </c>
      <c r="AB171" t="str">
        <f t="shared" si="142"/>
        <v/>
      </c>
      <c r="AC171" t="str">
        <f t="shared" si="143"/>
        <v/>
      </c>
      <c r="AD171" t="str">
        <f t="shared" si="144"/>
        <v/>
      </c>
      <c r="AE171" t="str">
        <f t="shared" si="145"/>
        <v/>
      </c>
      <c r="AK171" s="4">
        <f t="shared" si="146"/>
        <v>41.90000000000024</v>
      </c>
      <c r="AL171">
        <f t="shared" si="128"/>
        <v>2029.0000000000289</v>
      </c>
      <c r="AM171">
        <f t="shared" si="129"/>
        <v>10186.533333333406</v>
      </c>
      <c r="AN171">
        <f>IF($AK170+$AK$1&lt;=Data!$H$4-0.5,AVERAGE(AM169:AM173),AN170)</f>
        <v>10178.980000000036</v>
      </c>
      <c r="AO171">
        <f t="shared" si="130"/>
        <v>8832.9999999999709</v>
      </c>
      <c r="AP171">
        <f t="shared" si="147"/>
        <v>10100.799999999974</v>
      </c>
      <c r="AQ171">
        <f>IF($AK170+$AK$1&lt;=Data!$H$4-0.5,AVERAGE(AP169:AP173),AQ170)</f>
        <v>10100.726666666638</v>
      </c>
      <c r="AR171">
        <f>IF($AK170+$AK$1&lt;=Data!$H$4-0.5,SLOPE($AN167:$AN175,$AK167:$AK175),AR170)</f>
        <v>167.48333333319539</v>
      </c>
      <c r="AS171">
        <f>IF($AK170+$AK$1&lt;=Data!$H$4-0.5,SLOPE($AQ167:$AQ175,$AK167:$AK175),AS170)</f>
        <v>-115.95000000000182</v>
      </c>
      <c r="AT171" t="str">
        <f>IF(AND($AK171&gt;=Results!$G$13,$AK171&lt;=Results!$G$14),Curves!AR171,"")</f>
        <v/>
      </c>
      <c r="AU171" t="str">
        <f>IF(AND($AK171&gt;=Results!$G$13,$AK171&lt;=Results!$G$14),Curves!AS171,"")</f>
        <v/>
      </c>
      <c r="AV171" t="str">
        <f t="shared" si="131"/>
        <v/>
      </c>
      <c r="AW171" t="str">
        <f>IF(AND($AK171&lt;=Results!$I$21,$AK171&gt;=Results!$I$20,$AK171&lt;=Results!$F$4),$AN171,"")</f>
        <v/>
      </c>
      <c r="AX171" t="str">
        <f t="shared" si="131"/>
        <v/>
      </c>
      <c r="AY171" t="str">
        <f>IF(AND($AK171&lt;=Results!$I$23,$AK171&gt;=Results!$I$22,$AK171&gt;=Results!$F$4),$AN171,"")</f>
        <v/>
      </c>
      <c r="AZ171" t="str">
        <f t="shared" si="104"/>
        <v/>
      </c>
      <c r="BA171" t="str">
        <f>IF(AND($AK171&lt;=Results!$I$27,$AK171&gt;=Results!$I$26,$AK171&lt;=Results!$F$4),$AQ171,"")</f>
        <v/>
      </c>
      <c r="BB171" t="str">
        <f t="shared" si="105"/>
        <v/>
      </c>
      <c r="BC171" t="str">
        <f>IF(AND($AK171&lt;=Results!$I$29,$AK171&gt;=Results!$I$28,$AK171&gt;=Results!$F$4),$AQ171,"")</f>
        <v/>
      </c>
      <c r="BD171">
        <f t="shared" si="106"/>
        <v>10246.516100680255</v>
      </c>
      <c r="BE171">
        <f t="shared" si="107"/>
        <v>2085.6934754751214</v>
      </c>
      <c r="BF171">
        <f t="shared" si="108"/>
        <v>10130.745390636239</v>
      </c>
      <c r="BG171">
        <f t="shared" si="109"/>
        <v>1308.0054351405402</v>
      </c>
      <c r="BH171">
        <f t="shared" si="110"/>
        <v>0</v>
      </c>
      <c r="BI171">
        <f t="shared" si="111"/>
        <v>0.9917243513574685</v>
      </c>
      <c r="BJ171">
        <f t="shared" si="112"/>
        <v>0.99659757352919576</v>
      </c>
      <c r="BK171">
        <f t="shared" si="113"/>
        <v>3.5954397616432862E-2</v>
      </c>
      <c r="BL171">
        <f t="shared" si="114"/>
        <v>-4.8847008370405528E-3</v>
      </c>
      <c r="BM171">
        <f t="shared" si="132"/>
        <v>120.00000000000055</v>
      </c>
      <c r="BN171">
        <f t="shared" si="133"/>
        <v>-119.99999999999829</v>
      </c>
      <c r="BO171">
        <f>Data!$H$2*(1-BI171)*(1-BI171/Data!$H$3)*BM171</f>
        <v>1.6436726509112093E-8</v>
      </c>
      <c r="BP171">
        <f t="shared" si="115"/>
        <v>-119.00692216289677</v>
      </c>
      <c r="BQ171">
        <f>Data!$H$2*(1-BJ171)*(1-BJ171/Data!$H$3)*BN171</f>
        <v>-2.7783614134150199E-9</v>
      </c>
      <c r="BR171">
        <f t="shared" si="116"/>
        <v>119.59170882350179</v>
      </c>
      <c r="BS171">
        <f t="shared" si="117"/>
        <v>0</v>
      </c>
      <c r="BT171">
        <f t="shared" si="118"/>
        <v>0</v>
      </c>
      <c r="BU171">
        <f t="shared" si="119"/>
        <v>0</v>
      </c>
      <c r="BV171">
        <f t="shared" si="120"/>
        <v>0</v>
      </c>
      <c r="BW171">
        <f t="shared" si="134"/>
        <v>0</v>
      </c>
      <c r="BX171" t="str">
        <f t="shared" si="135"/>
        <v/>
      </c>
      <c r="BY171" s="66" t="str">
        <f t="shared" si="121"/>
        <v/>
      </c>
      <c r="BZ171" t="str">
        <f t="shared" si="122"/>
        <v/>
      </c>
      <c r="CA171" s="67" t="str">
        <f t="shared" si="123"/>
        <v/>
      </c>
    </row>
    <row r="172" spans="4:79" x14ac:dyDescent="0.25">
      <c r="D172" s="3" t="e">
        <f t="shared" si="148"/>
        <v>#DIV/0!</v>
      </c>
      <c r="E172" s="3" t="e">
        <f t="shared" si="148"/>
        <v>#DIV/0!</v>
      </c>
      <c r="F172" t="str">
        <f>IF(A172&gt;0,IF(F171=1,1,IF(B172=Data!$H$4,1,0)),"")</f>
        <v/>
      </c>
      <c r="O172" s="3"/>
      <c r="P172" s="3"/>
      <c r="Q172" t="str">
        <f t="shared" si="124"/>
        <v/>
      </c>
      <c r="R172" s="4" t="str">
        <f t="shared" si="125"/>
        <v/>
      </c>
      <c r="S172" t="e">
        <f t="shared" si="136"/>
        <v>#DIV/0!</v>
      </c>
      <c r="T172" t="e">
        <f t="shared" si="149"/>
        <v>#DIV/0!</v>
      </c>
      <c r="U172" s="4">
        <f t="shared" si="126"/>
        <v>0</v>
      </c>
      <c r="V172" t="e">
        <f t="shared" si="137"/>
        <v>#DIV/0!</v>
      </c>
      <c r="W172" t="e">
        <f t="shared" si="138"/>
        <v>#DIV/0!</v>
      </c>
      <c r="X172" t="e">
        <f t="shared" si="139"/>
        <v>#VALUE!</v>
      </c>
      <c r="Y172" t="e">
        <f t="shared" si="140"/>
        <v>#VALUE!</v>
      </c>
      <c r="Z172" t="e">
        <f t="shared" si="141"/>
        <v>#VALUE!</v>
      </c>
      <c r="AA172" t="e">
        <f t="shared" si="127"/>
        <v>#VALUE!</v>
      </c>
      <c r="AB172" t="str">
        <f t="shared" si="142"/>
        <v/>
      </c>
      <c r="AC172" t="str">
        <f t="shared" si="143"/>
        <v/>
      </c>
      <c r="AD172" t="str">
        <f t="shared" si="144"/>
        <v/>
      </c>
      <c r="AE172" t="str">
        <f t="shared" si="145"/>
        <v/>
      </c>
      <c r="AK172" s="4">
        <f t="shared" si="146"/>
        <v>42.000000000000242</v>
      </c>
      <c r="AL172">
        <f t="shared" si="128"/>
        <v>2041.0000000000291</v>
      </c>
      <c r="AM172">
        <f t="shared" si="129"/>
        <v>10216.499999999982</v>
      </c>
      <c r="AN172">
        <f>IF($AK171+$AK$1&lt;=Data!$H$4-0.5,AVERAGE(AM170:AM174),AN171)</f>
        <v>10193.840000000017</v>
      </c>
      <c r="AO172">
        <f t="shared" si="130"/>
        <v>8820.9999999999709</v>
      </c>
      <c r="AP172">
        <f t="shared" si="147"/>
        <v>10089.333333333305</v>
      </c>
      <c r="AQ172">
        <f>IF($AK171+$AK$1&lt;=Data!$H$4-0.5,AVERAGE(AP170:AP174),AQ171)</f>
        <v>10089.113333333307</v>
      </c>
      <c r="AR172">
        <f>IF($AK171+$AK$1&lt;=Data!$H$4-0.5,SLOPE($AN168:$AN176,$AK168:$AK176),AR171)</f>
        <v>110.83333333319594</v>
      </c>
      <c r="AS172">
        <f>IF($AK171+$AK$1&lt;=Data!$H$4-0.5,SLOPE($AQ168:$AQ176,$AK168:$AK176),AS171)</f>
        <v>-116.50000000000169</v>
      </c>
      <c r="AT172" t="str">
        <f>IF(AND($AK172&gt;=Results!$G$13,$AK172&lt;=Results!$G$14),Curves!AR172,"")</f>
        <v/>
      </c>
      <c r="AU172" t="str">
        <f>IF(AND($AK172&gt;=Results!$G$13,$AK172&lt;=Results!$G$14),Curves!AS172,"")</f>
        <v/>
      </c>
      <c r="AV172">
        <f t="shared" si="131"/>
        <v>42.000000000000242</v>
      </c>
      <c r="AW172">
        <f>IF(AND($AK172&lt;=Results!$I$21,$AK172&gt;=Results!$I$20,$AK172&lt;=Results!$F$4),$AN172,"")</f>
        <v>10193.840000000017</v>
      </c>
      <c r="AX172" t="str">
        <f t="shared" si="131"/>
        <v/>
      </c>
      <c r="AY172" t="str">
        <f>IF(AND($AK172&lt;=Results!$I$23,$AK172&gt;=Results!$I$22,$AK172&gt;=Results!$F$4),$AN172,"")</f>
        <v/>
      </c>
      <c r="AZ172" t="str">
        <f t="shared" si="104"/>
        <v/>
      </c>
      <c r="BA172" t="str">
        <f>IF(AND($AK172&lt;=Results!$I$27,$AK172&gt;=Results!$I$26,$AK172&lt;=Results!$F$4),$AQ172,"")</f>
        <v/>
      </c>
      <c r="BB172" t="str">
        <f t="shared" si="105"/>
        <v/>
      </c>
      <c r="BC172" t="str">
        <f>IF(AND($AK172&lt;=Results!$I$29,$AK172&gt;=Results!$I$28,$AK172&gt;=Results!$F$4),$AQ172,"")</f>
        <v/>
      </c>
      <c r="BD172">
        <f t="shared" si="106"/>
        <v>10235.745905882337</v>
      </c>
      <c r="BE172">
        <f t="shared" si="107"/>
        <v>2082.3776862258005</v>
      </c>
      <c r="BF172">
        <f t="shared" si="108"/>
        <v>10123.455408403346</v>
      </c>
      <c r="BG172">
        <f t="shared" si="109"/>
        <v>1307.4546341810151</v>
      </c>
      <c r="BH172">
        <f t="shared" si="110"/>
        <v>0</v>
      </c>
      <c r="BI172">
        <f t="shared" si="111"/>
        <v>0.99486029518680497</v>
      </c>
      <c r="BJ172">
        <f t="shared" si="112"/>
        <v>0.99610457440402522</v>
      </c>
      <c r="BK172">
        <f t="shared" si="113"/>
        <v>2.6751864293398556E-2</v>
      </c>
      <c r="BL172">
        <f t="shared" si="114"/>
        <v>-4.9753856093581027E-3</v>
      </c>
      <c r="BM172">
        <f t="shared" si="132"/>
        <v>119.99999999999942</v>
      </c>
      <c r="BN172">
        <f t="shared" si="133"/>
        <v>-119.99999999999829</v>
      </c>
      <c r="BO172">
        <f>Data!$H$2*(1-BI172)*(1-BI172/Data!$H$3)*BM172</f>
        <v>6.3399757360272169E-9</v>
      </c>
      <c r="BP172">
        <f t="shared" si="115"/>
        <v>-119.38323542241602</v>
      </c>
      <c r="BQ172">
        <f>Data!$H$2*(1-BJ172)*(1-BJ172/Data!$H$3)*BN172</f>
        <v>-3.6418417377060563E-9</v>
      </c>
      <c r="BR172">
        <f t="shared" si="116"/>
        <v>119.53254892848133</v>
      </c>
      <c r="BS172">
        <f t="shared" si="117"/>
        <v>0</v>
      </c>
      <c r="BT172">
        <f t="shared" si="118"/>
        <v>0</v>
      </c>
      <c r="BU172">
        <f t="shared" si="119"/>
        <v>0</v>
      </c>
      <c r="BV172">
        <f t="shared" si="120"/>
        <v>0</v>
      </c>
      <c r="BW172">
        <f t="shared" si="134"/>
        <v>0</v>
      </c>
      <c r="BX172" t="str">
        <f t="shared" si="135"/>
        <v/>
      </c>
      <c r="BY172" s="66" t="str">
        <f t="shared" si="121"/>
        <v/>
      </c>
      <c r="BZ172" t="str">
        <f t="shared" si="122"/>
        <v/>
      </c>
      <c r="CA172" s="67" t="str">
        <f t="shared" si="123"/>
        <v/>
      </c>
    </row>
    <row r="173" spans="4:79" x14ac:dyDescent="0.25">
      <c r="D173" s="3" t="e">
        <f t="shared" si="148"/>
        <v>#DIV/0!</v>
      </c>
      <c r="E173" s="3" t="e">
        <f t="shared" si="148"/>
        <v>#DIV/0!</v>
      </c>
      <c r="F173" t="str">
        <f>IF(A173&gt;0,IF(F172=1,1,IF(B173=Data!$H$4,1,0)),"")</f>
        <v/>
      </c>
      <c r="O173" s="3"/>
      <c r="P173" s="3"/>
      <c r="Q173" t="str">
        <f t="shared" si="124"/>
        <v/>
      </c>
      <c r="R173" s="4" t="str">
        <f t="shared" si="125"/>
        <v/>
      </c>
      <c r="S173" t="e">
        <f t="shared" si="136"/>
        <v>#DIV/0!</v>
      </c>
      <c r="T173" t="e">
        <f t="shared" si="149"/>
        <v>#DIV/0!</v>
      </c>
      <c r="U173" s="4">
        <f t="shared" si="126"/>
        <v>0</v>
      </c>
      <c r="V173" t="e">
        <f t="shared" si="137"/>
        <v>#DIV/0!</v>
      </c>
      <c r="W173" t="e">
        <f t="shared" si="138"/>
        <v>#DIV/0!</v>
      </c>
      <c r="X173" t="e">
        <f t="shared" si="139"/>
        <v>#VALUE!</v>
      </c>
      <c r="Y173" t="e">
        <f t="shared" si="140"/>
        <v>#VALUE!</v>
      </c>
      <c r="Z173" t="e">
        <f t="shared" si="141"/>
        <v>#VALUE!</v>
      </c>
      <c r="AA173" t="e">
        <f t="shared" si="127"/>
        <v>#VALUE!</v>
      </c>
      <c r="AB173" t="str">
        <f t="shared" si="142"/>
        <v/>
      </c>
      <c r="AC173" t="str">
        <f t="shared" si="143"/>
        <v/>
      </c>
      <c r="AD173" t="str">
        <f t="shared" si="144"/>
        <v/>
      </c>
      <c r="AE173" t="str">
        <f t="shared" si="145"/>
        <v/>
      </c>
      <c r="AK173" s="4">
        <f t="shared" si="146"/>
        <v>42.100000000000243</v>
      </c>
      <c r="AL173">
        <f t="shared" si="128"/>
        <v>2053.0000000000291</v>
      </c>
      <c r="AM173">
        <f t="shared" si="129"/>
        <v>10208.699999999981</v>
      </c>
      <c r="AN173">
        <f>IF($AK172+$AK$1&lt;=Data!$H$4-0.5,AVERAGE(AM171:AM175),AN172)</f>
        <v>10201.146666666664</v>
      </c>
      <c r="AO173">
        <f t="shared" si="130"/>
        <v>8808.9999999999709</v>
      </c>
      <c r="AP173">
        <f t="shared" si="147"/>
        <v>10077.499999999971</v>
      </c>
      <c r="AQ173">
        <f>IF($AK172+$AK$1&lt;=Data!$H$4-0.5,AVERAGE(AP171:AP175),AQ172)</f>
        <v>10077.426666666639</v>
      </c>
      <c r="AR173">
        <f>IF($AK172+$AK$1&lt;=Data!$H$4-0.5,SLOPE($AN169:$AN177,$AK169:$AK177),AR172)</f>
        <v>54.183333333212261</v>
      </c>
      <c r="AS173">
        <f>IF($AK172+$AK$1&lt;=Data!$H$4-0.5,SLOPE($AQ169:$AQ177,$AK169:$AK177),AS172)</f>
        <v>-117.05000000000064</v>
      </c>
      <c r="AT173" t="str">
        <f>IF(AND($AK173&gt;=Results!$G$13,$AK173&lt;=Results!$G$14),Curves!AR173,"")</f>
        <v/>
      </c>
      <c r="AU173" t="str">
        <f>IF(AND($AK173&gt;=Results!$G$13,$AK173&lt;=Results!$G$14),Curves!AS173,"")</f>
        <v/>
      </c>
      <c r="AV173">
        <f t="shared" si="131"/>
        <v>42.100000000000243</v>
      </c>
      <c r="AW173">
        <f>IF(AND($AK173&lt;=Results!$I$21,$AK173&gt;=Results!$I$20,$AK173&lt;=Results!$F$4),$AN173,"")</f>
        <v>10201.146666666664</v>
      </c>
      <c r="AX173" t="str">
        <f t="shared" si="131"/>
        <v/>
      </c>
      <c r="AY173" t="str">
        <f>IF(AND($AK173&lt;=Results!$I$23,$AK173&gt;=Results!$I$22,$AK173&gt;=Results!$F$4),$AN173,"")</f>
        <v/>
      </c>
      <c r="AZ173" t="str">
        <f t="shared" si="104"/>
        <v/>
      </c>
      <c r="BA173" t="str">
        <f>IF(AND($AK173&lt;=Results!$I$27,$AK173&gt;=Results!$I$26,$AK173&lt;=Results!$F$4),$AQ173,"")</f>
        <v/>
      </c>
      <c r="BB173" t="str">
        <f t="shared" si="105"/>
        <v/>
      </c>
      <c r="BC173" t="str">
        <f>IF(AND($AK173&lt;=Results!$I$29,$AK173&gt;=Results!$I$28,$AK173&gt;=Results!$F$4),$AQ173,"")</f>
        <v/>
      </c>
      <c r="BD173">
        <f t="shared" si="106"/>
        <v>10224.975711084417</v>
      </c>
      <c r="BE173">
        <f t="shared" si="107"/>
        <v>2079.0618969764796</v>
      </c>
      <c r="BF173">
        <f t="shared" si="108"/>
        <v>10116.165426170453</v>
      </c>
      <c r="BG173">
        <f t="shared" si="109"/>
        <v>1306.9038332214902</v>
      </c>
      <c r="BH173">
        <f t="shared" si="110"/>
        <v>0</v>
      </c>
      <c r="BI173">
        <f t="shared" si="111"/>
        <v>0.99707472421614829</v>
      </c>
      <c r="BJ173">
        <f t="shared" si="112"/>
        <v>0.99560249640732412</v>
      </c>
      <c r="BK173">
        <f t="shared" si="113"/>
        <v>1.7524055399017222E-2</v>
      </c>
      <c r="BL173">
        <f t="shared" si="114"/>
        <v>-5.0662785859589103E-3</v>
      </c>
      <c r="BM173">
        <f t="shared" si="132"/>
        <v>119.99999999999829</v>
      </c>
      <c r="BN173">
        <f t="shared" si="133"/>
        <v>-119.99999999999829</v>
      </c>
      <c r="BO173">
        <f>Data!$H$2*(1-BI173)*(1-BI173/Data!$H$3)*BM173</f>
        <v>2.0537372187813884E-9</v>
      </c>
      <c r="BP173">
        <f t="shared" si="115"/>
        <v>-119.64896690593609</v>
      </c>
      <c r="BQ173">
        <f>Data!$H$2*(1-BJ173)*(1-BJ173/Data!$H$3)*BN173</f>
        <v>-4.6411290834232747E-9</v>
      </c>
      <c r="BR173">
        <f t="shared" si="116"/>
        <v>119.47229956887719</v>
      </c>
      <c r="BS173">
        <f t="shared" si="117"/>
        <v>0</v>
      </c>
      <c r="BT173">
        <f t="shared" si="118"/>
        <v>0</v>
      </c>
      <c r="BU173">
        <f t="shared" si="119"/>
        <v>0</v>
      </c>
      <c r="BV173">
        <f t="shared" si="120"/>
        <v>0</v>
      </c>
      <c r="BW173">
        <f t="shared" si="134"/>
        <v>0</v>
      </c>
      <c r="BX173" t="str">
        <f t="shared" si="135"/>
        <v/>
      </c>
      <c r="BY173" s="66" t="str">
        <f t="shared" si="121"/>
        <v/>
      </c>
      <c r="BZ173" t="str">
        <f t="shared" si="122"/>
        <v/>
      </c>
      <c r="CA173" s="67" t="str">
        <f t="shared" si="123"/>
        <v/>
      </c>
    </row>
    <row r="174" spans="4:79" x14ac:dyDescent="0.25">
      <c r="D174" s="3" t="e">
        <f t="shared" si="148"/>
        <v>#DIV/0!</v>
      </c>
      <c r="E174" s="3" t="e">
        <f t="shared" si="148"/>
        <v>#DIV/0!</v>
      </c>
      <c r="F174" t="str">
        <f>IF(A174&gt;0,IF(F173=1,1,IF(B174=Data!$H$4,1,0)),"")</f>
        <v/>
      </c>
      <c r="O174" s="3"/>
      <c r="P174" s="3"/>
      <c r="Q174" t="str">
        <f t="shared" si="124"/>
        <v/>
      </c>
      <c r="R174" s="4" t="str">
        <f t="shared" si="125"/>
        <v/>
      </c>
      <c r="S174" t="e">
        <f t="shared" si="136"/>
        <v>#DIV/0!</v>
      </c>
      <c r="T174" t="e">
        <f t="shared" si="149"/>
        <v>#DIV/0!</v>
      </c>
      <c r="U174" s="4">
        <f t="shared" si="126"/>
        <v>0</v>
      </c>
      <c r="V174" t="e">
        <f t="shared" si="137"/>
        <v>#DIV/0!</v>
      </c>
      <c r="W174" t="e">
        <f t="shared" si="138"/>
        <v>#DIV/0!</v>
      </c>
      <c r="X174" t="e">
        <f t="shared" si="139"/>
        <v>#VALUE!</v>
      </c>
      <c r="Y174" t="e">
        <f t="shared" si="140"/>
        <v>#VALUE!</v>
      </c>
      <c r="Z174" t="e">
        <f t="shared" si="141"/>
        <v>#VALUE!</v>
      </c>
      <c r="AA174" t="e">
        <f t="shared" si="127"/>
        <v>#VALUE!</v>
      </c>
      <c r="AB174" t="str">
        <f t="shared" si="142"/>
        <v/>
      </c>
      <c r="AC174" t="str">
        <f t="shared" si="143"/>
        <v/>
      </c>
      <c r="AD174" t="str">
        <f t="shared" si="144"/>
        <v/>
      </c>
      <c r="AE174" t="str">
        <f t="shared" si="145"/>
        <v/>
      </c>
      <c r="AK174" s="4">
        <f t="shared" si="146"/>
        <v>42.200000000000244</v>
      </c>
      <c r="AL174">
        <f t="shared" si="128"/>
        <v>2065.0000000000291</v>
      </c>
      <c r="AM174">
        <f t="shared" si="129"/>
        <v>10200.899999999981</v>
      </c>
      <c r="AN174">
        <f>IF($AK173+$AK$1&lt;=Data!$H$4-0.5,AVERAGE(AM172:AM176),AN173)</f>
        <v>10200.899999999981</v>
      </c>
      <c r="AO174">
        <f t="shared" si="130"/>
        <v>8796.9999999999709</v>
      </c>
      <c r="AP174">
        <f t="shared" si="147"/>
        <v>10065.666666666639</v>
      </c>
      <c r="AQ174">
        <f>IF($AK173+$AK$1&lt;=Data!$H$4-0.5,AVERAGE(AP172:AP176),AQ173)</f>
        <v>10065.666666666639</v>
      </c>
      <c r="AR174">
        <f>IF($AK173+$AK$1&lt;=Data!$H$4-0.5,SLOPE($AN170:$AN178,$AK170:$AK178),AR173)</f>
        <v>3.8277777776862489</v>
      </c>
      <c r="AS174">
        <f>IF($AK173+$AK$1&lt;=Data!$H$4-0.5,SLOPE($AQ170:$AQ178,$AK170:$AK178),AS173)</f>
        <v>-117.5388888888903</v>
      </c>
      <c r="AT174" t="str">
        <f>IF(AND($AK174&gt;=Results!$G$13,$AK174&lt;=Results!$G$14),Curves!AR174,"")</f>
        <v/>
      </c>
      <c r="AU174" t="str">
        <f>IF(AND($AK174&gt;=Results!$G$13,$AK174&lt;=Results!$G$14),Curves!AS174,"")</f>
        <v/>
      </c>
      <c r="AV174">
        <f t="shared" si="131"/>
        <v>42.200000000000244</v>
      </c>
      <c r="AW174">
        <f>IF(AND($AK174&lt;=Results!$I$21,$AK174&gt;=Results!$I$20,$AK174&lt;=Results!$F$4),$AN174,"")</f>
        <v>10200.899999999981</v>
      </c>
      <c r="AX174" t="str">
        <f t="shared" si="131"/>
        <v/>
      </c>
      <c r="AY174" t="str">
        <f>IF(AND($AK174&lt;=Results!$I$23,$AK174&gt;=Results!$I$22,$AK174&gt;=Results!$F$4),$AN174,"")</f>
        <v/>
      </c>
      <c r="AZ174" t="str">
        <f t="shared" si="104"/>
        <v/>
      </c>
      <c r="BA174" t="str">
        <f>IF(AND($AK174&lt;=Results!$I$27,$AK174&gt;=Results!$I$26,$AK174&lt;=Results!$F$4),$AQ174,"")</f>
        <v/>
      </c>
      <c r="BB174" t="str">
        <f t="shared" si="105"/>
        <v/>
      </c>
      <c r="BC174" t="str">
        <f>IF(AND($AK174&lt;=Results!$I$29,$AK174&gt;=Results!$I$28,$AK174&gt;=Results!$F$4),$AQ174,"")</f>
        <v/>
      </c>
      <c r="BD174">
        <f t="shared" si="106"/>
        <v>10214.205516286496</v>
      </c>
      <c r="BE174">
        <f t="shared" si="107"/>
        <v>2075.7461077271591</v>
      </c>
      <c r="BF174">
        <f t="shared" si="108"/>
        <v>10108.875443937561</v>
      </c>
      <c r="BG174">
        <f t="shared" si="109"/>
        <v>1306.3530322619652</v>
      </c>
      <c r="BH174">
        <f t="shared" si="110"/>
        <v>0</v>
      </c>
      <c r="BI174">
        <f t="shared" si="111"/>
        <v>0.99836510626660846</v>
      </c>
      <c r="BJ174">
        <f t="shared" si="112"/>
        <v>0.99509131868683343</v>
      </c>
      <c r="BK174">
        <f t="shared" si="113"/>
        <v>8.2708782863287686E-3</v>
      </c>
      <c r="BL174">
        <f t="shared" si="114"/>
        <v>-5.1573804046883094E-3</v>
      </c>
      <c r="BM174">
        <f t="shared" si="132"/>
        <v>120.00000000000055</v>
      </c>
      <c r="BN174">
        <f t="shared" si="133"/>
        <v>-119.99999999999829</v>
      </c>
      <c r="BO174">
        <f>Data!$H$2*(1-BI174)*(1-BI174/Data!$H$3)*BM174</f>
        <v>6.4149060467590581E-10</v>
      </c>
      <c r="BP174">
        <f t="shared" si="115"/>
        <v>-119.80381275199356</v>
      </c>
      <c r="BQ174">
        <f>Data!$H$2*(1-BJ174)*(1-BJ174/Data!$H$3)*BN174</f>
        <v>-5.7828365362152911E-9</v>
      </c>
      <c r="BR174">
        <f t="shared" si="116"/>
        <v>119.41095824241832</v>
      </c>
      <c r="BS174">
        <f t="shared" si="117"/>
        <v>0</v>
      </c>
      <c r="BT174">
        <f t="shared" si="118"/>
        <v>0</v>
      </c>
      <c r="BU174">
        <f t="shared" si="119"/>
        <v>0</v>
      </c>
      <c r="BV174">
        <f t="shared" si="120"/>
        <v>0</v>
      </c>
      <c r="BW174">
        <f t="shared" si="134"/>
        <v>0</v>
      </c>
      <c r="BX174" t="str">
        <f t="shared" si="135"/>
        <v/>
      </c>
      <c r="BY174" s="66" t="str">
        <f t="shared" si="121"/>
        <v/>
      </c>
      <c r="BZ174" t="str">
        <f t="shared" si="122"/>
        <v/>
      </c>
      <c r="CA174" s="67" t="str">
        <f t="shared" si="123"/>
        <v/>
      </c>
    </row>
    <row r="175" spans="4:79" x14ac:dyDescent="0.25">
      <c r="D175" s="3" t="e">
        <f t="shared" si="148"/>
        <v>#DIV/0!</v>
      </c>
      <c r="E175" s="3" t="e">
        <f t="shared" si="148"/>
        <v>#DIV/0!</v>
      </c>
      <c r="F175" t="str">
        <f>IF(A175&gt;0,IF(F174=1,1,IF(B175=Data!$H$4,1,0)),"")</f>
        <v/>
      </c>
      <c r="O175" s="3"/>
      <c r="P175" s="3"/>
      <c r="Q175" t="str">
        <f t="shared" si="124"/>
        <v/>
      </c>
      <c r="R175" s="4" t="str">
        <f t="shared" si="125"/>
        <v/>
      </c>
      <c r="S175" t="e">
        <f t="shared" si="136"/>
        <v>#DIV/0!</v>
      </c>
      <c r="T175" t="e">
        <f t="shared" si="149"/>
        <v>#DIV/0!</v>
      </c>
      <c r="U175" s="4">
        <f t="shared" si="126"/>
        <v>0</v>
      </c>
      <c r="V175" t="e">
        <f t="shared" si="137"/>
        <v>#DIV/0!</v>
      </c>
      <c r="W175" t="e">
        <f t="shared" si="138"/>
        <v>#DIV/0!</v>
      </c>
      <c r="X175" t="e">
        <f t="shared" si="139"/>
        <v>#VALUE!</v>
      </c>
      <c r="Y175" t="e">
        <f t="shared" si="140"/>
        <v>#VALUE!</v>
      </c>
      <c r="Z175" t="e">
        <f t="shared" si="141"/>
        <v>#VALUE!</v>
      </c>
      <c r="AA175" t="e">
        <f t="shared" si="127"/>
        <v>#VALUE!</v>
      </c>
      <c r="AB175" t="str">
        <f t="shared" si="142"/>
        <v/>
      </c>
      <c r="AC175" t="str">
        <f t="shared" si="143"/>
        <v/>
      </c>
      <c r="AD175" t="str">
        <f t="shared" si="144"/>
        <v/>
      </c>
      <c r="AE175" t="str">
        <f t="shared" si="145"/>
        <v/>
      </c>
      <c r="AK175" s="4">
        <f t="shared" si="146"/>
        <v>42.300000000000246</v>
      </c>
      <c r="AL175">
        <f t="shared" si="128"/>
        <v>2077.0000000000296</v>
      </c>
      <c r="AM175">
        <f t="shared" si="129"/>
        <v>10193.09999999998</v>
      </c>
      <c r="AN175">
        <f>IF($AK174+$AK$1&lt;=Data!$H$4-0.5,AVERAGE(AM173:AM177),AN174)</f>
        <v>10193.09999999998</v>
      </c>
      <c r="AO175">
        <f t="shared" si="130"/>
        <v>8784.9999999999709</v>
      </c>
      <c r="AP175">
        <f t="shared" si="147"/>
        <v>10053.833333333305</v>
      </c>
      <c r="AQ175">
        <f>IF($AK174+$AK$1&lt;=Data!$H$4-0.5,AVERAGE(AP173:AP177),AQ174)</f>
        <v>10053.833333333303</v>
      </c>
      <c r="AR175">
        <f>IF($AK174+$AK$1&lt;=Data!$H$4-0.5,SLOPE($AN171:$AN179,$AK171:$AK179),AR174)</f>
        <v>-33.938888888948718</v>
      </c>
      <c r="AS175">
        <f>IF($AK174+$AK$1&lt;=Data!$H$4-0.5,SLOPE($AQ171:$AQ179,$AK171:$AK179),AS174)</f>
        <v>-117.90555555555676</v>
      </c>
      <c r="AT175" t="str">
        <f>IF(AND($AK175&gt;=Results!$G$13,$AK175&lt;=Results!$G$14),Curves!AR175,"")</f>
        <v/>
      </c>
      <c r="AU175" t="str">
        <f>IF(AND($AK175&gt;=Results!$G$13,$AK175&lt;=Results!$G$14),Curves!AS175,"")</f>
        <v/>
      </c>
      <c r="AV175">
        <f t="shared" si="131"/>
        <v>42.300000000000246</v>
      </c>
      <c r="AW175">
        <f>IF(AND($AK175&lt;=Results!$I$21,$AK175&gt;=Results!$I$20,$AK175&lt;=Results!$F$4),$AN175,"")</f>
        <v>10193.09999999998</v>
      </c>
      <c r="AX175" t="str">
        <f t="shared" si="131"/>
        <v/>
      </c>
      <c r="AY175" t="str">
        <f>IF(AND($AK175&lt;=Results!$I$23,$AK175&gt;=Results!$I$22,$AK175&gt;=Results!$F$4),$AN175,"")</f>
        <v/>
      </c>
      <c r="AZ175" t="str">
        <f t="shared" si="104"/>
        <v/>
      </c>
      <c r="BA175" t="str">
        <f>IF(AND($AK175&lt;=Results!$I$27,$AK175&gt;=Results!$I$26,$AK175&lt;=Results!$F$4),$AQ175,"")</f>
        <v/>
      </c>
      <c r="BB175" t="str">
        <f t="shared" si="105"/>
        <v/>
      </c>
      <c r="BC175" t="str">
        <f>IF(AND($AK175&lt;=Results!$I$29,$AK175&gt;=Results!$I$28,$AK175&gt;=Results!$F$4),$AQ175,"")</f>
        <v/>
      </c>
      <c r="BD175">
        <f t="shared" si="106"/>
        <v>10203.435321488578</v>
      </c>
      <c r="BE175">
        <f t="shared" si="107"/>
        <v>2072.4303184778382</v>
      </c>
      <c r="BF175">
        <f t="shared" si="108"/>
        <v>10101.585461704668</v>
      </c>
      <c r="BG175">
        <f t="shared" si="109"/>
        <v>1305.8022313024401</v>
      </c>
      <c r="BH175">
        <f t="shared" si="110"/>
        <v>0</v>
      </c>
      <c r="BI175">
        <f t="shared" si="111"/>
        <v>0.99872889987341407</v>
      </c>
      <c r="BJ175">
        <f t="shared" si="112"/>
        <v>0.99457102032638645</v>
      </c>
      <c r="BK175">
        <f t="shared" si="113"/>
        <v>3.6412743436669589E-3</v>
      </c>
      <c r="BL175">
        <f t="shared" si="114"/>
        <v>-5.2069730997383133E-3</v>
      </c>
      <c r="BM175">
        <f t="shared" si="132"/>
        <v>120.00000000000055</v>
      </c>
      <c r="BN175">
        <f t="shared" si="133"/>
        <v>-119.99999999999829</v>
      </c>
      <c r="BO175">
        <f>Data!$H$2*(1-BI175)*(1-BI175/Data!$H$3)*BM175</f>
        <v>3.8776692763362794E-10</v>
      </c>
      <c r="BP175">
        <f t="shared" si="115"/>
        <v>-119.84746798481024</v>
      </c>
      <c r="BQ175">
        <f>Data!$H$2*(1-BJ175)*(1-BJ175/Data!$H$3)*BN175</f>
        <v>-7.0737168711620909E-9</v>
      </c>
      <c r="BR175">
        <f t="shared" si="116"/>
        <v>119.34852243916468</v>
      </c>
      <c r="BS175">
        <f t="shared" si="117"/>
        <v>0</v>
      </c>
      <c r="BT175">
        <f t="shared" si="118"/>
        <v>0</v>
      </c>
      <c r="BU175">
        <f t="shared" si="119"/>
        <v>0</v>
      </c>
      <c r="BV175">
        <f t="shared" si="120"/>
        <v>0</v>
      </c>
      <c r="BW175">
        <f t="shared" si="134"/>
        <v>0</v>
      </c>
      <c r="BX175" t="str">
        <f t="shared" si="135"/>
        <v/>
      </c>
      <c r="BY175" s="66" t="str">
        <f t="shared" si="121"/>
        <v/>
      </c>
      <c r="BZ175" t="str">
        <f t="shared" si="122"/>
        <v/>
      </c>
      <c r="CA175" s="67" t="str">
        <f t="shared" si="123"/>
        <v/>
      </c>
    </row>
    <row r="176" spans="4:79" x14ac:dyDescent="0.25">
      <c r="D176" s="3" t="e">
        <f t="shared" si="148"/>
        <v>#DIV/0!</v>
      </c>
      <c r="E176" s="3" t="e">
        <f t="shared" si="148"/>
        <v>#DIV/0!</v>
      </c>
      <c r="F176" t="str">
        <f>IF(A176&gt;0,IF(F175=1,1,IF(B176=Data!$H$4,1,0)),"")</f>
        <v/>
      </c>
      <c r="O176" s="3"/>
      <c r="P176" s="3"/>
      <c r="Q176" t="str">
        <f t="shared" si="124"/>
        <v/>
      </c>
      <c r="R176" s="4" t="str">
        <f t="shared" si="125"/>
        <v/>
      </c>
      <c r="S176" t="e">
        <f t="shared" si="136"/>
        <v>#DIV/0!</v>
      </c>
      <c r="T176" t="e">
        <f t="shared" si="149"/>
        <v>#DIV/0!</v>
      </c>
      <c r="U176" s="4">
        <f t="shared" si="126"/>
        <v>0</v>
      </c>
      <c r="V176" t="e">
        <f t="shared" si="137"/>
        <v>#DIV/0!</v>
      </c>
      <c r="W176" t="e">
        <f t="shared" si="138"/>
        <v>#DIV/0!</v>
      </c>
      <c r="X176" t="e">
        <f t="shared" si="139"/>
        <v>#VALUE!</v>
      </c>
      <c r="Y176" t="e">
        <f t="shared" si="140"/>
        <v>#VALUE!</v>
      </c>
      <c r="Z176" t="e">
        <f t="shared" si="141"/>
        <v>#VALUE!</v>
      </c>
      <c r="AA176" t="e">
        <f t="shared" si="127"/>
        <v>#VALUE!</v>
      </c>
      <c r="AB176" t="str">
        <f t="shared" si="142"/>
        <v/>
      </c>
      <c r="AC176" t="str">
        <f t="shared" si="143"/>
        <v/>
      </c>
      <c r="AD176" t="str">
        <f t="shared" si="144"/>
        <v/>
      </c>
      <c r="AE176" t="str">
        <f t="shared" si="145"/>
        <v/>
      </c>
      <c r="AK176" s="4">
        <f t="shared" si="146"/>
        <v>42.400000000000247</v>
      </c>
      <c r="AL176">
        <f t="shared" si="128"/>
        <v>2089.0000000000296</v>
      </c>
      <c r="AM176">
        <f t="shared" si="129"/>
        <v>10185.299999999981</v>
      </c>
      <c r="AN176">
        <f>IF($AK175+$AK$1&lt;=Data!$H$4-0.5,AVERAGE(AM174:AM178),AN175)</f>
        <v>10185.299999999981</v>
      </c>
      <c r="AO176">
        <f t="shared" si="130"/>
        <v>8772.9999999999709</v>
      </c>
      <c r="AP176">
        <f t="shared" si="147"/>
        <v>10041.999999999971</v>
      </c>
      <c r="AQ176">
        <f>IF($AK175+$AK$1&lt;=Data!$H$4-0.5,AVERAGE(AP174:AP178),AQ175)</f>
        <v>10041.999999999971</v>
      </c>
      <c r="AR176">
        <f>IF($AK175+$AK$1&lt;=Data!$H$4-0.5,SLOPE($AN172:$AN180,$AK172:$AK180),AR175)</f>
        <v>-59.116666666699601</v>
      </c>
      <c r="AS176">
        <f>IF($AK175+$AK$1&lt;=Data!$H$4-0.5,SLOPE($AQ172:$AQ180,$AK172:$AK180),AS175)</f>
        <v>-118.1500000000019</v>
      </c>
      <c r="AT176" t="str">
        <f>IF(AND($AK176&gt;=Results!$G$13,$AK176&lt;=Results!$G$14),Curves!AR176,"")</f>
        <v/>
      </c>
      <c r="AU176" t="str">
        <f>IF(AND($AK176&gt;=Results!$G$13,$AK176&lt;=Results!$G$14),Curves!AS176,"")</f>
        <v/>
      </c>
      <c r="AV176">
        <f t="shared" si="131"/>
        <v>42.400000000000247</v>
      </c>
      <c r="AW176">
        <f>IF(AND($AK176&lt;=Results!$I$21,$AK176&gt;=Results!$I$20,$AK176&lt;=Results!$F$4),$AN176,"")</f>
        <v>10185.299999999981</v>
      </c>
      <c r="AX176" t="str">
        <f t="shared" si="131"/>
        <v/>
      </c>
      <c r="AY176" t="str">
        <f>IF(AND($AK176&lt;=Results!$I$23,$AK176&gt;=Results!$I$22,$AK176&gt;=Results!$F$4),$AN176,"")</f>
        <v/>
      </c>
      <c r="AZ176" t="str">
        <f t="shared" si="104"/>
        <v/>
      </c>
      <c r="BA176" t="str">
        <f>IF(AND($AK176&lt;=Results!$I$27,$AK176&gt;=Results!$I$26,$AK176&lt;=Results!$F$4),$AQ176,"")</f>
        <v/>
      </c>
      <c r="BB176" t="str">
        <f t="shared" si="105"/>
        <v/>
      </c>
      <c r="BC176" t="str">
        <f>IF(AND($AK176&lt;=Results!$I$29,$AK176&gt;=Results!$I$28,$AK176&gt;=Results!$F$4),$AQ176,"")</f>
        <v/>
      </c>
      <c r="BD176">
        <f t="shared" si="106"/>
        <v>10192.665126690657</v>
      </c>
      <c r="BE176">
        <f t="shared" si="107"/>
        <v>2069.1145292285173</v>
      </c>
      <c r="BF176">
        <f t="shared" si="108"/>
        <v>10094.295479471773</v>
      </c>
      <c r="BG176">
        <f t="shared" si="109"/>
        <v>1305.2514303429152</v>
      </c>
      <c r="BH176">
        <f t="shared" si="110"/>
        <v>0</v>
      </c>
      <c r="BI176">
        <f t="shared" si="111"/>
        <v>0.99909336113534186</v>
      </c>
      <c r="BJ176">
        <f t="shared" si="112"/>
        <v>0.99404992406688575</v>
      </c>
      <c r="BK176">
        <f t="shared" si="113"/>
        <v>3.6479600932214952E-3</v>
      </c>
      <c r="BL176">
        <f t="shared" si="114"/>
        <v>-5.214961274405054E-3</v>
      </c>
      <c r="BM176">
        <f t="shared" si="132"/>
        <v>120.00000000000055</v>
      </c>
      <c r="BN176">
        <f t="shared" si="133"/>
        <v>-119.99999999999829</v>
      </c>
      <c r="BO176">
        <f>Data!$H$2*(1-BI176)*(1-BI176/Data!$H$3)*BM176</f>
        <v>1.9727856741806434E-10</v>
      </c>
      <c r="BP176">
        <f t="shared" si="115"/>
        <v>-119.89120333624157</v>
      </c>
      <c r="BQ176">
        <f>Data!$H$2*(1-BJ176)*(1-BJ176/Data!$H$3)*BN176</f>
        <v>-8.4968168663579833E-9</v>
      </c>
      <c r="BR176">
        <f t="shared" si="116"/>
        <v>119.2859908880246</v>
      </c>
      <c r="BS176">
        <f t="shared" si="117"/>
        <v>0</v>
      </c>
      <c r="BT176">
        <f t="shared" si="118"/>
        <v>0</v>
      </c>
      <c r="BU176">
        <f t="shared" si="119"/>
        <v>0</v>
      </c>
      <c r="BV176">
        <f t="shared" si="120"/>
        <v>0</v>
      </c>
      <c r="BW176">
        <f t="shared" si="134"/>
        <v>0</v>
      </c>
      <c r="BX176" t="str">
        <f t="shared" si="135"/>
        <v/>
      </c>
      <c r="BY176" s="66" t="str">
        <f t="shared" si="121"/>
        <v/>
      </c>
      <c r="BZ176" t="str">
        <f t="shared" si="122"/>
        <v/>
      </c>
      <c r="CA176" s="67" t="str">
        <f t="shared" si="123"/>
        <v/>
      </c>
    </row>
    <row r="177" spans="4:79" x14ac:dyDescent="0.25">
      <c r="D177" s="3" t="e">
        <f t="shared" si="148"/>
        <v>#DIV/0!</v>
      </c>
      <c r="E177" s="3" t="e">
        <f t="shared" si="148"/>
        <v>#DIV/0!</v>
      </c>
      <c r="F177" t="str">
        <f>IF(A177&gt;0,IF(F176=1,1,IF(B177=Data!$H$4,1,0)),"")</f>
        <v/>
      </c>
      <c r="O177" s="3"/>
      <c r="P177" s="3"/>
      <c r="Q177" t="str">
        <f t="shared" si="124"/>
        <v/>
      </c>
      <c r="R177" s="4" t="str">
        <f t="shared" si="125"/>
        <v/>
      </c>
      <c r="S177" t="e">
        <f t="shared" si="136"/>
        <v>#DIV/0!</v>
      </c>
      <c r="T177" t="e">
        <f t="shared" si="149"/>
        <v>#DIV/0!</v>
      </c>
      <c r="U177" s="4">
        <f t="shared" si="126"/>
        <v>0</v>
      </c>
      <c r="V177" t="e">
        <f t="shared" si="137"/>
        <v>#DIV/0!</v>
      </c>
      <c r="W177" t="e">
        <f t="shared" si="138"/>
        <v>#DIV/0!</v>
      </c>
      <c r="X177" t="e">
        <f t="shared" si="139"/>
        <v>#VALUE!</v>
      </c>
      <c r="Y177" t="e">
        <f t="shared" si="140"/>
        <v>#VALUE!</v>
      </c>
      <c r="Z177" t="e">
        <f t="shared" si="141"/>
        <v>#VALUE!</v>
      </c>
      <c r="AA177" t="e">
        <f t="shared" si="127"/>
        <v>#VALUE!</v>
      </c>
      <c r="AB177" t="str">
        <f t="shared" si="142"/>
        <v/>
      </c>
      <c r="AC177" t="str">
        <f t="shared" si="143"/>
        <v/>
      </c>
      <c r="AD177" t="str">
        <f t="shared" si="144"/>
        <v/>
      </c>
      <c r="AE177" t="str">
        <f t="shared" si="145"/>
        <v/>
      </c>
      <c r="AK177" s="4">
        <f t="shared" si="146"/>
        <v>42.500000000000249</v>
      </c>
      <c r="AL177">
        <f t="shared" si="128"/>
        <v>2101.00000000003</v>
      </c>
      <c r="AM177">
        <f t="shared" si="129"/>
        <v>10177.49999999998</v>
      </c>
      <c r="AN177">
        <f>IF($AK176+$AK$1&lt;=Data!$H$4-0.5,AVERAGE(AM175:AM179),AN176)</f>
        <v>10177.499999999982</v>
      </c>
      <c r="AO177">
        <f t="shared" si="130"/>
        <v>8760.9999999999709</v>
      </c>
      <c r="AP177">
        <f t="shared" si="147"/>
        <v>10030.166666666637</v>
      </c>
      <c r="AQ177">
        <f>IF($AK176+$AK$1&lt;=Data!$H$4-0.5,AVERAGE(AP175:AP179),AQ176)</f>
        <v>10030.166666666639</v>
      </c>
      <c r="AR177">
        <f>IF($AK176+$AK$1&lt;=Data!$H$4-0.5,SLOPE($AN173:$AN181,$AK173:$AK181),AR176)</f>
        <v>-73.444444444458767</v>
      </c>
      <c r="AS177">
        <f>IF($AK176+$AK$1&lt;=Data!$H$4-0.5,SLOPE($AQ173:$AQ181,$AK173:$AK181),AS176)</f>
        <v>-118.3822222222235</v>
      </c>
      <c r="AT177" t="str">
        <f>IF(AND($AK177&gt;=Results!$G$13,$AK177&lt;=Results!$G$14),Curves!AR177,"")</f>
        <v/>
      </c>
      <c r="AU177" t="str">
        <f>IF(AND($AK177&gt;=Results!$G$13,$AK177&lt;=Results!$G$14),Curves!AS177,"")</f>
        <v/>
      </c>
      <c r="AV177">
        <f t="shared" si="131"/>
        <v>42.500000000000249</v>
      </c>
      <c r="AW177">
        <f>IF(AND($AK177&lt;=Results!$I$21,$AK177&gt;=Results!$I$20,$AK177&lt;=Results!$F$4),$AN177,"")</f>
        <v>10177.499999999982</v>
      </c>
      <c r="AX177" t="str">
        <f t="shared" si="131"/>
        <v/>
      </c>
      <c r="AY177" t="str">
        <f>IF(AND($AK177&lt;=Results!$I$23,$AK177&gt;=Results!$I$22,$AK177&gt;=Results!$F$4),$AN177,"")</f>
        <v/>
      </c>
      <c r="AZ177" t="str">
        <f t="shared" si="104"/>
        <v/>
      </c>
      <c r="BA177" t="str">
        <f>IF(AND($AK177&lt;=Results!$I$27,$AK177&gt;=Results!$I$26,$AK177&lt;=Results!$F$4),$AQ177,"")</f>
        <v/>
      </c>
      <c r="BB177" t="str">
        <f t="shared" si="105"/>
        <v/>
      </c>
      <c r="BC177" t="str">
        <f>IF(AND($AK177&lt;=Results!$I$29,$AK177&gt;=Results!$I$28,$AK177&gt;=Results!$F$4),$AQ177,"")</f>
        <v/>
      </c>
      <c r="BD177">
        <f t="shared" si="106"/>
        <v>10181.894931892737</v>
      </c>
      <c r="BE177">
        <f t="shared" si="107"/>
        <v>2065.7987399791964</v>
      </c>
      <c r="BF177">
        <f t="shared" si="108"/>
        <v>10087.005497238881</v>
      </c>
      <c r="BG177">
        <f t="shared" si="109"/>
        <v>1304.7006293833902</v>
      </c>
      <c r="BH177">
        <f t="shared" si="110"/>
        <v>0</v>
      </c>
      <c r="BI177">
        <f t="shared" si="111"/>
        <v>0.99945849189205838</v>
      </c>
      <c r="BJ177">
        <f t="shared" si="112"/>
        <v>0.99352802807150542</v>
      </c>
      <c r="BK177">
        <f t="shared" si="113"/>
        <v>3.6546642732670528E-3</v>
      </c>
      <c r="BL177">
        <f t="shared" si="114"/>
        <v>-5.2229678455405866E-3</v>
      </c>
      <c r="BM177">
        <f t="shared" si="132"/>
        <v>120.00000000000055</v>
      </c>
      <c r="BN177">
        <f t="shared" si="133"/>
        <v>-119.99999999999829</v>
      </c>
      <c r="BO177">
        <f>Data!$H$2*(1-BI177)*(1-BI177/Data!$H$3)*BM177</f>
        <v>7.0375447431964504E-11</v>
      </c>
      <c r="BP177">
        <f t="shared" si="115"/>
        <v>-119.93501902704756</v>
      </c>
      <c r="BQ177">
        <f>Data!$H$2*(1-BJ177)*(1-BJ177/Data!$H$3)*BN177</f>
        <v>-1.0052740954373102E-8</v>
      </c>
      <c r="BR177">
        <f t="shared" si="116"/>
        <v>119.22336336857896</v>
      </c>
      <c r="BS177">
        <f t="shared" si="117"/>
        <v>0</v>
      </c>
      <c r="BT177">
        <f t="shared" si="118"/>
        <v>0</v>
      </c>
      <c r="BU177">
        <f t="shared" si="119"/>
        <v>0</v>
      </c>
      <c r="BV177">
        <f t="shared" si="120"/>
        <v>0</v>
      </c>
      <c r="BW177">
        <f t="shared" si="134"/>
        <v>0</v>
      </c>
      <c r="BX177" t="str">
        <f t="shared" si="135"/>
        <v/>
      </c>
      <c r="BY177" s="66" t="str">
        <f t="shared" si="121"/>
        <v/>
      </c>
      <c r="BZ177" t="str">
        <f t="shared" si="122"/>
        <v/>
      </c>
      <c r="CA177" s="67" t="str">
        <f t="shared" si="123"/>
        <v/>
      </c>
    </row>
    <row r="178" spans="4:79" x14ac:dyDescent="0.25">
      <c r="D178" s="3" t="e">
        <f t="shared" si="148"/>
        <v>#DIV/0!</v>
      </c>
      <c r="E178" s="3" t="e">
        <f t="shared" si="148"/>
        <v>#DIV/0!</v>
      </c>
      <c r="F178" t="str">
        <f>IF(A178&gt;0,IF(F177=1,1,IF(B178=Data!$H$4,1,0)),"")</f>
        <v/>
      </c>
      <c r="O178" s="3"/>
      <c r="P178" s="3"/>
      <c r="Q178" t="str">
        <f t="shared" si="124"/>
        <v/>
      </c>
      <c r="R178" s="4" t="str">
        <f t="shared" si="125"/>
        <v/>
      </c>
      <c r="S178" t="e">
        <f t="shared" si="136"/>
        <v>#DIV/0!</v>
      </c>
      <c r="T178" t="e">
        <f t="shared" si="149"/>
        <v>#DIV/0!</v>
      </c>
      <c r="U178" s="4">
        <f t="shared" si="126"/>
        <v>0</v>
      </c>
      <c r="V178" t="e">
        <f t="shared" si="137"/>
        <v>#DIV/0!</v>
      </c>
      <c r="W178" t="e">
        <f t="shared" si="138"/>
        <v>#DIV/0!</v>
      </c>
      <c r="X178" t="e">
        <f t="shared" si="139"/>
        <v>#VALUE!</v>
      </c>
      <c r="Y178" t="e">
        <f t="shared" si="140"/>
        <v>#VALUE!</v>
      </c>
      <c r="Z178" t="e">
        <f t="shared" si="141"/>
        <v>#VALUE!</v>
      </c>
      <c r="AA178" t="e">
        <f t="shared" si="127"/>
        <v>#VALUE!</v>
      </c>
      <c r="AB178" t="str">
        <f t="shared" si="142"/>
        <v/>
      </c>
      <c r="AC178" t="str">
        <f t="shared" si="143"/>
        <v/>
      </c>
      <c r="AD178" t="str">
        <f t="shared" si="144"/>
        <v/>
      </c>
      <c r="AE178" t="str">
        <f t="shared" si="145"/>
        <v/>
      </c>
      <c r="AK178" s="4">
        <f t="shared" si="146"/>
        <v>42.60000000000025</v>
      </c>
      <c r="AL178">
        <f t="shared" si="128"/>
        <v>2113.00000000003</v>
      </c>
      <c r="AM178">
        <f t="shared" si="129"/>
        <v>10169.699999999981</v>
      </c>
      <c r="AN178">
        <f>IF($AK177+$AK$1&lt;=Data!$H$4-0.5,AVERAGE(AM176:AM180),AN177)</f>
        <v>10169.699999999979</v>
      </c>
      <c r="AO178">
        <f t="shared" si="130"/>
        <v>8748.9999999999709</v>
      </c>
      <c r="AP178">
        <f t="shared" si="147"/>
        <v>10018.333333333305</v>
      </c>
      <c r="AQ178">
        <f>IF($AK177+$AK$1&lt;=Data!$H$4-0.5,AVERAGE(AP176:AP180),AQ177)</f>
        <v>10018.333333333303</v>
      </c>
      <c r="AR178">
        <f>IF($AK177+$AK$1&lt;=Data!$H$4-0.5,SLOPE($AN174:$AN182,$AK174:$AK182),AR177)</f>
        <v>-79.800000000007543</v>
      </c>
      <c r="AS178">
        <f>IF($AK177+$AK$1&lt;=Data!$H$4-0.5,SLOPE($AQ174:$AQ182,$AK174:$AK182),AS177)</f>
        <v>-118.70000000000142</v>
      </c>
      <c r="AT178" t="str">
        <f>IF(AND($AK178&gt;=Results!$G$13,$AK178&lt;=Results!$G$14),Curves!AR178,"")</f>
        <v/>
      </c>
      <c r="AU178" t="str">
        <f>IF(AND($AK178&gt;=Results!$G$13,$AK178&lt;=Results!$G$14),Curves!AS178,"")</f>
        <v/>
      </c>
      <c r="AV178">
        <f t="shared" si="131"/>
        <v>42.60000000000025</v>
      </c>
      <c r="AW178">
        <f>IF(AND($AK178&lt;=Results!$I$21,$AK178&gt;=Results!$I$20,$AK178&lt;=Results!$F$4),$AN178,"")</f>
        <v>10169.699999999979</v>
      </c>
      <c r="AX178" t="str">
        <f t="shared" si="131"/>
        <v/>
      </c>
      <c r="AY178" t="str">
        <f>IF(AND($AK178&lt;=Results!$I$23,$AK178&gt;=Results!$I$22,$AK178&gt;=Results!$F$4),$AN178,"")</f>
        <v/>
      </c>
      <c r="AZ178" t="str">
        <f t="shared" si="104"/>
        <v/>
      </c>
      <c r="BA178" t="str">
        <f>IF(AND($AK178&lt;=Results!$I$27,$AK178&gt;=Results!$I$26,$AK178&lt;=Results!$F$4),$AQ178,"")</f>
        <v/>
      </c>
      <c r="BB178" t="str">
        <f t="shared" si="105"/>
        <v/>
      </c>
      <c r="BC178" t="str">
        <f>IF(AND($AK178&lt;=Results!$I$29,$AK178&gt;=Results!$I$28,$AK178&gt;=Results!$F$4),$AQ178,"")</f>
        <v/>
      </c>
      <c r="BD178">
        <f t="shared" si="106"/>
        <v>10171.124737094819</v>
      </c>
      <c r="BE178">
        <f t="shared" si="107"/>
        <v>2062.4829507298755</v>
      </c>
      <c r="BF178">
        <f t="shared" si="108"/>
        <v>10079.715515005988</v>
      </c>
      <c r="BG178">
        <f t="shared" si="109"/>
        <v>1304.1498284238651</v>
      </c>
      <c r="BH178">
        <f t="shared" si="110"/>
        <v>0</v>
      </c>
      <c r="BI178">
        <f t="shared" si="111"/>
        <v>0.99982429398999528</v>
      </c>
      <c r="BJ178">
        <f t="shared" si="112"/>
        <v>0.99300533049777762</v>
      </c>
      <c r="BK178">
        <f t="shared" si="113"/>
        <v>3.6613869516199408E-3</v>
      </c>
      <c r="BL178">
        <f t="shared" si="114"/>
        <v>-5.2309928696680306E-3</v>
      </c>
      <c r="BM178">
        <f t="shared" si="132"/>
        <v>119.99999999999829</v>
      </c>
      <c r="BN178">
        <f t="shared" si="133"/>
        <v>-120.00000000000739</v>
      </c>
      <c r="BO178">
        <f>Data!$H$2*(1-BI178)*(1-BI178/Data!$H$3)*BM178</f>
        <v>7.4094244684265426E-12</v>
      </c>
      <c r="BP178">
        <f t="shared" si="115"/>
        <v>-119.97891527879773</v>
      </c>
      <c r="BQ178">
        <f>Data!$H$2*(1-BJ178)*(1-BJ178/Data!$H$3)*BN178</f>
        <v>-1.1742096346877506E-8</v>
      </c>
      <c r="BR178">
        <f t="shared" si="116"/>
        <v>119.16063965974065</v>
      </c>
      <c r="BS178">
        <f t="shared" si="117"/>
        <v>0</v>
      </c>
      <c r="BT178">
        <f t="shared" si="118"/>
        <v>0</v>
      </c>
      <c r="BU178">
        <f t="shared" si="119"/>
        <v>0</v>
      </c>
      <c r="BV178">
        <f t="shared" si="120"/>
        <v>0</v>
      </c>
      <c r="BW178">
        <f t="shared" si="134"/>
        <v>0</v>
      </c>
      <c r="BX178" t="str">
        <f t="shared" si="135"/>
        <v/>
      </c>
      <c r="BY178" s="66" t="str">
        <f t="shared" si="121"/>
        <v/>
      </c>
      <c r="BZ178" t="str">
        <f t="shared" si="122"/>
        <v/>
      </c>
      <c r="CA178" s="67" t="str">
        <f t="shared" si="123"/>
        <v/>
      </c>
    </row>
    <row r="179" spans="4:79" x14ac:dyDescent="0.25">
      <c r="D179" s="3" t="e">
        <f t="shared" si="148"/>
        <v>#DIV/0!</v>
      </c>
      <c r="E179" s="3" t="e">
        <f t="shared" si="148"/>
        <v>#DIV/0!</v>
      </c>
      <c r="F179" t="str">
        <f>IF(A179&gt;0,IF(F178=1,1,IF(B179=Data!$H$4,1,0)),"")</f>
        <v/>
      </c>
      <c r="O179" s="3"/>
      <c r="P179" s="3"/>
      <c r="Q179" t="str">
        <f t="shared" si="124"/>
        <v/>
      </c>
      <c r="R179" s="4" t="str">
        <f t="shared" si="125"/>
        <v/>
      </c>
      <c r="S179" t="e">
        <f t="shared" si="136"/>
        <v>#DIV/0!</v>
      </c>
      <c r="T179" t="e">
        <f t="shared" si="149"/>
        <v>#DIV/0!</v>
      </c>
      <c r="U179" s="4">
        <f t="shared" si="126"/>
        <v>0</v>
      </c>
      <c r="V179" t="e">
        <f t="shared" si="137"/>
        <v>#DIV/0!</v>
      </c>
      <c r="W179" t="e">
        <f t="shared" si="138"/>
        <v>#DIV/0!</v>
      </c>
      <c r="X179" t="e">
        <f t="shared" si="139"/>
        <v>#VALUE!</v>
      </c>
      <c r="Y179" t="e">
        <f t="shared" si="140"/>
        <v>#VALUE!</v>
      </c>
      <c r="Z179" t="e">
        <f t="shared" si="141"/>
        <v>#VALUE!</v>
      </c>
      <c r="AA179" t="e">
        <f t="shared" si="127"/>
        <v>#VALUE!</v>
      </c>
      <c r="AB179" t="str">
        <f t="shared" si="142"/>
        <v/>
      </c>
      <c r="AC179" t="str">
        <f t="shared" si="143"/>
        <v/>
      </c>
      <c r="AD179" t="str">
        <f t="shared" si="144"/>
        <v/>
      </c>
      <c r="AE179" t="str">
        <f t="shared" si="145"/>
        <v/>
      </c>
      <c r="AK179" s="4">
        <f t="shared" si="146"/>
        <v>42.700000000000252</v>
      </c>
      <c r="AL179">
        <f t="shared" si="128"/>
        <v>2125.00000000003</v>
      </c>
      <c r="AM179">
        <f t="shared" si="129"/>
        <v>10161.89999999998</v>
      </c>
      <c r="AN179">
        <f>IF($AK178+$AK$1&lt;=Data!$H$4-0.5,AVERAGE(AM177:AM181),AN178)</f>
        <v>10161.899999999981</v>
      </c>
      <c r="AO179">
        <f t="shared" si="130"/>
        <v>8736.9999999999691</v>
      </c>
      <c r="AP179">
        <f t="shared" si="147"/>
        <v>10006.499999999971</v>
      </c>
      <c r="AQ179">
        <f>IF($AK178+$AK$1&lt;=Data!$H$4-0.5,AVERAGE(AP177:AP181),AQ178)</f>
        <v>10006.499999999971</v>
      </c>
      <c r="AR179">
        <f>IF($AK178+$AK$1&lt;=Data!$H$4-0.5,SLOPE($AN175:$AN183,$AK175:$AK183),AR178)</f>
        <v>-82.200000000010462</v>
      </c>
      <c r="AS179">
        <f>IF($AK178+$AK$1&lt;=Data!$H$4-0.5,SLOPE($AQ175:$AQ183,$AK175:$AK183),AS178)</f>
        <v>-119.1888888888908</v>
      </c>
      <c r="AT179" t="str">
        <f>IF(AND($AK179&gt;=Results!$G$13,$AK179&lt;=Results!$G$14),Curves!AR179,"")</f>
        <v/>
      </c>
      <c r="AU179" t="str">
        <f>IF(AND($AK179&gt;=Results!$G$13,$AK179&lt;=Results!$G$14),Curves!AS179,"")</f>
        <v/>
      </c>
      <c r="AV179">
        <f t="shared" si="131"/>
        <v>42.700000000000252</v>
      </c>
      <c r="AW179">
        <f>IF(AND($AK179&lt;=Results!$I$21,$AK179&gt;=Results!$I$20,$AK179&lt;=Results!$F$4),$AN179,"")</f>
        <v>10161.899999999981</v>
      </c>
      <c r="AX179" t="str">
        <f t="shared" si="131"/>
        <v/>
      </c>
      <c r="AY179" t="str">
        <f>IF(AND($AK179&lt;=Results!$I$23,$AK179&gt;=Results!$I$22,$AK179&gt;=Results!$F$4),$AN179,"")</f>
        <v/>
      </c>
      <c r="AZ179" t="str">
        <f t="shared" si="104"/>
        <v/>
      </c>
      <c r="BA179" t="str">
        <f>IF(AND($AK179&lt;=Results!$I$27,$AK179&gt;=Results!$I$26,$AK179&lt;=Results!$F$4),$AQ179,"")</f>
        <v/>
      </c>
      <c r="BB179" t="str">
        <f t="shared" si="105"/>
        <v/>
      </c>
      <c r="BC179" t="str">
        <f>IF(AND($AK179&lt;=Results!$I$29,$AK179&gt;=Results!$I$28,$AK179&gt;=Results!$F$4),$AQ179,"")</f>
        <v/>
      </c>
      <c r="BD179">
        <f t="shared" si="106"/>
        <v>10160.354542296898</v>
      </c>
      <c r="BE179">
        <f t="shared" si="107"/>
        <v>2059.1671614805546</v>
      </c>
      <c r="BF179">
        <f t="shared" si="108"/>
        <v>10072.425532773093</v>
      </c>
      <c r="BG179">
        <f t="shared" si="109"/>
        <v>1303.5990274643402</v>
      </c>
      <c r="BH179">
        <f t="shared" si="110"/>
        <v>0</v>
      </c>
      <c r="BI179">
        <f t="shared" si="111"/>
        <v>1.0001907692823824</v>
      </c>
      <c r="BJ179">
        <f t="shared" si="112"/>
        <v>0.9924818294975718</v>
      </c>
      <c r="BK179">
        <f t="shared" si="113"/>
        <v>3.6681281963912324E-3</v>
      </c>
      <c r="BL179">
        <f t="shared" si="114"/>
        <v>-5.2390364035403234E-3</v>
      </c>
      <c r="BM179">
        <f t="shared" si="132"/>
        <v>120.00000000000055</v>
      </c>
      <c r="BN179">
        <f t="shared" si="133"/>
        <v>-120.00000000000739</v>
      </c>
      <c r="BO179">
        <f>Data!$H$2*(1-BI179)*(1-BI179/Data!$H$3)*BM179</f>
        <v>8.7343005841647399E-12</v>
      </c>
      <c r="BP179">
        <f t="shared" si="115"/>
        <v>-120.02289231388644</v>
      </c>
      <c r="BQ179">
        <f>Data!$H$2*(1-BJ179)*(1-BJ179/Data!$H$3)*BN179</f>
        <v>-1.3565493048860395E-8</v>
      </c>
      <c r="BR179">
        <f t="shared" si="116"/>
        <v>119.09781953971596</v>
      </c>
      <c r="BS179">
        <f t="shared" si="117"/>
        <v>0</v>
      </c>
      <c r="BT179">
        <f t="shared" si="118"/>
        <v>0</v>
      </c>
      <c r="BU179">
        <f t="shared" si="119"/>
        <v>0</v>
      </c>
      <c r="BV179">
        <f t="shared" si="120"/>
        <v>0</v>
      </c>
      <c r="BW179">
        <f t="shared" si="134"/>
        <v>0</v>
      </c>
      <c r="BX179" t="str">
        <f t="shared" si="135"/>
        <v/>
      </c>
      <c r="BY179" s="66" t="str">
        <f t="shared" si="121"/>
        <v/>
      </c>
      <c r="BZ179" t="str">
        <f t="shared" si="122"/>
        <v/>
      </c>
      <c r="CA179" s="67" t="str">
        <f t="shared" si="123"/>
        <v/>
      </c>
    </row>
    <row r="180" spans="4:79" x14ac:dyDescent="0.25">
      <c r="D180" s="3" t="e">
        <f t="shared" si="148"/>
        <v>#DIV/0!</v>
      </c>
      <c r="E180" s="3" t="e">
        <f t="shared" si="148"/>
        <v>#DIV/0!</v>
      </c>
      <c r="F180" t="str">
        <f>IF(A180&gt;0,IF(F179=1,1,IF(B180=Data!$H$4,1,0)),"")</f>
        <v/>
      </c>
      <c r="O180" s="3"/>
      <c r="P180" s="3"/>
      <c r="Q180" t="str">
        <f t="shared" si="124"/>
        <v/>
      </c>
      <c r="R180" s="4" t="str">
        <f t="shared" si="125"/>
        <v/>
      </c>
      <c r="S180" t="e">
        <f t="shared" si="136"/>
        <v>#DIV/0!</v>
      </c>
      <c r="T180" t="e">
        <f t="shared" si="149"/>
        <v>#DIV/0!</v>
      </c>
      <c r="U180" s="4">
        <f t="shared" si="126"/>
        <v>0</v>
      </c>
      <c r="V180" t="e">
        <f t="shared" si="137"/>
        <v>#DIV/0!</v>
      </c>
      <c r="W180" t="e">
        <f t="shared" si="138"/>
        <v>#DIV/0!</v>
      </c>
      <c r="X180" t="e">
        <f t="shared" si="139"/>
        <v>#VALUE!</v>
      </c>
      <c r="Y180" t="e">
        <f t="shared" si="140"/>
        <v>#VALUE!</v>
      </c>
      <c r="Z180" t="e">
        <f t="shared" si="141"/>
        <v>#VALUE!</v>
      </c>
      <c r="AA180" t="e">
        <f t="shared" si="127"/>
        <v>#VALUE!</v>
      </c>
      <c r="AB180" t="str">
        <f t="shared" si="142"/>
        <v/>
      </c>
      <c r="AC180" t="str">
        <f t="shared" si="143"/>
        <v/>
      </c>
      <c r="AD180" t="str">
        <f t="shared" si="144"/>
        <v/>
      </c>
      <c r="AE180" t="str">
        <f t="shared" si="145"/>
        <v/>
      </c>
      <c r="AK180" s="4">
        <f t="shared" si="146"/>
        <v>42.800000000000253</v>
      </c>
      <c r="AL180">
        <f t="shared" si="128"/>
        <v>2137.0000000000305</v>
      </c>
      <c r="AM180">
        <f t="shared" si="129"/>
        <v>10154.09999999998</v>
      </c>
      <c r="AN180">
        <f>IF($AK179+$AK$1&lt;=Data!$H$4-0.5,AVERAGE(AM178:AM182),AN179)</f>
        <v>10154.099999999979</v>
      </c>
      <c r="AO180">
        <f t="shared" si="130"/>
        <v>8724.9999999999691</v>
      </c>
      <c r="AP180">
        <f t="shared" si="147"/>
        <v>9994.666666666637</v>
      </c>
      <c r="AQ180">
        <f>IF($AK179+$AK$1&lt;=Data!$H$4-0.5,AVERAGE(AP178:AP182),AQ179)</f>
        <v>9994.666666666637</v>
      </c>
      <c r="AR180">
        <f>IF($AK179+$AK$1&lt;=Data!$H$4-0.5,SLOPE($AN176:$AN184,$AK176:$AK184),AR179)</f>
        <v>-85.800000000014109</v>
      </c>
      <c r="AS180">
        <f>IF($AK179+$AK$1&lt;=Data!$H$4-0.5,SLOPE($AQ176:$AQ184,$AK176:$AK184),AS179)</f>
        <v>-119.92222222222587</v>
      </c>
      <c r="AT180" t="str">
        <f>IF(AND($AK180&gt;=Results!$G$13,$AK180&lt;=Results!$G$14),Curves!AR180,"")</f>
        <v/>
      </c>
      <c r="AU180" t="str">
        <f>IF(AND($AK180&gt;=Results!$G$13,$AK180&lt;=Results!$G$14),Curves!AS180,"")</f>
        <v/>
      </c>
      <c r="AV180">
        <f t="shared" si="131"/>
        <v>42.800000000000253</v>
      </c>
      <c r="AW180">
        <f>IF(AND($AK180&lt;=Results!$I$21,$AK180&gt;=Results!$I$20,$AK180&lt;=Results!$F$4),$AN180,"")</f>
        <v>10154.099999999979</v>
      </c>
      <c r="AX180" t="str">
        <f t="shared" si="131"/>
        <v/>
      </c>
      <c r="AY180" t="str">
        <f>IF(AND($AK180&lt;=Results!$I$23,$AK180&gt;=Results!$I$22,$AK180&gt;=Results!$F$4),$AN180,"")</f>
        <v/>
      </c>
      <c r="AZ180" t="str">
        <f t="shared" si="104"/>
        <v/>
      </c>
      <c r="BA180" t="str">
        <f>IF(AND($AK180&lt;=Results!$I$27,$AK180&gt;=Results!$I$26,$AK180&lt;=Results!$F$4),$AQ180,"")</f>
        <v/>
      </c>
      <c r="BB180" t="str">
        <f t="shared" si="105"/>
        <v/>
      </c>
      <c r="BC180" t="str">
        <f>IF(AND($AK180&lt;=Results!$I$29,$AK180&gt;=Results!$I$28,$AK180&gt;=Results!$F$4),$AQ180,"")</f>
        <v/>
      </c>
      <c r="BD180">
        <f t="shared" si="106"/>
        <v>10149.584347498978</v>
      </c>
      <c r="BE180">
        <f t="shared" si="107"/>
        <v>2055.8513722312337</v>
      </c>
      <c r="BF180">
        <f t="shared" si="108"/>
        <v>10065.135550540201</v>
      </c>
      <c r="BG180">
        <f t="shared" si="109"/>
        <v>1303.0482265048151</v>
      </c>
      <c r="BH180">
        <f t="shared" si="110"/>
        <v>0</v>
      </c>
      <c r="BI180">
        <f t="shared" si="111"/>
        <v>1.0005579196292735</v>
      </c>
      <c r="BJ180">
        <f t="shared" si="112"/>
        <v>0.99195752321706954</v>
      </c>
      <c r="BK180">
        <f t="shared" si="113"/>
        <v>3.2296894634497681E-3</v>
      </c>
      <c r="BL180">
        <f t="shared" si="114"/>
        <v>-5.330856833480814E-3</v>
      </c>
      <c r="BM180">
        <f t="shared" si="132"/>
        <v>120.00000000000055</v>
      </c>
      <c r="BN180">
        <f t="shared" si="133"/>
        <v>-119.99999999999829</v>
      </c>
      <c r="BO180">
        <f>Data!$H$2*(1-BI180)*(1-BI180/Data!$H$3)*BM180</f>
        <v>7.4705835054894173E-11</v>
      </c>
      <c r="BP180">
        <f t="shared" si="115"/>
        <v>-120.06695035551338</v>
      </c>
      <c r="BQ180">
        <f>Data!$H$2*(1-BJ180)*(1-BJ180/Data!$H$3)*BN180</f>
        <v>-1.552354387295391E-8</v>
      </c>
      <c r="BR180">
        <f t="shared" si="116"/>
        <v>119.03490278604666</v>
      </c>
      <c r="BS180">
        <f t="shared" si="117"/>
        <v>0</v>
      </c>
      <c r="BT180">
        <f t="shared" si="118"/>
        <v>0</v>
      </c>
      <c r="BU180">
        <f t="shared" si="119"/>
        <v>0</v>
      </c>
      <c r="BV180">
        <f t="shared" si="120"/>
        <v>0</v>
      </c>
      <c r="BW180">
        <f t="shared" si="134"/>
        <v>0</v>
      </c>
      <c r="BX180" t="str">
        <f t="shared" si="135"/>
        <v/>
      </c>
      <c r="BY180" s="66" t="str">
        <f t="shared" si="121"/>
        <v/>
      </c>
      <c r="BZ180" t="str">
        <f t="shared" si="122"/>
        <v/>
      </c>
      <c r="CA180" s="67" t="str">
        <f t="shared" si="123"/>
        <v/>
      </c>
    </row>
    <row r="181" spans="4:79" x14ac:dyDescent="0.25">
      <c r="D181" s="3" t="e">
        <f t="shared" si="148"/>
        <v>#DIV/0!</v>
      </c>
      <c r="E181" s="3" t="e">
        <f t="shared" si="148"/>
        <v>#DIV/0!</v>
      </c>
      <c r="F181" t="str">
        <f>IF(A181&gt;0,IF(F180=1,1,IF(B181=Data!$H$4,1,0)),"")</f>
        <v/>
      </c>
      <c r="O181" s="3"/>
      <c r="P181" s="3"/>
      <c r="Q181" t="str">
        <f t="shared" si="124"/>
        <v/>
      </c>
      <c r="R181" s="4" t="str">
        <f t="shared" si="125"/>
        <v/>
      </c>
      <c r="S181" t="e">
        <f t="shared" si="136"/>
        <v>#DIV/0!</v>
      </c>
      <c r="T181" t="e">
        <f t="shared" si="149"/>
        <v>#DIV/0!</v>
      </c>
      <c r="U181" s="4">
        <f t="shared" si="126"/>
        <v>0</v>
      </c>
      <c r="V181" t="e">
        <f t="shared" si="137"/>
        <v>#DIV/0!</v>
      </c>
      <c r="W181" t="e">
        <f t="shared" si="138"/>
        <v>#DIV/0!</v>
      </c>
      <c r="X181" t="e">
        <f t="shared" si="139"/>
        <v>#VALUE!</v>
      </c>
      <c r="Y181" t="e">
        <f t="shared" si="140"/>
        <v>#VALUE!</v>
      </c>
      <c r="Z181" t="e">
        <f t="shared" si="141"/>
        <v>#VALUE!</v>
      </c>
      <c r="AA181" t="e">
        <f t="shared" si="127"/>
        <v>#VALUE!</v>
      </c>
      <c r="AB181" t="str">
        <f t="shared" si="142"/>
        <v/>
      </c>
      <c r="AC181" t="str">
        <f t="shared" si="143"/>
        <v/>
      </c>
      <c r="AD181" t="str">
        <f t="shared" si="144"/>
        <v/>
      </c>
      <c r="AE181" t="str">
        <f t="shared" si="145"/>
        <v/>
      </c>
      <c r="AK181" s="4">
        <f t="shared" si="146"/>
        <v>42.900000000000254</v>
      </c>
      <c r="AL181">
        <f t="shared" si="128"/>
        <v>2149.0000000000305</v>
      </c>
      <c r="AM181">
        <f t="shared" si="129"/>
        <v>10146.299999999979</v>
      </c>
      <c r="AN181">
        <f>IF($AK180+$AK$1&lt;=Data!$H$4-0.5,AVERAGE(AM179:AM183),AN180)</f>
        <v>10145.579999999976</v>
      </c>
      <c r="AO181">
        <f t="shared" si="130"/>
        <v>8712.9999999999691</v>
      </c>
      <c r="AP181">
        <f t="shared" si="147"/>
        <v>9982.833333333303</v>
      </c>
      <c r="AQ181">
        <f>IF($AK180+$AK$1&lt;=Data!$H$4-0.5,AVERAGE(AP179:AP183),AQ180)</f>
        <v>9982.6866666666356</v>
      </c>
      <c r="AR181">
        <f>IF($AK180+$AK$1&lt;=Data!$H$4-0.5,SLOPE($AN177:$AN185,$AK177:$AK185),AR180)</f>
        <v>-90.600000000015143</v>
      </c>
      <c r="AS181">
        <f>IF($AK180+$AK$1&lt;=Data!$H$4-0.5,SLOPE($AQ177:$AQ185,$AK177:$AK185),AS180)</f>
        <v>-120.90000000000337</v>
      </c>
      <c r="AT181" t="str">
        <f>IF(AND($AK181&gt;=Results!$G$13,$AK181&lt;=Results!$G$14),Curves!AR181,"")</f>
        <v/>
      </c>
      <c r="AU181" t="str">
        <f>IF(AND($AK181&gt;=Results!$G$13,$AK181&lt;=Results!$G$14),Curves!AS181,"")</f>
        <v/>
      </c>
      <c r="AV181">
        <f t="shared" si="131"/>
        <v>42.900000000000254</v>
      </c>
      <c r="AW181">
        <f>IF(AND($AK181&lt;=Results!$I$21,$AK181&gt;=Results!$I$20,$AK181&lt;=Results!$F$4),$AN181,"")</f>
        <v>10145.579999999976</v>
      </c>
      <c r="AX181" t="str">
        <f t="shared" si="131"/>
        <v/>
      </c>
      <c r="AY181" t="str">
        <f>IF(AND($AK181&lt;=Results!$I$23,$AK181&gt;=Results!$I$22,$AK181&gt;=Results!$F$4),$AN181,"")</f>
        <v/>
      </c>
      <c r="AZ181" t="str">
        <f t="shared" si="104"/>
        <v/>
      </c>
      <c r="BA181" t="str">
        <f>IF(AND($AK181&lt;=Results!$I$27,$AK181&gt;=Results!$I$26,$AK181&lt;=Results!$F$4),$AQ181,"")</f>
        <v/>
      </c>
      <c r="BB181" t="str">
        <f t="shared" si="105"/>
        <v/>
      </c>
      <c r="BC181" t="str">
        <f>IF(AND($AK181&lt;=Results!$I$29,$AK181&gt;=Results!$I$28,$AK181&gt;=Results!$F$4),$AQ181,"")</f>
        <v/>
      </c>
      <c r="BD181">
        <f t="shared" si="106"/>
        <v>10138.814152701059</v>
      </c>
      <c r="BE181">
        <f t="shared" si="107"/>
        <v>2052.5355829819132</v>
      </c>
      <c r="BF181">
        <f t="shared" si="108"/>
        <v>10057.845568307308</v>
      </c>
      <c r="BG181">
        <f t="shared" si="109"/>
        <v>1302.4974255452901</v>
      </c>
      <c r="BH181">
        <f t="shared" si="110"/>
        <v>0</v>
      </c>
      <c r="BI181">
        <f t="shared" si="111"/>
        <v>1.0008367071750723</v>
      </c>
      <c r="BJ181">
        <f t="shared" si="112"/>
        <v>0.99141565813087562</v>
      </c>
      <c r="BK181">
        <f t="shared" si="113"/>
        <v>2.3448384549551119E-3</v>
      </c>
      <c r="BL181">
        <f t="shared" si="114"/>
        <v>-5.5066477774639343E-3</v>
      </c>
      <c r="BM181">
        <f t="shared" si="132"/>
        <v>120.00000000000055</v>
      </c>
      <c r="BN181">
        <f t="shared" si="133"/>
        <v>-119.99999999999829</v>
      </c>
      <c r="BO181">
        <f>Data!$H$2*(1-BI181)*(1-BI181/Data!$H$3)*BM181</f>
        <v>1.6801893523620832E-10</v>
      </c>
      <c r="BP181">
        <f t="shared" si="115"/>
        <v>-120.10040486100924</v>
      </c>
      <c r="BQ181">
        <f>Data!$H$2*(1-BJ181)*(1-BJ181/Data!$H$3)*BN181</f>
        <v>-1.7685822078240188E-8</v>
      </c>
      <c r="BR181">
        <f t="shared" si="116"/>
        <v>118.96987897570338</v>
      </c>
      <c r="BS181">
        <f t="shared" si="117"/>
        <v>0</v>
      </c>
      <c r="BT181">
        <f t="shared" si="118"/>
        <v>0</v>
      </c>
      <c r="BU181">
        <f t="shared" si="119"/>
        <v>0</v>
      </c>
      <c r="BV181">
        <f t="shared" si="120"/>
        <v>0</v>
      </c>
      <c r="BW181">
        <f t="shared" si="134"/>
        <v>0</v>
      </c>
      <c r="BX181" t="str">
        <f t="shared" si="135"/>
        <v/>
      </c>
      <c r="BY181" s="66" t="str">
        <f t="shared" si="121"/>
        <v/>
      </c>
      <c r="BZ181" t="str">
        <f t="shared" si="122"/>
        <v/>
      </c>
      <c r="CA181" s="67" t="str">
        <f t="shared" si="123"/>
        <v/>
      </c>
    </row>
    <row r="182" spans="4:79" x14ac:dyDescent="0.25">
      <c r="D182" s="3" t="e">
        <f t="shared" si="148"/>
        <v>#DIV/0!</v>
      </c>
      <c r="E182" s="3" t="e">
        <f t="shared" si="148"/>
        <v>#DIV/0!</v>
      </c>
      <c r="F182" t="str">
        <f>IF(A182&gt;0,IF(F181=1,1,IF(B182=Data!$H$4,1,0)),"")</f>
        <v/>
      </c>
      <c r="O182" s="3"/>
      <c r="P182" s="3"/>
      <c r="Q182" t="str">
        <f t="shared" si="124"/>
        <v/>
      </c>
      <c r="R182" s="4" t="str">
        <f t="shared" si="125"/>
        <v/>
      </c>
      <c r="S182" t="e">
        <f t="shared" si="136"/>
        <v>#DIV/0!</v>
      </c>
      <c r="T182" t="e">
        <f t="shared" si="149"/>
        <v>#DIV/0!</v>
      </c>
      <c r="U182" s="4">
        <f t="shared" si="126"/>
        <v>0</v>
      </c>
      <c r="V182" t="e">
        <f t="shared" si="137"/>
        <v>#DIV/0!</v>
      </c>
      <c r="W182" t="e">
        <f t="shared" si="138"/>
        <v>#DIV/0!</v>
      </c>
      <c r="X182" t="e">
        <f t="shared" si="139"/>
        <v>#VALUE!</v>
      </c>
      <c r="Y182" t="e">
        <f t="shared" si="140"/>
        <v>#VALUE!</v>
      </c>
      <c r="Z182" t="e">
        <f t="shared" si="141"/>
        <v>#VALUE!</v>
      </c>
      <c r="AA182" t="e">
        <f t="shared" si="127"/>
        <v>#VALUE!</v>
      </c>
      <c r="AB182" t="str">
        <f t="shared" si="142"/>
        <v/>
      </c>
      <c r="AC182" t="str">
        <f t="shared" si="143"/>
        <v/>
      </c>
      <c r="AD182" t="str">
        <f t="shared" si="144"/>
        <v/>
      </c>
      <c r="AE182" t="str">
        <f t="shared" si="145"/>
        <v/>
      </c>
      <c r="AK182" s="4">
        <f t="shared" si="146"/>
        <v>43.000000000000256</v>
      </c>
      <c r="AL182">
        <f t="shared" si="128"/>
        <v>2161.0000000000309</v>
      </c>
      <c r="AM182">
        <f t="shared" si="129"/>
        <v>10138.499999999971</v>
      </c>
      <c r="AN182">
        <f>IF($AK181+$AK$1&lt;=Data!$H$4-0.5,AVERAGE(AM180:AM184),AN181)</f>
        <v>10136.339999999973</v>
      </c>
      <c r="AO182">
        <f t="shared" si="130"/>
        <v>8700.9999999999691</v>
      </c>
      <c r="AP182">
        <f t="shared" si="147"/>
        <v>9970.9999999999673</v>
      </c>
      <c r="AQ182">
        <f>IF($AK181+$AK$1&lt;=Data!$H$4-0.5,AVERAGE(AP180:AP184),AQ181)</f>
        <v>9970.5599999999686</v>
      </c>
      <c r="AR182">
        <f>IF($AK181+$AK$1&lt;=Data!$H$4-0.5,SLOPE($AN178:$AN186,$AK178:$AK186),AR181)</f>
        <v>-96.0000000000135</v>
      </c>
      <c r="AS182">
        <f>IF($AK181+$AK$1&lt;=Data!$H$4-0.5,SLOPE($AQ178:$AQ186,$AK178:$AK186),AS181)</f>
        <v>-122.00000000000222</v>
      </c>
      <c r="AT182" t="str">
        <f>IF(AND($AK182&gt;=Results!$G$13,$AK182&lt;=Results!$G$14),Curves!AR182,"")</f>
        <v/>
      </c>
      <c r="AU182" t="str">
        <f>IF(AND($AK182&gt;=Results!$G$13,$AK182&lt;=Results!$G$14),Curves!AS182,"")</f>
        <v/>
      </c>
      <c r="AV182">
        <f t="shared" si="131"/>
        <v>43.000000000000256</v>
      </c>
      <c r="AW182">
        <f>IF(AND($AK182&lt;=Results!$I$21,$AK182&gt;=Results!$I$20,$AK182&lt;=Results!$F$4),$AN182,"")</f>
        <v>10136.339999999973</v>
      </c>
      <c r="AX182" t="str">
        <f t="shared" si="131"/>
        <v/>
      </c>
      <c r="AY182" t="str">
        <f>IF(AND($AK182&lt;=Results!$I$23,$AK182&gt;=Results!$I$22,$AK182&gt;=Results!$F$4),$AN182,"")</f>
        <v/>
      </c>
      <c r="AZ182" t="str">
        <f t="shared" si="104"/>
        <v/>
      </c>
      <c r="BA182" t="str">
        <f>IF(AND($AK182&lt;=Results!$I$27,$AK182&gt;=Results!$I$26,$AK182&lt;=Results!$F$4),$AQ182,"")</f>
        <v/>
      </c>
      <c r="BB182" t="str">
        <f t="shared" si="105"/>
        <v/>
      </c>
      <c r="BC182" t="str">
        <f>IF(AND($AK182&lt;=Results!$I$29,$AK182&gt;=Results!$I$28,$AK182&gt;=Results!$F$4),$AQ182,"")</f>
        <v/>
      </c>
      <c r="BD182">
        <f t="shared" si="106"/>
        <v>10128.043957903139</v>
      </c>
      <c r="BE182">
        <f t="shared" si="107"/>
        <v>2049.2197937325923</v>
      </c>
      <c r="BF182">
        <f t="shared" si="108"/>
        <v>10050.555586074415</v>
      </c>
      <c r="BG182">
        <f t="shared" si="109"/>
        <v>1301.9466245857652</v>
      </c>
      <c r="BH182">
        <f t="shared" si="110"/>
        <v>0</v>
      </c>
      <c r="BI182">
        <f t="shared" si="111"/>
        <v>1.0010268873202646</v>
      </c>
      <c r="BJ182">
        <f t="shared" si="112"/>
        <v>0.99085619366157673</v>
      </c>
      <c r="BK182">
        <f t="shared" si="113"/>
        <v>1.4575369332692004E-3</v>
      </c>
      <c r="BL182">
        <f t="shared" si="114"/>
        <v>-5.6828451212120072E-3</v>
      </c>
      <c r="BM182">
        <f t="shared" si="132"/>
        <v>120.00000000000055</v>
      </c>
      <c r="BN182">
        <f t="shared" si="133"/>
        <v>-119.99999999999829</v>
      </c>
      <c r="BO182">
        <f>Data!$H$2*(1-BI182)*(1-BI182/Data!$H$3)*BM182</f>
        <v>2.5307941644483653E-10</v>
      </c>
      <c r="BP182">
        <f t="shared" si="115"/>
        <v>-120.1232264784323</v>
      </c>
      <c r="BQ182">
        <f>Data!$H$2*(1-BJ182)*(1-BJ182/Data!$H$3)*BN182</f>
        <v>-2.0066206645101195E-8</v>
      </c>
      <c r="BR182">
        <f t="shared" si="116"/>
        <v>118.90274323938752</v>
      </c>
      <c r="BS182">
        <f t="shared" si="117"/>
        <v>0</v>
      </c>
      <c r="BT182">
        <f t="shared" si="118"/>
        <v>0</v>
      </c>
      <c r="BU182">
        <f t="shared" si="119"/>
        <v>0</v>
      </c>
      <c r="BV182">
        <f t="shared" si="120"/>
        <v>0</v>
      </c>
      <c r="BW182">
        <f t="shared" si="134"/>
        <v>0</v>
      </c>
      <c r="BX182" t="str">
        <f t="shared" si="135"/>
        <v/>
      </c>
      <c r="BY182" s="66" t="str">
        <f t="shared" si="121"/>
        <v/>
      </c>
      <c r="BZ182" t="str">
        <f t="shared" si="122"/>
        <v/>
      </c>
      <c r="CA182" s="67" t="str">
        <f t="shared" si="123"/>
        <v/>
      </c>
    </row>
    <row r="183" spans="4:79" x14ac:dyDescent="0.25">
      <c r="D183" s="3" t="e">
        <f t="shared" si="148"/>
        <v>#DIV/0!</v>
      </c>
      <c r="E183" s="3" t="e">
        <f t="shared" si="148"/>
        <v>#DIV/0!</v>
      </c>
      <c r="F183" t="str">
        <f>IF(A183&gt;0,IF(F182=1,1,IF(B183=Data!$H$4,1,0)),"")</f>
        <v/>
      </c>
      <c r="O183" s="3"/>
      <c r="P183" s="3"/>
      <c r="Q183" t="str">
        <f t="shared" si="124"/>
        <v/>
      </c>
      <c r="R183" s="4" t="str">
        <f t="shared" si="125"/>
        <v/>
      </c>
      <c r="S183" t="e">
        <f t="shared" si="136"/>
        <v>#DIV/0!</v>
      </c>
      <c r="T183" t="e">
        <f t="shared" si="149"/>
        <v>#DIV/0!</v>
      </c>
      <c r="U183" s="4">
        <f t="shared" si="126"/>
        <v>0</v>
      </c>
      <c r="V183" t="e">
        <f t="shared" si="137"/>
        <v>#DIV/0!</v>
      </c>
      <c r="W183" t="e">
        <f t="shared" si="138"/>
        <v>#DIV/0!</v>
      </c>
      <c r="X183" t="e">
        <f t="shared" si="139"/>
        <v>#VALUE!</v>
      </c>
      <c r="Y183" t="e">
        <f t="shared" si="140"/>
        <v>#VALUE!</v>
      </c>
      <c r="Z183" t="e">
        <f t="shared" si="141"/>
        <v>#VALUE!</v>
      </c>
      <c r="AA183" t="e">
        <f t="shared" si="127"/>
        <v>#VALUE!</v>
      </c>
      <c r="AB183" t="str">
        <f t="shared" si="142"/>
        <v/>
      </c>
      <c r="AC183" t="str">
        <f t="shared" si="143"/>
        <v/>
      </c>
      <c r="AD183" t="str">
        <f t="shared" si="144"/>
        <v/>
      </c>
      <c r="AE183" t="str">
        <f t="shared" si="145"/>
        <v/>
      </c>
      <c r="AK183" s="4">
        <f t="shared" si="146"/>
        <v>43.100000000000257</v>
      </c>
      <c r="AL183">
        <f t="shared" si="128"/>
        <v>2173.0000000000309</v>
      </c>
      <c r="AM183">
        <f t="shared" si="129"/>
        <v>10127.099999999971</v>
      </c>
      <c r="AN183">
        <f>IF($AK182+$AK$1&lt;=Data!$H$4-0.5,AVERAGE(AM181:AM185),AN182)</f>
        <v>10126.379999999972</v>
      </c>
      <c r="AO183">
        <f t="shared" si="130"/>
        <v>8688.9999999999691</v>
      </c>
      <c r="AP183">
        <f t="shared" si="147"/>
        <v>9958.4333333333016</v>
      </c>
      <c r="AQ183">
        <f>IF($AK182+$AK$1&lt;=Data!$H$4-0.5,AVERAGE(AP181:AP185),AQ182)</f>
        <v>9958.2866666666341</v>
      </c>
      <c r="AR183">
        <f>IF($AK182+$AK$1&lt;=Data!$H$4-0.5,SLOPE($AN179:$AN187,$AK179:$AK187),AR182)</f>
        <v>-101.40000000001335</v>
      </c>
      <c r="AS183">
        <f>IF($AK182+$AK$1&lt;=Data!$H$4-0.5,SLOPE($AQ179:$AQ187,$AK179:$AK187),AS182)</f>
        <v>-123.10000000000286</v>
      </c>
      <c r="AT183" t="str">
        <f>IF(AND($AK183&gt;=Results!$G$13,$AK183&lt;=Results!$G$14),Curves!AR183,"")</f>
        <v/>
      </c>
      <c r="AU183" t="str">
        <f>IF(AND($AK183&gt;=Results!$G$13,$AK183&lt;=Results!$G$14),Curves!AS183,"")</f>
        <v/>
      </c>
      <c r="AV183">
        <f t="shared" si="131"/>
        <v>43.100000000000257</v>
      </c>
      <c r="AW183">
        <f>IF(AND($AK183&lt;=Results!$I$21,$AK183&gt;=Results!$I$20,$AK183&lt;=Results!$F$4),$AN183,"")</f>
        <v>10126.379999999972</v>
      </c>
      <c r="AX183" t="str">
        <f t="shared" si="131"/>
        <v/>
      </c>
      <c r="AY183" t="str">
        <f>IF(AND($AK183&lt;=Results!$I$23,$AK183&gt;=Results!$I$22,$AK183&gt;=Results!$F$4),$AN183,"")</f>
        <v/>
      </c>
      <c r="AZ183" t="str">
        <f t="shared" si="104"/>
        <v/>
      </c>
      <c r="BA183" t="str">
        <f>IF(AND($AK183&lt;=Results!$I$27,$AK183&gt;=Results!$I$26,$AK183&lt;=Results!$F$4),$AQ183,"")</f>
        <v/>
      </c>
      <c r="BB183" t="str">
        <f t="shared" si="105"/>
        <v/>
      </c>
      <c r="BC183" t="str">
        <f>IF(AND($AK183&lt;=Results!$I$29,$AK183&gt;=Results!$I$28,$AK183&gt;=Results!$F$4),$AQ183,"")</f>
        <v/>
      </c>
      <c r="BD183">
        <f t="shared" si="106"/>
        <v>10117.273763105219</v>
      </c>
      <c r="BE183">
        <f t="shared" si="107"/>
        <v>2045.9040044832714</v>
      </c>
      <c r="BF183">
        <f t="shared" si="108"/>
        <v>10043.265603841523</v>
      </c>
      <c r="BG183">
        <f t="shared" si="109"/>
        <v>1301.3958236262401</v>
      </c>
      <c r="BH183">
        <f t="shared" si="110"/>
        <v>0</v>
      </c>
      <c r="BI183">
        <f t="shared" si="111"/>
        <v>1.0011282145617262</v>
      </c>
      <c r="BJ183">
        <f t="shared" si="112"/>
        <v>0.9902790891066332</v>
      </c>
      <c r="BK183">
        <f t="shared" si="113"/>
        <v>5.6777584139910151E-4</v>
      </c>
      <c r="BL183">
        <f t="shared" si="114"/>
        <v>-5.8594501183955316E-3</v>
      </c>
      <c r="BM183">
        <f t="shared" si="132"/>
        <v>119.99999999999829</v>
      </c>
      <c r="BN183">
        <f t="shared" si="133"/>
        <v>-119.99999999999829</v>
      </c>
      <c r="BO183">
        <f>Data!$H$2*(1-BI183)*(1-BI183/Data!$H$3)*BM183</f>
        <v>3.054883433498358E-10</v>
      </c>
      <c r="BP183">
        <f t="shared" si="115"/>
        <v>-120.13538574740544</v>
      </c>
      <c r="BQ183">
        <f>Data!$H$2*(1-BJ183)*(1-BJ183/Data!$H$3)*BN183</f>
        <v>-2.267906606322622E-8</v>
      </c>
      <c r="BR183">
        <f t="shared" si="116"/>
        <v>118.8334906927943</v>
      </c>
      <c r="BS183">
        <f t="shared" si="117"/>
        <v>0</v>
      </c>
      <c r="BT183">
        <f t="shared" si="118"/>
        <v>0</v>
      </c>
      <c r="BU183">
        <f t="shared" si="119"/>
        <v>0</v>
      </c>
      <c r="BV183">
        <f t="shared" si="120"/>
        <v>0</v>
      </c>
      <c r="BW183">
        <f t="shared" si="134"/>
        <v>0</v>
      </c>
      <c r="BX183" t="str">
        <f t="shared" si="135"/>
        <v/>
      </c>
      <c r="BY183" s="66" t="str">
        <f t="shared" si="121"/>
        <v/>
      </c>
      <c r="BZ183" t="str">
        <f t="shared" si="122"/>
        <v/>
      </c>
      <c r="CA183" s="67" t="str">
        <f t="shared" si="123"/>
        <v/>
      </c>
    </row>
    <row r="184" spans="4:79" x14ac:dyDescent="0.25">
      <c r="D184" s="3" t="e">
        <f t="shared" si="148"/>
        <v>#DIV/0!</v>
      </c>
      <c r="E184" s="3" t="e">
        <f t="shared" si="148"/>
        <v>#DIV/0!</v>
      </c>
      <c r="F184" t="str">
        <f>IF(A184&gt;0,IF(F183=1,1,IF(B184=Data!$H$4,1,0)),"")</f>
        <v/>
      </c>
      <c r="O184" s="3"/>
      <c r="P184" s="3"/>
      <c r="Q184" t="str">
        <f t="shared" si="124"/>
        <v/>
      </c>
      <c r="R184" s="4" t="str">
        <f t="shared" si="125"/>
        <v/>
      </c>
      <c r="S184" t="e">
        <f t="shared" si="136"/>
        <v>#DIV/0!</v>
      </c>
      <c r="T184" t="e">
        <f t="shared" si="149"/>
        <v>#DIV/0!</v>
      </c>
      <c r="U184" s="4">
        <f t="shared" si="126"/>
        <v>0</v>
      </c>
      <c r="V184" t="e">
        <f t="shared" si="137"/>
        <v>#DIV/0!</v>
      </c>
      <c r="W184" t="e">
        <f t="shared" si="138"/>
        <v>#DIV/0!</v>
      </c>
      <c r="X184" t="e">
        <f t="shared" si="139"/>
        <v>#VALUE!</v>
      </c>
      <c r="Y184" t="e">
        <f t="shared" si="140"/>
        <v>#VALUE!</v>
      </c>
      <c r="Z184" t="e">
        <f t="shared" si="141"/>
        <v>#VALUE!</v>
      </c>
      <c r="AA184" t="e">
        <f t="shared" si="127"/>
        <v>#VALUE!</v>
      </c>
      <c r="AB184" t="str">
        <f t="shared" si="142"/>
        <v/>
      </c>
      <c r="AC184" t="str">
        <f t="shared" si="143"/>
        <v/>
      </c>
      <c r="AD184" t="str">
        <f t="shared" si="144"/>
        <v/>
      </c>
      <c r="AE184" t="str">
        <f t="shared" si="145"/>
        <v/>
      </c>
      <c r="AK184" s="4">
        <f t="shared" si="146"/>
        <v>43.200000000000259</v>
      </c>
      <c r="AL184">
        <f t="shared" si="128"/>
        <v>2185.0000000000309</v>
      </c>
      <c r="AM184">
        <f t="shared" si="129"/>
        <v>10115.69999999997</v>
      </c>
      <c r="AN184">
        <f>IF($AK183+$AK$1&lt;=Data!$H$4-0.5,AVERAGE(AM182:AM186),AN183)</f>
        <v>10115.69999999997</v>
      </c>
      <c r="AO184">
        <f t="shared" si="130"/>
        <v>8676.9999999999691</v>
      </c>
      <c r="AP184">
        <f t="shared" si="147"/>
        <v>9945.866666666634</v>
      </c>
      <c r="AQ184">
        <f>IF($AK183+$AK$1&lt;=Data!$H$4-0.5,AVERAGE(AP182:AP186),AQ183)</f>
        <v>9945.866666666634</v>
      </c>
      <c r="AR184">
        <f>IF($AK183+$AK$1&lt;=Data!$H$4-0.5,SLOPE($AN180:$AN188,$AK180:$AK188),AR183)</f>
        <v>-106.20000000000802</v>
      </c>
      <c r="AS184">
        <f>IF($AK183+$AK$1&lt;=Data!$H$4-0.5,SLOPE($AQ180:$AQ188,$AK180:$AK188),AS183)</f>
        <v>-124.07777777777912</v>
      </c>
      <c r="AT184" t="str">
        <f>IF(AND($AK184&gt;=Results!$G$13,$AK184&lt;=Results!$G$14),Curves!AR184,"")</f>
        <v/>
      </c>
      <c r="AU184" t="str">
        <f>IF(AND($AK184&gt;=Results!$G$13,$AK184&lt;=Results!$G$14),Curves!AS184,"")</f>
        <v/>
      </c>
      <c r="AV184">
        <f t="shared" si="131"/>
        <v>43.200000000000259</v>
      </c>
      <c r="AW184">
        <f>IF(AND($AK184&lt;=Results!$I$21,$AK184&gt;=Results!$I$20,$AK184&lt;=Results!$F$4),$AN184,"")</f>
        <v>10115.69999999997</v>
      </c>
      <c r="AX184" t="str">
        <f t="shared" si="131"/>
        <v/>
      </c>
      <c r="AY184" t="str">
        <f>IF(AND($AK184&lt;=Results!$I$23,$AK184&gt;=Results!$I$22,$AK184&gt;=Results!$F$4),$AN184,"")</f>
        <v/>
      </c>
      <c r="AZ184" t="str">
        <f t="shared" si="104"/>
        <v/>
      </c>
      <c r="BA184" t="str">
        <f>IF(AND($AK184&lt;=Results!$I$27,$AK184&gt;=Results!$I$26,$AK184&lt;=Results!$F$4),$AQ184,"")</f>
        <v/>
      </c>
      <c r="BB184" t="str">
        <f t="shared" si="105"/>
        <v/>
      </c>
      <c r="BC184" t="str">
        <f>IF(AND($AK184&lt;=Results!$I$29,$AK184&gt;=Results!$I$28,$AK184&gt;=Results!$F$4),$AQ184,"")</f>
        <v/>
      </c>
      <c r="BD184">
        <f t="shared" si="106"/>
        <v>10106.5035683073</v>
      </c>
      <c r="BE184">
        <f t="shared" si="107"/>
        <v>2042.5882152339507</v>
      </c>
      <c r="BF184">
        <f t="shared" si="108"/>
        <v>10035.975621608628</v>
      </c>
      <c r="BG184">
        <f t="shared" si="109"/>
        <v>1300.8450226667151</v>
      </c>
      <c r="BH184">
        <f t="shared" si="110"/>
        <v>0</v>
      </c>
      <c r="BI184">
        <f t="shared" si="111"/>
        <v>1.0011404424885444</v>
      </c>
      <c r="BJ184">
        <f t="shared" si="112"/>
        <v>0.98968430363789761</v>
      </c>
      <c r="BK184">
        <f t="shared" si="113"/>
        <v>-3.2445391952573105E-4</v>
      </c>
      <c r="BL184">
        <f t="shared" si="114"/>
        <v>-6.0364640275250266E-3</v>
      </c>
      <c r="BM184">
        <f t="shared" si="132"/>
        <v>120.00000000000055</v>
      </c>
      <c r="BN184">
        <f t="shared" si="133"/>
        <v>-119.99999999999829</v>
      </c>
      <c r="BO184">
        <f>Data!$H$2*(1-BI184)*(1-BI184/Data!$H$3)*BM184</f>
        <v>3.1214617672255898E-10</v>
      </c>
      <c r="BP184">
        <f t="shared" si="115"/>
        <v>-120.13685309862588</v>
      </c>
      <c r="BQ184">
        <f>Data!$H$2*(1-BJ184)*(1-BJ184/Data!$H$3)*BN184</f>
        <v>-2.5539261944421826E-8</v>
      </c>
      <c r="BR184">
        <f t="shared" si="116"/>
        <v>118.76211643654602</v>
      </c>
      <c r="BS184">
        <f t="shared" si="117"/>
        <v>0</v>
      </c>
      <c r="BT184">
        <f t="shared" si="118"/>
        <v>0</v>
      </c>
      <c r="BU184">
        <f t="shared" si="119"/>
        <v>0</v>
      </c>
      <c r="BV184">
        <f t="shared" si="120"/>
        <v>0</v>
      </c>
      <c r="BW184">
        <f t="shared" si="134"/>
        <v>0</v>
      </c>
      <c r="BX184" t="str">
        <f t="shared" si="135"/>
        <v/>
      </c>
      <c r="BY184" s="66" t="str">
        <f t="shared" si="121"/>
        <v/>
      </c>
      <c r="BZ184" t="str">
        <f t="shared" si="122"/>
        <v/>
      </c>
      <c r="CA184" s="67" t="str">
        <f t="shared" si="123"/>
        <v/>
      </c>
    </row>
    <row r="185" spans="4:79" x14ac:dyDescent="0.25">
      <c r="D185" s="3" t="e">
        <f t="shared" si="148"/>
        <v>#DIV/0!</v>
      </c>
      <c r="E185" s="3" t="e">
        <f t="shared" si="148"/>
        <v>#DIV/0!</v>
      </c>
      <c r="F185" t="str">
        <f>IF(A185&gt;0,IF(F184=1,1,IF(B185=Data!$H$4,1,0)),"")</f>
        <v/>
      </c>
      <c r="O185" s="3"/>
      <c r="P185" s="3"/>
      <c r="Q185" t="str">
        <f t="shared" si="124"/>
        <v/>
      </c>
      <c r="R185" s="4" t="str">
        <f t="shared" si="125"/>
        <v/>
      </c>
      <c r="S185" t="e">
        <f t="shared" si="136"/>
        <v>#DIV/0!</v>
      </c>
      <c r="T185" t="e">
        <f t="shared" si="149"/>
        <v>#DIV/0!</v>
      </c>
      <c r="U185" s="4">
        <f t="shared" si="126"/>
        <v>0</v>
      </c>
      <c r="V185" t="e">
        <f t="shared" si="137"/>
        <v>#DIV/0!</v>
      </c>
      <c r="W185" t="e">
        <f t="shared" si="138"/>
        <v>#DIV/0!</v>
      </c>
      <c r="X185" t="e">
        <f t="shared" si="139"/>
        <v>#VALUE!</v>
      </c>
      <c r="Y185" t="e">
        <f t="shared" si="140"/>
        <v>#VALUE!</v>
      </c>
      <c r="Z185" t="e">
        <f t="shared" si="141"/>
        <v>#VALUE!</v>
      </c>
      <c r="AA185" t="e">
        <f t="shared" si="127"/>
        <v>#VALUE!</v>
      </c>
      <c r="AB185" t="str">
        <f t="shared" si="142"/>
        <v/>
      </c>
      <c r="AC185" t="str">
        <f t="shared" si="143"/>
        <v/>
      </c>
      <c r="AD185" t="str">
        <f t="shared" si="144"/>
        <v/>
      </c>
      <c r="AE185" t="str">
        <f t="shared" si="145"/>
        <v/>
      </c>
      <c r="AK185" s="4">
        <f t="shared" si="146"/>
        <v>43.30000000000026</v>
      </c>
      <c r="AL185">
        <f t="shared" si="128"/>
        <v>2197.0000000000314</v>
      </c>
      <c r="AM185">
        <f t="shared" si="129"/>
        <v>10104.29999999997</v>
      </c>
      <c r="AN185">
        <f>IF($AK184+$AK$1&lt;=Data!$H$4-0.5,AVERAGE(AM183:AM187),AN184)</f>
        <v>10104.29999999997</v>
      </c>
      <c r="AO185">
        <f t="shared" si="130"/>
        <v>8664.9999999999691</v>
      </c>
      <c r="AP185">
        <f t="shared" si="147"/>
        <v>9933.2999999999683</v>
      </c>
      <c r="AQ185">
        <f>IF($AK184+$AK$1&lt;=Data!$H$4-0.5,AVERAGE(AP183:AP187),AQ184)</f>
        <v>9933.2999999999683</v>
      </c>
      <c r="AR185">
        <f>IF($AK184+$AK$1&lt;=Data!$H$4-0.5,SLOPE($AN181:$AN189,$AK181:$AK189),AR184)</f>
        <v>-109.80000000000557</v>
      </c>
      <c r="AS185">
        <f>IF($AK184+$AK$1&lt;=Data!$H$4-0.5,SLOPE($AQ181:$AQ189,$AK181:$AK189),AS184)</f>
        <v>-124.81111111111144</v>
      </c>
      <c r="AT185" t="str">
        <f>IF(AND($AK185&gt;=Results!$G$13,$AK185&lt;=Results!$G$14),Curves!AR185,"")</f>
        <v/>
      </c>
      <c r="AU185" t="str">
        <f>IF(AND($AK185&gt;=Results!$G$13,$AK185&lt;=Results!$G$14),Curves!AS185,"")</f>
        <v/>
      </c>
      <c r="AV185">
        <f t="shared" si="131"/>
        <v>43.30000000000026</v>
      </c>
      <c r="AW185">
        <f>IF(AND($AK185&lt;=Results!$I$21,$AK185&gt;=Results!$I$20,$AK185&lt;=Results!$F$4),$AN185,"")</f>
        <v>10104.29999999997</v>
      </c>
      <c r="AX185" t="str">
        <f t="shared" si="131"/>
        <v/>
      </c>
      <c r="AY185" t="str">
        <f>IF(AND($AK185&lt;=Results!$I$23,$AK185&gt;=Results!$I$22,$AK185&gt;=Results!$F$4),$AN185,"")</f>
        <v/>
      </c>
      <c r="AZ185" t="str">
        <f t="shared" si="104"/>
        <v/>
      </c>
      <c r="BA185" t="str">
        <f>IF(AND($AK185&lt;=Results!$I$27,$AK185&gt;=Results!$I$26,$AK185&lt;=Results!$F$4),$AQ185,"")</f>
        <v/>
      </c>
      <c r="BB185" t="str">
        <f t="shared" si="105"/>
        <v/>
      </c>
      <c r="BC185" t="str">
        <f>IF(AND($AK185&lt;=Results!$I$29,$AK185&gt;=Results!$I$28,$AK185&gt;=Results!$F$4),$AQ185,"")</f>
        <v/>
      </c>
      <c r="BD185">
        <f t="shared" si="106"/>
        <v>10095.73337350938</v>
      </c>
      <c r="BE185">
        <f t="shared" si="107"/>
        <v>2039.2724259846298</v>
      </c>
      <c r="BF185">
        <f t="shared" si="108"/>
        <v>10028.685639375735</v>
      </c>
      <c r="BG185">
        <f t="shared" si="109"/>
        <v>1300.2942217071902</v>
      </c>
      <c r="BH185">
        <f t="shared" si="110"/>
        <v>0</v>
      </c>
      <c r="BI185">
        <f t="shared" si="111"/>
        <v>1.001063323777821</v>
      </c>
      <c r="BJ185">
        <f t="shared" si="112"/>
        <v>0.98907179630112818</v>
      </c>
      <c r="BK185">
        <f t="shared" si="113"/>
        <v>-7.7190132474757049E-4</v>
      </c>
      <c r="BL185">
        <f t="shared" si="114"/>
        <v>-6.1298061842106856E-3</v>
      </c>
      <c r="BM185">
        <f t="shared" si="132"/>
        <v>120.00000000000055</v>
      </c>
      <c r="BN185">
        <f t="shared" si="133"/>
        <v>-119.99999999999829</v>
      </c>
      <c r="BO185">
        <f>Data!$H$2*(1-BI185)*(1-BI185/Data!$H$3)*BM185</f>
        <v>2.7135778955510459E-10</v>
      </c>
      <c r="BP185">
        <f t="shared" si="115"/>
        <v>-120.12759885333908</v>
      </c>
      <c r="BQ185">
        <f>Data!$H$2*(1-BJ185)*(1-BJ185/Data!$H$3)*BN185</f>
        <v>-2.8662152660168166E-8</v>
      </c>
      <c r="BR185">
        <f t="shared" si="116"/>
        <v>118.6886155561337</v>
      </c>
      <c r="BS185">
        <f t="shared" si="117"/>
        <v>0</v>
      </c>
      <c r="BT185">
        <f t="shared" si="118"/>
        <v>0</v>
      </c>
      <c r="BU185">
        <f t="shared" si="119"/>
        <v>0</v>
      </c>
      <c r="BV185">
        <f t="shared" si="120"/>
        <v>0</v>
      </c>
      <c r="BW185">
        <f t="shared" si="134"/>
        <v>0</v>
      </c>
      <c r="BX185" t="str">
        <f t="shared" si="135"/>
        <v/>
      </c>
      <c r="BY185" s="66" t="str">
        <f t="shared" si="121"/>
        <v/>
      </c>
      <c r="BZ185" t="str">
        <f t="shared" si="122"/>
        <v/>
      </c>
      <c r="CA185" s="67" t="str">
        <f t="shared" si="123"/>
        <v/>
      </c>
    </row>
    <row r="186" spans="4:79" x14ac:dyDescent="0.25">
      <c r="D186" s="3" t="e">
        <f t="shared" si="148"/>
        <v>#DIV/0!</v>
      </c>
      <c r="E186" s="3" t="e">
        <f t="shared" si="148"/>
        <v>#DIV/0!</v>
      </c>
      <c r="F186" t="str">
        <f>IF(A186&gt;0,IF(F185=1,1,IF(B186=Data!$H$4,1,0)),"")</f>
        <v/>
      </c>
      <c r="O186" s="3"/>
      <c r="P186" s="3"/>
      <c r="Q186" t="str">
        <f t="shared" si="124"/>
        <v/>
      </c>
      <c r="R186" s="4" t="str">
        <f t="shared" si="125"/>
        <v/>
      </c>
      <c r="S186" t="e">
        <f t="shared" si="136"/>
        <v>#DIV/0!</v>
      </c>
      <c r="T186" t="e">
        <f t="shared" si="149"/>
        <v>#DIV/0!</v>
      </c>
      <c r="U186" s="4">
        <f t="shared" si="126"/>
        <v>0</v>
      </c>
      <c r="V186" t="e">
        <f t="shared" si="137"/>
        <v>#DIV/0!</v>
      </c>
      <c r="W186" t="e">
        <f t="shared" si="138"/>
        <v>#DIV/0!</v>
      </c>
      <c r="X186" t="e">
        <f t="shared" si="139"/>
        <v>#VALUE!</v>
      </c>
      <c r="Y186" t="e">
        <f t="shared" si="140"/>
        <v>#VALUE!</v>
      </c>
      <c r="Z186" t="e">
        <f t="shared" si="141"/>
        <v>#VALUE!</v>
      </c>
      <c r="AA186" t="e">
        <f t="shared" si="127"/>
        <v>#VALUE!</v>
      </c>
      <c r="AB186" t="str">
        <f t="shared" si="142"/>
        <v/>
      </c>
      <c r="AC186" t="str">
        <f t="shared" si="143"/>
        <v/>
      </c>
      <c r="AD186" t="str">
        <f t="shared" si="144"/>
        <v/>
      </c>
      <c r="AE186" t="str">
        <f t="shared" si="145"/>
        <v/>
      </c>
      <c r="AK186" s="4">
        <f t="shared" si="146"/>
        <v>43.400000000000261</v>
      </c>
      <c r="AL186">
        <f t="shared" si="128"/>
        <v>2209.0000000000314</v>
      </c>
      <c r="AM186">
        <f t="shared" si="129"/>
        <v>10092.899999999971</v>
      </c>
      <c r="AN186">
        <f>IF($AK185+$AK$1&lt;=Data!$H$4-0.5,AVERAGE(AM184:AM188),AN185)</f>
        <v>10092.899999999971</v>
      </c>
      <c r="AO186">
        <f t="shared" si="130"/>
        <v>8652.9999999999691</v>
      </c>
      <c r="AP186">
        <f t="shared" si="147"/>
        <v>9920.7333333333008</v>
      </c>
      <c r="AQ186">
        <f>IF($AK185+$AK$1&lt;=Data!$H$4-0.5,AVERAGE(AP184:AP188),AQ185)</f>
        <v>9920.7333333333008</v>
      </c>
      <c r="AR186">
        <f>IF($AK185+$AK$1&lt;=Data!$H$4-0.5,SLOPE($AN182:$AN190,$AK182:$AK190),AR185)</f>
        <v>-112.20000000000186</v>
      </c>
      <c r="AS186">
        <f>IF($AK185+$AK$1&lt;=Data!$H$4-0.5,SLOPE($AQ182:$AQ190,$AK182:$AK190),AS185)</f>
        <v>-125.29999999999932</v>
      </c>
      <c r="AT186" t="str">
        <f>IF(AND($AK186&gt;=Results!$G$13,$AK186&lt;=Results!$G$14),Curves!AR186,"")</f>
        <v/>
      </c>
      <c r="AU186" t="str">
        <f>IF(AND($AK186&gt;=Results!$G$13,$AK186&lt;=Results!$G$14),Curves!AS186,"")</f>
        <v/>
      </c>
      <c r="AV186">
        <f t="shared" si="131"/>
        <v>43.400000000000261</v>
      </c>
      <c r="AW186">
        <f>IF(AND($AK186&lt;=Results!$I$21,$AK186&gt;=Results!$I$20,$AK186&lt;=Results!$F$4),$AN186,"")</f>
        <v>10092.899999999971</v>
      </c>
      <c r="AX186" t="str">
        <f t="shared" si="131"/>
        <v/>
      </c>
      <c r="AY186" t="str">
        <f>IF(AND($AK186&lt;=Results!$I$23,$AK186&gt;=Results!$I$22,$AK186&gt;=Results!$F$4),$AN186,"")</f>
        <v/>
      </c>
      <c r="AZ186" t="str">
        <f t="shared" si="104"/>
        <v/>
      </c>
      <c r="BA186" t="str">
        <f>IF(AND($AK186&lt;=Results!$I$27,$AK186&gt;=Results!$I$26,$AK186&lt;=Results!$F$4),$AQ186,"")</f>
        <v/>
      </c>
      <c r="BB186" t="str">
        <f t="shared" si="105"/>
        <v/>
      </c>
      <c r="BC186" t="str">
        <f>IF(AND($AK186&lt;=Results!$I$29,$AK186&gt;=Results!$I$28,$AK186&gt;=Results!$F$4),$AQ186,"")</f>
        <v/>
      </c>
      <c r="BD186">
        <f t="shared" si="106"/>
        <v>10084.963178711459</v>
      </c>
      <c r="BE186">
        <f t="shared" si="107"/>
        <v>2035.9566367353091</v>
      </c>
      <c r="BF186">
        <f t="shared" si="108"/>
        <v>10021.395657142843</v>
      </c>
      <c r="BG186">
        <f t="shared" si="109"/>
        <v>1299.7434207476651</v>
      </c>
      <c r="BH186">
        <f t="shared" si="110"/>
        <v>0</v>
      </c>
      <c r="BI186">
        <f t="shared" si="111"/>
        <v>1.0009860622235949</v>
      </c>
      <c r="BJ186">
        <f t="shared" si="112"/>
        <v>0.98845834240105546</v>
      </c>
      <c r="BK186">
        <f t="shared" si="113"/>
        <v>-7.7333174598791536E-4</v>
      </c>
      <c r="BL186">
        <f t="shared" si="114"/>
        <v>-6.1392827968014489E-3</v>
      </c>
      <c r="BM186">
        <f t="shared" si="132"/>
        <v>119.99999999999829</v>
      </c>
      <c r="BN186">
        <f t="shared" si="133"/>
        <v>-119.99999999999829</v>
      </c>
      <c r="BO186">
        <f>Data!$H$2*(1-BI186)*(1-BI186/Data!$H$3)*BM186</f>
        <v>2.3335649011220512E-10</v>
      </c>
      <c r="BP186">
        <f t="shared" si="115"/>
        <v>-120.11832746682968</v>
      </c>
      <c r="BQ186">
        <f>Data!$H$2*(1-BJ186)*(1-BJ186/Data!$H$3)*BN186</f>
        <v>-3.1970366431505383E-8</v>
      </c>
      <c r="BR186">
        <f t="shared" si="116"/>
        <v>118.61500108812497</v>
      </c>
      <c r="BS186">
        <f t="shared" si="117"/>
        <v>0</v>
      </c>
      <c r="BT186">
        <f t="shared" si="118"/>
        <v>0</v>
      </c>
      <c r="BU186">
        <f t="shared" si="119"/>
        <v>0</v>
      </c>
      <c r="BV186">
        <f t="shared" si="120"/>
        <v>0</v>
      </c>
      <c r="BW186">
        <f t="shared" si="134"/>
        <v>0</v>
      </c>
      <c r="BX186" t="str">
        <f t="shared" si="135"/>
        <v/>
      </c>
      <c r="BY186" s="66" t="str">
        <f t="shared" si="121"/>
        <v/>
      </c>
      <c r="BZ186" t="str">
        <f t="shared" si="122"/>
        <v/>
      </c>
      <c r="CA186" s="67" t="str">
        <f t="shared" si="123"/>
        <v/>
      </c>
    </row>
    <row r="187" spans="4:79" x14ac:dyDescent="0.25">
      <c r="D187" s="3" t="e">
        <f t="shared" si="148"/>
        <v>#DIV/0!</v>
      </c>
      <c r="E187" s="3" t="e">
        <f t="shared" si="148"/>
        <v>#DIV/0!</v>
      </c>
      <c r="F187" t="str">
        <f>IF(A187&gt;0,IF(F186=1,1,IF(B187=Data!$H$4,1,0)),"")</f>
        <v/>
      </c>
      <c r="O187" s="3"/>
      <c r="P187" s="3"/>
      <c r="Q187" t="str">
        <f t="shared" si="124"/>
        <v/>
      </c>
      <c r="R187" s="4" t="str">
        <f t="shared" si="125"/>
        <v/>
      </c>
      <c r="S187" t="e">
        <f t="shared" si="136"/>
        <v>#DIV/0!</v>
      </c>
      <c r="T187" t="e">
        <f t="shared" si="149"/>
        <v>#DIV/0!</v>
      </c>
      <c r="U187" s="4">
        <f t="shared" si="126"/>
        <v>0</v>
      </c>
      <c r="V187" t="e">
        <f t="shared" si="137"/>
        <v>#DIV/0!</v>
      </c>
      <c r="W187" t="e">
        <f t="shared" si="138"/>
        <v>#DIV/0!</v>
      </c>
      <c r="X187" t="e">
        <f t="shared" si="139"/>
        <v>#VALUE!</v>
      </c>
      <c r="Y187" t="e">
        <f t="shared" si="140"/>
        <v>#VALUE!</v>
      </c>
      <c r="Z187" t="e">
        <f t="shared" si="141"/>
        <v>#VALUE!</v>
      </c>
      <c r="AA187" t="e">
        <f t="shared" si="127"/>
        <v>#VALUE!</v>
      </c>
      <c r="AB187" t="str">
        <f t="shared" si="142"/>
        <v/>
      </c>
      <c r="AC187" t="str">
        <f t="shared" si="143"/>
        <v/>
      </c>
      <c r="AD187" t="str">
        <f t="shared" si="144"/>
        <v/>
      </c>
      <c r="AE187" t="str">
        <f t="shared" si="145"/>
        <v/>
      </c>
      <c r="AK187" s="4">
        <f t="shared" si="146"/>
        <v>43.500000000000263</v>
      </c>
      <c r="AL187">
        <f t="shared" si="128"/>
        <v>2221.0000000000314</v>
      </c>
      <c r="AM187">
        <f t="shared" si="129"/>
        <v>10081.499999999971</v>
      </c>
      <c r="AN187">
        <f>IF($AK186+$AK$1&lt;=Data!$H$4-0.5,AVERAGE(AM185:AM189),AN186)</f>
        <v>10081.499999999969</v>
      </c>
      <c r="AO187">
        <f t="shared" si="130"/>
        <v>8640.9999999999691</v>
      </c>
      <c r="AP187">
        <f t="shared" si="147"/>
        <v>9908.1666666666333</v>
      </c>
      <c r="AQ187">
        <f>IF($AK186+$AK$1&lt;=Data!$H$4-0.5,AVERAGE(AP185:AP189),AQ186)</f>
        <v>9908.1666666666333</v>
      </c>
      <c r="AR187">
        <f>IF($AK186+$AK$1&lt;=Data!$H$4-0.5,SLOPE($AN183:$AN191,$AK183:$AK191),AR186)</f>
        <v>-113.39777777777806</v>
      </c>
      <c r="AS187">
        <f>IF($AK186+$AK$1&lt;=Data!$H$4-0.5,SLOPE($AQ183:$AQ191,$AK183:$AK191),AS186)</f>
        <v>-125.71999999999939</v>
      </c>
      <c r="AT187" t="str">
        <f>IF(AND($AK187&gt;=Results!$G$13,$AK187&lt;=Results!$G$14),Curves!AR187,"")</f>
        <v/>
      </c>
      <c r="AU187" t="str">
        <f>IF(AND($AK187&gt;=Results!$G$13,$AK187&lt;=Results!$G$14),Curves!AS187,"")</f>
        <v/>
      </c>
      <c r="AV187">
        <f t="shared" si="131"/>
        <v>43.500000000000263</v>
      </c>
      <c r="AW187">
        <f>IF(AND($AK187&lt;=Results!$I$21,$AK187&gt;=Results!$I$20,$AK187&lt;=Results!$F$4),$AN187,"")</f>
        <v>10081.499999999969</v>
      </c>
      <c r="AX187" t="str">
        <f t="shared" si="131"/>
        <v/>
      </c>
      <c r="AY187" t="str">
        <f>IF(AND($AK187&lt;=Results!$I$23,$AK187&gt;=Results!$I$22,$AK187&gt;=Results!$F$4),$AN187,"")</f>
        <v/>
      </c>
      <c r="AZ187" t="str">
        <f t="shared" si="104"/>
        <v/>
      </c>
      <c r="BA187" t="str">
        <f>IF(AND($AK187&lt;=Results!$I$27,$AK187&gt;=Results!$I$26,$AK187&lt;=Results!$F$4),$AQ187,"")</f>
        <v/>
      </c>
      <c r="BB187" t="str">
        <f t="shared" si="105"/>
        <v/>
      </c>
      <c r="BC187" t="str">
        <f>IF(AND($AK187&lt;=Results!$I$29,$AK187&gt;=Results!$I$28,$AK187&gt;=Results!$F$4),$AQ187,"")</f>
        <v/>
      </c>
      <c r="BD187">
        <f t="shared" si="106"/>
        <v>10074.192983913541</v>
      </c>
      <c r="BE187">
        <f t="shared" si="107"/>
        <v>2032.6408474859882</v>
      </c>
      <c r="BF187">
        <f t="shared" si="108"/>
        <v>10014.105674909948</v>
      </c>
      <c r="BG187">
        <f t="shared" si="109"/>
        <v>1299.1926197881401</v>
      </c>
      <c r="BH187">
        <f t="shared" si="110"/>
        <v>0</v>
      </c>
      <c r="BI187">
        <f t="shared" si="111"/>
        <v>1.0009086574286234</v>
      </c>
      <c r="BJ187">
        <f t="shared" si="112"/>
        <v>0.98784393974176787</v>
      </c>
      <c r="BK187">
        <f t="shared" si="113"/>
        <v>-7.7476614701476058E-4</v>
      </c>
      <c r="BL187">
        <f t="shared" si="114"/>
        <v>-6.1487814025017696E-3</v>
      </c>
      <c r="BM187">
        <f t="shared" si="132"/>
        <v>120.00000000000055</v>
      </c>
      <c r="BN187">
        <f t="shared" si="133"/>
        <v>-119.99999999999829</v>
      </c>
      <c r="BO187">
        <f>Data!$H$2*(1-BI187)*(1-BI187/Data!$H$3)*BM187</f>
        <v>1.9815799742221989E-10</v>
      </c>
      <c r="BP187">
        <f t="shared" si="115"/>
        <v>-120.10903889143538</v>
      </c>
      <c r="BQ187">
        <f>Data!$H$2*(1-BJ187)*(1-BJ187/Data!$H$3)*BN187</f>
        <v>-3.546475224042442E-8</v>
      </c>
      <c r="BR187">
        <f t="shared" si="116"/>
        <v>118.54127276901046</v>
      </c>
      <c r="BS187">
        <f t="shared" si="117"/>
        <v>0</v>
      </c>
      <c r="BT187">
        <f t="shared" si="118"/>
        <v>0</v>
      </c>
      <c r="BU187">
        <f t="shared" si="119"/>
        <v>0</v>
      </c>
      <c r="BV187">
        <f t="shared" si="120"/>
        <v>0</v>
      </c>
      <c r="BW187">
        <f t="shared" si="134"/>
        <v>0</v>
      </c>
      <c r="BX187" t="str">
        <f t="shared" si="135"/>
        <v/>
      </c>
      <c r="BY187" s="66" t="str">
        <f t="shared" si="121"/>
        <v/>
      </c>
      <c r="BZ187" t="str">
        <f t="shared" si="122"/>
        <v/>
      </c>
      <c r="CA187" s="67" t="str">
        <f t="shared" si="123"/>
        <v/>
      </c>
    </row>
    <row r="188" spans="4:79" x14ac:dyDescent="0.25">
      <c r="D188" s="3" t="e">
        <f t="shared" si="148"/>
        <v>#DIV/0!</v>
      </c>
      <c r="E188" s="3" t="e">
        <f t="shared" si="148"/>
        <v>#DIV/0!</v>
      </c>
      <c r="F188" t="str">
        <f>IF(A188&gt;0,IF(F187=1,1,IF(B188=Data!$H$4,1,0)),"")</f>
        <v/>
      </c>
      <c r="O188" s="3"/>
      <c r="P188" s="3"/>
      <c r="Q188" t="str">
        <f t="shared" si="124"/>
        <v/>
      </c>
      <c r="R188" s="4" t="str">
        <f t="shared" si="125"/>
        <v/>
      </c>
      <c r="S188" t="e">
        <f t="shared" si="136"/>
        <v>#DIV/0!</v>
      </c>
      <c r="T188" t="e">
        <f t="shared" si="149"/>
        <v>#DIV/0!</v>
      </c>
      <c r="U188" s="4">
        <f t="shared" si="126"/>
        <v>0</v>
      </c>
      <c r="V188" t="e">
        <f t="shared" si="137"/>
        <v>#DIV/0!</v>
      </c>
      <c r="W188" t="e">
        <f t="shared" si="138"/>
        <v>#DIV/0!</v>
      </c>
      <c r="X188" t="e">
        <f t="shared" si="139"/>
        <v>#VALUE!</v>
      </c>
      <c r="Y188" t="e">
        <f t="shared" si="140"/>
        <v>#VALUE!</v>
      </c>
      <c r="Z188" t="e">
        <f t="shared" si="141"/>
        <v>#VALUE!</v>
      </c>
      <c r="AA188" t="e">
        <f t="shared" si="127"/>
        <v>#VALUE!</v>
      </c>
      <c r="AB188" t="str">
        <f t="shared" si="142"/>
        <v/>
      </c>
      <c r="AC188" t="str">
        <f t="shared" si="143"/>
        <v/>
      </c>
      <c r="AD188" t="str">
        <f t="shared" si="144"/>
        <v/>
      </c>
      <c r="AE188" t="str">
        <f t="shared" si="145"/>
        <v/>
      </c>
      <c r="AK188" s="4">
        <f t="shared" si="146"/>
        <v>43.600000000000264</v>
      </c>
      <c r="AL188">
        <f t="shared" si="128"/>
        <v>2233.0000000000318</v>
      </c>
      <c r="AM188">
        <f t="shared" si="129"/>
        <v>10070.099999999969</v>
      </c>
      <c r="AN188">
        <f>IF($AK187+$AK$1&lt;=Data!$H$4-0.5,AVERAGE(AM186:AM190),AN187)</f>
        <v>10070.099999999971</v>
      </c>
      <c r="AO188">
        <f t="shared" si="130"/>
        <v>8628.9999999999691</v>
      </c>
      <c r="AP188">
        <f t="shared" si="147"/>
        <v>9895.5999999999676</v>
      </c>
      <c r="AQ188">
        <f>IF($AK187+$AK$1&lt;=Data!$H$4-0.5,AVERAGE(AP186:AP190),AQ187)</f>
        <v>9895.5999999999676</v>
      </c>
      <c r="AR188">
        <f>IF($AK187+$AK$1&lt;=Data!$H$4-0.5,SLOPE($AN184:$AN192,$AK184:$AK192),AR187)</f>
        <v>-113.54166666666535</v>
      </c>
      <c r="AS188">
        <f>IF($AK187+$AK$1&lt;=Data!$H$4-0.5,SLOPE($AQ184:$AQ192,$AK184:$AK192),AS187)</f>
        <v>-126.23333333333359</v>
      </c>
      <c r="AT188" t="str">
        <f>IF(AND($AK188&gt;=Results!$G$13,$AK188&lt;=Results!$G$14),Curves!AR188,"")</f>
        <v/>
      </c>
      <c r="AU188" t="str">
        <f>IF(AND($AK188&gt;=Results!$G$13,$AK188&lt;=Results!$G$14),Curves!AS188,"")</f>
        <v/>
      </c>
      <c r="AV188">
        <f t="shared" si="131"/>
        <v>43.600000000000264</v>
      </c>
      <c r="AW188">
        <f>IF(AND($AK188&lt;=Results!$I$21,$AK188&gt;=Results!$I$20,$AK188&lt;=Results!$F$4),$AN188,"")</f>
        <v>10070.099999999971</v>
      </c>
      <c r="AX188" t="str">
        <f t="shared" si="131"/>
        <v/>
      </c>
      <c r="AY188" t="str">
        <f>IF(AND($AK188&lt;=Results!$I$23,$AK188&gt;=Results!$I$22,$AK188&gt;=Results!$F$4),$AN188,"")</f>
        <v/>
      </c>
      <c r="AZ188" t="str">
        <f t="shared" si="104"/>
        <v/>
      </c>
      <c r="BA188" t="str">
        <f>IF(AND($AK188&lt;=Results!$I$27,$AK188&gt;=Results!$I$26,$AK188&lt;=Results!$F$4),$AQ188,"")</f>
        <v/>
      </c>
      <c r="BB188" t="str">
        <f t="shared" si="105"/>
        <v/>
      </c>
      <c r="BC188" t="str">
        <f>IF(AND($AK188&lt;=Results!$I$29,$AK188&gt;=Results!$I$28,$AK188&gt;=Results!$F$4),$AQ188,"")</f>
        <v/>
      </c>
      <c r="BD188">
        <f t="shared" si="106"/>
        <v>10063.422789115621</v>
      </c>
      <c r="BE188">
        <f t="shared" si="107"/>
        <v>2029.3250582366672</v>
      </c>
      <c r="BF188">
        <f t="shared" si="108"/>
        <v>10006.815692677055</v>
      </c>
      <c r="BG188">
        <f t="shared" si="109"/>
        <v>1298.6418188286152</v>
      </c>
      <c r="BH188">
        <f t="shared" si="110"/>
        <v>0</v>
      </c>
      <c r="BI188">
        <f t="shared" si="111"/>
        <v>1.0008311089941919</v>
      </c>
      <c r="BJ188">
        <f t="shared" si="112"/>
        <v>0.98722858612055508</v>
      </c>
      <c r="BK188">
        <f t="shared" si="113"/>
        <v>-7.7620454260850507E-4</v>
      </c>
      <c r="BL188">
        <f t="shared" si="114"/>
        <v>-6.1583020694238278E-3</v>
      </c>
      <c r="BM188">
        <f t="shared" si="132"/>
        <v>120.00000000000055</v>
      </c>
      <c r="BN188">
        <f t="shared" si="133"/>
        <v>-120.00000000000739</v>
      </c>
      <c r="BO188">
        <f>Data!$H$2*(1-BI188)*(1-BI188/Data!$H$3)*BM188</f>
        <v>1.6577811845441007E-10</v>
      </c>
      <c r="BP188">
        <f t="shared" si="115"/>
        <v>-120.09973307930359</v>
      </c>
      <c r="BQ188">
        <f>Data!$H$2*(1-BJ188)*(1-BJ188/Data!$H$3)*BN188</f>
        <v>-3.914616299522118E-8</v>
      </c>
      <c r="BR188">
        <f t="shared" si="116"/>
        <v>118.4674303344739</v>
      </c>
      <c r="BS188">
        <f t="shared" si="117"/>
        <v>0</v>
      </c>
      <c r="BT188">
        <f t="shared" si="118"/>
        <v>0</v>
      </c>
      <c r="BU188">
        <f t="shared" si="119"/>
        <v>0</v>
      </c>
      <c r="BV188">
        <f t="shared" si="120"/>
        <v>0</v>
      </c>
      <c r="BW188">
        <f t="shared" si="134"/>
        <v>0</v>
      </c>
      <c r="BX188" t="str">
        <f t="shared" si="135"/>
        <v/>
      </c>
      <c r="BY188" s="66" t="str">
        <f t="shared" si="121"/>
        <v/>
      </c>
      <c r="BZ188" t="str">
        <f t="shared" si="122"/>
        <v/>
      </c>
      <c r="CA188" s="67" t="str">
        <f t="shared" si="123"/>
        <v/>
      </c>
    </row>
    <row r="189" spans="4:79" x14ac:dyDescent="0.25">
      <c r="D189" s="3" t="e">
        <f t="shared" si="148"/>
        <v>#DIV/0!</v>
      </c>
      <c r="E189" s="3" t="e">
        <f t="shared" si="148"/>
        <v>#DIV/0!</v>
      </c>
      <c r="F189" t="str">
        <f>IF(A189&gt;0,IF(F188=1,1,IF(B189=Data!$H$4,1,0)),"")</f>
        <v/>
      </c>
      <c r="O189" s="3"/>
      <c r="P189" s="3"/>
      <c r="Q189" t="str">
        <f t="shared" si="124"/>
        <v/>
      </c>
      <c r="R189" s="4" t="str">
        <f t="shared" si="125"/>
        <v/>
      </c>
      <c r="S189" t="e">
        <f t="shared" si="136"/>
        <v>#DIV/0!</v>
      </c>
      <c r="T189" t="e">
        <f t="shared" si="149"/>
        <v>#DIV/0!</v>
      </c>
      <c r="U189" s="4">
        <f t="shared" si="126"/>
        <v>0</v>
      </c>
      <c r="V189" t="e">
        <f t="shared" si="137"/>
        <v>#DIV/0!</v>
      </c>
      <c r="W189" t="e">
        <f t="shared" si="138"/>
        <v>#DIV/0!</v>
      </c>
      <c r="X189" t="e">
        <f t="shared" si="139"/>
        <v>#VALUE!</v>
      </c>
      <c r="Y189" t="e">
        <f t="shared" si="140"/>
        <v>#VALUE!</v>
      </c>
      <c r="Z189" t="e">
        <f t="shared" si="141"/>
        <v>#VALUE!</v>
      </c>
      <c r="AA189" t="e">
        <f t="shared" si="127"/>
        <v>#VALUE!</v>
      </c>
      <c r="AB189" t="str">
        <f t="shared" si="142"/>
        <v/>
      </c>
      <c r="AC189" t="str">
        <f t="shared" si="143"/>
        <v/>
      </c>
      <c r="AD189" t="str">
        <f t="shared" si="144"/>
        <v/>
      </c>
      <c r="AE189" t="str">
        <f t="shared" si="145"/>
        <v/>
      </c>
      <c r="AK189" s="4">
        <f t="shared" si="146"/>
        <v>43.700000000000266</v>
      </c>
      <c r="AL189">
        <f t="shared" si="128"/>
        <v>2245.0000000000318</v>
      </c>
      <c r="AM189">
        <f t="shared" si="129"/>
        <v>10058.69999999997</v>
      </c>
      <c r="AN189">
        <f>IF($AK188+$AK$1&lt;=Data!$H$4-0.5,AVERAGE(AM187:AM191),AN188)</f>
        <v>10058.699999999968</v>
      </c>
      <c r="AO189">
        <f t="shared" si="130"/>
        <v>8616.9999999999673</v>
      </c>
      <c r="AP189">
        <f t="shared" si="147"/>
        <v>9883.0333333333001</v>
      </c>
      <c r="AQ189">
        <f>IF($AK188+$AK$1&lt;=Data!$H$4-0.5,AVERAGE(AP187:AP191),AQ188)</f>
        <v>9883.0333333333001</v>
      </c>
      <c r="AR189">
        <f>IF($AK188+$AK$1&lt;=Data!$H$4-0.5,SLOPE($AN185:$AN193,$AK185:$AK193),AR188)</f>
        <v>-112.93055555555314</v>
      </c>
      <c r="AS189">
        <f>IF($AK188+$AK$1&lt;=Data!$H$4-0.5,SLOPE($AQ185:$AQ193,$AK185:$AK193),AS188)</f>
        <v>-126.98888888889181</v>
      </c>
      <c r="AT189" t="str">
        <f>IF(AND($AK189&gt;=Results!$G$13,$AK189&lt;=Results!$G$14),Curves!AR189,"")</f>
        <v/>
      </c>
      <c r="AU189" t="str">
        <f>IF(AND($AK189&gt;=Results!$G$13,$AK189&lt;=Results!$G$14),Curves!AS189,"")</f>
        <v/>
      </c>
      <c r="AV189">
        <f t="shared" si="131"/>
        <v>43.700000000000266</v>
      </c>
      <c r="AW189">
        <f>IF(AND($AK189&lt;=Results!$I$21,$AK189&gt;=Results!$I$20,$AK189&lt;=Results!$F$4),$AN189,"")</f>
        <v>10058.699999999968</v>
      </c>
      <c r="AX189" t="str">
        <f t="shared" si="131"/>
        <v/>
      </c>
      <c r="AY189" t="str">
        <f>IF(AND($AK189&lt;=Results!$I$23,$AK189&gt;=Results!$I$22,$AK189&gt;=Results!$F$4),$AN189,"")</f>
        <v/>
      </c>
      <c r="AZ189" t="str">
        <f t="shared" si="104"/>
        <v/>
      </c>
      <c r="BA189" t="str">
        <f>IF(AND($AK189&lt;=Results!$I$27,$AK189&gt;=Results!$I$26,$AK189&lt;=Results!$F$4),$AQ189,"")</f>
        <v/>
      </c>
      <c r="BB189" t="str">
        <f t="shared" si="105"/>
        <v/>
      </c>
      <c r="BC189" t="str">
        <f>IF(AND($AK189&lt;=Results!$I$29,$AK189&gt;=Results!$I$28,$AK189&gt;=Results!$F$4),$AQ189,"")</f>
        <v/>
      </c>
      <c r="BD189">
        <f t="shared" si="106"/>
        <v>10052.6525943177</v>
      </c>
      <c r="BE189">
        <f t="shared" si="107"/>
        <v>2026.0092689873466</v>
      </c>
      <c r="BF189">
        <f t="shared" si="108"/>
        <v>9999.5257104441625</v>
      </c>
      <c r="BG189">
        <f t="shared" si="109"/>
        <v>1298.0910178690901</v>
      </c>
      <c r="BH189">
        <f t="shared" si="110"/>
        <v>0</v>
      </c>
      <c r="BI189">
        <f t="shared" si="111"/>
        <v>1.0007534165201017</v>
      </c>
      <c r="BJ189">
        <f t="shared" si="112"/>
        <v>0.98661227932788309</v>
      </c>
      <c r="BK189">
        <f t="shared" si="113"/>
        <v>-7.7764694761727209E-4</v>
      </c>
      <c r="BL189">
        <f t="shared" si="114"/>
        <v>-6.1678448659346023E-3</v>
      </c>
      <c r="BM189">
        <f t="shared" si="132"/>
        <v>119.99999999999829</v>
      </c>
      <c r="BN189">
        <f t="shared" si="133"/>
        <v>-120.00000000000739</v>
      </c>
      <c r="BO189">
        <f>Data!$H$2*(1-BI189)*(1-BI189/Data!$H$3)*BM189</f>
        <v>1.3623274866293205E-10</v>
      </c>
      <c r="BP189">
        <f t="shared" si="115"/>
        <v>-120.09040998241051</v>
      </c>
      <c r="BQ189">
        <f>Data!$H$2*(1-BJ189)*(1-BJ189/Data!$H$3)*BN189</f>
        <v>-4.301545555071299E-8</v>
      </c>
      <c r="BR189">
        <f t="shared" si="116"/>
        <v>118.39347351935326</v>
      </c>
      <c r="BS189">
        <f t="shared" si="117"/>
        <v>0</v>
      </c>
      <c r="BT189">
        <f t="shared" si="118"/>
        <v>0</v>
      </c>
      <c r="BU189">
        <f t="shared" si="119"/>
        <v>0</v>
      </c>
      <c r="BV189">
        <f t="shared" si="120"/>
        <v>0</v>
      </c>
      <c r="BW189">
        <f t="shared" si="134"/>
        <v>0</v>
      </c>
      <c r="BX189" t="str">
        <f t="shared" si="135"/>
        <v/>
      </c>
      <c r="BY189" s="66" t="str">
        <f t="shared" si="121"/>
        <v/>
      </c>
      <c r="BZ189" t="str">
        <f t="shared" si="122"/>
        <v/>
      </c>
      <c r="CA189" s="67" t="str">
        <f t="shared" si="123"/>
        <v/>
      </c>
    </row>
    <row r="190" spans="4:79" x14ac:dyDescent="0.25">
      <c r="D190" s="3" t="e">
        <f t="shared" si="148"/>
        <v>#DIV/0!</v>
      </c>
      <c r="E190" s="3" t="e">
        <f t="shared" si="148"/>
        <v>#DIV/0!</v>
      </c>
      <c r="F190" t="str">
        <f>IF(A190&gt;0,IF(F189=1,1,IF(B190=Data!$H$4,1,0)),"")</f>
        <v/>
      </c>
      <c r="O190" s="3"/>
      <c r="P190" s="3"/>
      <c r="Q190" t="str">
        <f t="shared" si="124"/>
        <v/>
      </c>
      <c r="R190" s="4" t="str">
        <f t="shared" si="125"/>
        <v/>
      </c>
      <c r="S190" t="e">
        <f t="shared" si="136"/>
        <v>#DIV/0!</v>
      </c>
      <c r="T190" t="e">
        <f t="shared" si="149"/>
        <v>#DIV/0!</v>
      </c>
      <c r="U190" s="4">
        <f t="shared" si="126"/>
        <v>0</v>
      </c>
      <c r="V190" t="e">
        <f t="shared" si="137"/>
        <v>#DIV/0!</v>
      </c>
      <c r="W190" t="e">
        <f t="shared" si="138"/>
        <v>#DIV/0!</v>
      </c>
      <c r="X190" t="e">
        <f t="shared" si="139"/>
        <v>#VALUE!</v>
      </c>
      <c r="Y190" t="e">
        <f t="shared" si="140"/>
        <v>#VALUE!</v>
      </c>
      <c r="Z190" t="e">
        <f t="shared" si="141"/>
        <v>#VALUE!</v>
      </c>
      <c r="AA190" t="e">
        <f t="shared" si="127"/>
        <v>#VALUE!</v>
      </c>
      <c r="AB190" t="str">
        <f t="shared" si="142"/>
        <v/>
      </c>
      <c r="AC190" t="str">
        <f t="shared" si="143"/>
        <v/>
      </c>
      <c r="AD190" t="str">
        <f t="shared" si="144"/>
        <v/>
      </c>
      <c r="AE190" t="str">
        <f t="shared" si="145"/>
        <v/>
      </c>
      <c r="AK190" s="4">
        <f t="shared" si="146"/>
        <v>43.800000000000267</v>
      </c>
      <c r="AL190">
        <f t="shared" si="128"/>
        <v>2257.0000000000318</v>
      </c>
      <c r="AM190">
        <f t="shared" si="129"/>
        <v>10047.29999999997</v>
      </c>
      <c r="AN190">
        <f>IF($AK189+$AK$1&lt;=Data!$H$4-0.5,AVERAGE(AM188:AM192),AN189)</f>
        <v>10047.29999999997</v>
      </c>
      <c r="AO190">
        <f t="shared" si="130"/>
        <v>8604.9999999999673</v>
      </c>
      <c r="AP190">
        <f t="shared" si="147"/>
        <v>9870.4666666666344</v>
      </c>
      <c r="AQ190">
        <f>IF($AK189+$AK$1&lt;=Data!$H$4-0.5,AVERAGE(AP188:AP192),AQ189)</f>
        <v>9870.4666666666344</v>
      </c>
      <c r="AR190">
        <f>IF($AK189+$AK$1&lt;=Data!$H$4-0.5,SLOPE($AN186:$AN194,$AK186:$AK194),AR189)</f>
        <v>-112.01388888888619</v>
      </c>
      <c r="AS190">
        <f>IF($AK189+$AK$1&lt;=Data!$H$4-0.5,SLOPE($AQ186:$AQ194,$AK186:$AK194),AS189)</f>
        <v>-128.12222222222621</v>
      </c>
      <c r="AT190" t="str">
        <f>IF(AND($AK190&gt;=Results!$G$13,$AK190&lt;=Results!$G$14),Curves!AR190,"")</f>
        <v/>
      </c>
      <c r="AU190" t="str">
        <f>IF(AND($AK190&gt;=Results!$G$13,$AK190&lt;=Results!$G$14),Curves!AS190,"")</f>
        <v/>
      </c>
      <c r="AV190">
        <f t="shared" si="131"/>
        <v>43.800000000000267</v>
      </c>
      <c r="AW190">
        <f>IF(AND($AK190&lt;=Results!$I$21,$AK190&gt;=Results!$I$20,$AK190&lt;=Results!$F$4),$AN190,"")</f>
        <v>10047.29999999997</v>
      </c>
      <c r="AX190" t="str">
        <f t="shared" si="131"/>
        <v/>
      </c>
      <c r="AY190" t="str">
        <f>IF(AND($AK190&lt;=Results!$I$23,$AK190&gt;=Results!$I$22,$AK190&gt;=Results!$F$4),$AN190,"")</f>
        <v/>
      </c>
      <c r="AZ190" t="str">
        <f t="shared" si="104"/>
        <v/>
      </c>
      <c r="BA190" t="str">
        <f>IF(AND($AK190&lt;=Results!$I$27,$AK190&gt;=Results!$I$26,$AK190&lt;=Results!$F$4),$AQ190,"")</f>
        <v/>
      </c>
      <c r="BB190" t="str">
        <f t="shared" si="105"/>
        <v/>
      </c>
      <c r="BC190" t="str">
        <f>IF(AND($AK190&lt;=Results!$I$29,$AK190&gt;=Results!$I$28,$AK190&gt;=Results!$F$4),$AQ190,"")</f>
        <v/>
      </c>
      <c r="BD190">
        <f t="shared" si="106"/>
        <v>10041.882399519782</v>
      </c>
      <c r="BE190">
        <f t="shared" si="107"/>
        <v>2022.6934797380256</v>
      </c>
      <c r="BF190">
        <f t="shared" si="108"/>
        <v>9992.2357282112698</v>
      </c>
      <c r="BG190">
        <f t="shared" si="109"/>
        <v>1297.5402169095651</v>
      </c>
      <c r="BH190">
        <f t="shared" si="110"/>
        <v>0</v>
      </c>
      <c r="BI190">
        <f t="shared" si="111"/>
        <v>1.0006755796046685</v>
      </c>
      <c r="BJ190">
        <f t="shared" si="112"/>
        <v>0.98599501714736815</v>
      </c>
      <c r="BK190">
        <f t="shared" si="113"/>
        <v>-6.6467786991596556E-4</v>
      </c>
      <c r="BL190">
        <f t="shared" si="114"/>
        <v>-6.307858644055051E-3</v>
      </c>
      <c r="BM190">
        <f t="shared" si="132"/>
        <v>120.00000000000055</v>
      </c>
      <c r="BN190">
        <f t="shared" si="133"/>
        <v>-119.99999999999829</v>
      </c>
      <c r="BO190">
        <f>Data!$H$2*(1-BI190)*(1-BI190/Data!$H$3)*BM190</f>
        <v>1.0953787253855994E-10</v>
      </c>
      <c r="BP190">
        <f t="shared" si="115"/>
        <v>-120.08106955256078</v>
      </c>
      <c r="BQ190">
        <f>Data!$H$2*(1-BJ190)*(1-BJ190/Data!$H$3)*BN190</f>
        <v>-4.7073490728602268E-8</v>
      </c>
      <c r="BR190">
        <f t="shared" si="116"/>
        <v>118.3194020576825</v>
      </c>
      <c r="BS190">
        <f t="shared" si="117"/>
        <v>0</v>
      </c>
      <c r="BT190">
        <f t="shared" si="118"/>
        <v>0</v>
      </c>
      <c r="BU190">
        <f t="shared" si="119"/>
        <v>0</v>
      </c>
      <c r="BV190">
        <f t="shared" si="120"/>
        <v>0</v>
      </c>
      <c r="BW190">
        <f t="shared" si="134"/>
        <v>0</v>
      </c>
      <c r="BX190" t="str">
        <f t="shared" si="135"/>
        <v/>
      </c>
      <c r="BY190" s="66" t="str">
        <f t="shared" si="121"/>
        <v/>
      </c>
      <c r="BZ190" t="str">
        <f t="shared" si="122"/>
        <v/>
      </c>
      <c r="CA190" s="67" t="str">
        <f t="shared" si="123"/>
        <v/>
      </c>
    </row>
    <row r="191" spans="4:79" x14ac:dyDescent="0.25">
      <c r="D191" s="3" t="e">
        <f t="shared" si="148"/>
        <v>#DIV/0!</v>
      </c>
      <c r="E191" s="3" t="e">
        <f t="shared" si="148"/>
        <v>#DIV/0!</v>
      </c>
      <c r="F191" t="str">
        <f>IF(A191&gt;0,IF(F190=1,1,IF(B191=Data!$H$4,1,0)),"")</f>
        <v/>
      </c>
      <c r="O191" s="3"/>
      <c r="P191" s="3"/>
      <c r="Q191" t="str">
        <f t="shared" si="124"/>
        <v/>
      </c>
      <c r="R191" s="4" t="str">
        <f t="shared" si="125"/>
        <v/>
      </c>
      <c r="S191" t="e">
        <f t="shared" si="136"/>
        <v>#DIV/0!</v>
      </c>
      <c r="T191" t="e">
        <f t="shared" si="149"/>
        <v>#DIV/0!</v>
      </c>
      <c r="U191" s="4">
        <f t="shared" si="126"/>
        <v>0</v>
      </c>
      <c r="V191" t="e">
        <f t="shared" si="137"/>
        <v>#DIV/0!</v>
      </c>
      <c r="W191" t="e">
        <f t="shared" si="138"/>
        <v>#DIV/0!</v>
      </c>
      <c r="X191" t="e">
        <f t="shared" si="139"/>
        <v>#VALUE!</v>
      </c>
      <c r="Y191" t="e">
        <f t="shared" si="140"/>
        <v>#VALUE!</v>
      </c>
      <c r="Z191" t="e">
        <f t="shared" si="141"/>
        <v>#VALUE!</v>
      </c>
      <c r="AA191" t="e">
        <f t="shared" si="127"/>
        <v>#VALUE!</v>
      </c>
      <c r="AB191" t="str">
        <f t="shared" si="142"/>
        <v/>
      </c>
      <c r="AC191" t="str">
        <f t="shared" si="143"/>
        <v/>
      </c>
      <c r="AD191" t="str">
        <f t="shared" si="144"/>
        <v/>
      </c>
      <c r="AE191" t="str">
        <f t="shared" si="145"/>
        <v/>
      </c>
      <c r="AK191" s="4">
        <f t="shared" si="146"/>
        <v>43.900000000000269</v>
      </c>
      <c r="AL191">
        <f t="shared" si="128"/>
        <v>2269.0000000000323</v>
      </c>
      <c r="AM191">
        <f t="shared" si="129"/>
        <v>10035.899999999969</v>
      </c>
      <c r="AN191">
        <f>IF($AK190+$AK$1&lt;=Data!$H$4-0.5,AVERAGE(AM189:AM193),AN190)</f>
        <v>10036.083333333303</v>
      </c>
      <c r="AO191">
        <f t="shared" si="130"/>
        <v>8592.9999999999673</v>
      </c>
      <c r="AP191">
        <f t="shared" si="147"/>
        <v>9857.8999999999669</v>
      </c>
      <c r="AQ191">
        <f>IF($AK190+$AK$1&lt;=Data!$H$4-0.5,AVERAGE(AP189:AP193),AQ190)</f>
        <v>9857.6733333332995</v>
      </c>
      <c r="AR191">
        <f>IF($AK190+$AK$1&lt;=Data!$H$4-0.5,SLOPE($AN187:$AN195,$AK187:$AK195),AR190)</f>
        <v>-110.79166666666357</v>
      </c>
      <c r="AS191">
        <f>IF($AK190+$AK$1&lt;=Data!$H$4-0.5,SLOPE($AQ187:$AQ195,$AK187:$AK195),AS190)</f>
        <v>-129.63333333333745</v>
      </c>
      <c r="AT191" t="str">
        <f>IF(AND($AK191&gt;=Results!$G$13,$AK191&lt;=Results!$G$14),Curves!AR191,"")</f>
        <v/>
      </c>
      <c r="AU191" t="str">
        <f>IF(AND($AK191&gt;=Results!$G$13,$AK191&lt;=Results!$G$14),Curves!AS191,"")</f>
        <v/>
      </c>
      <c r="AV191">
        <f t="shared" si="131"/>
        <v>43.900000000000269</v>
      </c>
      <c r="AW191">
        <f>IF(AND($AK191&lt;=Results!$I$21,$AK191&gt;=Results!$I$20,$AK191&lt;=Results!$F$4),$AN191,"")</f>
        <v>10036.083333333303</v>
      </c>
      <c r="AX191" t="str">
        <f t="shared" si="131"/>
        <v/>
      </c>
      <c r="AY191" t="str">
        <f>IF(AND($AK191&lt;=Results!$I$23,$AK191&gt;=Results!$I$22,$AK191&gt;=Results!$F$4),$AN191,"")</f>
        <v/>
      </c>
      <c r="AZ191" t="str">
        <f t="shared" si="104"/>
        <v/>
      </c>
      <c r="BA191" t="str">
        <f>IF(AND($AK191&lt;=Results!$I$27,$AK191&gt;=Results!$I$26,$AK191&lt;=Results!$F$4),$AQ191,"")</f>
        <v/>
      </c>
      <c r="BB191" t="str">
        <f t="shared" si="105"/>
        <v/>
      </c>
      <c r="BC191" t="str">
        <f>IF(AND($AK191&lt;=Results!$I$29,$AK191&gt;=Results!$I$28,$AK191&gt;=Results!$F$4),$AQ191,"")</f>
        <v/>
      </c>
      <c r="BD191">
        <f t="shared" si="106"/>
        <v>10031.112204721861</v>
      </c>
      <c r="BE191">
        <f t="shared" si="107"/>
        <v>2019.377690488705</v>
      </c>
      <c r="BF191">
        <f t="shared" si="108"/>
        <v>9984.9457459783771</v>
      </c>
      <c r="BG191">
        <f t="shared" si="109"/>
        <v>1296.9894159500402</v>
      </c>
      <c r="BH191">
        <f t="shared" si="110"/>
        <v>0</v>
      </c>
      <c r="BI191">
        <f t="shared" si="111"/>
        <v>1.0006204809461186</v>
      </c>
      <c r="BJ191">
        <f t="shared" si="112"/>
        <v>0.98535070759907206</v>
      </c>
      <c r="BK191">
        <f t="shared" si="113"/>
        <v>-4.3697765817362553E-4</v>
      </c>
      <c r="BL191">
        <f t="shared" si="114"/>
        <v>-6.5786472727124177E-3</v>
      </c>
      <c r="BM191">
        <f t="shared" si="132"/>
        <v>120.00000000000055</v>
      </c>
      <c r="BN191">
        <f t="shared" si="133"/>
        <v>-119.99999999999829</v>
      </c>
      <c r="BO191">
        <f>Data!$H$2*(1-BI191)*(1-BI191/Data!$H$3)*BM191</f>
        <v>9.2399185079081801E-11</v>
      </c>
      <c r="BP191">
        <f t="shared" si="115"/>
        <v>-120.07445771353478</v>
      </c>
      <c r="BQ191">
        <f>Data!$H$2*(1-BJ191)*(1-BJ191/Data!$H$3)*BN191</f>
        <v>-5.1504424283491676E-8</v>
      </c>
      <c r="BR191">
        <f t="shared" si="116"/>
        <v>118.24208491188696</v>
      </c>
      <c r="BS191">
        <f t="shared" si="117"/>
        <v>0</v>
      </c>
      <c r="BT191">
        <f t="shared" si="118"/>
        <v>0</v>
      </c>
      <c r="BU191">
        <f t="shared" si="119"/>
        <v>0</v>
      </c>
      <c r="BV191">
        <f t="shared" si="120"/>
        <v>0</v>
      </c>
      <c r="BW191">
        <f t="shared" si="134"/>
        <v>0</v>
      </c>
      <c r="BX191" t="str">
        <f t="shared" si="135"/>
        <v/>
      </c>
      <c r="BY191" s="66" t="str">
        <f t="shared" si="121"/>
        <v/>
      </c>
      <c r="BZ191" t="str">
        <f t="shared" si="122"/>
        <v/>
      </c>
      <c r="CA191" s="67" t="str">
        <f t="shared" si="123"/>
        <v/>
      </c>
    </row>
    <row r="192" spans="4:79" x14ac:dyDescent="0.25">
      <c r="D192" s="3" t="e">
        <f t="shared" si="148"/>
        <v>#DIV/0!</v>
      </c>
      <c r="E192" s="3" t="e">
        <f t="shared" si="148"/>
        <v>#DIV/0!</v>
      </c>
      <c r="F192" t="str">
        <f>IF(A192&gt;0,IF(F191=1,1,IF(B192=Data!$H$4,1,0)),"")</f>
        <v/>
      </c>
      <c r="O192" s="3"/>
      <c r="P192" s="3"/>
      <c r="Q192" t="str">
        <f t="shared" si="124"/>
        <v/>
      </c>
      <c r="R192" s="4" t="str">
        <f t="shared" si="125"/>
        <v/>
      </c>
      <c r="S192" t="e">
        <f t="shared" si="136"/>
        <v>#DIV/0!</v>
      </c>
      <c r="T192" t="e">
        <f t="shared" si="149"/>
        <v>#DIV/0!</v>
      </c>
      <c r="U192" s="4">
        <f t="shared" si="126"/>
        <v>0</v>
      </c>
      <c r="V192" t="e">
        <f t="shared" si="137"/>
        <v>#DIV/0!</v>
      </c>
      <c r="W192" t="e">
        <f t="shared" si="138"/>
        <v>#DIV/0!</v>
      </c>
      <c r="X192" t="e">
        <f t="shared" si="139"/>
        <v>#VALUE!</v>
      </c>
      <c r="Y192" t="e">
        <f t="shared" si="140"/>
        <v>#VALUE!</v>
      </c>
      <c r="Z192" t="e">
        <f t="shared" si="141"/>
        <v>#VALUE!</v>
      </c>
      <c r="AA192" t="e">
        <f t="shared" si="127"/>
        <v>#VALUE!</v>
      </c>
      <c r="AB192" t="str">
        <f t="shared" si="142"/>
        <v/>
      </c>
      <c r="AC192" t="str">
        <f t="shared" si="143"/>
        <v/>
      </c>
      <c r="AD192" t="str">
        <f t="shared" si="144"/>
        <v/>
      </c>
      <c r="AE192" t="str">
        <f t="shared" si="145"/>
        <v/>
      </c>
      <c r="AK192" s="4">
        <f t="shared" si="146"/>
        <v>44.00000000000027</v>
      </c>
      <c r="AL192">
        <f t="shared" si="128"/>
        <v>2281.0000000000323</v>
      </c>
      <c r="AM192">
        <f t="shared" si="129"/>
        <v>10024.499999999971</v>
      </c>
      <c r="AN192">
        <f>IF($AK191+$AK$1&lt;=Data!$H$4-0.5,AVERAGE(AM190:AM194),AN191)</f>
        <v>10025.04999999997</v>
      </c>
      <c r="AO192">
        <f t="shared" si="130"/>
        <v>8580.9999999999673</v>
      </c>
      <c r="AP192">
        <f t="shared" si="147"/>
        <v>9845.3333333332976</v>
      </c>
      <c r="AQ192">
        <f>IF($AK191+$AK$1&lt;=Data!$H$4-0.5,AVERAGE(AP190:AP194),AQ191)</f>
        <v>9844.6533333332991</v>
      </c>
      <c r="AR192">
        <f>IF($AK191+$AK$1&lt;=Data!$H$4-0.5,SLOPE($AN188:$AN196,$AK188:$AK196),AR191)</f>
        <v>-109.4166666666633</v>
      </c>
      <c r="AS192">
        <f>IF($AK191+$AK$1&lt;=Data!$H$4-0.5,SLOPE($AQ188:$AQ196,$AK188:$AK196),AS191)</f>
        <v>-131.33333333333931</v>
      </c>
      <c r="AT192" t="str">
        <f>IF(AND($AK192&gt;=Results!$G$13,$AK192&lt;=Results!$G$14),Curves!AR192,"")</f>
        <v/>
      </c>
      <c r="AU192" t="str">
        <f>IF(AND($AK192&gt;=Results!$G$13,$AK192&lt;=Results!$G$14),Curves!AS192,"")</f>
        <v/>
      </c>
      <c r="AV192">
        <f t="shared" si="131"/>
        <v>44.00000000000027</v>
      </c>
      <c r="AW192">
        <f>IF(AND($AK192&lt;=Results!$I$21,$AK192&gt;=Results!$I$20,$AK192&lt;=Results!$F$4),$AN192,"")</f>
        <v>10025.04999999997</v>
      </c>
      <c r="AX192" t="str">
        <f t="shared" si="131"/>
        <v/>
      </c>
      <c r="AY192" t="str">
        <f>IF(AND($AK192&lt;=Results!$I$23,$AK192&gt;=Results!$I$22,$AK192&gt;=Results!$F$4),$AN192,"")</f>
        <v/>
      </c>
      <c r="AZ192" t="str">
        <f t="shared" si="104"/>
        <v/>
      </c>
      <c r="BA192" t="str">
        <f>IF(AND($AK192&lt;=Results!$I$27,$AK192&gt;=Results!$I$26,$AK192&lt;=Results!$F$4),$AQ192,"")</f>
        <v/>
      </c>
      <c r="BB192" t="str">
        <f t="shared" si="105"/>
        <v/>
      </c>
      <c r="BC192" t="str">
        <f>IF(AND($AK192&lt;=Results!$I$29,$AK192&gt;=Results!$I$28,$AK192&gt;=Results!$F$4),$AQ192,"")</f>
        <v/>
      </c>
      <c r="BD192">
        <f t="shared" si="106"/>
        <v>10020.342009923941</v>
      </c>
      <c r="BE192">
        <f t="shared" si="107"/>
        <v>2016.061901239384</v>
      </c>
      <c r="BF192">
        <f t="shared" si="108"/>
        <v>9977.6557637454825</v>
      </c>
      <c r="BG192">
        <f t="shared" si="109"/>
        <v>1296.4386149905151</v>
      </c>
      <c r="BH192">
        <f t="shared" si="110"/>
        <v>0</v>
      </c>
      <c r="BI192">
        <f t="shared" si="111"/>
        <v>1.0005881840730337</v>
      </c>
      <c r="BJ192">
        <f t="shared" si="112"/>
        <v>0.98467928769282564</v>
      </c>
      <c r="BK192">
        <f t="shared" si="113"/>
        <v>-2.0864097622363666E-4</v>
      </c>
      <c r="BL192">
        <f t="shared" si="114"/>
        <v>-6.8500667818087871E-3</v>
      </c>
      <c r="BM192">
        <f t="shared" si="132"/>
        <v>120.00000000000055</v>
      </c>
      <c r="BN192">
        <f t="shared" si="133"/>
        <v>-119.99999999999829</v>
      </c>
      <c r="BO192">
        <f>Data!$H$2*(1-BI192)*(1-BI192/Data!$H$3)*BM192</f>
        <v>8.3030520904934026E-11</v>
      </c>
      <c r="BP192">
        <f t="shared" si="115"/>
        <v>-120.07058208876461</v>
      </c>
      <c r="BQ192">
        <f>Data!$H$2*(1-BJ192)*(1-BJ192/Data!$H$3)*BN192</f>
        <v>-5.6333814143808096E-8</v>
      </c>
      <c r="BR192">
        <f t="shared" si="116"/>
        <v>118.1615145231374</v>
      </c>
      <c r="BS192">
        <f t="shared" si="117"/>
        <v>0</v>
      </c>
      <c r="BT192">
        <f t="shared" si="118"/>
        <v>0</v>
      </c>
      <c r="BU192">
        <f t="shared" si="119"/>
        <v>0</v>
      </c>
      <c r="BV192">
        <f t="shared" si="120"/>
        <v>0</v>
      </c>
      <c r="BW192">
        <f t="shared" si="134"/>
        <v>0</v>
      </c>
      <c r="BX192" t="str">
        <f t="shared" si="135"/>
        <v/>
      </c>
      <c r="BY192" s="66" t="str">
        <f t="shared" si="121"/>
        <v/>
      </c>
      <c r="BZ192" t="str">
        <f t="shared" si="122"/>
        <v/>
      </c>
      <c r="CA192" s="67" t="str">
        <f t="shared" si="123"/>
        <v/>
      </c>
    </row>
    <row r="193" spans="4:79" x14ac:dyDescent="0.25">
      <c r="D193" s="3" t="e">
        <f t="shared" si="148"/>
        <v>#DIV/0!</v>
      </c>
      <c r="E193" s="3" t="e">
        <f t="shared" si="148"/>
        <v>#DIV/0!</v>
      </c>
      <c r="F193" t="str">
        <f>IF(A193&gt;0,IF(F192=1,1,IF(B193=Data!$H$4,1,0)),"")</f>
        <v/>
      </c>
      <c r="O193" s="3"/>
      <c r="P193" s="3"/>
      <c r="Q193" t="str">
        <f t="shared" si="124"/>
        <v/>
      </c>
      <c r="R193" s="4" t="str">
        <f t="shared" si="125"/>
        <v/>
      </c>
      <c r="S193" t="e">
        <f t="shared" si="136"/>
        <v>#DIV/0!</v>
      </c>
      <c r="T193" t="e">
        <f t="shared" si="149"/>
        <v>#DIV/0!</v>
      </c>
      <c r="U193" s="4">
        <f t="shared" si="126"/>
        <v>0</v>
      </c>
      <c r="V193" t="e">
        <f t="shared" si="137"/>
        <v>#DIV/0!</v>
      </c>
      <c r="W193" t="e">
        <f t="shared" si="138"/>
        <v>#DIV/0!</v>
      </c>
      <c r="X193" t="e">
        <f t="shared" si="139"/>
        <v>#VALUE!</v>
      </c>
      <c r="Y193" t="e">
        <f t="shared" si="140"/>
        <v>#VALUE!</v>
      </c>
      <c r="Z193" t="e">
        <f t="shared" si="141"/>
        <v>#VALUE!</v>
      </c>
      <c r="AA193" t="e">
        <f t="shared" si="127"/>
        <v>#VALUE!</v>
      </c>
      <c r="AB193" t="str">
        <f t="shared" si="142"/>
        <v/>
      </c>
      <c r="AC193" t="str">
        <f t="shared" si="143"/>
        <v/>
      </c>
      <c r="AD193" t="str">
        <f t="shared" si="144"/>
        <v/>
      </c>
      <c r="AE193" t="str">
        <f t="shared" si="145"/>
        <v/>
      </c>
      <c r="AK193" s="4">
        <f t="shared" si="146"/>
        <v>44.100000000000271</v>
      </c>
      <c r="AL193">
        <f t="shared" si="128"/>
        <v>2293.0000000000327</v>
      </c>
      <c r="AM193">
        <f t="shared" si="129"/>
        <v>10014.016666666637</v>
      </c>
      <c r="AN193">
        <f>IF($AK192+$AK$1&lt;=Data!$H$4-0.5,AVERAGE(AM191:AM195),AN192)</f>
        <v>10014.199999999972</v>
      </c>
      <c r="AO193">
        <f t="shared" si="130"/>
        <v>8568.9999999999673</v>
      </c>
      <c r="AP193">
        <f t="shared" si="147"/>
        <v>9831.6333333332968</v>
      </c>
      <c r="AQ193">
        <f>IF($AK192+$AK$1&lt;=Data!$H$4-0.5,AVERAGE(AP191:AP195),AQ192)</f>
        <v>9831.4066666666295</v>
      </c>
      <c r="AR193">
        <f>IF($AK192+$AK$1&lt;=Data!$H$4-0.5,SLOPE($AN189:$AN197,$AK189:$AK197),AR192)</f>
        <v>-108.04166666666175</v>
      </c>
      <c r="AS193">
        <f>IF($AK192+$AK$1&lt;=Data!$H$4-0.5,SLOPE($AQ189:$AQ197,$AK189:$AK197),AS192)</f>
        <v>-133.03333333333882</v>
      </c>
      <c r="AT193" t="str">
        <f>IF(AND($AK193&gt;=Results!$G$13,$AK193&lt;=Results!$G$14),Curves!AR193,"")</f>
        <v/>
      </c>
      <c r="AU193" t="str">
        <f>IF(AND($AK193&gt;=Results!$G$13,$AK193&lt;=Results!$G$14),Curves!AS193,"")</f>
        <v/>
      </c>
      <c r="AV193">
        <f t="shared" si="131"/>
        <v>44.100000000000271</v>
      </c>
      <c r="AW193">
        <f>IF(AND($AK193&lt;=Results!$I$21,$AK193&gt;=Results!$I$20,$AK193&lt;=Results!$F$4),$AN193,"")</f>
        <v>10014.199999999972</v>
      </c>
      <c r="AX193" t="str">
        <f t="shared" si="131"/>
        <v/>
      </c>
      <c r="AY193" t="str">
        <f>IF(AND($AK193&lt;=Results!$I$23,$AK193&gt;=Results!$I$22,$AK193&gt;=Results!$F$4),$AN193,"")</f>
        <v/>
      </c>
      <c r="AZ193" t="str">
        <f t="shared" si="104"/>
        <v/>
      </c>
      <c r="BA193" t="str">
        <f>IF(AND($AK193&lt;=Results!$I$27,$AK193&gt;=Results!$I$26,$AK193&lt;=Results!$F$4),$AQ193,"")</f>
        <v/>
      </c>
      <c r="BB193" t="str">
        <f t="shared" si="105"/>
        <v/>
      </c>
      <c r="BC193" t="str">
        <f>IF(AND($AK193&lt;=Results!$I$29,$AK193&gt;=Results!$I$28,$AK193&gt;=Results!$F$4),$AQ193,"")</f>
        <v/>
      </c>
      <c r="BD193">
        <f t="shared" si="106"/>
        <v>10009.571815126023</v>
      </c>
      <c r="BE193">
        <f t="shared" si="107"/>
        <v>2012.7461119900631</v>
      </c>
      <c r="BF193">
        <f t="shared" si="108"/>
        <v>9970.3657815125898</v>
      </c>
      <c r="BG193">
        <f t="shared" si="109"/>
        <v>1295.8878140309901</v>
      </c>
      <c r="BH193">
        <f t="shared" si="110"/>
        <v>0</v>
      </c>
      <c r="BI193">
        <f t="shared" si="111"/>
        <v>1.0005787527508738</v>
      </c>
      <c r="BJ193">
        <f t="shared" si="112"/>
        <v>0.98398069424271029</v>
      </c>
      <c r="BK193">
        <f t="shared" si="113"/>
        <v>2.0334550240308211E-5</v>
      </c>
      <c r="BL193">
        <f t="shared" si="114"/>
        <v>-7.1221191326236262E-3</v>
      </c>
      <c r="BM193">
        <f t="shared" si="132"/>
        <v>120.00000000000055</v>
      </c>
      <c r="BN193">
        <f t="shared" si="133"/>
        <v>-119.99999999999829</v>
      </c>
      <c r="BO193">
        <f>Data!$H$2*(1-BI193)*(1-BI193/Data!$H$3)*BM193</f>
        <v>8.0389139194564622E-11</v>
      </c>
      <c r="BP193">
        <f t="shared" si="115"/>
        <v>-120.06945033010541</v>
      </c>
      <c r="BQ193">
        <f>Data!$H$2*(1-BJ193)*(1-BJ193/Data!$H$3)*BN193</f>
        <v>-6.1588357666927624E-8</v>
      </c>
      <c r="BR193">
        <f t="shared" si="116"/>
        <v>118.07768330912356</v>
      </c>
      <c r="BS193">
        <f t="shared" si="117"/>
        <v>0</v>
      </c>
      <c r="BT193">
        <f t="shared" si="118"/>
        <v>0</v>
      </c>
      <c r="BU193">
        <f t="shared" si="119"/>
        <v>0</v>
      </c>
      <c r="BV193">
        <f t="shared" si="120"/>
        <v>0</v>
      </c>
      <c r="BW193">
        <f t="shared" si="134"/>
        <v>0</v>
      </c>
      <c r="BX193" t="str">
        <f t="shared" si="135"/>
        <v/>
      </c>
      <c r="BY193" s="66" t="str">
        <f t="shared" si="121"/>
        <v/>
      </c>
      <c r="BZ193" t="str">
        <f t="shared" si="122"/>
        <v/>
      </c>
      <c r="CA193" s="67" t="str">
        <f t="shared" si="123"/>
        <v/>
      </c>
    </row>
    <row r="194" spans="4:79" x14ac:dyDescent="0.25">
      <c r="D194" s="3" t="e">
        <f t="shared" si="148"/>
        <v>#DIV/0!</v>
      </c>
      <c r="E194" s="3" t="e">
        <f t="shared" si="148"/>
        <v>#DIV/0!</v>
      </c>
      <c r="F194" t="str">
        <f>IF(A194&gt;0,IF(F193=1,1,IF(B194=Data!$H$4,1,0)),"")</f>
        <v/>
      </c>
      <c r="O194" s="3"/>
      <c r="P194" s="3"/>
      <c r="Q194" t="str">
        <f t="shared" si="124"/>
        <v/>
      </c>
      <c r="R194" s="4" t="str">
        <f t="shared" si="125"/>
        <v/>
      </c>
      <c r="S194" t="e">
        <f t="shared" si="136"/>
        <v>#DIV/0!</v>
      </c>
      <c r="T194" t="e">
        <f t="shared" si="149"/>
        <v>#DIV/0!</v>
      </c>
      <c r="U194" s="4">
        <f t="shared" si="126"/>
        <v>0</v>
      </c>
      <c r="V194" t="e">
        <f t="shared" si="137"/>
        <v>#DIV/0!</v>
      </c>
      <c r="W194" t="e">
        <f t="shared" si="138"/>
        <v>#DIV/0!</v>
      </c>
      <c r="X194" t="e">
        <f t="shared" si="139"/>
        <v>#VALUE!</v>
      </c>
      <c r="Y194" t="e">
        <f t="shared" si="140"/>
        <v>#VALUE!</v>
      </c>
      <c r="Z194" t="e">
        <f t="shared" si="141"/>
        <v>#VALUE!</v>
      </c>
      <c r="AA194" t="e">
        <f t="shared" si="127"/>
        <v>#VALUE!</v>
      </c>
      <c r="AB194" t="str">
        <f t="shared" si="142"/>
        <v/>
      </c>
      <c r="AC194" t="str">
        <f t="shared" si="143"/>
        <v/>
      </c>
      <c r="AD194" t="str">
        <f t="shared" si="144"/>
        <v/>
      </c>
      <c r="AE194" t="str">
        <f t="shared" si="145"/>
        <v/>
      </c>
      <c r="AK194" s="4">
        <f t="shared" si="146"/>
        <v>44.200000000000273</v>
      </c>
      <c r="AL194">
        <f t="shared" si="128"/>
        <v>2305.0000000000327</v>
      </c>
      <c r="AM194">
        <f t="shared" si="129"/>
        <v>10003.533333333304</v>
      </c>
      <c r="AN194">
        <f>IF($AK193+$AK$1&lt;=Data!$H$4-0.5,AVERAGE(AM192:AM196),AN193)</f>
        <v>10003.533333333304</v>
      </c>
      <c r="AO194">
        <f t="shared" si="130"/>
        <v>8556.9999999999673</v>
      </c>
      <c r="AP194">
        <f t="shared" si="147"/>
        <v>9817.9333333332961</v>
      </c>
      <c r="AQ194">
        <f>IF($AK193+$AK$1&lt;=Data!$H$4-0.5,AVERAGE(AP192:AP196),AQ193)</f>
        <v>9817.9333333332961</v>
      </c>
      <c r="AR194">
        <f>IF($AK193+$AK$1&lt;=Data!$H$4-0.5,SLOPE($AN190:$AN198,$AK190:$AK198),AR193)</f>
        <v>-106.819444444441</v>
      </c>
      <c r="AS194">
        <f>IF($AK193+$AK$1&lt;=Data!$H$4-0.5,SLOPE($AQ190:$AQ198,$AK190:$AK198),AS193)</f>
        <v>-134.54444444444977</v>
      </c>
      <c r="AT194" t="str">
        <f>IF(AND($AK194&gt;=Results!$G$13,$AK194&lt;=Results!$G$14),Curves!AR194,"")</f>
        <v/>
      </c>
      <c r="AU194" t="str">
        <f>IF(AND($AK194&gt;=Results!$G$13,$AK194&lt;=Results!$G$14),Curves!AS194,"")</f>
        <v/>
      </c>
      <c r="AV194">
        <f t="shared" si="131"/>
        <v>44.200000000000273</v>
      </c>
      <c r="AW194">
        <f>IF(AND($AK194&lt;=Results!$I$21,$AK194&gt;=Results!$I$20,$AK194&lt;=Results!$F$4),$AN194,"")</f>
        <v>10003.533333333304</v>
      </c>
      <c r="AX194" t="str">
        <f t="shared" si="131"/>
        <v/>
      </c>
      <c r="AY194" t="str">
        <f>IF(AND($AK194&lt;=Results!$I$23,$AK194&gt;=Results!$I$22,$AK194&gt;=Results!$F$4),$AN194,"")</f>
        <v/>
      </c>
      <c r="AZ194" t="str">
        <f t="shared" ref="AZ194:AZ257" si="150">IF(BA194="","",$AK194)</f>
        <v/>
      </c>
      <c r="BA194" t="str">
        <f>IF(AND($AK194&lt;=Results!$I$27,$AK194&gt;=Results!$I$26,$AK194&lt;=Results!$F$4),$AQ194,"")</f>
        <v/>
      </c>
      <c r="BB194" t="str">
        <f t="shared" ref="BB194:BB257" si="151">IF(BC194="","",$AK194)</f>
        <v/>
      </c>
      <c r="BC194" t="str">
        <f>IF(AND($AK194&lt;=Results!$I$29,$AK194&gt;=Results!$I$28,$AK194&gt;=Results!$F$4),$AQ194,"")</f>
        <v/>
      </c>
      <c r="BD194">
        <f t="shared" ref="BD194:BD257" si="152">IF($AV$513&gt;0,INTERCEPT($AW$2:$AW$512,$AV$2:$AV$512)+$AK194*SLOPE($AW$2:$AW$512,$AV$2:$AV$512),INTERCEPT($AN$2:$AN$30,$AK$2:$AK$30)+$AK194*SLOPE($AN$2:$AN$30,$AK$2:$AK$30))</f>
        <v>9998.8016203281022</v>
      </c>
      <c r="BE194">
        <f t="shared" ref="BE194:BE257" si="153">IF($AX$513&gt;0,INTERCEPT($AY$2:$AY$512,$AX$2:$AX$512)+$AK194*SLOPE($AY$2:$AY$512,$AX$2:$AX$512),INTERCEPT($AN$460:$AN$512,$AK$460:$AK$512)+$AK194*SLOPE($AN$460:$AN$512,$AK$460:$AK$512))</f>
        <v>2009.4303227407424</v>
      </c>
      <c r="BF194">
        <f t="shared" ref="BF194:BF257" si="154">IF($AZ$513&gt;0,INTERCEPT($BA$2:$BA$512,$AZ$2:$AZ$512)+$AK194*SLOPE($BA$2:$BA$512,$AZ$2:$AZ$512),INTERCEPT($AQ$2:$AQ$30,$AK$2:$AK$30)+$AK194*SLOPE($AQ$2:$AQ$30,$AK$2:$AK$30))</f>
        <v>9963.0757992796971</v>
      </c>
      <c r="BG194">
        <f t="shared" ref="BG194:BG257" si="155">IF($BB$513&gt;0,INTERCEPT($BC$2:$BC$512,$BB$2:$BB$512)+$AK194*SLOPE($BC$2:$BC$512,$BB$2:$BB$512),INTERCEPT($AQ$460:$AQ$512,$AK$460:$AK$512)+$AK194*SLOPE($AQ$460:$AQ$512,$AK$460:$AK$512))</f>
        <v>1295.3370130714652</v>
      </c>
      <c r="BH194">
        <f t="shared" ref="BH194:BH257" si="156">IF(OR(BJ194=0.5,AND(BJ194&gt;0.5,BJ195&lt;0.5)),$AK$1*(0.5-BJ194)/(BJ195-BJ194)+AK194,0)</f>
        <v>0</v>
      </c>
      <c r="BI194">
        <f t="shared" ref="BI194:BI257" si="157">1-(AN194-BD194)/(BE194-BD194)</f>
        <v>1.0005922509830818</v>
      </c>
      <c r="BJ194">
        <f t="shared" ref="BJ194:BJ257" si="158">1-(AQ194-BF194)/(BG194-BF194)</f>
        <v>0.9832548638663009</v>
      </c>
      <c r="BK194">
        <f t="shared" ref="BK194:BK257" si="159">SLOPE($BI193:$BI195,$AK193:$AK195)</f>
        <v>2.4995130660454199E-4</v>
      </c>
      <c r="BL194">
        <f t="shared" ref="BL194:BL257" si="160">SLOPE($BJ193:$BJ195,$AK193:$AK195)</f>
        <v>-7.3948062940630884E-3</v>
      </c>
      <c r="BM194">
        <f t="shared" si="132"/>
        <v>119.99999999999829</v>
      </c>
      <c r="BN194">
        <f t="shared" si="133"/>
        <v>-119.99999999999829</v>
      </c>
      <c r="BO194">
        <f>Data!$H$2*(1-BI194)*(1-BI194/Data!$H$3)*BM194</f>
        <v>8.418269447072458E-11</v>
      </c>
      <c r="BP194">
        <f t="shared" ref="BP194:BP257" si="161">-BI194*BM194</f>
        <v>-120.07107011796811</v>
      </c>
      <c r="BQ194">
        <f>Data!$H$2*(1-BJ194)*(1-BJ194/Data!$H$3)*BN194</f>
        <v>-6.72959001926667E-8</v>
      </c>
      <c r="BR194">
        <f t="shared" ref="BR194:BR257" si="162">-BJ194*BN194</f>
        <v>117.99058366395442</v>
      </c>
      <c r="BS194">
        <f t="shared" ref="BS194:BS257" si="163">IF(AND(BI194&gt;0.4,BI194&lt;0.6),(BL194-BT194*BR194)/BQ194,0)</f>
        <v>0</v>
      </c>
      <c r="BT194">
        <f t="shared" ref="BT194:BT257" si="164">IF(AND(BI194&gt;0.4,BI194&lt;0.6),(BQ194*BK194-BO194*BL194)/(BQ194*BP194-BO194*BR194),0)</f>
        <v>0</v>
      </c>
      <c r="BU194">
        <f t="shared" ref="BU194:BU257" si="165">IF(AND(BI194&gt;0.4,BI194&lt;0.6),1/(273.15+AK194),0)</f>
        <v>0</v>
      </c>
      <c r="BV194">
        <f t="shared" ref="BV194:BV257" si="166">IF(BS194&lt;=0,0,LN(BS194))</f>
        <v>0</v>
      </c>
      <c r="BW194">
        <f t="shared" si="134"/>
        <v>0</v>
      </c>
      <c r="BX194" t="str">
        <f t="shared" si="135"/>
        <v/>
      </c>
      <c r="BY194" s="66" t="str">
        <f t="shared" ref="BY194:BY257" si="167">IF(BU194=0,"",BI194)</f>
        <v/>
      </c>
      <c r="BZ194" t="str">
        <f t="shared" ref="BZ194:BZ257" si="168">IF(BU194=0,"",BV194)</f>
        <v/>
      </c>
      <c r="CA194" s="67" t="str">
        <f t="shared" ref="CA194:CA257" si="169">IF(BU194=0,"",BW194)</f>
        <v/>
      </c>
    </row>
    <row r="195" spans="4:79" x14ac:dyDescent="0.25">
      <c r="D195" s="3" t="e">
        <f t="shared" si="148"/>
        <v>#DIV/0!</v>
      </c>
      <c r="E195" s="3" t="e">
        <f t="shared" si="148"/>
        <v>#DIV/0!</v>
      </c>
      <c r="F195" t="str">
        <f>IF(A195&gt;0,IF(F194=1,1,IF(B195=Data!$H$4,1,0)),"")</f>
        <v/>
      </c>
      <c r="O195" s="3"/>
      <c r="P195" s="3"/>
      <c r="Q195" t="str">
        <f t="shared" ref="Q195:Q258" si="170">IF(MAX(ABS(MIN($K:$K)),ABS(MAX($K:$K)))=ABS(K195),H195,"")</f>
        <v/>
      </c>
      <c r="R195" s="4" t="str">
        <f t="shared" ref="R195:R258" si="171">IF(H195=0,"",ROUND(H195,0))</f>
        <v/>
      </c>
      <c r="S195" t="e">
        <f t="shared" si="136"/>
        <v>#DIV/0!</v>
      </c>
      <c r="T195" t="e">
        <f t="shared" si="149"/>
        <v>#DIV/0!</v>
      </c>
      <c r="U195" s="4">
        <f t="shared" ref="U195:U258" si="172">ROUND(M195,0)</f>
        <v>0</v>
      </c>
      <c r="V195" t="e">
        <f t="shared" si="137"/>
        <v>#DIV/0!</v>
      </c>
      <c r="W195" t="e">
        <f t="shared" si="138"/>
        <v>#DIV/0!</v>
      </c>
      <c r="X195" t="e">
        <f t="shared" si="139"/>
        <v>#VALUE!</v>
      </c>
      <c r="Y195" t="e">
        <f t="shared" si="140"/>
        <v>#VALUE!</v>
      </c>
      <c r="Z195" t="e">
        <f t="shared" si="141"/>
        <v>#VALUE!</v>
      </c>
      <c r="AA195" t="e">
        <f t="shared" ref="AA195:AA258" si="173">X195</f>
        <v>#VALUE!</v>
      </c>
      <c r="AB195" t="str">
        <f t="shared" si="142"/>
        <v/>
      </c>
      <c r="AC195" t="str">
        <f t="shared" si="143"/>
        <v/>
      </c>
      <c r="AD195" t="str">
        <f t="shared" si="144"/>
        <v/>
      </c>
      <c r="AE195" t="str">
        <f t="shared" si="145"/>
        <v/>
      </c>
      <c r="AK195" s="4">
        <f t="shared" si="146"/>
        <v>44.300000000000274</v>
      </c>
      <c r="AL195">
        <f t="shared" ref="AL195:AL258" si="174">IF($AK195=ROUND($AK195,0),VLOOKUP($AK195,$AF$2:$AJ$112,2),($AK195-FLOOR($AK195,1))/(CEILING($AK195,1)-FLOOR($AK195,1))*(VLOOKUP(CEILING($AK195,1),$AF$2:$AJ$112,2,FALSE)-VLOOKUP(FLOOR($AK195,1),$AF$2:$AJ$112,2,FALSE))+VLOOKUP(FLOOR($AK195,1),$AF$2:$AJ$112,2,FALSE))</f>
        <v>2317.0000000000327</v>
      </c>
      <c r="AM195">
        <f t="shared" ref="AM195:AM258" si="175">IF($AK195=ROUND($AK195,0),VLOOKUP($AK195,$AF$2:$AJ$112,3),($AK195-FLOOR($AK195,1))/(CEILING($AK195,1)-FLOOR($AK195,1))*(VLOOKUP(CEILING($AK195,1),$AF$2:$AJ$112,3,FALSE)-VLOOKUP(FLOOR($AK195,1),$AF$2:$AJ$112,3,FALSE))+VLOOKUP(FLOOR($AK195,1),$AF$2:$AJ$112,3,FALSE))</f>
        <v>9993.0499999999702</v>
      </c>
      <c r="AN195">
        <f>IF($AK194+$AK$1&lt;=Data!$H$4-0.5,AVERAGE(AM193:AM197),AN194)</f>
        <v>9993.0499999999702</v>
      </c>
      <c r="AO195">
        <f t="shared" ref="AO195:AO258" si="176">IF($AK195=ROUND($AK195,0),VLOOKUP($AK195,$AF$2:$AJ$112,4),($AK195-FLOOR($AK195,1))/(CEILING($AK195,1)-FLOOR($AK195,1))*(VLOOKUP(CEILING($AK195,1),$AF$2:$AJ$112,4,FALSE)-VLOOKUP(FLOOR($AK195,1),$AF$2:$AJ$112,4,FALSE))+VLOOKUP(FLOOR($AK195,1),$AF$2:$AJ$112,4,FALSE))</f>
        <v>8544.9999999999673</v>
      </c>
      <c r="AP195">
        <f t="shared" si="147"/>
        <v>9804.2333333332972</v>
      </c>
      <c r="AQ195">
        <f>IF($AK194+$AK$1&lt;=Data!$H$4-0.5,AVERAGE(AP193:AP197),AQ194)</f>
        <v>9804.2333333332972</v>
      </c>
      <c r="AR195">
        <f>IF($AK194+$AK$1&lt;=Data!$H$4-0.5,SLOPE($AN191:$AN199,$AK191:$AK199),AR194)</f>
        <v>-105.90277777777466</v>
      </c>
      <c r="AS195">
        <f>IF($AK194+$AK$1&lt;=Data!$H$4-0.5,SLOPE($AQ191:$AQ199,$AK191:$AK199),AS194)</f>
        <v>-135.67777777778173</v>
      </c>
      <c r="AT195" t="str">
        <f>IF(AND($AK195&gt;=Results!$G$13,$AK195&lt;=Results!$G$14),Curves!AR195,"")</f>
        <v/>
      </c>
      <c r="AU195" t="str">
        <f>IF(AND($AK195&gt;=Results!$G$13,$AK195&lt;=Results!$G$14),Curves!AS195,"")</f>
        <v/>
      </c>
      <c r="AV195">
        <f t="shared" ref="AV195:AX258" si="177">IF(AW195="","",$AK195)</f>
        <v>44.300000000000274</v>
      </c>
      <c r="AW195">
        <f>IF(AND($AK195&lt;=Results!$I$21,$AK195&gt;=Results!$I$20,$AK195&lt;=Results!$F$4),$AN195,"")</f>
        <v>9993.0499999999702</v>
      </c>
      <c r="AX195" t="str">
        <f t="shared" si="177"/>
        <v/>
      </c>
      <c r="AY195" t="str">
        <f>IF(AND($AK195&lt;=Results!$I$23,$AK195&gt;=Results!$I$22,$AK195&gt;=Results!$F$4),$AN195,"")</f>
        <v/>
      </c>
      <c r="AZ195" t="str">
        <f t="shared" si="150"/>
        <v/>
      </c>
      <c r="BA195" t="str">
        <f>IF(AND($AK195&lt;=Results!$I$27,$AK195&gt;=Results!$I$26,$AK195&lt;=Results!$F$4),$AQ195,"")</f>
        <v/>
      </c>
      <c r="BB195" t="str">
        <f t="shared" si="151"/>
        <v/>
      </c>
      <c r="BC195" t="str">
        <f>IF(AND($AK195&lt;=Results!$I$29,$AK195&gt;=Results!$I$28,$AK195&gt;=Results!$F$4),$AQ195,"")</f>
        <v/>
      </c>
      <c r="BD195">
        <f t="shared" si="152"/>
        <v>9988.0314255301819</v>
      </c>
      <c r="BE195">
        <f t="shared" si="153"/>
        <v>2006.1145334914215</v>
      </c>
      <c r="BF195">
        <f t="shared" si="154"/>
        <v>9955.7858170468044</v>
      </c>
      <c r="BG195">
        <f t="shared" si="155"/>
        <v>1294.7862121119401</v>
      </c>
      <c r="BH195">
        <f t="shared" si="156"/>
        <v>0</v>
      </c>
      <c r="BI195">
        <f t="shared" si="157"/>
        <v>1.0006287430121947</v>
      </c>
      <c r="BJ195">
        <f t="shared" si="158"/>
        <v>0.98250173298389765</v>
      </c>
      <c r="BK195">
        <f t="shared" si="159"/>
        <v>3.6526141303560612E-4</v>
      </c>
      <c r="BL195">
        <f t="shared" si="160"/>
        <v>-7.53717354879491E-3</v>
      </c>
      <c r="BM195">
        <f t="shared" ref="BM195:BM258" si="178">SLOPE(AL194:AL196,AK194:AK196)</f>
        <v>120.00000000000055</v>
      </c>
      <c r="BN195">
        <f t="shared" ref="BN195:BN258" si="179">SLOPE(AO194:AO196,AK194:AK196)</f>
        <v>-119.99999999999829</v>
      </c>
      <c r="BO195">
        <f>Data!$H$2*(1-BI195)*(1-BI195/Data!$H$3)*BM195</f>
        <v>9.4876266092089736E-11</v>
      </c>
      <c r="BP195">
        <f t="shared" si="161"/>
        <v>-120.07544916146392</v>
      </c>
      <c r="BQ195">
        <f>Data!$H$2*(1-BJ195)*(1-BJ195/Data!$H$3)*BN195</f>
        <v>-7.3485443656034685E-8</v>
      </c>
      <c r="BR195">
        <f t="shared" si="162"/>
        <v>117.90020795806605</v>
      </c>
      <c r="BS195">
        <f t="shared" si="163"/>
        <v>0</v>
      </c>
      <c r="BT195">
        <f t="shared" si="164"/>
        <v>0</v>
      </c>
      <c r="BU195">
        <f t="shared" si="165"/>
        <v>0</v>
      </c>
      <c r="BV195">
        <f t="shared" si="166"/>
        <v>0</v>
      </c>
      <c r="BW195">
        <f t="shared" ref="BW195:BW258" si="180">IF(BT195&lt;=0,0,LN(BT195))</f>
        <v>0</v>
      </c>
      <c r="BX195" t="str">
        <f t="shared" ref="BX195:BX258" si="181">IF(BU195=0,"",BU195)</f>
        <v/>
      </c>
      <c r="BY195" s="66" t="str">
        <f t="shared" si="167"/>
        <v/>
      </c>
      <c r="BZ195" t="str">
        <f t="shared" si="168"/>
        <v/>
      </c>
      <c r="CA195" s="67" t="str">
        <f t="shared" si="169"/>
        <v/>
      </c>
    </row>
    <row r="196" spans="4:79" x14ac:dyDescent="0.25">
      <c r="D196" s="3" t="e">
        <f t="shared" si="148"/>
        <v>#DIV/0!</v>
      </c>
      <c r="E196" s="3" t="e">
        <f t="shared" si="148"/>
        <v>#DIV/0!</v>
      </c>
      <c r="F196" t="str">
        <f>IF(A196&gt;0,IF(F195=1,1,IF(B196=Data!$H$4,1,0)),"")</f>
        <v/>
      </c>
      <c r="O196" s="3"/>
      <c r="P196" s="3"/>
      <c r="Q196" t="str">
        <f t="shared" si="170"/>
        <v/>
      </c>
      <c r="R196" s="4" t="str">
        <f t="shared" si="171"/>
        <v/>
      </c>
      <c r="S196" t="e">
        <f t="shared" ref="S196:S259" si="182">INTERCEPT($G195:$G197,$H195:$H197)+SLOPE($G195:$G197,$H195:$H197)*$R196</f>
        <v>#DIV/0!</v>
      </c>
      <c r="T196" t="e">
        <f t="shared" si="149"/>
        <v>#DIV/0!</v>
      </c>
      <c r="U196" s="4">
        <f t="shared" si="172"/>
        <v>0</v>
      </c>
      <c r="V196" t="e">
        <f t="shared" ref="V196:V259" si="183">INTERCEPT($L195:$L197,$M195:$M197)+SLOPE($L195:$L197,$M195:$M197)*$U196</f>
        <v>#DIV/0!</v>
      </c>
      <c r="W196" t="e">
        <f t="shared" ref="W196:W259" si="184">INTERCEPT($N195:$N197,$M195:$M197)+SLOPE($N195:$N197,$M195:$M197)*$U196</f>
        <v>#DIV/0!</v>
      </c>
      <c r="X196" t="e">
        <f t="shared" ref="X196:X259" si="185">IF($R196-$R195&gt;1,$R195+1,"")</f>
        <v>#VALUE!</v>
      </c>
      <c r="Y196" t="e">
        <f t="shared" ref="Y196:Y259" si="186">IF($R196-$R195&gt;2,$R195+2,"")</f>
        <v>#VALUE!</v>
      </c>
      <c r="Z196" t="e">
        <f t="shared" ref="Z196:Z259" si="187">IF($R196-$R195&gt;3,$R195+3,"")</f>
        <v>#VALUE!</v>
      </c>
      <c r="AA196" t="e">
        <f t="shared" si="173"/>
        <v>#VALUE!</v>
      </c>
      <c r="AB196" t="str">
        <f t="shared" ref="AB196:AB259" si="188">IF($U196-$U195&gt;1,$U195+1,"")</f>
        <v/>
      </c>
      <c r="AC196" t="str">
        <f t="shared" ref="AC196:AC259" si="189">IF($U196-$U195&gt;2,$U195+2,"")</f>
        <v/>
      </c>
      <c r="AD196" t="str">
        <f t="shared" ref="AD196:AD259" si="190">IF($U196-$U195&gt;3,$U195+3,"")</f>
        <v/>
      </c>
      <c r="AE196" t="str">
        <f t="shared" ref="AE196:AE259" si="191">AB196</f>
        <v/>
      </c>
      <c r="AK196" s="4">
        <f t="shared" ref="AK196:AK259" si="192">IF($AK195+$AK$1&lt;=MAX($AF$2:$AF$113),AK195+$AK$1,AK195)</f>
        <v>44.400000000000276</v>
      </c>
      <c r="AL196">
        <f t="shared" si="174"/>
        <v>2329.0000000000332</v>
      </c>
      <c r="AM196">
        <f t="shared" si="175"/>
        <v>9982.5666666666384</v>
      </c>
      <c r="AN196">
        <f>IF($AK195+$AK$1&lt;=Data!$H$4-0.5,AVERAGE(AM194:AM198),AN195)</f>
        <v>9982.5666666666384</v>
      </c>
      <c r="AO196">
        <f t="shared" si="176"/>
        <v>8532.9999999999673</v>
      </c>
      <c r="AP196">
        <f t="shared" ref="AP196:AP259" si="193">IF($AK196=ROUND($AK195,0),VLOOKUP($AK195,$AF$2:$AJ$112,5),($AK196-FLOOR($AK196,1))/(CEILING($AK196,1)-FLOOR($AK196,1))*(VLOOKUP(CEILING($AK196,1),$AF$2:$AJ$112,5,FALSE)-VLOOKUP(FLOOR($AK196,1),$AF$2:$AJ$112,5,FALSE))+VLOOKUP(FLOOR($AK196,1),$AF$2:$AJ$112,5,FALSE))</f>
        <v>9790.5333333332965</v>
      </c>
      <c r="AQ196">
        <f>IF($AK195+$AK$1&lt;=Data!$H$4-0.5,AVERAGE(AP194:AP198),AQ195)</f>
        <v>9790.5333333332946</v>
      </c>
      <c r="AR196">
        <f>IF($AK195+$AK$1&lt;=Data!$H$4-0.5,SLOPE($AN192:$AN200,$AK192:$AK200),AR195)</f>
        <v>-105.29166666666453</v>
      </c>
      <c r="AS196">
        <f>IF($AK195+$AK$1&lt;=Data!$H$4-0.5,SLOPE($AQ192:$AQ200,$AK192:$AK200),AS195)</f>
        <v>-136.43333333333538</v>
      </c>
      <c r="AT196" t="str">
        <f>IF(AND($AK196&gt;=Results!$G$13,$AK196&lt;=Results!$G$14),Curves!AR196,"")</f>
        <v/>
      </c>
      <c r="AU196" t="str">
        <f>IF(AND($AK196&gt;=Results!$G$13,$AK196&lt;=Results!$G$14),Curves!AS196,"")</f>
        <v/>
      </c>
      <c r="AV196">
        <f t="shared" si="177"/>
        <v>44.400000000000276</v>
      </c>
      <c r="AW196">
        <f>IF(AND($AK196&lt;=Results!$I$21,$AK196&gt;=Results!$I$20,$AK196&lt;=Results!$F$4),$AN196,"")</f>
        <v>9982.5666666666384</v>
      </c>
      <c r="AX196" t="str">
        <f t="shared" si="177"/>
        <v/>
      </c>
      <c r="AY196" t="str">
        <f>IF(AND($AK196&lt;=Results!$I$23,$AK196&gt;=Results!$I$22,$AK196&gt;=Results!$F$4),$AN196,"")</f>
        <v/>
      </c>
      <c r="AZ196" t="str">
        <f t="shared" si="150"/>
        <v/>
      </c>
      <c r="BA196" t="str">
        <f>IF(AND($AK196&lt;=Results!$I$27,$AK196&gt;=Results!$I$26,$AK196&lt;=Results!$F$4),$AQ196,"")</f>
        <v/>
      </c>
      <c r="BB196" t="str">
        <f t="shared" si="151"/>
        <v/>
      </c>
      <c r="BC196" t="str">
        <f>IF(AND($AK196&lt;=Results!$I$29,$AK196&gt;=Results!$I$28,$AK196&gt;=Results!$F$4),$AQ196,"")</f>
        <v/>
      </c>
      <c r="BD196">
        <f t="shared" si="152"/>
        <v>9977.2612307322634</v>
      </c>
      <c r="BE196">
        <f t="shared" si="153"/>
        <v>2002.7987442421008</v>
      </c>
      <c r="BF196">
        <f t="shared" si="154"/>
        <v>9948.4958348139116</v>
      </c>
      <c r="BG196">
        <f t="shared" si="155"/>
        <v>1294.2354111524151</v>
      </c>
      <c r="BH196">
        <f t="shared" si="156"/>
        <v>0</v>
      </c>
      <c r="BI196">
        <f t="shared" si="157"/>
        <v>1.0006653032656889</v>
      </c>
      <c r="BJ196">
        <f t="shared" si="158"/>
        <v>0.9817474291565419</v>
      </c>
      <c r="BK196">
        <f t="shared" si="159"/>
        <v>3.6594461436889077E-4</v>
      </c>
      <c r="BL196">
        <f t="shared" si="160"/>
        <v>-7.5489167097962965E-3</v>
      </c>
      <c r="BM196">
        <f t="shared" si="178"/>
        <v>120.00000000000055</v>
      </c>
      <c r="BN196">
        <f t="shared" si="179"/>
        <v>-119.99999999999829</v>
      </c>
      <c r="BO196">
        <f>Data!$H$2*(1-BI196)*(1-BI196/Data!$H$3)*BM196</f>
        <v>1.062308244807229E-10</v>
      </c>
      <c r="BP196">
        <f t="shared" si="161"/>
        <v>-120.07983639188322</v>
      </c>
      <c r="BQ196">
        <f>Data!$H$2*(1-BJ196)*(1-BJ196/Data!$H$3)*BN196</f>
        <v>-7.9957522174908512E-8</v>
      </c>
      <c r="BR196">
        <f t="shared" si="162"/>
        <v>117.80969149878335</v>
      </c>
      <c r="BS196">
        <f t="shared" si="163"/>
        <v>0</v>
      </c>
      <c r="BT196">
        <f t="shared" si="164"/>
        <v>0</v>
      </c>
      <c r="BU196">
        <f t="shared" si="165"/>
        <v>0</v>
      </c>
      <c r="BV196">
        <f t="shared" si="166"/>
        <v>0</v>
      </c>
      <c r="BW196">
        <f t="shared" si="180"/>
        <v>0</v>
      </c>
      <c r="BX196" t="str">
        <f t="shared" si="181"/>
        <v/>
      </c>
      <c r="BY196" s="66" t="str">
        <f t="shared" si="167"/>
        <v/>
      </c>
      <c r="BZ196" t="str">
        <f t="shared" si="168"/>
        <v/>
      </c>
      <c r="CA196" s="67" t="str">
        <f t="shared" si="169"/>
        <v/>
      </c>
    </row>
    <row r="197" spans="4:79" x14ac:dyDescent="0.25">
      <c r="D197" s="3" t="e">
        <f t="shared" ref="D197:E260" si="194">SLOPE(B195:B199,$A195:$A199)</f>
        <v>#DIV/0!</v>
      </c>
      <c r="E197" s="3" t="e">
        <f t="shared" si="194"/>
        <v>#DIV/0!</v>
      </c>
      <c r="F197" t="str">
        <f>IF(A197&gt;0,IF(F196=1,1,IF(B197=Data!$H$4,1,0)),"")</f>
        <v/>
      </c>
      <c r="O197" s="3"/>
      <c r="P197" s="3"/>
      <c r="Q197" t="str">
        <f t="shared" si="170"/>
        <v/>
      </c>
      <c r="R197" s="4" t="str">
        <f t="shared" si="171"/>
        <v/>
      </c>
      <c r="S197" t="e">
        <f t="shared" si="182"/>
        <v>#DIV/0!</v>
      </c>
      <c r="T197" t="e">
        <f t="shared" ref="T197:T260" si="195">INTERCEPT($I196:$I198,$H196:$H198)+SLOPE($I196:$I198,$H196:$H198)*$R197</f>
        <v>#DIV/0!</v>
      </c>
      <c r="U197" s="4">
        <f t="shared" si="172"/>
        <v>0</v>
      </c>
      <c r="V197" t="e">
        <f t="shared" si="183"/>
        <v>#DIV/0!</v>
      </c>
      <c r="W197" t="e">
        <f t="shared" si="184"/>
        <v>#DIV/0!</v>
      </c>
      <c r="X197" t="e">
        <f t="shared" si="185"/>
        <v>#VALUE!</v>
      </c>
      <c r="Y197" t="e">
        <f t="shared" si="186"/>
        <v>#VALUE!</v>
      </c>
      <c r="Z197" t="e">
        <f t="shared" si="187"/>
        <v>#VALUE!</v>
      </c>
      <c r="AA197" t="e">
        <f t="shared" si="173"/>
        <v>#VALUE!</v>
      </c>
      <c r="AB197" t="str">
        <f t="shared" si="188"/>
        <v/>
      </c>
      <c r="AC197" t="str">
        <f t="shared" si="189"/>
        <v/>
      </c>
      <c r="AD197" t="str">
        <f t="shared" si="190"/>
        <v/>
      </c>
      <c r="AE197" t="str">
        <f t="shared" si="191"/>
        <v/>
      </c>
      <c r="AK197" s="4">
        <f t="shared" si="192"/>
        <v>44.500000000000277</v>
      </c>
      <c r="AL197">
        <f t="shared" si="174"/>
        <v>2341.0000000000332</v>
      </c>
      <c r="AM197">
        <f t="shared" si="175"/>
        <v>9972.0833333333048</v>
      </c>
      <c r="AN197">
        <f>IF($AK196+$AK$1&lt;=Data!$H$4-0.5,AVERAGE(AM195:AM199),AN196)</f>
        <v>9972.0833333333048</v>
      </c>
      <c r="AO197">
        <f t="shared" si="176"/>
        <v>8520.9999999999673</v>
      </c>
      <c r="AP197">
        <f t="shared" si="193"/>
        <v>9776.8333333332957</v>
      </c>
      <c r="AQ197">
        <f>IF($AK196+$AK$1&lt;=Data!$H$4-0.5,AVERAGE(AP195:AP199),AQ196)</f>
        <v>9776.8333333332957</v>
      </c>
      <c r="AR197">
        <f>IF($AK196+$AK$1&lt;=Data!$H$4-0.5,SLOPE($AN193:$AN201,$AK193:$AK201),AR196)</f>
        <v>-105.07333333333312</v>
      </c>
      <c r="AS197">
        <f>IF($AK196+$AK$1&lt;=Data!$H$4-0.5,SLOPE($AQ193:$AQ201,$AK193:$AK201),AS196)</f>
        <v>-137.102222222222</v>
      </c>
      <c r="AT197" t="str">
        <f>IF(AND($AK197&gt;=Results!$G$13,$AK197&lt;=Results!$G$14),Curves!AR197,"")</f>
        <v/>
      </c>
      <c r="AU197" t="str">
        <f>IF(AND($AK197&gt;=Results!$G$13,$AK197&lt;=Results!$G$14),Curves!AS197,"")</f>
        <v/>
      </c>
      <c r="AV197">
        <f t="shared" si="177"/>
        <v>44.500000000000277</v>
      </c>
      <c r="AW197">
        <f>IF(AND($AK197&lt;=Results!$I$21,$AK197&gt;=Results!$I$20,$AK197&lt;=Results!$F$4),$AN197,"")</f>
        <v>9972.0833333333048</v>
      </c>
      <c r="AX197" t="str">
        <f t="shared" si="177"/>
        <v/>
      </c>
      <c r="AY197" t="str">
        <f>IF(AND($AK197&lt;=Results!$I$23,$AK197&gt;=Results!$I$22,$AK197&gt;=Results!$F$4),$AN197,"")</f>
        <v/>
      </c>
      <c r="AZ197" t="str">
        <f t="shared" si="150"/>
        <v/>
      </c>
      <c r="BA197" t="str">
        <f>IF(AND($AK197&lt;=Results!$I$27,$AK197&gt;=Results!$I$26,$AK197&lt;=Results!$F$4),$AQ197,"")</f>
        <v/>
      </c>
      <c r="BB197" t="str">
        <f t="shared" si="151"/>
        <v/>
      </c>
      <c r="BC197" t="str">
        <f>IF(AND($AK197&lt;=Results!$I$29,$AK197&gt;=Results!$I$28,$AK197&gt;=Results!$F$4),$AQ197,"")</f>
        <v/>
      </c>
      <c r="BD197">
        <f t="shared" si="152"/>
        <v>9966.491035934343</v>
      </c>
      <c r="BE197">
        <f t="shared" si="153"/>
        <v>1999.4829549927799</v>
      </c>
      <c r="BF197">
        <f t="shared" si="154"/>
        <v>9941.2058525810171</v>
      </c>
      <c r="BG197">
        <f t="shared" si="155"/>
        <v>1293.6846101928902</v>
      </c>
      <c r="BH197">
        <f t="shared" si="156"/>
        <v>0</v>
      </c>
      <c r="BI197">
        <f t="shared" si="157"/>
        <v>1.0007019319350685</v>
      </c>
      <c r="BJ197">
        <f t="shared" si="158"/>
        <v>0.98099194964193837</v>
      </c>
      <c r="BK197">
        <f t="shared" si="159"/>
        <v>3.666297343329853E-4</v>
      </c>
      <c r="BL197">
        <f t="shared" si="160"/>
        <v>-7.5606873365373674E-3</v>
      </c>
      <c r="BM197">
        <f t="shared" si="178"/>
        <v>120.00000000000055</v>
      </c>
      <c r="BN197">
        <f t="shared" si="179"/>
        <v>-119.99999999999829</v>
      </c>
      <c r="BO197">
        <f>Data!$H$2*(1-BI197)*(1-BI197/Data!$H$3)*BM197</f>
        <v>1.1825002595256658E-10</v>
      </c>
      <c r="BP197">
        <f t="shared" si="161"/>
        <v>-120.08423183220877</v>
      </c>
      <c r="BQ197">
        <f>Data!$H$2*(1-BJ197)*(1-BJ197/Data!$H$3)*BN197</f>
        <v>-8.6713434819504446E-8</v>
      </c>
      <c r="BR197">
        <f t="shared" si="162"/>
        <v>117.71903395703093</v>
      </c>
      <c r="BS197">
        <f t="shared" si="163"/>
        <v>0</v>
      </c>
      <c r="BT197">
        <f t="shared" si="164"/>
        <v>0</v>
      </c>
      <c r="BU197">
        <f t="shared" si="165"/>
        <v>0</v>
      </c>
      <c r="BV197">
        <f t="shared" si="166"/>
        <v>0</v>
      </c>
      <c r="BW197">
        <f t="shared" si="180"/>
        <v>0</v>
      </c>
      <c r="BX197" t="str">
        <f t="shared" si="181"/>
        <v/>
      </c>
      <c r="BY197" s="66" t="str">
        <f t="shared" si="167"/>
        <v/>
      </c>
      <c r="BZ197" t="str">
        <f t="shared" si="168"/>
        <v/>
      </c>
      <c r="CA197" s="67" t="str">
        <f t="shared" si="169"/>
        <v/>
      </c>
    </row>
    <row r="198" spans="4:79" x14ac:dyDescent="0.25">
      <c r="D198" s="3" t="e">
        <f t="shared" si="194"/>
        <v>#DIV/0!</v>
      </c>
      <c r="E198" s="3" t="e">
        <f t="shared" si="194"/>
        <v>#DIV/0!</v>
      </c>
      <c r="F198" t="str">
        <f>IF(A198&gt;0,IF(F197=1,1,IF(B198=Data!$H$4,1,0)),"")</f>
        <v/>
      </c>
      <c r="O198" s="3"/>
      <c r="P198" s="3"/>
      <c r="Q198" t="str">
        <f t="shared" si="170"/>
        <v/>
      </c>
      <c r="R198" s="4" t="str">
        <f t="shared" si="171"/>
        <v/>
      </c>
      <c r="S198" t="e">
        <f t="shared" si="182"/>
        <v>#DIV/0!</v>
      </c>
      <c r="T198" t="e">
        <f t="shared" si="195"/>
        <v>#DIV/0!</v>
      </c>
      <c r="U198" s="4">
        <f t="shared" si="172"/>
        <v>0</v>
      </c>
      <c r="V198" t="e">
        <f t="shared" si="183"/>
        <v>#DIV/0!</v>
      </c>
      <c r="W198" t="e">
        <f t="shared" si="184"/>
        <v>#DIV/0!</v>
      </c>
      <c r="X198" t="e">
        <f t="shared" si="185"/>
        <v>#VALUE!</v>
      </c>
      <c r="Y198" t="e">
        <f t="shared" si="186"/>
        <v>#VALUE!</v>
      </c>
      <c r="Z198" t="e">
        <f t="shared" si="187"/>
        <v>#VALUE!</v>
      </c>
      <c r="AA198" t="e">
        <f t="shared" si="173"/>
        <v>#VALUE!</v>
      </c>
      <c r="AB198" t="str">
        <f t="shared" si="188"/>
        <v/>
      </c>
      <c r="AC198" t="str">
        <f t="shared" si="189"/>
        <v/>
      </c>
      <c r="AD198" t="str">
        <f t="shared" si="190"/>
        <v/>
      </c>
      <c r="AE198" t="str">
        <f t="shared" si="191"/>
        <v/>
      </c>
      <c r="AK198" s="4">
        <f t="shared" si="192"/>
        <v>44.600000000000279</v>
      </c>
      <c r="AL198">
        <f t="shared" si="174"/>
        <v>2353.0000000000337</v>
      </c>
      <c r="AM198">
        <f t="shared" si="175"/>
        <v>9961.5999999999713</v>
      </c>
      <c r="AN198">
        <f>IF($AK197+$AK$1&lt;=Data!$H$4-0.5,AVERAGE(AM196:AM200),AN197)</f>
        <v>9961.5999999999713</v>
      </c>
      <c r="AO198">
        <f t="shared" si="176"/>
        <v>8508.9999999999673</v>
      </c>
      <c r="AP198">
        <f t="shared" si="193"/>
        <v>9763.133333333295</v>
      </c>
      <c r="AQ198">
        <f>IF($AK197+$AK$1&lt;=Data!$H$4-0.5,AVERAGE(AP196:AP200),AQ197)</f>
        <v>9763.133333333295</v>
      </c>
      <c r="AR198">
        <f>IF($AK197+$AK$1&lt;=Data!$H$4-0.5,SLOPE($AN194:$AN202,$AK194:$AK202),AR197)</f>
        <v>-105.27500000000116</v>
      </c>
      <c r="AS198">
        <f>IF($AK197+$AK$1&lt;=Data!$H$4-0.5,SLOPE($AQ194:$AQ202,$AK194:$AK202),AS197)</f>
        <v>-137.9500000000024</v>
      </c>
      <c r="AT198" t="str">
        <f>IF(AND($AK198&gt;=Results!$G$13,$AK198&lt;=Results!$G$14),Curves!AR198,"")</f>
        <v/>
      </c>
      <c r="AU198" t="str">
        <f>IF(AND($AK198&gt;=Results!$G$13,$AK198&lt;=Results!$G$14),Curves!AS198,"")</f>
        <v/>
      </c>
      <c r="AV198">
        <f t="shared" si="177"/>
        <v>44.600000000000279</v>
      </c>
      <c r="AW198">
        <f>IF(AND($AK198&lt;=Results!$I$21,$AK198&gt;=Results!$I$20,$AK198&lt;=Results!$F$4),$AN198,"")</f>
        <v>9961.5999999999713</v>
      </c>
      <c r="AX198" t="str">
        <f t="shared" si="177"/>
        <v/>
      </c>
      <c r="AY198" t="str">
        <f>IF(AND($AK198&lt;=Results!$I$23,$AK198&gt;=Results!$I$22,$AK198&gt;=Results!$F$4),$AN198,"")</f>
        <v/>
      </c>
      <c r="AZ198" t="str">
        <f t="shared" si="150"/>
        <v/>
      </c>
      <c r="BA198" t="str">
        <f>IF(AND($AK198&lt;=Results!$I$27,$AK198&gt;=Results!$I$26,$AK198&lt;=Results!$F$4),$AQ198,"")</f>
        <v/>
      </c>
      <c r="BB198" t="str">
        <f t="shared" si="151"/>
        <v/>
      </c>
      <c r="BC198" t="str">
        <f>IF(AND($AK198&lt;=Results!$I$29,$AK198&gt;=Results!$I$28,$AK198&gt;=Results!$F$4),$AQ198,"")</f>
        <v/>
      </c>
      <c r="BD198">
        <f t="shared" si="152"/>
        <v>9955.7208411364227</v>
      </c>
      <c r="BE198">
        <f t="shared" si="153"/>
        <v>1996.167165743459</v>
      </c>
      <c r="BF198">
        <f t="shared" si="154"/>
        <v>9933.9158703481244</v>
      </c>
      <c r="BG198">
        <f t="shared" si="155"/>
        <v>1293.1338092333651</v>
      </c>
      <c r="BH198">
        <f t="shared" si="156"/>
        <v>0</v>
      </c>
      <c r="BI198">
        <f t="shared" si="157"/>
        <v>1.0007386292125555</v>
      </c>
      <c r="BJ198">
        <f t="shared" si="158"/>
        <v>0.9802352916892344</v>
      </c>
      <c r="BK198">
        <f t="shared" si="159"/>
        <v>3.6731678011769382E-4</v>
      </c>
      <c r="BL198">
        <f t="shared" si="160"/>
        <v>-7.572485514740105E-3</v>
      </c>
      <c r="BM198">
        <f t="shared" si="178"/>
        <v>120.00000000000055</v>
      </c>
      <c r="BN198">
        <f t="shared" si="179"/>
        <v>-119.99999999999829</v>
      </c>
      <c r="BO198">
        <f>Data!$H$2*(1-BI198)*(1-BI198/Data!$H$3)*BM198</f>
        <v>1.3093754727369341E-10</v>
      </c>
      <c r="BP198">
        <f t="shared" si="161"/>
        <v>-120.08863550550721</v>
      </c>
      <c r="BQ198">
        <f>Data!$H$2*(1-BJ198)*(1-BJ198/Data!$H$3)*BN198</f>
        <v>-9.3754486706313891E-8</v>
      </c>
      <c r="BR198">
        <f t="shared" si="162"/>
        <v>117.62823500270646</v>
      </c>
      <c r="BS198">
        <f t="shared" si="163"/>
        <v>0</v>
      </c>
      <c r="BT198">
        <f t="shared" si="164"/>
        <v>0</v>
      </c>
      <c r="BU198">
        <f t="shared" si="165"/>
        <v>0</v>
      </c>
      <c r="BV198">
        <f t="shared" si="166"/>
        <v>0</v>
      </c>
      <c r="BW198">
        <f t="shared" si="180"/>
        <v>0</v>
      </c>
      <c r="BX198" t="str">
        <f t="shared" si="181"/>
        <v/>
      </c>
      <c r="BY198" s="66" t="str">
        <f t="shared" si="167"/>
        <v/>
      </c>
      <c r="BZ198" t="str">
        <f t="shared" si="168"/>
        <v/>
      </c>
      <c r="CA198" s="67" t="str">
        <f t="shared" si="169"/>
        <v/>
      </c>
    </row>
    <row r="199" spans="4:79" x14ac:dyDescent="0.25">
      <c r="D199" s="3" t="e">
        <f t="shared" si="194"/>
        <v>#DIV/0!</v>
      </c>
      <c r="E199" s="3" t="e">
        <f t="shared" si="194"/>
        <v>#DIV/0!</v>
      </c>
      <c r="F199" t="str">
        <f>IF(A199&gt;0,IF(F198=1,1,IF(B199=Data!$H$4,1,0)),"")</f>
        <v/>
      </c>
      <c r="O199" s="3"/>
      <c r="P199" s="3"/>
      <c r="Q199" t="str">
        <f t="shared" si="170"/>
        <v/>
      </c>
      <c r="R199" s="4" t="str">
        <f t="shared" si="171"/>
        <v/>
      </c>
      <c r="S199" t="e">
        <f t="shared" si="182"/>
        <v>#DIV/0!</v>
      </c>
      <c r="T199" t="e">
        <f t="shared" si="195"/>
        <v>#DIV/0!</v>
      </c>
      <c r="U199" s="4">
        <f t="shared" si="172"/>
        <v>0</v>
      </c>
      <c r="V199" t="e">
        <f t="shared" si="183"/>
        <v>#DIV/0!</v>
      </c>
      <c r="W199" t="e">
        <f t="shared" si="184"/>
        <v>#DIV/0!</v>
      </c>
      <c r="X199" t="e">
        <f t="shared" si="185"/>
        <v>#VALUE!</v>
      </c>
      <c r="Y199" t="e">
        <f t="shared" si="186"/>
        <v>#VALUE!</v>
      </c>
      <c r="Z199" t="e">
        <f t="shared" si="187"/>
        <v>#VALUE!</v>
      </c>
      <c r="AA199" t="e">
        <f t="shared" si="173"/>
        <v>#VALUE!</v>
      </c>
      <c r="AB199" t="str">
        <f t="shared" si="188"/>
        <v/>
      </c>
      <c r="AC199" t="str">
        <f t="shared" si="189"/>
        <v/>
      </c>
      <c r="AD199" t="str">
        <f t="shared" si="190"/>
        <v/>
      </c>
      <c r="AE199" t="str">
        <f t="shared" si="191"/>
        <v/>
      </c>
      <c r="AK199" s="4">
        <f t="shared" si="192"/>
        <v>44.70000000000028</v>
      </c>
      <c r="AL199">
        <f t="shared" si="174"/>
        <v>2365.0000000000337</v>
      </c>
      <c r="AM199">
        <f t="shared" si="175"/>
        <v>9951.1166666666377</v>
      </c>
      <c r="AN199">
        <f>IF($AK198+$AK$1&lt;=Data!$H$4-0.5,AVERAGE(AM197:AM201),AN198)</f>
        <v>9951.1166666666377</v>
      </c>
      <c r="AO199">
        <f t="shared" si="176"/>
        <v>8496.9999999999673</v>
      </c>
      <c r="AP199">
        <f t="shared" si="193"/>
        <v>9749.4333333332961</v>
      </c>
      <c r="AQ199">
        <f>IF($AK198+$AK$1&lt;=Data!$H$4-0.5,AVERAGE(AP197:AP201),AQ198)</f>
        <v>9749.4333333332943</v>
      </c>
      <c r="AR199">
        <f>IF($AK198+$AK$1&lt;=Data!$H$4-0.5,SLOPE($AN195:$AN203,$AK195:$AK203),AR198)</f>
        <v>-105.86388888889118</v>
      </c>
      <c r="AS199">
        <f>IF($AK198+$AK$1&lt;=Data!$H$4-0.5,SLOPE($AQ195:$AQ203,$AK195:$AK203),AS198)</f>
        <v>-139.21666666667093</v>
      </c>
      <c r="AT199" t="str">
        <f>IF(AND($AK199&gt;=Results!$G$13,$AK199&lt;=Results!$G$14),Curves!AR199,"")</f>
        <v/>
      </c>
      <c r="AU199" t="str">
        <f>IF(AND($AK199&gt;=Results!$G$13,$AK199&lt;=Results!$G$14),Curves!AS199,"")</f>
        <v/>
      </c>
      <c r="AV199">
        <f t="shared" si="177"/>
        <v>44.70000000000028</v>
      </c>
      <c r="AW199">
        <f>IF(AND($AK199&lt;=Results!$I$21,$AK199&gt;=Results!$I$20,$AK199&lt;=Results!$F$4),$AN199,"")</f>
        <v>9951.1166666666377</v>
      </c>
      <c r="AX199" t="str">
        <f t="shared" si="177"/>
        <v/>
      </c>
      <c r="AY199" t="str">
        <f>IF(AND($AK199&lt;=Results!$I$23,$AK199&gt;=Results!$I$22,$AK199&gt;=Results!$F$4),$AN199,"")</f>
        <v/>
      </c>
      <c r="AZ199" t="str">
        <f t="shared" si="150"/>
        <v/>
      </c>
      <c r="BA199" t="str">
        <f>IF(AND($AK199&lt;=Results!$I$27,$AK199&gt;=Results!$I$26,$AK199&lt;=Results!$F$4),$AQ199,"")</f>
        <v/>
      </c>
      <c r="BB199" t="str">
        <f t="shared" si="151"/>
        <v/>
      </c>
      <c r="BC199" t="str">
        <f>IF(AND($AK199&lt;=Results!$I$29,$AK199&gt;=Results!$I$28,$AK199&gt;=Results!$F$4),$AQ199,"")</f>
        <v/>
      </c>
      <c r="BD199">
        <f t="shared" si="152"/>
        <v>9944.9506463385042</v>
      </c>
      <c r="BE199">
        <f t="shared" si="153"/>
        <v>1992.8513764941383</v>
      </c>
      <c r="BF199">
        <f t="shared" si="154"/>
        <v>9926.6258881152316</v>
      </c>
      <c r="BG199">
        <f t="shared" si="155"/>
        <v>1292.5830082738401</v>
      </c>
      <c r="BH199">
        <f t="shared" si="156"/>
        <v>0</v>
      </c>
      <c r="BI199">
        <f t="shared" si="157"/>
        <v>1.0007753952910921</v>
      </c>
      <c r="BJ199">
        <f t="shared" si="158"/>
        <v>0.97947745253899032</v>
      </c>
      <c r="BK199">
        <f t="shared" si="159"/>
        <v>3.6800575894723771E-4</v>
      </c>
      <c r="BL199">
        <f t="shared" si="160"/>
        <v>-7.5843113304495703E-3</v>
      </c>
      <c r="BM199">
        <f t="shared" si="178"/>
        <v>119.99999999999829</v>
      </c>
      <c r="BN199">
        <f t="shared" si="179"/>
        <v>-120.00000000000739</v>
      </c>
      <c r="BO199">
        <f>Data!$H$2*(1-BI199)*(1-BI199/Data!$H$3)*BM199</f>
        <v>1.4429708578745245E-10</v>
      </c>
      <c r="BP199">
        <f t="shared" si="161"/>
        <v>-120.09304743492935</v>
      </c>
      <c r="BQ199">
        <f>Data!$H$2*(1-BJ199)*(1-BJ199/Data!$H$3)*BN199</f>
        <v>-1.0108198902946095E-7</v>
      </c>
      <c r="BR199">
        <f t="shared" si="162"/>
        <v>117.53729430468607</v>
      </c>
      <c r="BS199">
        <f t="shared" si="163"/>
        <v>0</v>
      </c>
      <c r="BT199">
        <f t="shared" si="164"/>
        <v>0</v>
      </c>
      <c r="BU199">
        <f t="shared" si="165"/>
        <v>0</v>
      </c>
      <c r="BV199">
        <f t="shared" si="166"/>
        <v>0</v>
      </c>
      <c r="BW199">
        <f t="shared" si="180"/>
        <v>0</v>
      </c>
      <c r="BX199" t="str">
        <f t="shared" si="181"/>
        <v/>
      </c>
      <c r="BY199" s="66" t="str">
        <f t="shared" si="167"/>
        <v/>
      </c>
      <c r="BZ199" t="str">
        <f t="shared" si="168"/>
        <v/>
      </c>
      <c r="CA199" s="67" t="str">
        <f t="shared" si="169"/>
        <v/>
      </c>
    </row>
    <row r="200" spans="4:79" x14ac:dyDescent="0.25">
      <c r="D200" s="3" t="e">
        <f t="shared" si="194"/>
        <v>#DIV/0!</v>
      </c>
      <c r="E200" s="3" t="e">
        <f t="shared" si="194"/>
        <v>#DIV/0!</v>
      </c>
      <c r="F200" t="str">
        <f>IF(A200&gt;0,IF(F199=1,1,IF(B200=Data!$H$4,1,0)),"")</f>
        <v/>
      </c>
      <c r="O200" s="3"/>
      <c r="P200" s="3"/>
      <c r="Q200" t="str">
        <f t="shared" si="170"/>
        <v/>
      </c>
      <c r="R200" s="4" t="str">
        <f t="shared" si="171"/>
        <v/>
      </c>
      <c r="S200" t="e">
        <f t="shared" si="182"/>
        <v>#DIV/0!</v>
      </c>
      <c r="T200" t="e">
        <f t="shared" si="195"/>
        <v>#DIV/0!</v>
      </c>
      <c r="U200" s="4">
        <f t="shared" si="172"/>
        <v>0</v>
      </c>
      <c r="V200" t="e">
        <f t="shared" si="183"/>
        <v>#DIV/0!</v>
      </c>
      <c r="W200" t="e">
        <f t="shared" si="184"/>
        <v>#DIV/0!</v>
      </c>
      <c r="X200" t="e">
        <f t="shared" si="185"/>
        <v>#VALUE!</v>
      </c>
      <c r="Y200" t="e">
        <f t="shared" si="186"/>
        <v>#VALUE!</v>
      </c>
      <c r="Z200" t="e">
        <f t="shared" si="187"/>
        <v>#VALUE!</v>
      </c>
      <c r="AA200" t="e">
        <f t="shared" si="173"/>
        <v>#VALUE!</v>
      </c>
      <c r="AB200" t="str">
        <f t="shared" si="188"/>
        <v/>
      </c>
      <c r="AC200" t="str">
        <f t="shared" si="189"/>
        <v/>
      </c>
      <c r="AD200" t="str">
        <f t="shared" si="190"/>
        <v/>
      </c>
      <c r="AE200" t="str">
        <f t="shared" si="191"/>
        <v/>
      </c>
      <c r="AK200" s="4">
        <f t="shared" si="192"/>
        <v>44.800000000000281</v>
      </c>
      <c r="AL200">
        <f t="shared" si="174"/>
        <v>2377.0000000000337</v>
      </c>
      <c r="AM200">
        <f t="shared" si="175"/>
        <v>9940.6333333333041</v>
      </c>
      <c r="AN200">
        <f>IF($AK199+$AK$1&lt;=Data!$H$4-0.5,AVERAGE(AM198:AM202),AN199)</f>
        <v>9940.6333333333041</v>
      </c>
      <c r="AO200">
        <f t="shared" si="176"/>
        <v>8484.9999999999654</v>
      </c>
      <c r="AP200">
        <f t="shared" si="193"/>
        <v>9735.7333333332954</v>
      </c>
      <c r="AQ200">
        <f>IF($AK199+$AK$1&lt;=Data!$H$4-0.5,AVERAGE(AP198:AP202),AQ199)</f>
        <v>9735.7333333332954</v>
      </c>
      <c r="AR200">
        <f>IF($AK199+$AK$1&lt;=Data!$H$4-0.5,SLOPE($AN196:$AN204,$AK196:$AK204),AR199)</f>
        <v>-106.74722222222712</v>
      </c>
      <c r="AS200">
        <f>IF($AK199+$AK$1&lt;=Data!$H$4-0.5,SLOPE($AQ196:$AQ204,$AK196:$AK204),AS199)</f>
        <v>-141.11666666667176</v>
      </c>
      <c r="AT200" t="str">
        <f>IF(AND($AK200&gt;=Results!$G$13,$AK200&lt;=Results!$G$14),Curves!AR200,"")</f>
        <v/>
      </c>
      <c r="AU200" t="str">
        <f>IF(AND($AK200&gt;=Results!$G$13,$AK200&lt;=Results!$G$14),Curves!AS200,"")</f>
        <v/>
      </c>
      <c r="AV200">
        <f t="shared" si="177"/>
        <v>44.800000000000281</v>
      </c>
      <c r="AW200">
        <f>IF(AND($AK200&lt;=Results!$I$21,$AK200&gt;=Results!$I$20,$AK200&lt;=Results!$F$4),$AN200,"")</f>
        <v>9940.6333333333041</v>
      </c>
      <c r="AX200" t="str">
        <f t="shared" si="177"/>
        <v/>
      </c>
      <c r="AY200" t="str">
        <f>IF(AND($AK200&lt;=Results!$I$23,$AK200&gt;=Results!$I$22,$AK200&gt;=Results!$F$4),$AN200,"")</f>
        <v/>
      </c>
      <c r="AZ200" t="str">
        <f t="shared" si="150"/>
        <v/>
      </c>
      <c r="BA200" t="str">
        <f>IF(AND($AK200&lt;=Results!$I$27,$AK200&gt;=Results!$I$26,$AK200&lt;=Results!$F$4),$AQ200,"")</f>
        <v/>
      </c>
      <c r="BB200" t="str">
        <f t="shared" si="151"/>
        <v/>
      </c>
      <c r="BC200" t="str">
        <f>IF(AND($AK200&lt;=Results!$I$29,$AK200&gt;=Results!$I$28,$AK200&gt;=Results!$F$4),$AQ200,"")</f>
        <v/>
      </c>
      <c r="BD200">
        <f t="shared" si="152"/>
        <v>9934.1804515405856</v>
      </c>
      <c r="BE200">
        <f t="shared" si="153"/>
        <v>1989.5355872448174</v>
      </c>
      <c r="BF200">
        <f t="shared" si="154"/>
        <v>9919.3359058823371</v>
      </c>
      <c r="BG200">
        <f t="shared" si="155"/>
        <v>1292.0322073143152</v>
      </c>
      <c r="BH200">
        <f t="shared" si="156"/>
        <v>0</v>
      </c>
      <c r="BI200">
        <f t="shared" si="157"/>
        <v>1.000812230364345</v>
      </c>
      <c r="BJ200">
        <f t="shared" si="158"/>
        <v>0.97871842942314446</v>
      </c>
      <c r="BK200">
        <f t="shared" si="159"/>
        <v>2.5740624881697891E-4</v>
      </c>
      <c r="BL200">
        <f t="shared" si="160"/>
        <v>-7.816568069432428E-3</v>
      </c>
      <c r="BM200">
        <f t="shared" si="178"/>
        <v>120.00000000000055</v>
      </c>
      <c r="BN200">
        <f t="shared" si="179"/>
        <v>-120.00000000000739</v>
      </c>
      <c r="BO200">
        <f>Data!$H$2*(1-BI200)*(1-BI200/Data!$H$3)*BM200</f>
        <v>1.5833235954335099E-10</v>
      </c>
      <c r="BP200">
        <f t="shared" si="161"/>
        <v>-120.09746764372196</v>
      </c>
      <c r="BQ200">
        <f>Data!$H$2*(1-BJ200)*(1-BJ200/Data!$H$3)*BN200</f>
        <v>-1.0869725909225066E-7</v>
      </c>
      <c r="BR200">
        <f t="shared" si="162"/>
        <v>117.44621153078457</v>
      </c>
      <c r="BS200">
        <f t="shared" si="163"/>
        <v>0</v>
      </c>
      <c r="BT200">
        <f t="shared" si="164"/>
        <v>0</v>
      </c>
      <c r="BU200">
        <f t="shared" si="165"/>
        <v>0</v>
      </c>
      <c r="BV200">
        <f t="shared" si="166"/>
        <v>0</v>
      </c>
      <c r="BW200">
        <f t="shared" si="180"/>
        <v>0</v>
      </c>
      <c r="BX200" t="str">
        <f t="shared" si="181"/>
        <v/>
      </c>
      <c r="BY200" s="66" t="str">
        <f t="shared" si="167"/>
        <v/>
      </c>
      <c r="BZ200" t="str">
        <f t="shared" si="168"/>
        <v/>
      </c>
      <c r="CA200" s="67" t="str">
        <f t="shared" si="169"/>
        <v/>
      </c>
    </row>
    <row r="201" spans="4:79" x14ac:dyDescent="0.25">
      <c r="D201" s="3" t="e">
        <f t="shared" si="194"/>
        <v>#DIV/0!</v>
      </c>
      <c r="E201" s="3" t="e">
        <f t="shared" si="194"/>
        <v>#DIV/0!</v>
      </c>
      <c r="F201" t="str">
        <f>IF(A201&gt;0,IF(F200=1,1,IF(B201=Data!$H$4,1,0)),"")</f>
        <v/>
      </c>
      <c r="O201" s="3"/>
      <c r="P201" s="3"/>
      <c r="Q201" t="str">
        <f t="shared" si="170"/>
        <v/>
      </c>
      <c r="R201" s="4" t="str">
        <f t="shared" si="171"/>
        <v/>
      </c>
      <c r="S201" t="e">
        <f t="shared" si="182"/>
        <v>#DIV/0!</v>
      </c>
      <c r="T201" t="e">
        <f t="shared" si="195"/>
        <v>#DIV/0!</v>
      </c>
      <c r="U201" s="4">
        <f t="shared" si="172"/>
        <v>0</v>
      </c>
      <c r="V201" t="e">
        <f t="shared" si="183"/>
        <v>#DIV/0!</v>
      </c>
      <c r="W201" t="e">
        <f t="shared" si="184"/>
        <v>#DIV/0!</v>
      </c>
      <c r="X201" t="e">
        <f t="shared" si="185"/>
        <v>#VALUE!</v>
      </c>
      <c r="Y201" t="e">
        <f t="shared" si="186"/>
        <v>#VALUE!</v>
      </c>
      <c r="Z201" t="e">
        <f t="shared" si="187"/>
        <v>#VALUE!</v>
      </c>
      <c r="AA201" t="e">
        <f t="shared" si="173"/>
        <v>#VALUE!</v>
      </c>
      <c r="AB201" t="str">
        <f t="shared" si="188"/>
        <v/>
      </c>
      <c r="AC201" t="str">
        <f t="shared" si="189"/>
        <v/>
      </c>
      <c r="AD201" t="str">
        <f t="shared" si="190"/>
        <v/>
      </c>
      <c r="AE201" t="str">
        <f t="shared" si="191"/>
        <v/>
      </c>
      <c r="AK201" s="4">
        <f t="shared" si="192"/>
        <v>44.900000000000283</v>
      </c>
      <c r="AL201">
        <f t="shared" si="174"/>
        <v>2389.0000000000341</v>
      </c>
      <c r="AM201">
        <f t="shared" si="175"/>
        <v>9930.1499999999705</v>
      </c>
      <c r="AN201">
        <f>IF($AK200+$AK$1&lt;=Data!$H$4-0.5,AVERAGE(AM199:AM203),AN200)</f>
        <v>9929.9733333333024</v>
      </c>
      <c r="AO201">
        <f t="shared" si="176"/>
        <v>8472.9999999999654</v>
      </c>
      <c r="AP201">
        <f t="shared" si="193"/>
        <v>9722.0333333332946</v>
      </c>
      <c r="AQ201">
        <f>IF($AK200+$AK$1&lt;=Data!$H$4-0.5,AVERAGE(AP199:AP203),AQ200)</f>
        <v>9721.6533333332954</v>
      </c>
      <c r="AR201">
        <f>IF($AK200+$AK$1&lt;=Data!$H$4-0.5,SLOPE($AN197:$AN205,$AK197:$AK205),AR200)</f>
        <v>-107.9250000000056</v>
      </c>
      <c r="AS201">
        <f>IF($AK200+$AK$1&lt;=Data!$H$4-0.5,SLOPE($AQ197:$AQ205,$AK197:$AK205),AS200)</f>
        <v>-143.65000000000575</v>
      </c>
      <c r="AT201" t="str">
        <f>IF(AND($AK201&gt;=Results!$G$13,$AK201&lt;=Results!$G$14),Curves!AR201,"")</f>
        <v/>
      </c>
      <c r="AU201" t="str">
        <f>IF(AND($AK201&gt;=Results!$G$13,$AK201&lt;=Results!$G$14),Curves!AS201,"")</f>
        <v/>
      </c>
      <c r="AV201">
        <f t="shared" si="177"/>
        <v>44.900000000000283</v>
      </c>
      <c r="AW201">
        <f>IF(AND($AK201&lt;=Results!$I$21,$AK201&gt;=Results!$I$20,$AK201&lt;=Results!$F$4),$AN201,"")</f>
        <v>9929.9733333333024</v>
      </c>
      <c r="AX201" t="str">
        <f t="shared" si="177"/>
        <v/>
      </c>
      <c r="AY201" t="str">
        <f>IF(AND($AK201&lt;=Results!$I$23,$AK201&gt;=Results!$I$22,$AK201&gt;=Results!$F$4),$AN201,"")</f>
        <v/>
      </c>
      <c r="AZ201" t="str">
        <f t="shared" si="150"/>
        <v/>
      </c>
      <c r="BA201" t="str">
        <f>IF(AND($AK201&lt;=Results!$I$27,$AK201&gt;=Results!$I$26,$AK201&lt;=Results!$F$4),$AQ201,"")</f>
        <v/>
      </c>
      <c r="BB201" t="str">
        <f t="shared" si="151"/>
        <v/>
      </c>
      <c r="BC201" t="str">
        <f>IF(AND($AK201&lt;=Results!$I$29,$AK201&gt;=Results!$I$28,$AK201&gt;=Results!$F$4),$AQ201,"")</f>
        <v/>
      </c>
      <c r="BD201">
        <f t="shared" si="152"/>
        <v>9923.4102567426635</v>
      </c>
      <c r="BE201">
        <f t="shared" si="153"/>
        <v>1986.2197979954967</v>
      </c>
      <c r="BF201">
        <f t="shared" si="154"/>
        <v>9912.0459236494444</v>
      </c>
      <c r="BG201">
        <f t="shared" si="155"/>
        <v>1291.4814063547901</v>
      </c>
      <c r="BH201">
        <f t="shared" si="156"/>
        <v>0</v>
      </c>
      <c r="BI201">
        <f t="shared" si="157"/>
        <v>1.0008268765408554</v>
      </c>
      <c r="BJ201">
        <f t="shared" si="158"/>
        <v>0.97791413892510382</v>
      </c>
      <c r="BK201">
        <f t="shared" si="159"/>
        <v>3.5204398901588827E-5</v>
      </c>
      <c r="BL201">
        <f t="shared" si="160"/>
        <v>-8.2697731276486428E-3</v>
      </c>
      <c r="BM201">
        <f t="shared" si="178"/>
        <v>120.00000000000055</v>
      </c>
      <c r="BN201">
        <f t="shared" si="179"/>
        <v>-119.99999999999829</v>
      </c>
      <c r="BO201">
        <f>Data!$H$2*(1-BI201)*(1-BI201/Data!$H$3)*BM201</f>
        <v>1.6409395531609786E-10</v>
      </c>
      <c r="BP201">
        <f t="shared" si="161"/>
        <v>-120.0992251849032</v>
      </c>
      <c r="BQ201">
        <f>Data!$H$2*(1-BJ201)*(1-BJ201/Data!$H$3)*BN201</f>
        <v>-1.1706846226070579E-7</v>
      </c>
      <c r="BR201">
        <f t="shared" si="162"/>
        <v>117.34969667101079</v>
      </c>
      <c r="BS201">
        <f t="shared" si="163"/>
        <v>0</v>
      </c>
      <c r="BT201">
        <f t="shared" si="164"/>
        <v>0</v>
      </c>
      <c r="BU201">
        <f t="shared" si="165"/>
        <v>0</v>
      </c>
      <c r="BV201">
        <f t="shared" si="166"/>
        <v>0</v>
      </c>
      <c r="BW201">
        <f t="shared" si="180"/>
        <v>0</v>
      </c>
      <c r="BX201" t="str">
        <f t="shared" si="181"/>
        <v/>
      </c>
      <c r="BY201" s="66" t="str">
        <f t="shared" si="167"/>
        <v/>
      </c>
      <c r="BZ201" t="str">
        <f t="shared" si="168"/>
        <v/>
      </c>
      <c r="CA201" s="67" t="str">
        <f t="shared" si="169"/>
        <v/>
      </c>
    </row>
    <row r="202" spans="4:79" x14ac:dyDescent="0.25">
      <c r="D202" s="3" t="e">
        <f t="shared" si="194"/>
        <v>#DIV/0!</v>
      </c>
      <c r="E202" s="3" t="e">
        <f t="shared" si="194"/>
        <v>#DIV/0!</v>
      </c>
      <c r="F202" t="str">
        <f>IF(A202&gt;0,IF(F201=1,1,IF(B202=Data!$H$4,1,0)),"")</f>
        <v/>
      </c>
      <c r="O202" s="3"/>
      <c r="P202" s="3"/>
      <c r="Q202" t="str">
        <f t="shared" si="170"/>
        <v/>
      </c>
      <c r="R202" s="4" t="str">
        <f t="shared" si="171"/>
        <v/>
      </c>
      <c r="S202" t="e">
        <f t="shared" si="182"/>
        <v>#DIV/0!</v>
      </c>
      <c r="T202" t="e">
        <f t="shared" si="195"/>
        <v>#DIV/0!</v>
      </c>
      <c r="U202" s="4">
        <f t="shared" si="172"/>
        <v>0</v>
      </c>
      <c r="V202" t="e">
        <f t="shared" si="183"/>
        <v>#DIV/0!</v>
      </c>
      <c r="W202" t="e">
        <f t="shared" si="184"/>
        <v>#DIV/0!</v>
      </c>
      <c r="X202" t="e">
        <f t="shared" si="185"/>
        <v>#VALUE!</v>
      </c>
      <c r="Y202" t="e">
        <f t="shared" si="186"/>
        <v>#VALUE!</v>
      </c>
      <c r="Z202" t="e">
        <f t="shared" si="187"/>
        <v>#VALUE!</v>
      </c>
      <c r="AA202" t="e">
        <f t="shared" si="173"/>
        <v>#VALUE!</v>
      </c>
      <c r="AB202" t="str">
        <f t="shared" si="188"/>
        <v/>
      </c>
      <c r="AC202" t="str">
        <f t="shared" si="189"/>
        <v/>
      </c>
      <c r="AD202" t="str">
        <f t="shared" si="190"/>
        <v/>
      </c>
      <c r="AE202" t="str">
        <f t="shared" si="191"/>
        <v/>
      </c>
      <c r="AK202" s="4">
        <f t="shared" si="192"/>
        <v>45.000000000000284</v>
      </c>
      <c r="AL202">
        <f t="shared" si="174"/>
        <v>2401.0000000000341</v>
      </c>
      <c r="AM202">
        <f t="shared" si="175"/>
        <v>9919.6666666666333</v>
      </c>
      <c r="AN202">
        <f>IF($AK201+$AK$1&lt;=Data!$H$4-0.5,AVERAGE(AM200:AM204),AN201)</f>
        <v>9919.1366666666345</v>
      </c>
      <c r="AO202">
        <f t="shared" si="176"/>
        <v>8460.9999999999654</v>
      </c>
      <c r="AP202">
        <f t="shared" si="193"/>
        <v>9708.3333333332903</v>
      </c>
      <c r="AQ202">
        <f>IF($AK201+$AK$1&lt;=Data!$H$4-0.5,AVERAGE(AP200:AP204),AQ201)</f>
        <v>9707.1933333332909</v>
      </c>
      <c r="AR202">
        <f>IF($AK201+$AK$1&lt;=Data!$H$4-0.5,SLOPE($AN198:$AN206,$AK198:$AK206),AR201)</f>
        <v>-109.25000000000573</v>
      </c>
      <c r="AS202">
        <f>IF($AK201+$AK$1&lt;=Data!$H$4-0.5,SLOPE($AQ198:$AQ206,$AK198:$AK206),AS201)</f>
        <v>-146.50000000000517</v>
      </c>
      <c r="AT202" t="str">
        <f>IF(AND($AK202&gt;=Results!$G$13,$AK202&lt;=Results!$G$14),Curves!AR202,"")</f>
        <v/>
      </c>
      <c r="AU202" t="str">
        <f>IF(AND($AK202&gt;=Results!$G$13,$AK202&lt;=Results!$G$14),Curves!AS202,"")</f>
        <v/>
      </c>
      <c r="AV202">
        <f t="shared" si="177"/>
        <v>45.000000000000284</v>
      </c>
      <c r="AW202">
        <f>IF(AND($AK202&lt;=Results!$I$21,$AK202&gt;=Results!$I$20,$AK202&lt;=Results!$F$4),$AN202,"")</f>
        <v>9919.1366666666345</v>
      </c>
      <c r="AX202" t="str">
        <f t="shared" si="177"/>
        <v/>
      </c>
      <c r="AY202" t="str">
        <f>IF(AND($AK202&lt;=Results!$I$23,$AK202&gt;=Results!$I$22,$AK202&gt;=Results!$F$4),$AN202,"")</f>
        <v/>
      </c>
      <c r="AZ202" t="str">
        <f t="shared" si="150"/>
        <v/>
      </c>
      <c r="BA202" t="str">
        <f>IF(AND($AK202&lt;=Results!$I$27,$AK202&gt;=Results!$I$26,$AK202&lt;=Results!$F$4),$AQ202,"")</f>
        <v/>
      </c>
      <c r="BB202" t="str">
        <f t="shared" si="151"/>
        <v/>
      </c>
      <c r="BC202" t="str">
        <f>IF(AND($AK202&lt;=Results!$I$29,$AK202&gt;=Results!$I$28,$AK202&gt;=Results!$F$4),$AQ202,"")</f>
        <v/>
      </c>
      <c r="BD202">
        <f t="shared" si="152"/>
        <v>9912.640061944745</v>
      </c>
      <c r="BE202">
        <f t="shared" si="153"/>
        <v>1982.9040087461758</v>
      </c>
      <c r="BF202">
        <f t="shared" si="154"/>
        <v>9904.7559414165517</v>
      </c>
      <c r="BG202">
        <f t="shared" si="155"/>
        <v>1290.930605395265</v>
      </c>
      <c r="BH202">
        <f t="shared" si="156"/>
        <v>0</v>
      </c>
      <c r="BI202">
        <f t="shared" si="157"/>
        <v>1.0008192712441253</v>
      </c>
      <c r="BJ202">
        <f t="shared" si="158"/>
        <v>0.97706447479761471</v>
      </c>
      <c r="BK202">
        <f t="shared" si="159"/>
        <v>-1.8762439360164596E-4</v>
      </c>
      <c r="BL202">
        <f t="shared" si="160"/>
        <v>-8.72404232218503E-3</v>
      </c>
      <c r="BM202">
        <f t="shared" si="178"/>
        <v>119.99999999999829</v>
      </c>
      <c r="BN202">
        <f t="shared" si="179"/>
        <v>-119.99999999999829</v>
      </c>
      <c r="BO202">
        <f>Data!$H$2*(1-BI202)*(1-BI202/Data!$H$3)*BM202</f>
        <v>1.610892891481402E-10</v>
      </c>
      <c r="BP202">
        <f t="shared" si="161"/>
        <v>-120.09831254929333</v>
      </c>
      <c r="BQ202">
        <f>Data!$H$2*(1-BJ202)*(1-BJ202/Data!$H$3)*BN202</f>
        <v>-1.2624919591421836E-7</v>
      </c>
      <c r="BR202">
        <f t="shared" si="162"/>
        <v>117.2477369757121</v>
      </c>
      <c r="BS202">
        <f t="shared" si="163"/>
        <v>0</v>
      </c>
      <c r="BT202">
        <f t="shared" si="164"/>
        <v>0</v>
      </c>
      <c r="BU202">
        <f t="shared" si="165"/>
        <v>0</v>
      </c>
      <c r="BV202">
        <f t="shared" si="166"/>
        <v>0</v>
      </c>
      <c r="BW202">
        <f t="shared" si="180"/>
        <v>0</v>
      </c>
      <c r="BX202" t="str">
        <f t="shared" si="181"/>
        <v/>
      </c>
      <c r="BY202" s="66" t="str">
        <f t="shared" si="167"/>
        <v/>
      </c>
      <c r="BZ202" t="str">
        <f t="shared" si="168"/>
        <v/>
      </c>
      <c r="CA202" s="67" t="str">
        <f t="shared" si="169"/>
        <v/>
      </c>
    </row>
    <row r="203" spans="4:79" x14ac:dyDescent="0.25">
      <c r="D203" s="3" t="e">
        <f t="shared" si="194"/>
        <v>#DIV/0!</v>
      </c>
      <c r="E203" s="3" t="e">
        <f t="shared" si="194"/>
        <v>#DIV/0!</v>
      </c>
      <c r="F203" t="str">
        <f>IF(A203&gt;0,IF(F202=1,1,IF(B203=Data!$H$4,1,0)),"")</f>
        <v/>
      </c>
      <c r="O203" s="3"/>
      <c r="P203" s="3"/>
      <c r="Q203" t="str">
        <f t="shared" si="170"/>
        <v/>
      </c>
      <c r="R203" s="4" t="str">
        <f t="shared" si="171"/>
        <v/>
      </c>
      <c r="S203" t="e">
        <f t="shared" si="182"/>
        <v>#DIV/0!</v>
      </c>
      <c r="T203" t="e">
        <f t="shared" si="195"/>
        <v>#DIV/0!</v>
      </c>
      <c r="U203" s="4">
        <f t="shared" si="172"/>
        <v>0</v>
      </c>
      <c r="V203" t="e">
        <f t="shared" si="183"/>
        <v>#DIV/0!</v>
      </c>
      <c r="W203" t="e">
        <f t="shared" si="184"/>
        <v>#DIV/0!</v>
      </c>
      <c r="X203" t="e">
        <f t="shared" si="185"/>
        <v>#VALUE!</v>
      </c>
      <c r="Y203" t="e">
        <f t="shared" si="186"/>
        <v>#VALUE!</v>
      </c>
      <c r="Z203" t="e">
        <f t="shared" si="187"/>
        <v>#VALUE!</v>
      </c>
      <c r="AA203" t="e">
        <f t="shared" si="173"/>
        <v>#VALUE!</v>
      </c>
      <c r="AB203" t="str">
        <f t="shared" si="188"/>
        <v/>
      </c>
      <c r="AC203" t="str">
        <f t="shared" si="189"/>
        <v/>
      </c>
      <c r="AD203" t="str">
        <f t="shared" si="190"/>
        <v/>
      </c>
      <c r="AE203" t="str">
        <f t="shared" si="191"/>
        <v/>
      </c>
      <c r="AK203" s="4">
        <f t="shared" si="192"/>
        <v>45.100000000000286</v>
      </c>
      <c r="AL203">
        <f t="shared" si="174"/>
        <v>2413.0000000000341</v>
      </c>
      <c r="AM203">
        <f t="shared" si="175"/>
        <v>9908.2999999999665</v>
      </c>
      <c r="AN203">
        <f>IF($AK202+$AK$1&lt;=Data!$H$4-0.5,AVERAGE(AM201:AM205),AN202)</f>
        <v>9908.1233333333021</v>
      </c>
      <c r="AO203">
        <f t="shared" si="176"/>
        <v>8448.9999999999654</v>
      </c>
      <c r="AP203">
        <f t="shared" si="193"/>
        <v>9692.7333333332899</v>
      </c>
      <c r="AQ203">
        <f>IF($AK202+$AK$1&lt;=Data!$H$4-0.5,AVERAGE(AP201:AP205),AQ202)</f>
        <v>9692.3533333332907</v>
      </c>
      <c r="AR203">
        <f>IF($AK202+$AK$1&lt;=Data!$H$4-0.5,SLOPE($AN199:$AN207,$AK199:$AK207),AR202)</f>
        <v>-110.57500000000522</v>
      </c>
      <c r="AS203">
        <f>IF($AK202+$AK$1&lt;=Data!$H$4-0.5,SLOPE($AQ199:$AQ207,$AK199:$AK207),AS202)</f>
        <v>-149.35000000000463</v>
      </c>
      <c r="AT203" t="str">
        <f>IF(AND($AK203&gt;=Results!$G$13,$AK203&lt;=Results!$G$14),Curves!AR203,"")</f>
        <v/>
      </c>
      <c r="AU203" t="str">
        <f>IF(AND($AK203&gt;=Results!$G$13,$AK203&lt;=Results!$G$14),Curves!AS203,"")</f>
        <v/>
      </c>
      <c r="AV203">
        <f t="shared" si="177"/>
        <v>45.100000000000286</v>
      </c>
      <c r="AW203">
        <f>IF(AND($AK203&lt;=Results!$I$21,$AK203&gt;=Results!$I$20,$AK203&lt;=Results!$F$4),$AN203,"")</f>
        <v>9908.1233333333021</v>
      </c>
      <c r="AX203" t="str">
        <f t="shared" si="177"/>
        <v/>
      </c>
      <c r="AY203" t="str">
        <f>IF(AND($AK203&lt;=Results!$I$23,$AK203&gt;=Results!$I$22,$AK203&gt;=Results!$F$4),$AN203,"")</f>
        <v/>
      </c>
      <c r="AZ203" t="str">
        <f t="shared" si="150"/>
        <v/>
      </c>
      <c r="BA203" t="str">
        <f>IF(AND($AK203&lt;=Results!$I$27,$AK203&gt;=Results!$I$26,$AK203&lt;=Results!$F$4),$AQ203,"")</f>
        <v/>
      </c>
      <c r="BB203" t="str">
        <f t="shared" si="151"/>
        <v/>
      </c>
      <c r="BC203" t="str">
        <f>IF(AND($AK203&lt;=Results!$I$29,$AK203&gt;=Results!$I$28,$AK203&gt;=Results!$F$4),$AQ203,"")</f>
        <v/>
      </c>
      <c r="BD203">
        <f t="shared" si="152"/>
        <v>9901.8698671468264</v>
      </c>
      <c r="BE203">
        <f t="shared" si="153"/>
        <v>1979.5882194968549</v>
      </c>
      <c r="BF203">
        <f t="shared" si="154"/>
        <v>9897.4659591836589</v>
      </c>
      <c r="BG203">
        <f t="shared" si="155"/>
        <v>1290.3798044357402</v>
      </c>
      <c r="BH203">
        <f t="shared" si="156"/>
        <v>0</v>
      </c>
      <c r="BI203">
        <f t="shared" si="157"/>
        <v>1.0007893516621351</v>
      </c>
      <c r="BJ203">
        <f t="shared" si="158"/>
        <v>0.97616933046066678</v>
      </c>
      <c r="BK203">
        <f t="shared" si="159"/>
        <v>-4.1108248946763434E-4</v>
      </c>
      <c r="BL203">
        <f t="shared" si="160"/>
        <v>-9.1793789871445833E-3</v>
      </c>
      <c r="BM203">
        <f t="shared" si="178"/>
        <v>120.00000000000055</v>
      </c>
      <c r="BN203">
        <f t="shared" si="179"/>
        <v>-119.99999999999829</v>
      </c>
      <c r="BO203">
        <f>Data!$H$2*(1-BI203)*(1-BI203/Data!$H$3)*BM203</f>
        <v>1.4953825116371441E-10</v>
      </c>
      <c r="BP203">
        <f t="shared" si="161"/>
        <v>-120.09472219945677</v>
      </c>
      <c r="BQ203">
        <f>Data!$H$2*(1-BJ203)*(1-BJ203/Data!$H$3)*BN203</f>
        <v>-1.36296194566295E-7</v>
      </c>
      <c r="BR203">
        <f t="shared" si="162"/>
        <v>117.14031965527835</v>
      </c>
      <c r="BS203">
        <f t="shared" si="163"/>
        <v>0</v>
      </c>
      <c r="BT203">
        <f t="shared" si="164"/>
        <v>0</v>
      </c>
      <c r="BU203">
        <f t="shared" si="165"/>
        <v>0</v>
      </c>
      <c r="BV203">
        <f t="shared" si="166"/>
        <v>0</v>
      </c>
      <c r="BW203">
        <f t="shared" si="180"/>
        <v>0</v>
      </c>
      <c r="BX203" t="str">
        <f t="shared" si="181"/>
        <v/>
      </c>
      <c r="BY203" s="66" t="str">
        <f t="shared" si="167"/>
        <v/>
      </c>
      <c r="BZ203" t="str">
        <f t="shared" si="168"/>
        <v/>
      </c>
      <c r="CA203" s="67" t="str">
        <f t="shared" si="169"/>
        <v/>
      </c>
    </row>
    <row r="204" spans="4:79" x14ac:dyDescent="0.25">
      <c r="D204" s="3" t="e">
        <f t="shared" si="194"/>
        <v>#DIV/0!</v>
      </c>
      <c r="E204" s="3" t="e">
        <f t="shared" si="194"/>
        <v>#DIV/0!</v>
      </c>
      <c r="F204" t="str">
        <f>IF(A204&gt;0,IF(F203=1,1,IF(B204=Data!$H$4,1,0)),"")</f>
        <v/>
      </c>
      <c r="O204" s="3"/>
      <c r="P204" s="3"/>
      <c r="Q204" t="str">
        <f t="shared" si="170"/>
        <v/>
      </c>
      <c r="R204" s="4" t="str">
        <f t="shared" si="171"/>
        <v/>
      </c>
      <c r="S204" t="e">
        <f t="shared" si="182"/>
        <v>#DIV/0!</v>
      </c>
      <c r="T204" t="e">
        <f t="shared" si="195"/>
        <v>#DIV/0!</v>
      </c>
      <c r="U204" s="4">
        <f t="shared" si="172"/>
        <v>0</v>
      </c>
      <c r="V204" t="e">
        <f t="shared" si="183"/>
        <v>#DIV/0!</v>
      </c>
      <c r="W204" t="e">
        <f t="shared" si="184"/>
        <v>#DIV/0!</v>
      </c>
      <c r="X204" t="e">
        <f t="shared" si="185"/>
        <v>#VALUE!</v>
      </c>
      <c r="Y204" t="e">
        <f t="shared" si="186"/>
        <v>#VALUE!</v>
      </c>
      <c r="Z204" t="e">
        <f t="shared" si="187"/>
        <v>#VALUE!</v>
      </c>
      <c r="AA204" t="e">
        <f t="shared" si="173"/>
        <v>#VALUE!</v>
      </c>
      <c r="AB204" t="str">
        <f t="shared" si="188"/>
        <v/>
      </c>
      <c r="AC204" t="str">
        <f t="shared" si="189"/>
        <v/>
      </c>
      <c r="AD204" t="str">
        <f t="shared" si="190"/>
        <v/>
      </c>
      <c r="AE204" t="str">
        <f t="shared" si="191"/>
        <v/>
      </c>
      <c r="AK204" s="4">
        <f t="shared" si="192"/>
        <v>45.200000000000287</v>
      </c>
      <c r="AL204">
        <f t="shared" si="174"/>
        <v>2425.0000000000346</v>
      </c>
      <c r="AM204">
        <f t="shared" si="175"/>
        <v>9896.9333333332997</v>
      </c>
      <c r="AN204">
        <f>IF($AK203+$AK$1&lt;=Data!$H$4-0.5,AVERAGE(AM202:AM206),AN203)</f>
        <v>9896.9333333332997</v>
      </c>
      <c r="AO204">
        <f t="shared" si="176"/>
        <v>8436.9999999999654</v>
      </c>
      <c r="AP204">
        <f t="shared" si="193"/>
        <v>9677.1333333332896</v>
      </c>
      <c r="AQ204">
        <f>IF($AK203+$AK$1&lt;=Data!$H$4-0.5,AVERAGE(AP202:AP206),AQ203)</f>
        <v>9677.1333333332896</v>
      </c>
      <c r="AR204">
        <f>IF($AK203+$AK$1&lt;=Data!$H$4-0.5,SLOPE($AN200:$AN208,$AK200:$AK208),AR203)</f>
        <v>-111.75277777778192</v>
      </c>
      <c r="AS204">
        <f>IF($AK203+$AK$1&lt;=Data!$H$4-0.5,SLOPE($AQ200:$AQ208,$AK200:$AK208),AS203)</f>
        <v>-151.88333333333742</v>
      </c>
      <c r="AT204" t="str">
        <f>IF(AND($AK204&gt;=Results!$G$13,$AK204&lt;=Results!$G$14),Curves!AR204,"")</f>
        <v/>
      </c>
      <c r="AU204" t="str">
        <f>IF(AND($AK204&gt;=Results!$G$13,$AK204&lt;=Results!$G$14),Curves!AS204,"")</f>
        <v/>
      </c>
      <c r="AV204">
        <f t="shared" si="177"/>
        <v>45.200000000000287</v>
      </c>
      <c r="AW204">
        <f>IF(AND($AK204&lt;=Results!$I$21,$AK204&gt;=Results!$I$20,$AK204&lt;=Results!$F$4),$AN204,"")</f>
        <v>9896.9333333332997</v>
      </c>
      <c r="AX204" t="str">
        <f t="shared" si="177"/>
        <v/>
      </c>
      <c r="AY204" t="str">
        <f>IF(AND($AK204&lt;=Results!$I$23,$AK204&gt;=Results!$I$22,$AK204&gt;=Results!$F$4),$AN204,"")</f>
        <v/>
      </c>
      <c r="AZ204" t="str">
        <f t="shared" si="150"/>
        <v/>
      </c>
      <c r="BA204" t="str">
        <f>IF(AND($AK204&lt;=Results!$I$27,$AK204&gt;=Results!$I$26,$AK204&lt;=Results!$F$4),$AQ204,"")</f>
        <v/>
      </c>
      <c r="BB204" t="str">
        <f t="shared" si="151"/>
        <v/>
      </c>
      <c r="BC204" t="str">
        <f>IF(AND($AK204&lt;=Results!$I$29,$AK204&gt;=Results!$I$28,$AK204&gt;=Results!$F$4),$AQ204,"")</f>
        <v/>
      </c>
      <c r="BD204">
        <f t="shared" si="152"/>
        <v>9891.0996723489043</v>
      </c>
      <c r="BE204">
        <f t="shared" si="153"/>
        <v>1976.2724302475342</v>
      </c>
      <c r="BF204">
        <f t="shared" si="154"/>
        <v>9890.1759769507662</v>
      </c>
      <c r="BG204">
        <f t="shared" si="155"/>
        <v>1289.8290034762151</v>
      </c>
      <c r="BH204">
        <f t="shared" si="156"/>
        <v>0</v>
      </c>
      <c r="BI204">
        <f t="shared" si="157"/>
        <v>1.0007370547462318</v>
      </c>
      <c r="BJ204">
        <f t="shared" si="158"/>
        <v>0.97522859900018577</v>
      </c>
      <c r="BK204">
        <f t="shared" si="159"/>
        <v>-6.3517226060460152E-4</v>
      </c>
      <c r="BL204">
        <f t="shared" si="160"/>
        <v>-9.635786469697068E-3</v>
      </c>
      <c r="BM204">
        <f t="shared" si="178"/>
        <v>120.00000000000055</v>
      </c>
      <c r="BN204">
        <f t="shared" si="179"/>
        <v>-119.99999999999829</v>
      </c>
      <c r="BO204">
        <f>Data!$H$2*(1-BI204)*(1-BI204/Data!$H$3)*BM204</f>
        <v>1.303799277462632E-10</v>
      </c>
      <c r="BP204">
        <f t="shared" si="161"/>
        <v>-120.08844656954837</v>
      </c>
      <c r="BQ204">
        <f>Data!$H$2*(1-BJ204)*(1-BJ204/Data!$H$3)*BN204</f>
        <v>-1.4726935379846128E-7</v>
      </c>
      <c r="BR204">
        <f t="shared" si="162"/>
        <v>117.02743188002063</v>
      </c>
      <c r="BS204">
        <f t="shared" si="163"/>
        <v>0</v>
      </c>
      <c r="BT204">
        <f t="shared" si="164"/>
        <v>0</v>
      </c>
      <c r="BU204">
        <f t="shared" si="165"/>
        <v>0</v>
      </c>
      <c r="BV204">
        <f t="shared" si="166"/>
        <v>0</v>
      </c>
      <c r="BW204">
        <f t="shared" si="180"/>
        <v>0</v>
      </c>
      <c r="BX204" t="str">
        <f t="shared" si="181"/>
        <v/>
      </c>
      <c r="BY204" s="66" t="str">
        <f t="shared" si="167"/>
        <v/>
      </c>
      <c r="BZ204" t="str">
        <f t="shared" si="168"/>
        <v/>
      </c>
      <c r="CA204" s="67" t="str">
        <f t="shared" si="169"/>
        <v/>
      </c>
    </row>
    <row r="205" spans="4:79" x14ac:dyDescent="0.25">
      <c r="D205" s="3" t="e">
        <f t="shared" si="194"/>
        <v>#DIV/0!</v>
      </c>
      <c r="E205" s="3" t="e">
        <f t="shared" si="194"/>
        <v>#DIV/0!</v>
      </c>
      <c r="F205" t="str">
        <f>IF(A205&gt;0,IF(F204=1,1,IF(B205=Data!$H$4,1,0)),"")</f>
        <v/>
      </c>
      <c r="O205" s="3"/>
      <c r="P205" s="3"/>
      <c r="Q205" t="str">
        <f t="shared" si="170"/>
        <v/>
      </c>
      <c r="R205" s="4" t="str">
        <f t="shared" si="171"/>
        <v/>
      </c>
      <c r="S205" t="e">
        <f t="shared" si="182"/>
        <v>#DIV/0!</v>
      </c>
      <c r="T205" t="e">
        <f t="shared" si="195"/>
        <v>#DIV/0!</v>
      </c>
      <c r="U205" s="4">
        <f t="shared" si="172"/>
        <v>0</v>
      </c>
      <c r="V205" t="e">
        <f t="shared" si="183"/>
        <v>#DIV/0!</v>
      </c>
      <c r="W205" t="e">
        <f t="shared" si="184"/>
        <v>#DIV/0!</v>
      </c>
      <c r="X205" t="e">
        <f t="shared" si="185"/>
        <v>#VALUE!</v>
      </c>
      <c r="Y205" t="e">
        <f t="shared" si="186"/>
        <v>#VALUE!</v>
      </c>
      <c r="Z205" t="e">
        <f t="shared" si="187"/>
        <v>#VALUE!</v>
      </c>
      <c r="AA205" t="e">
        <f t="shared" si="173"/>
        <v>#VALUE!</v>
      </c>
      <c r="AB205" t="str">
        <f t="shared" si="188"/>
        <v/>
      </c>
      <c r="AC205" t="str">
        <f t="shared" si="189"/>
        <v/>
      </c>
      <c r="AD205" t="str">
        <f t="shared" si="190"/>
        <v/>
      </c>
      <c r="AE205" t="str">
        <f t="shared" si="191"/>
        <v/>
      </c>
      <c r="AK205" s="4">
        <f t="shared" si="192"/>
        <v>45.300000000000288</v>
      </c>
      <c r="AL205">
        <f t="shared" si="174"/>
        <v>2437.0000000000346</v>
      </c>
      <c r="AM205">
        <f t="shared" si="175"/>
        <v>9885.566666666633</v>
      </c>
      <c r="AN205">
        <f>IF($AK204+$AK$1&lt;=Data!$H$4-0.5,AVERAGE(AM203:AM207),AN204)</f>
        <v>9885.566666666633</v>
      </c>
      <c r="AO205">
        <f t="shared" si="176"/>
        <v>8424.9999999999654</v>
      </c>
      <c r="AP205">
        <f t="shared" si="193"/>
        <v>9661.5333333332892</v>
      </c>
      <c r="AQ205">
        <f>IF($AK204+$AK$1&lt;=Data!$H$4-0.5,AVERAGE(AP203:AP207),AQ204)</f>
        <v>9661.533333333291</v>
      </c>
      <c r="AR205">
        <f>IF($AK204+$AK$1&lt;=Data!$H$4-0.5,SLOPE($AN201:$AN209,$AK201:$AK209),AR204)</f>
        <v>-112.63611111111361</v>
      </c>
      <c r="AS205">
        <f>IF($AK204+$AK$1&lt;=Data!$H$4-0.5,SLOPE($AQ201:$AQ209,$AK201:$AK209),AS204)</f>
        <v>-153.78333333333552</v>
      </c>
      <c r="AT205" t="str">
        <f>IF(AND($AK205&gt;=Results!$G$13,$AK205&lt;=Results!$G$14),Curves!AR205,"")</f>
        <v/>
      </c>
      <c r="AU205" t="str">
        <f>IF(AND($AK205&gt;=Results!$G$13,$AK205&lt;=Results!$G$14),Curves!AS205,"")</f>
        <v/>
      </c>
      <c r="AV205">
        <f t="shared" si="177"/>
        <v>45.300000000000288</v>
      </c>
      <c r="AW205">
        <f>IF(AND($AK205&lt;=Results!$I$21,$AK205&gt;=Results!$I$20,$AK205&lt;=Results!$F$4),$AN205,"")</f>
        <v>9885.566666666633</v>
      </c>
      <c r="AX205" t="str">
        <f t="shared" si="177"/>
        <v/>
      </c>
      <c r="AY205" t="str">
        <f>IF(AND($AK205&lt;=Results!$I$23,$AK205&gt;=Results!$I$22,$AK205&gt;=Results!$F$4),$AN205,"")</f>
        <v/>
      </c>
      <c r="AZ205" t="str">
        <f t="shared" si="150"/>
        <v/>
      </c>
      <c r="BA205" t="str">
        <f>IF(AND($AK205&lt;=Results!$I$27,$AK205&gt;=Results!$I$26,$AK205&lt;=Results!$F$4),$AQ205,"")</f>
        <v/>
      </c>
      <c r="BB205" t="str">
        <f t="shared" si="151"/>
        <v/>
      </c>
      <c r="BC205" t="str">
        <f>IF(AND($AK205&lt;=Results!$I$29,$AK205&gt;=Results!$I$28,$AK205&gt;=Results!$F$4),$AQ205,"")</f>
        <v/>
      </c>
      <c r="BD205">
        <f t="shared" si="152"/>
        <v>9880.3294775509858</v>
      </c>
      <c r="BE205">
        <f t="shared" si="153"/>
        <v>1972.9566409982133</v>
      </c>
      <c r="BF205">
        <f t="shared" si="154"/>
        <v>9882.8859947178717</v>
      </c>
      <c r="BG205">
        <f t="shared" si="155"/>
        <v>1289.27820251669</v>
      </c>
      <c r="BH205">
        <f t="shared" si="156"/>
        <v>0</v>
      </c>
      <c r="BI205">
        <f t="shared" si="157"/>
        <v>1.0006623172100142</v>
      </c>
      <c r="BJ205">
        <f t="shared" si="158"/>
        <v>0.97424217316672734</v>
      </c>
      <c r="BK205">
        <f t="shared" si="159"/>
        <v>-7.4808058959096083E-4</v>
      </c>
      <c r="BL205">
        <f t="shared" si="160"/>
        <v>-9.8720000420769709E-3</v>
      </c>
      <c r="BM205">
        <f t="shared" si="178"/>
        <v>119.99999999999829</v>
      </c>
      <c r="BN205">
        <f t="shared" si="179"/>
        <v>-119.99999999999829</v>
      </c>
      <c r="BO205">
        <f>Data!$H$2*(1-BI205)*(1-BI205/Data!$H$3)*BM205</f>
        <v>1.052793808034358E-10</v>
      </c>
      <c r="BP205">
        <f t="shared" si="161"/>
        <v>-120.07947806519999</v>
      </c>
      <c r="BQ205">
        <f>Data!$H$2*(1-BJ205)*(1-BJ205/Data!$H$3)*BN205</f>
        <v>-1.5923175436148435E-7</v>
      </c>
      <c r="BR205">
        <f t="shared" si="162"/>
        <v>116.90906078000562</v>
      </c>
      <c r="BS205">
        <f t="shared" si="163"/>
        <v>0</v>
      </c>
      <c r="BT205">
        <f t="shared" si="164"/>
        <v>0</v>
      </c>
      <c r="BU205">
        <f t="shared" si="165"/>
        <v>0</v>
      </c>
      <c r="BV205">
        <f t="shared" si="166"/>
        <v>0</v>
      </c>
      <c r="BW205">
        <f t="shared" si="180"/>
        <v>0</v>
      </c>
      <c r="BX205" t="str">
        <f t="shared" si="181"/>
        <v/>
      </c>
      <c r="BY205" s="66" t="str">
        <f t="shared" si="167"/>
        <v/>
      </c>
      <c r="BZ205" t="str">
        <f t="shared" si="168"/>
        <v/>
      </c>
      <c r="CA205" s="67" t="str">
        <f t="shared" si="169"/>
        <v/>
      </c>
    </row>
    <row r="206" spans="4:79" x14ac:dyDescent="0.25">
      <c r="D206" s="3" t="e">
        <f t="shared" si="194"/>
        <v>#DIV/0!</v>
      </c>
      <c r="E206" s="3" t="e">
        <f t="shared" si="194"/>
        <v>#DIV/0!</v>
      </c>
      <c r="F206" t="str">
        <f>IF(A206&gt;0,IF(F205=1,1,IF(B206=Data!$H$4,1,0)),"")</f>
        <v/>
      </c>
      <c r="O206" s="3"/>
      <c r="P206" s="3"/>
      <c r="Q206" t="str">
        <f t="shared" si="170"/>
        <v/>
      </c>
      <c r="R206" s="4" t="str">
        <f t="shared" si="171"/>
        <v/>
      </c>
      <c r="S206" t="e">
        <f t="shared" si="182"/>
        <v>#DIV/0!</v>
      </c>
      <c r="T206" t="e">
        <f t="shared" si="195"/>
        <v>#DIV/0!</v>
      </c>
      <c r="U206" s="4">
        <f t="shared" si="172"/>
        <v>0</v>
      </c>
      <c r="V206" t="e">
        <f t="shared" si="183"/>
        <v>#DIV/0!</v>
      </c>
      <c r="W206" t="e">
        <f t="shared" si="184"/>
        <v>#DIV/0!</v>
      </c>
      <c r="X206" t="e">
        <f t="shared" si="185"/>
        <v>#VALUE!</v>
      </c>
      <c r="Y206" t="e">
        <f t="shared" si="186"/>
        <v>#VALUE!</v>
      </c>
      <c r="Z206" t="e">
        <f t="shared" si="187"/>
        <v>#VALUE!</v>
      </c>
      <c r="AA206" t="e">
        <f t="shared" si="173"/>
        <v>#VALUE!</v>
      </c>
      <c r="AB206" t="str">
        <f t="shared" si="188"/>
        <v/>
      </c>
      <c r="AC206" t="str">
        <f t="shared" si="189"/>
        <v/>
      </c>
      <c r="AD206" t="str">
        <f t="shared" si="190"/>
        <v/>
      </c>
      <c r="AE206" t="str">
        <f t="shared" si="191"/>
        <v/>
      </c>
      <c r="AK206" s="4">
        <f t="shared" si="192"/>
        <v>45.40000000000029</v>
      </c>
      <c r="AL206">
        <f t="shared" si="174"/>
        <v>2449.0000000000346</v>
      </c>
      <c r="AM206">
        <f t="shared" si="175"/>
        <v>9874.1999999999662</v>
      </c>
      <c r="AN206">
        <f>IF($AK205+$AK$1&lt;=Data!$H$4-0.5,AVERAGE(AM204:AM208),AN205)</f>
        <v>9874.1999999999662</v>
      </c>
      <c r="AO206">
        <f t="shared" si="176"/>
        <v>8412.9999999999654</v>
      </c>
      <c r="AP206">
        <f t="shared" si="193"/>
        <v>9645.9333333332888</v>
      </c>
      <c r="AQ206">
        <f>IF($AK205+$AK$1&lt;=Data!$H$4-0.5,AVERAGE(AP204:AP208),AQ205)</f>
        <v>9645.9333333332906</v>
      </c>
      <c r="AR206">
        <f>IF($AK205+$AK$1&lt;=Data!$H$4-0.5,SLOPE($AN202:$AN210,$AK202:$AK210),AR205)</f>
        <v>-113.22500000000147</v>
      </c>
      <c r="AS206">
        <f>IF($AK205+$AK$1&lt;=Data!$H$4-0.5,SLOPE($AQ202:$AQ210,$AK202:$AK210),AS205)</f>
        <v>-155.05000000000069</v>
      </c>
      <c r="AT206" t="str">
        <f>IF(AND($AK206&gt;=Results!$G$13,$AK206&lt;=Results!$G$14),Curves!AR206,"")</f>
        <v/>
      </c>
      <c r="AU206" t="str">
        <f>IF(AND($AK206&gt;=Results!$G$13,$AK206&lt;=Results!$G$14),Curves!AS206,"")</f>
        <v/>
      </c>
      <c r="AV206">
        <f t="shared" si="177"/>
        <v>45.40000000000029</v>
      </c>
      <c r="AW206">
        <f>IF(AND($AK206&lt;=Results!$I$21,$AK206&gt;=Results!$I$20,$AK206&lt;=Results!$F$4),$AN206,"")</f>
        <v>9874.1999999999662</v>
      </c>
      <c r="AX206" t="str">
        <f t="shared" si="177"/>
        <v/>
      </c>
      <c r="AY206" t="str">
        <f>IF(AND($AK206&lt;=Results!$I$23,$AK206&gt;=Results!$I$22,$AK206&gt;=Results!$F$4),$AN206,"")</f>
        <v/>
      </c>
      <c r="AZ206" t="str">
        <f t="shared" si="150"/>
        <v/>
      </c>
      <c r="BA206" t="str">
        <f>IF(AND($AK206&lt;=Results!$I$27,$AK206&gt;=Results!$I$26,$AK206&lt;=Results!$F$4),$AQ206,"")</f>
        <v/>
      </c>
      <c r="BB206" t="str">
        <f t="shared" si="151"/>
        <v/>
      </c>
      <c r="BC206" t="str">
        <f>IF(AND($AK206&lt;=Results!$I$29,$AK206&gt;=Results!$I$28,$AK206&gt;=Results!$F$4),$AQ206,"")</f>
        <v/>
      </c>
      <c r="BD206">
        <f t="shared" si="152"/>
        <v>9869.5592827530672</v>
      </c>
      <c r="BE206">
        <f t="shared" si="153"/>
        <v>1969.6408517488926</v>
      </c>
      <c r="BF206">
        <f t="shared" si="154"/>
        <v>9875.5960124849789</v>
      </c>
      <c r="BG206">
        <f t="shared" si="155"/>
        <v>1288.7274015571652</v>
      </c>
      <c r="BH206">
        <f t="shared" si="156"/>
        <v>0</v>
      </c>
      <c r="BI206">
        <f t="shared" si="157"/>
        <v>1.0005874386283136</v>
      </c>
      <c r="BJ206">
        <f t="shared" si="158"/>
        <v>0.97325419899177035</v>
      </c>
      <c r="BK206">
        <f t="shared" si="159"/>
        <v>-7.4949304267101272E-4</v>
      </c>
      <c r="BL206">
        <f t="shared" si="160"/>
        <v>-9.8875016990117269E-3</v>
      </c>
      <c r="BM206">
        <f t="shared" si="178"/>
        <v>120.00000000000055</v>
      </c>
      <c r="BN206">
        <f t="shared" si="179"/>
        <v>-119.99999999999829</v>
      </c>
      <c r="BO206">
        <f>Data!$H$2*(1-BI206)*(1-BI206/Data!$H$3)*BM206</f>
        <v>8.2820194088381431E-11</v>
      </c>
      <c r="BP206">
        <f t="shared" si="161"/>
        <v>-120.07049263539818</v>
      </c>
      <c r="BQ206">
        <f>Data!$H$2*(1-BJ206)*(1-BJ206/Data!$H$3)*BN206</f>
        <v>-1.7168108917723393E-7</v>
      </c>
      <c r="BR206">
        <f t="shared" si="162"/>
        <v>116.79050387901079</v>
      </c>
      <c r="BS206">
        <f t="shared" si="163"/>
        <v>0</v>
      </c>
      <c r="BT206">
        <f t="shared" si="164"/>
        <v>0</v>
      </c>
      <c r="BU206">
        <f t="shared" si="165"/>
        <v>0</v>
      </c>
      <c r="BV206">
        <f t="shared" si="166"/>
        <v>0</v>
      </c>
      <c r="BW206">
        <f t="shared" si="180"/>
        <v>0</v>
      </c>
      <c r="BX206" t="str">
        <f t="shared" si="181"/>
        <v/>
      </c>
      <c r="BY206" s="66" t="str">
        <f t="shared" si="167"/>
        <v/>
      </c>
      <c r="BZ206" t="str">
        <f t="shared" si="168"/>
        <v/>
      </c>
      <c r="CA206" s="67" t="str">
        <f t="shared" si="169"/>
        <v/>
      </c>
    </row>
    <row r="207" spans="4:79" x14ac:dyDescent="0.25">
      <c r="D207" s="3" t="e">
        <f t="shared" si="194"/>
        <v>#DIV/0!</v>
      </c>
      <c r="E207" s="3" t="e">
        <f t="shared" si="194"/>
        <v>#DIV/0!</v>
      </c>
      <c r="F207" t="str">
        <f>IF(A207&gt;0,IF(F206=1,1,IF(B207=Data!$H$4,1,0)),"")</f>
        <v/>
      </c>
      <c r="O207" s="3"/>
      <c r="P207" s="3"/>
      <c r="Q207" t="str">
        <f t="shared" si="170"/>
        <v/>
      </c>
      <c r="R207" s="4" t="str">
        <f t="shared" si="171"/>
        <v/>
      </c>
      <c r="S207" t="e">
        <f t="shared" si="182"/>
        <v>#DIV/0!</v>
      </c>
      <c r="T207" t="e">
        <f t="shared" si="195"/>
        <v>#DIV/0!</v>
      </c>
      <c r="U207" s="4">
        <f t="shared" si="172"/>
        <v>0</v>
      </c>
      <c r="V207" t="e">
        <f t="shared" si="183"/>
        <v>#DIV/0!</v>
      </c>
      <c r="W207" t="e">
        <f t="shared" si="184"/>
        <v>#DIV/0!</v>
      </c>
      <c r="X207" t="e">
        <f t="shared" si="185"/>
        <v>#VALUE!</v>
      </c>
      <c r="Y207" t="e">
        <f t="shared" si="186"/>
        <v>#VALUE!</v>
      </c>
      <c r="Z207" t="e">
        <f t="shared" si="187"/>
        <v>#VALUE!</v>
      </c>
      <c r="AA207" t="e">
        <f t="shared" si="173"/>
        <v>#VALUE!</v>
      </c>
      <c r="AB207" t="str">
        <f t="shared" si="188"/>
        <v/>
      </c>
      <c r="AC207" t="str">
        <f t="shared" si="189"/>
        <v/>
      </c>
      <c r="AD207" t="str">
        <f t="shared" si="190"/>
        <v/>
      </c>
      <c r="AE207" t="str">
        <f t="shared" si="191"/>
        <v/>
      </c>
      <c r="AK207" s="4">
        <f t="shared" si="192"/>
        <v>45.500000000000291</v>
      </c>
      <c r="AL207">
        <f t="shared" si="174"/>
        <v>2461.000000000035</v>
      </c>
      <c r="AM207">
        <f t="shared" si="175"/>
        <v>9862.8333333332994</v>
      </c>
      <c r="AN207">
        <f>IF($AK206+$AK$1&lt;=Data!$H$4-0.5,AVERAGE(AM205:AM209),AN206)</f>
        <v>9862.8333333332994</v>
      </c>
      <c r="AO207">
        <f t="shared" si="176"/>
        <v>8400.9999999999654</v>
      </c>
      <c r="AP207">
        <f t="shared" si="193"/>
        <v>9630.3333333332903</v>
      </c>
      <c r="AQ207">
        <f>IF($AK206+$AK$1&lt;=Data!$H$4-0.5,AVERAGE(AP205:AP209),AQ206)</f>
        <v>9630.3333333332903</v>
      </c>
      <c r="AR207">
        <f>IF($AK206+$AK$1&lt;=Data!$H$4-0.5,SLOPE($AN203:$AN211,$AK203:$AK211),AR206)</f>
        <v>-113.73777777777973</v>
      </c>
      <c r="AS207">
        <f>IF($AK206+$AK$1&lt;=Data!$H$4-0.5,SLOPE($AQ203:$AQ211,$AK203:$AK211),AS206)</f>
        <v>-156.09777777778092</v>
      </c>
      <c r="AT207" t="str">
        <f>IF(AND($AK207&gt;=Results!$G$13,$AK207&lt;=Results!$G$14),Curves!AR207,"")</f>
        <v/>
      </c>
      <c r="AU207" t="str">
        <f>IF(AND($AK207&gt;=Results!$G$13,$AK207&lt;=Results!$G$14),Curves!AS207,"")</f>
        <v/>
      </c>
      <c r="AV207">
        <f t="shared" si="177"/>
        <v>45.500000000000291</v>
      </c>
      <c r="AW207">
        <f>IF(AND($AK207&lt;=Results!$I$21,$AK207&gt;=Results!$I$20,$AK207&lt;=Results!$F$4),$AN207,"")</f>
        <v>9862.8333333332994</v>
      </c>
      <c r="AX207" t="str">
        <f t="shared" si="177"/>
        <v/>
      </c>
      <c r="AY207" t="str">
        <f>IF(AND($AK207&lt;=Results!$I$23,$AK207&gt;=Results!$I$22,$AK207&gt;=Results!$F$4),$AN207,"")</f>
        <v/>
      </c>
      <c r="AZ207" t="str">
        <f t="shared" si="150"/>
        <v/>
      </c>
      <c r="BA207" t="str">
        <f>IF(AND($AK207&lt;=Results!$I$27,$AK207&gt;=Results!$I$26,$AK207&lt;=Results!$F$4),$AQ207,"")</f>
        <v/>
      </c>
      <c r="BB207" t="str">
        <f t="shared" si="151"/>
        <v/>
      </c>
      <c r="BC207" t="str">
        <f>IF(AND($AK207&lt;=Results!$I$29,$AK207&gt;=Results!$I$28,$AK207&gt;=Results!$F$4),$AQ207,"")</f>
        <v/>
      </c>
      <c r="BD207">
        <f t="shared" si="152"/>
        <v>9858.7890879551451</v>
      </c>
      <c r="BE207">
        <f t="shared" si="153"/>
        <v>1966.3250624995717</v>
      </c>
      <c r="BF207">
        <f t="shared" si="154"/>
        <v>9868.3060302520862</v>
      </c>
      <c r="BG207">
        <f t="shared" si="155"/>
        <v>1288.1766005976401</v>
      </c>
      <c r="BH207">
        <f t="shared" si="156"/>
        <v>0</v>
      </c>
      <c r="BI207">
        <f t="shared" si="157"/>
        <v>1.00051241860148</v>
      </c>
      <c r="BJ207">
        <f t="shared" si="158"/>
        <v>0.97226467282692497</v>
      </c>
      <c r="BK207">
        <f t="shared" si="159"/>
        <v>-7.5090949981925263E-4</v>
      </c>
      <c r="BL207">
        <f t="shared" si="160"/>
        <v>-9.9030398972048388E-3</v>
      </c>
      <c r="BM207">
        <f t="shared" si="178"/>
        <v>120.00000000000055</v>
      </c>
      <c r="BN207">
        <f t="shared" si="179"/>
        <v>-119.99999999999829</v>
      </c>
      <c r="BO207">
        <f>Data!$H$2*(1-BI207)*(1-BI207/Data!$H$3)*BM207</f>
        <v>6.3017477554250757E-11</v>
      </c>
      <c r="BP207">
        <f t="shared" si="161"/>
        <v>-120.06149023217816</v>
      </c>
      <c r="BQ207">
        <f>Data!$H$2*(1-BJ207)*(1-BJ207/Data!$H$3)*BN207</f>
        <v>-1.8461960961540076E-7</v>
      </c>
      <c r="BR207">
        <f t="shared" si="162"/>
        <v>116.67176073922934</v>
      </c>
      <c r="BS207">
        <f t="shared" si="163"/>
        <v>0</v>
      </c>
      <c r="BT207">
        <f t="shared" si="164"/>
        <v>0</v>
      </c>
      <c r="BU207">
        <f t="shared" si="165"/>
        <v>0</v>
      </c>
      <c r="BV207">
        <f t="shared" si="166"/>
        <v>0</v>
      </c>
      <c r="BW207">
        <f t="shared" si="180"/>
        <v>0</v>
      </c>
      <c r="BX207" t="str">
        <f t="shared" si="181"/>
        <v/>
      </c>
      <c r="BY207" s="66" t="str">
        <f t="shared" si="167"/>
        <v/>
      </c>
      <c r="BZ207" t="str">
        <f t="shared" si="168"/>
        <v/>
      </c>
      <c r="CA207" s="67" t="str">
        <f t="shared" si="169"/>
        <v/>
      </c>
    </row>
    <row r="208" spans="4:79" x14ac:dyDescent="0.25">
      <c r="D208" s="3" t="e">
        <f t="shared" si="194"/>
        <v>#DIV/0!</v>
      </c>
      <c r="E208" s="3" t="e">
        <f t="shared" si="194"/>
        <v>#DIV/0!</v>
      </c>
      <c r="F208" t="str">
        <f>IF(A208&gt;0,IF(F207=1,1,IF(B208=Data!$H$4,1,0)),"")</f>
        <v/>
      </c>
      <c r="O208" s="3"/>
      <c r="P208" s="3"/>
      <c r="Q208" t="str">
        <f t="shared" si="170"/>
        <v/>
      </c>
      <c r="R208" s="4" t="str">
        <f t="shared" si="171"/>
        <v/>
      </c>
      <c r="S208" t="e">
        <f t="shared" si="182"/>
        <v>#DIV/0!</v>
      </c>
      <c r="T208" t="e">
        <f t="shared" si="195"/>
        <v>#DIV/0!</v>
      </c>
      <c r="U208" s="4">
        <f t="shared" si="172"/>
        <v>0</v>
      </c>
      <c r="V208" t="e">
        <f t="shared" si="183"/>
        <v>#DIV/0!</v>
      </c>
      <c r="W208" t="e">
        <f t="shared" si="184"/>
        <v>#DIV/0!</v>
      </c>
      <c r="X208" t="e">
        <f t="shared" si="185"/>
        <v>#VALUE!</v>
      </c>
      <c r="Y208" t="e">
        <f t="shared" si="186"/>
        <v>#VALUE!</v>
      </c>
      <c r="Z208" t="e">
        <f t="shared" si="187"/>
        <v>#VALUE!</v>
      </c>
      <c r="AA208" t="e">
        <f t="shared" si="173"/>
        <v>#VALUE!</v>
      </c>
      <c r="AB208" t="str">
        <f t="shared" si="188"/>
        <v/>
      </c>
      <c r="AC208" t="str">
        <f t="shared" si="189"/>
        <v/>
      </c>
      <c r="AD208" t="str">
        <f t="shared" si="190"/>
        <v/>
      </c>
      <c r="AE208" t="str">
        <f t="shared" si="191"/>
        <v/>
      </c>
      <c r="AK208" s="4">
        <f t="shared" si="192"/>
        <v>45.600000000000293</v>
      </c>
      <c r="AL208">
        <f t="shared" si="174"/>
        <v>2473.000000000035</v>
      </c>
      <c r="AM208">
        <f t="shared" si="175"/>
        <v>9851.4666666666326</v>
      </c>
      <c r="AN208">
        <f>IF($AK207+$AK$1&lt;=Data!$H$4-0.5,AVERAGE(AM206:AM210),AN207)</f>
        <v>9851.4666666666326</v>
      </c>
      <c r="AO208">
        <f t="shared" si="176"/>
        <v>8388.9999999999654</v>
      </c>
      <c r="AP208">
        <f t="shared" si="193"/>
        <v>9614.7333333332899</v>
      </c>
      <c r="AQ208">
        <f>IF($AK207+$AK$1&lt;=Data!$H$4-0.5,AVERAGE(AP206:AP210),AQ207)</f>
        <v>9614.7333333332899</v>
      </c>
      <c r="AR208">
        <f>IF($AK207+$AK$1&lt;=Data!$H$4-0.5,SLOPE($AN204:$AN212,$AK204:$AK212),AR207)</f>
        <v>-114.37500000000048</v>
      </c>
      <c r="AS208">
        <f>IF($AK207+$AK$1&lt;=Data!$H$4-0.5,SLOPE($AQ204:$AQ212,$AK204:$AK212),AS207)</f>
        <v>-157.31666666667286</v>
      </c>
      <c r="AT208" t="str">
        <f>IF(AND($AK208&gt;=Results!$G$13,$AK208&lt;=Results!$G$14),Curves!AR208,"")</f>
        <v/>
      </c>
      <c r="AU208" t="str">
        <f>IF(AND($AK208&gt;=Results!$G$13,$AK208&lt;=Results!$G$14),Curves!AS208,"")</f>
        <v/>
      </c>
      <c r="AV208">
        <f t="shared" si="177"/>
        <v>45.600000000000293</v>
      </c>
      <c r="AW208">
        <f>IF(AND($AK208&lt;=Results!$I$21,$AK208&gt;=Results!$I$20,$AK208&lt;=Results!$F$4),$AN208,"")</f>
        <v>9851.4666666666326</v>
      </c>
      <c r="AX208" t="str">
        <f t="shared" si="177"/>
        <v/>
      </c>
      <c r="AY208" t="str">
        <f>IF(AND($AK208&lt;=Results!$I$23,$AK208&gt;=Results!$I$22,$AK208&gt;=Results!$F$4),$AN208,"")</f>
        <v/>
      </c>
      <c r="AZ208" t="str">
        <f t="shared" si="150"/>
        <v/>
      </c>
      <c r="BA208" t="str">
        <f>IF(AND($AK208&lt;=Results!$I$27,$AK208&gt;=Results!$I$26,$AK208&lt;=Results!$F$4),$AQ208,"")</f>
        <v/>
      </c>
      <c r="BB208" t="str">
        <f t="shared" si="151"/>
        <v/>
      </c>
      <c r="BC208" t="str">
        <f>IF(AND($AK208&lt;=Results!$I$29,$AK208&gt;=Results!$I$28,$AK208&gt;=Results!$F$4),$AQ208,"")</f>
        <v/>
      </c>
      <c r="BD208">
        <f t="shared" si="152"/>
        <v>9848.0188931572266</v>
      </c>
      <c r="BE208">
        <f t="shared" si="153"/>
        <v>1963.0092732502508</v>
      </c>
      <c r="BF208">
        <f t="shared" si="154"/>
        <v>9861.0160480191917</v>
      </c>
      <c r="BG208">
        <f t="shared" si="155"/>
        <v>1287.625799638115</v>
      </c>
      <c r="BH208">
        <f t="shared" si="156"/>
        <v>0</v>
      </c>
      <c r="BI208">
        <f t="shared" si="157"/>
        <v>1.0004372567283497</v>
      </c>
      <c r="BJ208">
        <f t="shared" si="158"/>
        <v>0.97127359101232935</v>
      </c>
      <c r="BK208">
        <f t="shared" si="159"/>
        <v>-7.5232997618689438E-4</v>
      </c>
      <c r="BL208">
        <f t="shared" si="160"/>
        <v>-9.91861475159991E-3</v>
      </c>
      <c r="BM208">
        <f t="shared" si="178"/>
        <v>120.00000000000055</v>
      </c>
      <c r="BN208">
        <f t="shared" si="179"/>
        <v>-119.99999999999829</v>
      </c>
      <c r="BO208">
        <f>Data!$H$2*(1-BI208)*(1-BI208/Data!$H$3)*BM208</f>
        <v>4.5886427156902489E-11</v>
      </c>
      <c r="BP208">
        <f t="shared" si="161"/>
        <v>-120.05247080740251</v>
      </c>
      <c r="BQ208">
        <f>Data!$H$2*(1-BJ208)*(1-BJ208/Data!$H$3)*BN208</f>
        <v>-1.9804957759845917E-7</v>
      </c>
      <c r="BR208">
        <f t="shared" si="162"/>
        <v>116.55283092147786</v>
      </c>
      <c r="BS208">
        <f t="shared" si="163"/>
        <v>0</v>
      </c>
      <c r="BT208">
        <f t="shared" si="164"/>
        <v>0</v>
      </c>
      <c r="BU208">
        <f t="shared" si="165"/>
        <v>0</v>
      </c>
      <c r="BV208">
        <f t="shared" si="166"/>
        <v>0</v>
      </c>
      <c r="BW208">
        <f t="shared" si="180"/>
        <v>0</v>
      </c>
      <c r="BX208" t="str">
        <f t="shared" si="181"/>
        <v/>
      </c>
      <c r="BY208" s="66" t="str">
        <f t="shared" si="167"/>
        <v/>
      </c>
      <c r="BZ208" t="str">
        <f t="shared" si="168"/>
        <v/>
      </c>
      <c r="CA208" s="67" t="str">
        <f t="shared" si="169"/>
        <v/>
      </c>
    </row>
    <row r="209" spans="4:79" x14ac:dyDescent="0.25">
      <c r="D209" s="3" t="e">
        <f t="shared" si="194"/>
        <v>#DIV/0!</v>
      </c>
      <c r="E209" s="3" t="e">
        <f t="shared" si="194"/>
        <v>#DIV/0!</v>
      </c>
      <c r="F209" t="str">
        <f>IF(A209&gt;0,IF(F208=1,1,IF(B209=Data!$H$4,1,0)),"")</f>
        <v/>
      </c>
      <c r="O209" s="3"/>
      <c r="P209" s="3"/>
      <c r="Q209" t="str">
        <f t="shared" si="170"/>
        <v/>
      </c>
      <c r="R209" s="4" t="str">
        <f t="shared" si="171"/>
        <v/>
      </c>
      <c r="S209" t="e">
        <f t="shared" si="182"/>
        <v>#DIV/0!</v>
      </c>
      <c r="T209" t="e">
        <f t="shared" si="195"/>
        <v>#DIV/0!</v>
      </c>
      <c r="U209" s="4">
        <f t="shared" si="172"/>
        <v>0</v>
      </c>
      <c r="V209" t="e">
        <f t="shared" si="183"/>
        <v>#DIV/0!</v>
      </c>
      <c r="W209" t="e">
        <f t="shared" si="184"/>
        <v>#DIV/0!</v>
      </c>
      <c r="X209" t="e">
        <f t="shared" si="185"/>
        <v>#VALUE!</v>
      </c>
      <c r="Y209" t="e">
        <f t="shared" si="186"/>
        <v>#VALUE!</v>
      </c>
      <c r="Z209" t="e">
        <f t="shared" si="187"/>
        <v>#VALUE!</v>
      </c>
      <c r="AA209" t="e">
        <f t="shared" si="173"/>
        <v>#VALUE!</v>
      </c>
      <c r="AB209" t="str">
        <f t="shared" si="188"/>
        <v/>
      </c>
      <c r="AC209" t="str">
        <f t="shared" si="189"/>
        <v/>
      </c>
      <c r="AD209" t="str">
        <f t="shared" si="190"/>
        <v/>
      </c>
      <c r="AE209" t="str">
        <f t="shared" si="191"/>
        <v/>
      </c>
      <c r="AK209" s="4">
        <f t="shared" si="192"/>
        <v>45.700000000000294</v>
      </c>
      <c r="AL209">
        <f t="shared" si="174"/>
        <v>2485.0000000000355</v>
      </c>
      <c r="AM209">
        <f t="shared" si="175"/>
        <v>9840.0999999999658</v>
      </c>
      <c r="AN209">
        <f>IF($AK208+$AK$1&lt;=Data!$H$4-0.5,AVERAGE(AM207:AM211),AN208)</f>
        <v>9840.0999999999658</v>
      </c>
      <c r="AO209">
        <f t="shared" si="176"/>
        <v>8376.9999999999654</v>
      </c>
      <c r="AP209">
        <f t="shared" si="193"/>
        <v>9599.1333333332896</v>
      </c>
      <c r="AQ209">
        <f>IF($AK208+$AK$1&lt;=Data!$H$4-0.5,AVERAGE(AP207:AP211),AQ208)</f>
        <v>9599.1333333332896</v>
      </c>
      <c r="AR209">
        <f>IF($AK208+$AK$1&lt;=Data!$H$4-0.5,SLOPE($AN205:$AN213,$AK205:$AK213),AR208)</f>
        <v>-115.3194444444463</v>
      </c>
      <c r="AS209">
        <f>IF($AK208+$AK$1&lt;=Data!$H$4-0.5,SLOPE($AQ205:$AQ213,$AK205:$AK213),AS208)</f>
        <v>-159.07222222223129</v>
      </c>
      <c r="AT209" t="str">
        <f>IF(AND($AK209&gt;=Results!$G$13,$AK209&lt;=Results!$G$14),Curves!AR209,"")</f>
        <v/>
      </c>
      <c r="AU209" t="str">
        <f>IF(AND($AK209&gt;=Results!$G$13,$AK209&lt;=Results!$G$14),Curves!AS209,"")</f>
        <v/>
      </c>
      <c r="AV209">
        <f t="shared" si="177"/>
        <v>45.700000000000294</v>
      </c>
      <c r="AW209">
        <f>IF(AND($AK209&lt;=Results!$I$21,$AK209&gt;=Results!$I$20,$AK209&lt;=Results!$F$4),$AN209,"")</f>
        <v>9840.0999999999658</v>
      </c>
      <c r="AX209" t="str">
        <f t="shared" si="177"/>
        <v/>
      </c>
      <c r="AY209" t="str">
        <f>IF(AND($AK209&lt;=Results!$I$23,$AK209&gt;=Results!$I$22,$AK209&gt;=Results!$F$4),$AN209,"")</f>
        <v/>
      </c>
      <c r="AZ209" t="str">
        <f t="shared" si="150"/>
        <v/>
      </c>
      <c r="BA209" t="str">
        <f>IF(AND($AK209&lt;=Results!$I$27,$AK209&gt;=Results!$I$26,$AK209&lt;=Results!$F$4),$AQ209,"")</f>
        <v/>
      </c>
      <c r="BB209" t="str">
        <f t="shared" si="151"/>
        <v/>
      </c>
      <c r="BC209" t="str">
        <f>IF(AND($AK209&lt;=Results!$I$29,$AK209&gt;=Results!$I$28,$AK209&gt;=Results!$F$4),$AQ209,"")</f>
        <v/>
      </c>
      <c r="BD209">
        <f t="shared" si="152"/>
        <v>9837.248698359308</v>
      </c>
      <c r="BE209">
        <f t="shared" si="153"/>
        <v>1959.6934840009301</v>
      </c>
      <c r="BF209">
        <f t="shared" si="154"/>
        <v>9853.7260657862989</v>
      </c>
      <c r="BG209">
        <f t="shared" si="155"/>
        <v>1287.0749986785902</v>
      </c>
      <c r="BH209">
        <f t="shared" si="156"/>
        <v>0</v>
      </c>
      <c r="BI209">
        <f t="shared" si="157"/>
        <v>1.0003619526062426</v>
      </c>
      <c r="BJ209">
        <f t="shared" si="158"/>
        <v>0.97028094987660496</v>
      </c>
      <c r="BK209">
        <f t="shared" si="159"/>
        <v>-7.5375448698399331E-4</v>
      </c>
      <c r="BL209">
        <f t="shared" si="160"/>
        <v>-9.9342263775885307E-3</v>
      </c>
      <c r="BM209">
        <f t="shared" si="178"/>
        <v>120.00000000000055</v>
      </c>
      <c r="BN209">
        <f t="shared" si="179"/>
        <v>-120.00000000000739</v>
      </c>
      <c r="BO209">
        <f>Data!$H$2*(1-BI209)*(1-BI209/Data!$H$3)*BM209</f>
        <v>3.1442325399796502E-11</v>
      </c>
      <c r="BP209">
        <f t="shared" si="161"/>
        <v>-120.04343431274967</v>
      </c>
      <c r="BQ209">
        <f>Data!$H$2*(1-BJ209)*(1-BJ209/Data!$H$3)*BN209</f>
        <v>-2.119732656568611E-7</v>
      </c>
      <c r="BR209">
        <f t="shared" si="162"/>
        <v>116.43371398519976</v>
      </c>
      <c r="BS209">
        <f t="shared" si="163"/>
        <v>0</v>
      </c>
      <c r="BT209">
        <f t="shared" si="164"/>
        <v>0</v>
      </c>
      <c r="BU209">
        <f t="shared" si="165"/>
        <v>0</v>
      </c>
      <c r="BV209">
        <f t="shared" si="166"/>
        <v>0</v>
      </c>
      <c r="BW209">
        <f t="shared" si="180"/>
        <v>0</v>
      </c>
      <c r="BX209" t="str">
        <f t="shared" si="181"/>
        <v/>
      </c>
      <c r="BY209" s="66" t="str">
        <f t="shared" si="167"/>
        <v/>
      </c>
      <c r="BZ209" t="str">
        <f t="shared" si="168"/>
        <v/>
      </c>
      <c r="CA209" s="67" t="str">
        <f t="shared" si="169"/>
        <v/>
      </c>
    </row>
    <row r="210" spans="4:79" x14ac:dyDescent="0.25">
      <c r="D210" s="3" t="e">
        <f t="shared" si="194"/>
        <v>#DIV/0!</v>
      </c>
      <c r="E210" s="3" t="e">
        <f t="shared" si="194"/>
        <v>#DIV/0!</v>
      </c>
      <c r="F210" t="str">
        <f>IF(A210&gt;0,IF(F209=1,1,IF(B210=Data!$H$4,1,0)),"")</f>
        <v/>
      </c>
      <c r="O210" s="3"/>
      <c r="P210" s="3"/>
      <c r="Q210" t="str">
        <f t="shared" si="170"/>
        <v/>
      </c>
      <c r="R210" s="4" t="str">
        <f t="shared" si="171"/>
        <v/>
      </c>
      <c r="S210" t="e">
        <f t="shared" si="182"/>
        <v>#DIV/0!</v>
      </c>
      <c r="T210" t="e">
        <f t="shared" si="195"/>
        <v>#DIV/0!</v>
      </c>
      <c r="U210" s="4">
        <f t="shared" si="172"/>
        <v>0</v>
      </c>
      <c r="V210" t="e">
        <f t="shared" si="183"/>
        <v>#DIV/0!</v>
      </c>
      <c r="W210" t="e">
        <f t="shared" si="184"/>
        <v>#DIV/0!</v>
      </c>
      <c r="X210" t="e">
        <f t="shared" si="185"/>
        <v>#VALUE!</v>
      </c>
      <c r="Y210" t="e">
        <f t="shared" si="186"/>
        <v>#VALUE!</v>
      </c>
      <c r="Z210" t="e">
        <f t="shared" si="187"/>
        <v>#VALUE!</v>
      </c>
      <c r="AA210" t="e">
        <f t="shared" si="173"/>
        <v>#VALUE!</v>
      </c>
      <c r="AB210" t="str">
        <f t="shared" si="188"/>
        <v/>
      </c>
      <c r="AC210" t="str">
        <f t="shared" si="189"/>
        <v/>
      </c>
      <c r="AD210" t="str">
        <f t="shared" si="190"/>
        <v/>
      </c>
      <c r="AE210" t="str">
        <f t="shared" si="191"/>
        <v/>
      </c>
      <c r="AK210" s="4">
        <f t="shared" si="192"/>
        <v>45.800000000000296</v>
      </c>
      <c r="AL210">
        <f t="shared" si="174"/>
        <v>2497.0000000000355</v>
      </c>
      <c r="AM210">
        <f t="shared" si="175"/>
        <v>9828.733333333299</v>
      </c>
      <c r="AN210">
        <f>IF($AK209+$AK$1&lt;=Data!$H$4-0.5,AVERAGE(AM208:AM212),AN209)</f>
        <v>9828.733333333299</v>
      </c>
      <c r="AO210">
        <f t="shared" si="176"/>
        <v>8364.9999999999636</v>
      </c>
      <c r="AP210">
        <f t="shared" si="193"/>
        <v>9583.5333333332892</v>
      </c>
      <c r="AQ210">
        <f>IF($AK209+$AK$1&lt;=Data!$H$4-0.5,AVERAGE(AP208:AP212),AQ209)</f>
        <v>9583.5333333332874</v>
      </c>
      <c r="AR210">
        <f>IF($AK209+$AK$1&lt;=Data!$H$4-0.5,SLOPE($AN206:$AN214,$AK206:$AK214),AR209)</f>
        <v>-116.73611111111512</v>
      </c>
      <c r="AS210">
        <f>IF($AK209+$AK$1&lt;=Data!$H$4-0.5,SLOPE($AQ206:$AQ214,$AK206:$AK214),AS209)</f>
        <v>-161.70555555556663</v>
      </c>
      <c r="AT210" t="str">
        <f>IF(AND($AK210&gt;=Results!$G$13,$AK210&lt;=Results!$G$14),Curves!AR210,"")</f>
        <v/>
      </c>
      <c r="AU210" t="str">
        <f>IF(AND($AK210&gt;=Results!$G$13,$AK210&lt;=Results!$G$14),Curves!AS210,"")</f>
        <v/>
      </c>
      <c r="AV210">
        <f t="shared" si="177"/>
        <v>45.800000000000296</v>
      </c>
      <c r="AW210">
        <f>IF(AND($AK210&lt;=Results!$I$21,$AK210&gt;=Results!$I$20,$AK210&lt;=Results!$F$4),$AN210,"")</f>
        <v>9828.733333333299</v>
      </c>
      <c r="AX210" t="str">
        <f t="shared" si="177"/>
        <v/>
      </c>
      <c r="AY210" t="str">
        <f>IF(AND($AK210&lt;=Results!$I$23,$AK210&gt;=Results!$I$22,$AK210&gt;=Results!$F$4),$AN210,"")</f>
        <v/>
      </c>
      <c r="AZ210" t="str">
        <f t="shared" si="150"/>
        <v/>
      </c>
      <c r="BA210" t="str">
        <f>IF(AND($AK210&lt;=Results!$I$27,$AK210&gt;=Results!$I$26,$AK210&lt;=Results!$F$4),$AQ210,"")</f>
        <v/>
      </c>
      <c r="BB210" t="str">
        <f t="shared" si="151"/>
        <v/>
      </c>
      <c r="BC210" t="str">
        <f>IF(AND($AK210&lt;=Results!$I$29,$AK210&gt;=Results!$I$28,$AK210&gt;=Results!$F$4),$AQ210,"")</f>
        <v/>
      </c>
      <c r="BD210">
        <f t="shared" si="152"/>
        <v>9826.4785035613877</v>
      </c>
      <c r="BE210">
        <f t="shared" si="153"/>
        <v>1956.3776947516092</v>
      </c>
      <c r="BF210">
        <f t="shared" si="154"/>
        <v>9846.4360835534062</v>
      </c>
      <c r="BG210">
        <f t="shared" si="155"/>
        <v>1286.5241977190651</v>
      </c>
      <c r="BH210">
        <f t="shared" si="156"/>
        <v>0</v>
      </c>
      <c r="BI210">
        <f t="shared" si="157"/>
        <v>1.0002865058309529</v>
      </c>
      <c r="BJ210">
        <f t="shared" si="158"/>
        <v>0.96928674573681162</v>
      </c>
      <c r="BK210">
        <f t="shared" si="159"/>
        <v>-9.3535987271685427E-4</v>
      </c>
      <c r="BL210">
        <f t="shared" si="160"/>
        <v>-1.0257752847452749E-2</v>
      </c>
      <c r="BM210">
        <f t="shared" si="178"/>
        <v>119.99999999999829</v>
      </c>
      <c r="BN210">
        <f t="shared" si="179"/>
        <v>-120.00000000000739</v>
      </c>
      <c r="BO210">
        <f>Data!$H$2*(1-BI210)*(1-BI210/Data!$H$3)*BM210</f>
        <v>1.970054188080391E-11</v>
      </c>
      <c r="BP210">
        <f t="shared" si="161"/>
        <v>-120.03438069971264</v>
      </c>
      <c r="BQ210">
        <f>Data!$H$2*(1-BJ210)*(1-BJ210/Data!$H$3)*BN210</f>
        <v>-2.2639295698447617E-7</v>
      </c>
      <c r="BR210">
        <f t="shared" si="162"/>
        <v>116.31440948842456</v>
      </c>
      <c r="BS210">
        <f t="shared" si="163"/>
        <v>0</v>
      </c>
      <c r="BT210">
        <f t="shared" si="164"/>
        <v>0</v>
      </c>
      <c r="BU210">
        <f t="shared" si="165"/>
        <v>0</v>
      </c>
      <c r="BV210">
        <f t="shared" si="166"/>
        <v>0</v>
      </c>
      <c r="BW210">
        <f t="shared" si="180"/>
        <v>0</v>
      </c>
      <c r="BX210" t="str">
        <f t="shared" si="181"/>
        <v/>
      </c>
      <c r="BY210" s="66" t="str">
        <f t="shared" si="167"/>
        <v/>
      </c>
      <c r="BZ210" t="str">
        <f t="shared" si="168"/>
        <v/>
      </c>
      <c r="CA210" s="67" t="str">
        <f t="shared" si="169"/>
        <v/>
      </c>
    </row>
    <row r="211" spans="4:79" x14ac:dyDescent="0.25">
      <c r="D211" s="3" t="e">
        <f t="shared" si="194"/>
        <v>#DIV/0!</v>
      </c>
      <c r="E211" s="3" t="e">
        <f t="shared" si="194"/>
        <v>#DIV/0!</v>
      </c>
      <c r="F211" t="str">
        <f>IF(A211&gt;0,IF(F210=1,1,IF(B211=Data!$H$4,1,0)),"")</f>
        <v/>
      </c>
      <c r="O211" s="3"/>
      <c r="P211" s="3"/>
      <c r="Q211" t="str">
        <f t="shared" si="170"/>
        <v/>
      </c>
      <c r="R211" s="4" t="str">
        <f t="shared" si="171"/>
        <v/>
      </c>
      <c r="S211" t="e">
        <f t="shared" si="182"/>
        <v>#DIV/0!</v>
      </c>
      <c r="T211" t="e">
        <f t="shared" si="195"/>
        <v>#DIV/0!</v>
      </c>
      <c r="U211" s="4">
        <f t="shared" si="172"/>
        <v>0</v>
      </c>
      <c r="V211" t="e">
        <f t="shared" si="183"/>
        <v>#DIV/0!</v>
      </c>
      <c r="W211" t="e">
        <f t="shared" si="184"/>
        <v>#DIV/0!</v>
      </c>
      <c r="X211" t="e">
        <f t="shared" si="185"/>
        <v>#VALUE!</v>
      </c>
      <c r="Y211" t="e">
        <f t="shared" si="186"/>
        <v>#VALUE!</v>
      </c>
      <c r="Z211" t="e">
        <f t="shared" si="187"/>
        <v>#VALUE!</v>
      </c>
      <c r="AA211" t="e">
        <f t="shared" si="173"/>
        <v>#VALUE!</v>
      </c>
      <c r="AB211" t="str">
        <f t="shared" si="188"/>
        <v/>
      </c>
      <c r="AC211" t="str">
        <f t="shared" si="189"/>
        <v/>
      </c>
      <c r="AD211" t="str">
        <f t="shared" si="190"/>
        <v/>
      </c>
      <c r="AE211" t="str">
        <f t="shared" si="191"/>
        <v/>
      </c>
      <c r="AK211" s="4">
        <f t="shared" si="192"/>
        <v>45.900000000000297</v>
      </c>
      <c r="AL211">
        <f t="shared" si="174"/>
        <v>2509.0000000000355</v>
      </c>
      <c r="AM211">
        <f t="shared" si="175"/>
        <v>9817.3666666666322</v>
      </c>
      <c r="AN211">
        <f>IF($AK210+$AK$1&lt;=Data!$H$4-0.5,AVERAGE(AM209:AM213),AN210)</f>
        <v>9817.0833333332976</v>
      </c>
      <c r="AO211">
        <f t="shared" si="176"/>
        <v>8352.9999999999636</v>
      </c>
      <c r="AP211">
        <f t="shared" si="193"/>
        <v>9567.9333333332888</v>
      </c>
      <c r="AQ211">
        <f>IF($AK210+$AK$1&lt;=Data!$H$4-0.5,AVERAGE(AP209:AP213),AQ210)</f>
        <v>9567.4066666666185</v>
      </c>
      <c r="AR211">
        <f>IF($AK210+$AK$1&lt;=Data!$H$4-0.5,SLOPE($AN207:$AN215,$AK207:$AK215),AR210)</f>
        <v>-118.62500000000497</v>
      </c>
      <c r="AS211">
        <f>IF($AK210+$AK$1&lt;=Data!$H$4-0.5,SLOPE($AQ207:$AQ215,$AK207:$AK215),AS210)</f>
        <v>-165.21666666667844</v>
      </c>
      <c r="AT211" t="str">
        <f>IF(AND($AK211&gt;=Results!$G$13,$AK211&lt;=Results!$G$14),Curves!AR211,"")</f>
        <v/>
      </c>
      <c r="AU211" t="str">
        <f>IF(AND($AK211&gt;=Results!$G$13,$AK211&lt;=Results!$G$14),Curves!AS211,"")</f>
        <v/>
      </c>
      <c r="AV211">
        <f t="shared" si="177"/>
        <v>45.900000000000297</v>
      </c>
      <c r="AW211">
        <f>IF(AND($AK211&lt;=Results!$I$21,$AK211&gt;=Results!$I$20,$AK211&lt;=Results!$F$4),$AN211,"")</f>
        <v>9817.0833333332976</v>
      </c>
      <c r="AX211" t="str">
        <f t="shared" si="177"/>
        <v/>
      </c>
      <c r="AY211" t="str">
        <f>IF(AND($AK211&lt;=Results!$I$23,$AK211&gt;=Results!$I$22,$AK211&gt;=Results!$F$4),$AN211,"")</f>
        <v/>
      </c>
      <c r="AZ211" t="str">
        <f t="shared" si="150"/>
        <v/>
      </c>
      <c r="BA211" t="str">
        <f>IF(AND($AK211&lt;=Results!$I$27,$AK211&gt;=Results!$I$26,$AK211&lt;=Results!$F$4),$AQ211,"")</f>
        <v/>
      </c>
      <c r="BB211" t="str">
        <f t="shared" si="151"/>
        <v/>
      </c>
      <c r="BC211" t="str">
        <f>IF(AND($AK211&lt;=Results!$I$29,$AK211&gt;=Results!$I$28,$AK211&gt;=Results!$F$4),$AQ211,"")</f>
        <v/>
      </c>
      <c r="BD211">
        <f t="shared" si="152"/>
        <v>9815.7083087634674</v>
      </c>
      <c r="BE211">
        <f t="shared" si="153"/>
        <v>1953.0619055022885</v>
      </c>
      <c r="BF211">
        <f t="shared" si="154"/>
        <v>9839.1461013205135</v>
      </c>
      <c r="BG211">
        <f t="shared" si="155"/>
        <v>1285.97339675954</v>
      </c>
      <c r="BH211">
        <f t="shared" si="156"/>
        <v>0</v>
      </c>
      <c r="BI211">
        <f t="shared" si="157"/>
        <v>1.0001748806316992</v>
      </c>
      <c r="BJ211">
        <f t="shared" si="158"/>
        <v>0.96822939930711438</v>
      </c>
      <c r="BK211">
        <f t="shared" si="159"/>
        <v>-1.2976591003610409E-3</v>
      </c>
      <c r="BL211">
        <f t="shared" si="160"/>
        <v>-1.0889922597214618E-2</v>
      </c>
      <c r="BM211">
        <f t="shared" si="178"/>
        <v>120.00000000000055</v>
      </c>
      <c r="BN211">
        <f t="shared" si="179"/>
        <v>-119.99999999999829</v>
      </c>
      <c r="BO211">
        <f>Data!$H$2*(1-BI211)*(1-BI211/Data!$H$3)*BM211</f>
        <v>7.3399764824458234E-12</v>
      </c>
      <c r="BP211">
        <f t="shared" si="161"/>
        <v>-120.02098567580447</v>
      </c>
      <c r="BQ211">
        <f>Data!$H$2*(1-BJ211)*(1-BJ211/Data!$H$3)*BN211</f>
        <v>-2.422490564128247E-7</v>
      </c>
      <c r="BR211">
        <f t="shared" si="162"/>
        <v>116.18752791685208</v>
      </c>
      <c r="BS211">
        <f t="shared" si="163"/>
        <v>0</v>
      </c>
      <c r="BT211">
        <f t="shared" si="164"/>
        <v>0</v>
      </c>
      <c r="BU211">
        <f t="shared" si="165"/>
        <v>0</v>
      </c>
      <c r="BV211">
        <f t="shared" si="166"/>
        <v>0</v>
      </c>
      <c r="BW211">
        <f t="shared" si="180"/>
        <v>0</v>
      </c>
      <c r="BX211" t="str">
        <f t="shared" si="181"/>
        <v/>
      </c>
      <c r="BY211" s="66" t="str">
        <f t="shared" si="167"/>
        <v/>
      </c>
      <c r="BZ211" t="str">
        <f t="shared" si="168"/>
        <v/>
      </c>
      <c r="CA211" s="67" t="str">
        <f t="shared" si="169"/>
        <v/>
      </c>
    </row>
    <row r="212" spans="4:79" x14ac:dyDescent="0.25">
      <c r="D212" s="3" t="e">
        <f t="shared" si="194"/>
        <v>#DIV/0!</v>
      </c>
      <c r="E212" s="3" t="e">
        <f t="shared" si="194"/>
        <v>#DIV/0!</v>
      </c>
      <c r="F212" t="str">
        <f>IF(A212&gt;0,IF(F211=1,1,IF(B212=Data!$H$4,1,0)),"")</f>
        <v/>
      </c>
      <c r="O212" s="3"/>
      <c r="P212" s="3"/>
      <c r="Q212" t="str">
        <f t="shared" si="170"/>
        <v/>
      </c>
      <c r="R212" s="4" t="str">
        <f t="shared" si="171"/>
        <v/>
      </c>
      <c r="S212" t="e">
        <f t="shared" si="182"/>
        <v>#DIV/0!</v>
      </c>
      <c r="T212" t="e">
        <f t="shared" si="195"/>
        <v>#DIV/0!</v>
      </c>
      <c r="U212" s="4">
        <f t="shared" si="172"/>
        <v>0</v>
      </c>
      <c r="V212" t="e">
        <f t="shared" si="183"/>
        <v>#DIV/0!</v>
      </c>
      <c r="W212" t="e">
        <f t="shared" si="184"/>
        <v>#DIV/0!</v>
      </c>
      <c r="X212" t="e">
        <f t="shared" si="185"/>
        <v>#VALUE!</v>
      </c>
      <c r="Y212" t="e">
        <f t="shared" si="186"/>
        <v>#VALUE!</v>
      </c>
      <c r="Z212" t="e">
        <f t="shared" si="187"/>
        <v>#VALUE!</v>
      </c>
      <c r="AA212" t="e">
        <f t="shared" si="173"/>
        <v>#VALUE!</v>
      </c>
      <c r="AB212" t="str">
        <f t="shared" si="188"/>
        <v/>
      </c>
      <c r="AC212" t="str">
        <f t="shared" si="189"/>
        <v/>
      </c>
      <c r="AD212" t="str">
        <f t="shared" si="190"/>
        <v/>
      </c>
      <c r="AE212" t="str">
        <f t="shared" si="191"/>
        <v/>
      </c>
      <c r="AK212" s="4">
        <f t="shared" si="192"/>
        <v>46.000000000000298</v>
      </c>
      <c r="AL212">
        <f t="shared" si="174"/>
        <v>2521.0000000000359</v>
      </c>
      <c r="AM212">
        <f t="shared" si="175"/>
        <v>9805.9999999999618</v>
      </c>
      <c r="AN212">
        <f>IF($AK211+$AK$1&lt;=Data!$H$4-0.5,AVERAGE(AM210:AM214),AN211)</f>
        <v>9805.1499999999651</v>
      </c>
      <c r="AO212">
        <f t="shared" si="176"/>
        <v>8340.9999999999636</v>
      </c>
      <c r="AP212">
        <f t="shared" si="193"/>
        <v>9552.3333333332812</v>
      </c>
      <c r="AQ212">
        <f>IF($AK211+$AK$1&lt;=Data!$H$4-0.5,AVERAGE(AP210:AP214),AQ211)</f>
        <v>9550.7533333332831</v>
      </c>
      <c r="AR212">
        <f>IF($AK211+$AK$1&lt;=Data!$H$4-0.5,SLOPE($AN208:$AN216,$AK208:$AK216),AR211)</f>
        <v>-120.75000000000614</v>
      </c>
      <c r="AS212">
        <f>IF($AK211+$AK$1&lt;=Data!$H$4-0.5,SLOPE($AQ208:$AQ216,$AK208:$AK216),AS211)</f>
        <v>-169.16666666667791</v>
      </c>
      <c r="AT212" t="str">
        <f>IF(AND($AK212&gt;=Results!$G$13,$AK212&lt;=Results!$G$14),Curves!AR212,"")</f>
        <v/>
      </c>
      <c r="AU212" t="str">
        <f>IF(AND($AK212&gt;=Results!$G$13,$AK212&lt;=Results!$G$14),Curves!AS212,"")</f>
        <v/>
      </c>
      <c r="AV212">
        <f t="shared" si="177"/>
        <v>46.000000000000298</v>
      </c>
      <c r="AW212">
        <f>IF(AND($AK212&lt;=Results!$I$21,$AK212&gt;=Results!$I$20,$AK212&lt;=Results!$F$4),$AN212,"")</f>
        <v>9805.1499999999651</v>
      </c>
      <c r="AX212" t="str">
        <f t="shared" si="177"/>
        <v/>
      </c>
      <c r="AY212" t="str">
        <f>IF(AND($AK212&lt;=Results!$I$23,$AK212&gt;=Results!$I$22,$AK212&gt;=Results!$F$4),$AN212,"")</f>
        <v/>
      </c>
      <c r="AZ212" t="str">
        <f t="shared" si="150"/>
        <v/>
      </c>
      <c r="BA212" t="str">
        <f>IF(AND($AK212&lt;=Results!$I$27,$AK212&gt;=Results!$I$26,$AK212&lt;=Results!$F$4),$AQ212,"")</f>
        <v/>
      </c>
      <c r="BB212" t="str">
        <f t="shared" si="151"/>
        <v/>
      </c>
      <c r="BC212" t="str">
        <f>IF(AND($AK212&lt;=Results!$I$29,$AK212&gt;=Results!$I$28,$AK212&gt;=Results!$F$4),$AQ212,"")</f>
        <v/>
      </c>
      <c r="BD212">
        <f t="shared" si="152"/>
        <v>9804.9381139655488</v>
      </c>
      <c r="BE212">
        <f t="shared" si="153"/>
        <v>1949.7461162529676</v>
      </c>
      <c r="BF212">
        <f t="shared" si="154"/>
        <v>9831.8561190876208</v>
      </c>
      <c r="BG212">
        <f t="shared" si="155"/>
        <v>1285.4225958000152</v>
      </c>
      <c r="BH212">
        <f t="shared" si="156"/>
        <v>0</v>
      </c>
      <c r="BI212">
        <f t="shared" si="157"/>
        <v>1.0000269740108807</v>
      </c>
      <c r="BJ212">
        <f t="shared" si="158"/>
        <v>0.96710876121736866</v>
      </c>
      <c r="BK212">
        <f t="shared" si="159"/>
        <v>-1.6609902607233923E-3</v>
      </c>
      <c r="BL212">
        <f t="shared" si="160"/>
        <v>-1.1523588405959297E-2</v>
      </c>
      <c r="BM212">
        <f t="shared" si="178"/>
        <v>120.00000000000055</v>
      </c>
      <c r="BN212">
        <f t="shared" si="179"/>
        <v>-119.99999999999829</v>
      </c>
      <c r="BO212">
        <f>Data!$H$2*(1-BI212)*(1-BI212/Data!$H$3)*BM212</f>
        <v>1.7462334311808642E-13</v>
      </c>
      <c r="BP212">
        <f t="shared" si="161"/>
        <v>-120.00323688130624</v>
      </c>
      <c r="BQ212">
        <f>Data!$H$2*(1-BJ212)*(1-BJ212/Data!$H$3)*BN212</f>
        <v>-2.596400612774535E-7</v>
      </c>
      <c r="BR212">
        <f t="shared" si="162"/>
        <v>116.0530513460826</v>
      </c>
      <c r="BS212">
        <f t="shared" si="163"/>
        <v>0</v>
      </c>
      <c r="BT212">
        <f t="shared" si="164"/>
        <v>0</v>
      </c>
      <c r="BU212">
        <f t="shared" si="165"/>
        <v>0</v>
      </c>
      <c r="BV212">
        <f t="shared" si="166"/>
        <v>0</v>
      </c>
      <c r="BW212">
        <f t="shared" si="180"/>
        <v>0</v>
      </c>
      <c r="BX212" t="str">
        <f t="shared" si="181"/>
        <v/>
      </c>
      <c r="BY212" s="66" t="str">
        <f t="shared" si="167"/>
        <v/>
      </c>
      <c r="BZ212" t="str">
        <f t="shared" si="168"/>
        <v/>
      </c>
      <c r="CA212" s="67" t="str">
        <f t="shared" si="169"/>
        <v/>
      </c>
    </row>
    <row r="213" spans="4:79" x14ac:dyDescent="0.25">
      <c r="D213" s="3" t="e">
        <f t="shared" si="194"/>
        <v>#DIV/0!</v>
      </c>
      <c r="E213" s="3" t="e">
        <f t="shared" si="194"/>
        <v>#DIV/0!</v>
      </c>
      <c r="F213" t="str">
        <f>IF(A213&gt;0,IF(F212=1,1,IF(B213=Data!$H$4,1,0)),"")</f>
        <v/>
      </c>
      <c r="O213" s="3"/>
      <c r="P213" s="3"/>
      <c r="Q213" t="str">
        <f t="shared" si="170"/>
        <v/>
      </c>
      <c r="R213" s="4" t="str">
        <f t="shared" si="171"/>
        <v/>
      </c>
      <c r="S213" t="e">
        <f t="shared" si="182"/>
        <v>#DIV/0!</v>
      </c>
      <c r="T213" t="e">
        <f t="shared" si="195"/>
        <v>#DIV/0!</v>
      </c>
      <c r="U213" s="4">
        <f t="shared" si="172"/>
        <v>0</v>
      </c>
      <c r="V213" t="e">
        <f t="shared" si="183"/>
        <v>#DIV/0!</v>
      </c>
      <c r="W213" t="e">
        <f t="shared" si="184"/>
        <v>#DIV/0!</v>
      </c>
      <c r="X213" t="e">
        <f t="shared" si="185"/>
        <v>#VALUE!</v>
      </c>
      <c r="Y213" t="e">
        <f t="shared" si="186"/>
        <v>#VALUE!</v>
      </c>
      <c r="Z213" t="e">
        <f t="shared" si="187"/>
        <v>#VALUE!</v>
      </c>
      <c r="AA213" t="e">
        <f t="shared" si="173"/>
        <v>#VALUE!</v>
      </c>
      <c r="AB213" t="str">
        <f t="shared" si="188"/>
        <v/>
      </c>
      <c r="AC213" t="str">
        <f t="shared" si="189"/>
        <v/>
      </c>
      <c r="AD213" t="str">
        <f t="shared" si="190"/>
        <v/>
      </c>
      <c r="AE213" t="str">
        <f t="shared" si="191"/>
        <v/>
      </c>
      <c r="AK213" s="4">
        <f t="shared" si="192"/>
        <v>46.1000000000003</v>
      </c>
      <c r="AL213">
        <f t="shared" si="174"/>
        <v>2533.0000000000359</v>
      </c>
      <c r="AM213">
        <f t="shared" si="175"/>
        <v>9793.216666666629</v>
      </c>
      <c r="AN213">
        <f>IF($AK212+$AK$1&lt;=Data!$H$4-0.5,AVERAGE(AM211:AM215),AN212)</f>
        <v>9792.9333333332961</v>
      </c>
      <c r="AO213">
        <f t="shared" si="176"/>
        <v>8328.9999999999636</v>
      </c>
      <c r="AP213">
        <f t="shared" si="193"/>
        <v>9534.0999999999476</v>
      </c>
      <c r="AQ213">
        <f>IF($AK212+$AK$1&lt;=Data!$H$4-0.5,AVERAGE(AP211:AP215),AQ212)</f>
        <v>9533.5733333332828</v>
      </c>
      <c r="AR213">
        <f>IF($AK212+$AK$1&lt;=Data!$H$4-0.5,SLOPE($AN209:$AN217,$AK209:$AK217),AR212)</f>
        <v>-122.87500000000614</v>
      </c>
      <c r="AS213">
        <f>IF($AK212+$AK$1&lt;=Data!$H$4-0.5,SLOPE($AQ209:$AQ217,$AK209:$AK217),AS212)</f>
        <v>-173.11666666667736</v>
      </c>
      <c r="AT213" t="str">
        <f>IF(AND($AK213&gt;=Results!$G$13,$AK213&lt;=Results!$G$14),Curves!AR213,"")</f>
        <v/>
      </c>
      <c r="AU213" t="str">
        <f>IF(AND($AK213&gt;=Results!$G$13,$AK213&lt;=Results!$G$14),Curves!AS213,"")</f>
        <v/>
      </c>
      <c r="AV213">
        <f t="shared" si="177"/>
        <v>46.1000000000003</v>
      </c>
      <c r="AW213">
        <f>IF(AND($AK213&lt;=Results!$I$21,$AK213&gt;=Results!$I$20,$AK213&lt;=Results!$F$4),$AN213,"")</f>
        <v>9792.9333333332961</v>
      </c>
      <c r="AX213" t="str">
        <f t="shared" si="177"/>
        <v/>
      </c>
      <c r="AY213" t="str">
        <f>IF(AND($AK213&lt;=Results!$I$23,$AK213&gt;=Results!$I$22,$AK213&gt;=Results!$F$4),$AN213,"")</f>
        <v/>
      </c>
      <c r="AZ213" t="str">
        <f t="shared" si="150"/>
        <v/>
      </c>
      <c r="BA213" t="str">
        <f>IF(AND($AK213&lt;=Results!$I$27,$AK213&gt;=Results!$I$26,$AK213&lt;=Results!$F$4),$AQ213,"")</f>
        <v/>
      </c>
      <c r="BB213" t="str">
        <f t="shared" si="151"/>
        <v/>
      </c>
      <c r="BC213" t="str">
        <f>IF(AND($AK213&lt;=Results!$I$29,$AK213&gt;=Results!$I$28,$AK213&gt;=Results!$F$4),$AQ213,"")</f>
        <v/>
      </c>
      <c r="BD213">
        <f t="shared" si="152"/>
        <v>9794.1679191676285</v>
      </c>
      <c r="BE213">
        <f t="shared" si="153"/>
        <v>1946.4303270036467</v>
      </c>
      <c r="BF213">
        <f t="shared" si="154"/>
        <v>9824.5661368547262</v>
      </c>
      <c r="BG213">
        <f t="shared" si="155"/>
        <v>1284.8717948404901</v>
      </c>
      <c r="BH213">
        <f t="shared" si="156"/>
        <v>0</v>
      </c>
      <c r="BI213">
        <f t="shared" si="157"/>
        <v>0.99984268257955455</v>
      </c>
      <c r="BJ213">
        <f t="shared" si="158"/>
        <v>0.96592468162592249</v>
      </c>
      <c r="BK213">
        <f t="shared" si="159"/>
        <v>-2.0253572765199504E-3</v>
      </c>
      <c r="BL213">
        <f t="shared" si="160"/>
        <v>-1.2158754998077108E-2</v>
      </c>
      <c r="BM213">
        <f t="shared" si="178"/>
        <v>120.00000000000055</v>
      </c>
      <c r="BN213">
        <f t="shared" si="179"/>
        <v>-119.99999999999829</v>
      </c>
      <c r="BO213">
        <f>Data!$H$2*(1-BI213)*(1-BI213/Data!$H$3)*BM213</f>
        <v>5.9397049861462728E-12</v>
      </c>
      <c r="BP213">
        <f t="shared" si="161"/>
        <v>-119.9811219095471</v>
      </c>
      <c r="BQ213">
        <f>Data!$H$2*(1-BJ213)*(1-BJ213/Data!$H$3)*BN213</f>
        <v>-2.7867055735073475E-7</v>
      </c>
      <c r="BR213">
        <f t="shared" si="162"/>
        <v>115.91096179510905</v>
      </c>
      <c r="BS213">
        <f t="shared" si="163"/>
        <v>0</v>
      </c>
      <c r="BT213">
        <f t="shared" si="164"/>
        <v>0</v>
      </c>
      <c r="BU213">
        <f t="shared" si="165"/>
        <v>0</v>
      </c>
      <c r="BV213">
        <f t="shared" si="166"/>
        <v>0</v>
      </c>
      <c r="BW213">
        <f t="shared" si="180"/>
        <v>0</v>
      </c>
      <c r="BX213" t="str">
        <f t="shared" si="181"/>
        <v/>
      </c>
      <c r="BY213" s="66" t="str">
        <f t="shared" si="167"/>
        <v/>
      </c>
      <c r="BZ213" t="str">
        <f t="shared" si="168"/>
        <v/>
      </c>
      <c r="CA213" s="67" t="str">
        <f t="shared" si="169"/>
        <v/>
      </c>
    </row>
    <row r="214" spans="4:79" x14ac:dyDescent="0.25">
      <c r="D214" s="3" t="e">
        <f t="shared" si="194"/>
        <v>#DIV/0!</v>
      </c>
      <c r="E214" s="3" t="e">
        <f t="shared" si="194"/>
        <v>#DIV/0!</v>
      </c>
      <c r="F214" t="str">
        <f>IF(A214&gt;0,IF(F213=1,1,IF(B214=Data!$H$4,1,0)),"")</f>
        <v/>
      </c>
      <c r="O214" s="3"/>
      <c r="P214" s="3"/>
      <c r="Q214" t="str">
        <f t="shared" si="170"/>
        <v/>
      </c>
      <c r="R214" s="4" t="str">
        <f t="shared" si="171"/>
        <v/>
      </c>
      <c r="S214" t="e">
        <f t="shared" si="182"/>
        <v>#DIV/0!</v>
      </c>
      <c r="T214" t="e">
        <f t="shared" si="195"/>
        <v>#DIV/0!</v>
      </c>
      <c r="U214" s="4">
        <f t="shared" si="172"/>
        <v>0</v>
      </c>
      <c r="V214" t="e">
        <f t="shared" si="183"/>
        <v>#DIV/0!</v>
      </c>
      <c r="W214" t="e">
        <f t="shared" si="184"/>
        <v>#DIV/0!</v>
      </c>
      <c r="X214" t="e">
        <f t="shared" si="185"/>
        <v>#VALUE!</v>
      </c>
      <c r="Y214" t="e">
        <f t="shared" si="186"/>
        <v>#VALUE!</v>
      </c>
      <c r="Z214" t="e">
        <f t="shared" si="187"/>
        <v>#VALUE!</v>
      </c>
      <c r="AA214" t="e">
        <f t="shared" si="173"/>
        <v>#VALUE!</v>
      </c>
      <c r="AB214" t="str">
        <f t="shared" si="188"/>
        <v/>
      </c>
      <c r="AC214" t="str">
        <f t="shared" si="189"/>
        <v/>
      </c>
      <c r="AD214" t="str">
        <f t="shared" si="190"/>
        <v/>
      </c>
      <c r="AE214" t="str">
        <f t="shared" si="191"/>
        <v/>
      </c>
      <c r="AK214" s="4">
        <f t="shared" si="192"/>
        <v>46.200000000000301</v>
      </c>
      <c r="AL214">
        <f t="shared" si="174"/>
        <v>2545.0000000000364</v>
      </c>
      <c r="AM214">
        <f t="shared" si="175"/>
        <v>9780.4333333332943</v>
      </c>
      <c r="AN214">
        <f>IF($AK213+$AK$1&lt;=Data!$H$4-0.5,AVERAGE(AM212:AM216),AN213)</f>
        <v>9780.4333333332943</v>
      </c>
      <c r="AO214">
        <f t="shared" si="176"/>
        <v>8316.9999999999636</v>
      </c>
      <c r="AP214">
        <f t="shared" si="193"/>
        <v>9515.866666666614</v>
      </c>
      <c r="AQ214">
        <f>IF($AK213+$AK$1&lt;=Data!$H$4-0.5,AVERAGE(AP212:AP216),AQ213)</f>
        <v>9515.866666666614</v>
      </c>
      <c r="AR214">
        <f>IF($AK213+$AK$1&lt;=Data!$H$4-0.5,SLOPE($AN210:$AN218,$AK210:$AK218),AR213)</f>
        <v>-124.76388888889389</v>
      </c>
      <c r="AS214">
        <f>IF($AK213+$AK$1&lt;=Data!$H$4-0.5,SLOPE($AQ210:$AQ218,$AK210:$AK218),AS213)</f>
        <v>-176.62777777778643</v>
      </c>
      <c r="AT214" t="str">
        <f>IF(AND($AK214&gt;=Results!$G$13,$AK214&lt;=Results!$G$14),Curves!AR214,"")</f>
        <v/>
      </c>
      <c r="AU214" t="str">
        <f>IF(AND($AK214&gt;=Results!$G$13,$AK214&lt;=Results!$G$14),Curves!AS214,"")</f>
        <v/>
      </c>
      <c r="AV214">
        <f t="shared" si="177"/>
        <v>46.200000000000301</v>
      </c>
      <c r="AW214">
        <f>IF(AND($AK214&lt;=Results!$I$21,$AK214&gt;=Results!$I$20,$AK214&lt;=Results!$F$4),$AN214,"")</f>
        <v>9780.4333333332943</v>
      </c>
      <c r="AX214" t="str">
        <f t="shared" si="177"/>
        <v/>
      </c>
      <c r="AY214" t="str">
        <f>IF(AND($AK214&lt;=Results!$I$23,$AK214&gt;=Results!$I$22,$AK214&gt;=Results!$F$4),$AN214,"")</f>
        <v/>
      </c>
      <c r="AZ214" t="str">
        <f t="shared" si="150"/>
        <v/>
      </c>
      <c r="BA214" t="str">
        <f>IF(AND($AK214&lt;=Results!$I$27,$AK214&gt;=Results!$I$26,$AK214&lt;=Results!$F$4),$AQ214,"")</f>
        <v/>
      </c>
      <c r="BB214" t="str">
        <f t="shared" si="151"/>
        <v/>
      </c>
      <c r="BC214" t="str">
        <f>IF(AND($AK214&lt;=Results!$I$29,$AK214&gt;=Results!$I$28,$AK214&gt;=Results!$F$4),$AQ214,"")</f>
        <v/>
      </c>
      <c r="BD214">
        <f t="shared" si="152"/>
        <v>9783.3977243697082</v>
      </c>
      <c r="BE214">
        <f t="shared" si="153"/>
        <v>1943.114537754326</v>
      </c>
      <c r="BF214">
        <f t="shared" si="154"/>
        <v>9817.2761546218335</v>
      </c>
      <c r="BG214">
        <f t="shared" si="155"/>
        <v>1284.320993880965</v>
      </c>
      <c r="BH214">
        <f t="shared" si="156"/>
        <v>0</v>
      </c>
      <c r="BI214">
        <f t="shared" si="157"/>
        <v>0.9996219025555767</v>
      </c>
      <c r="BJ214">
        <f t="shared" si="158"/>
        <v>0.96467701021775321</v>
      </c>
      <c r="BK214">
        <f t="shared" si="159"/>
        <v>-2.3907640891201666E-3</v>
      </c>
      <c r="BL214">
        <f t="shared" si="160"/>
        <v>-1.2795427116614563E-2</v>
      </c>
      <c r="BM214">
        <f t="shared" si="178"/>
        <v>120.00000000000055</v>
      </c>
      <c r="BN214">
        <f t="shared" si="179"/>
        <v>-119.99999999999829</v>
      </c>
      <c r="BO214">
        <f>Data!$H$2*(1-BI214)*(1-BI214/Data!$H$3)*BM214</f>
        <v>3.4309842595063026E-11</v>
      </c>
      <c r="BP214">
        <f t="shared" si="161"/>
        <v>-119.95462830666976</v>
      </c>
      <c r="BQ214">
        <f>Data!$H$2*(1-BJ214)*(1-BJ214/Data!$H$3)*BN214</f>
        <v>-2.994512657176064E-7</v>
      </c>
      <c r="BR214">
        <f t="shared" si="162"/>
        <v>115.76124122612875</v>
      </c>
      <c r="BS214">
        <f t="shared" si="163"/>
        <v>0</v>
      </c>
      <c r="BT214">
        <f t="shared" si="164"/>
        <v>0</v>
      </c>
      <c r="BU214">
        <f t="shared" si="165"/>
        <v>0</v>
      </c>
      <c r="BV214">
        <f t="shared" si="166"/>
        <v>0</v>
      </c>
      <c r="BW214">
        <f t="shared" si="180"/>
        <v>0</v>
      </c>
      <c r="BX214" t="str">
        <f t="shared" si="181"/>
        <v/>
      </c>
      <c r="BY214" s="66" t="str">
        <f t="shared" si="167"/>
        <v/>
      </c>
      <c r="BZ214" t="str">
        <f t="shared" si="168"/>
        <v/>
      </c>
      <c r="CA214" s="67" t="str">
        <f t="shared" si="169"/>
        <v/>
      </c>
    </row>
    <row r="215" spans="4:79" x14ac:dyDescent="0.25">
      <c r="D215" s="3" t="e">
        <f t="shared" si="194"/>
        <v>#DIV/0!</v>
      </c>
      <c r="E215" s="3" t="e">
        <f t="shared" si="194"/>
        <v>#DIV/0!</v>
      </c>
      <c r="F215" t="str">
        <f>IF(A215&gt;0,IF(F214=1,1,IF(B215=Data!$H$4,1,0)),"")</f>
        <v/>
      </c>
      <c r="O215" s="3"/>
      <c r="P215" s="3"/>
      <c r="Q215" t="str">
        <f t="shared" si="170"/>
        <v/>
      </c>
      <c r="R215" s="4" t="str">
        <f t="shared" si="171"/>
        <v/>
      </c>
      <c r="S215" t="e">
        <f t="shared" si="182"/>
        <v>#DIV/0!</v>
      </c>
      <c r="T215" t="e">
        <f t="shared" si="195"/>
        <v>#DIV/0!</v>
      </c>
      <c r="U215" s="4">
        <f t="shared" si="172"/>
        <v>0</v>
      </c>
      <c r="V215" t="e">
        <f t="shared" si="183"/>
        <v>#DIV/0!</v>
      </c>
      <c r="W215" t="e">
        <f t="shared" si="184"/>
        <v>#DIV/0!</v>
      </c>
      <c r="X215" t="e">
        <f t="shared" si="185"/>
        <v>#VALUE!</v>
      </c>
      <c r="Y215" t="e">
        <f t="shared" si="186"/>
        <v>#VALUE!</v>
      </c>
      <c r="Z215" t="e">
        <f t="shared" si="187"/>
        <v>#VALUE!</v>
      </c>
      <c r="AA215" t="e">
        <f t="shared" si="173"/>
        <v>#VALUE!</v>
      </c>
      <c r="AB215" t="str">
        <f t="shared" si="188"/>
        <v/>
      </c>
      <c r="AC215" t="str">
        <f t="shared" si="189"/>
        <v/>
      </c>
      <c r="AD215" t="str">
        <f t="shared" si="190"/>
        <v/>
      </c>
      <c r="AE215" t="str">
        <f t="shared" si="191"/>
        <v/>
      </c>
      <c r="AK215" s="4">
        <f t="shared" si="192"/>
        <v>46.300000000000303</v>
      </c>
      <c r="AL215">
        <f t="shared" si="174"/>
        <v>2557.0000000000364</v>
      </c>
      <c r="AM215">
        <f t="shared" si="175"/>
        <v>9767.6499999999614</v>
      </c>
      <c r="AN215">
        <f>IF($AK214+$AK$1&lt;=Data!$H$4-0.5,AVERAGE(AM213:AM217),AN214)</f>
        <v>9767.6499999999614</v>
      </c>
      <c r="AO215">
        <f t="shared" si="176"/>
        <v>8304.9999999999636</v>
      </c>
      <c r="AP215">
        <f t="shared" si="193"/>
        <v>9497.6333333332805</v>
      </c>
      <c r="AQ215">
        <f>IF($AK214+$AK$1&lt;=Data!$H$4-0.5,AVERAGE(AP213:AP217),AQ214)</f>
        <v>9497.6333333332805</v>
      </c>
      <c r="AR215">
        <f>IF($AK214+$AK$1&lt;=Data!$H$4-0.5,SLOPE($AN211:$AN219,$AK211:$AK219),AR214)</f>
        <v>-126.18055555555961</v>
      </c>
      <c r="AS215">
        <f>IF($AK214+$AK$1&lt;=Data!$H$4-0.5,SLOPE($AQ211:$AQ219,$AK211:$AK219),AS214)</f>
        <v>-179.2611111111178</v>
      </c>
      <c r="AT215" t="str">
        <f>IF(AND($AK215&gt;=Results!$G$13,$AK215&lt;=Results!$G$14),Curves!AR215,"")</f>
        <v/>
      </c>
      <c r="AU215" t="str">
        <f>IF(AND($AK215&gt;=Results!$G$13,$AK215&lt;=Results!$G$14),Curves!AS215,"")</f>
        <v/>
      </c>
      <c r="AV215">
        <f t="shared" si="177"/>
        <v>46.300000000000303</v>
      </c>
      <c r="AW215">
        <f>IF(AND($AK215&lt;=Results!$I$21,$AK215&gt;=Results!$I$20,$AK215&lt;=Results!$F$4),$AN215,"")</f>
        <v>9767.6499999999614</v>
      </c>
      <c r="AX215" t="str">
        <f t="shared" si="177"/>
        <v/>
      </c>
      <c r="AY215" t="str">
        <f>IF(AND($AK215&lt;=Results!$I$23,$AK215&gt;=Results!$I$22,$AK215&gt;=Results!$F$4),$AN215,"")</f>
        <v/>
      </c>
      <c r="AZ215" t="str">
        <f t="shared" si="150"/>
        <v/>
      </c>
      <c r="BA215" t="str">
        <f>IF(AND($AK215&lt;=Results!$I$27,$AK215&gt;=Results!$I$26,$AK215&lt;=Results!$F$4),$AQ215,"")</f>
        <v/>
      </c>
      <c r="BB215" t="str">
        <f t="shared" si="151"/>
        <v/>
      </c>
      <c r="BC215" t="str">
        <f>IF(AND($AK215&lt;=Results!$I$29,$AK215&gt;=Results!$I$28,$AK215&gt;=Results!$F$4),$AQ215,"")</f>
        <v/>
      </c>
      <c r="BD215">
        <f t="shared" si="152"/>
        <v>9772.6275295717896</v>
      </c>
      <c r="BE215">
        <f t="shared" si="153"/>
        <v>1939.7987485050051</v>
      </c>
      <c r="BF215">
        <f t="shared" si="154"/>
        <v>9809.9861723889408</v>
      </c>
      <c r="BG215">
        <f t="shared" si="155"/>
        <v>1283.7701929214402</v>
      </c>
      <c r="BH215">
        <f t="shared" si="156"/>
        <v>0</v>
      </c>
      <c r="BI215">
        <f t="shared" si="157"/>
        <v>0.99936452976173051</v>
      </c>
      <c r="BJ215">
        <f t="shared" si="158"/>
        <v>0.96336559620259954</v>
      </c>
      <c r="BK215">
        <f t="shared" si="159"/>
        <v>-2.5761796565398534E-3</v>
      </c>
      <c r="BL215">
        <f t="shared" si="160"/>
        <v>-1.3124513859899914E-2</v>
      </c>
      <c r="BM215">
        <f t="shared" si="178"/>
        <v>119.99999999999829</v>
      </c>
      <c r="BN215">
        <f t="shared" si="179"/>
        <v>-119.99999999999829</v>
      </c>
      <c r="BO215">
        <f>Data!$H$2*(1-BI215)*(1-BI215/Data!$H$3)*BM215</f>
        <v>9.691738169430535E-11</v>
      </c>
      <c r="BP215">
        <f t="shared" si="161"/>
        <v>-119.92374357140596</v>
      </c>
      <c r="BQ215">
        <f>Data!$H$2*(1-BJ215)*(1-BJ215/Data!$H$3)*BN215</f>
        <v>-3.2209908998183282E-7</v>
      </c>
      <c r="BR215">
        <f t="shared" si="162"/>
        <v>115.60387154431031</v>
      </c>
      <c r="BS215">
        <f t="shared" si="163"/>
        <v>0</v>
      </c>
      <c r="BT215">
        <f t="shared" si="164"/>
        <v>0</v>
      </c>
      <c r="BU215">
        <f t="shared" si="165"/>
        <v>0</v>
      </c>
      <c r="BV215">
        <f t="shared" si="166"/>
        <v>0</v>
      </c>
      <c r="BW215">
        <f t="shared" si="180"/>
        <v>0</v>
      </c>
      <c r="BX215" t="str">
        <f t="shared" si="181"/>
        <v/>
      </c>
      <c r="BY215" s="66" t="str">
        <f t="shared" si="167"/>
        <v/>
      </c>
      <c r="BZ215" t="str">
        <f t="shared" si="168"/>
        <v/>
      </c>
      <c r="CA215" s="67" t="str">
        <f t="shared" si="169"/>
        <v/>
      </c>
    </row>
    <row r="216" spans="4:79" x14ac:dyDescent="0.25">
      <c r="D216" s="3" t="e">
        <f t="shared" si="194"/>
        <v>#DIV/0!</v>
      </c>
      <c r="E216" s="3" t="e">
        <f t="shared" si="194"/>
        <v>#DIV/0!</v>
      </c>
      <c r="F216" t="str">
        <f>IF(A216&gt;0,IF(F215=1,1,IF(B216=Data!$H$4,1,0)),"")</f>
        <v/>
      </c>
      <c r="O216" s="3"/>
      <c r="P216" s="3"/>
      <c r="Q216" t="str">
        <f t="shared" si="170"/>
        <v/>
      </c>
      <c r="R216" s="4" t="str">
        <f t="shared" si="171"/>
        <v/>
      </c>
      <c r="S216" t="e">
        <f t="shared" si="182"/>
        <v>#DIV/0!</v>
      </c>
      <c r="T216" t="e">
        <f t="shared" si="195"/>
        <v>#DIV/0!</v>
      </c>
      <c r="U216" s="4">
        <f t="shared" si="172"/>
        <v>0</v>
      </c>
      <c r="V216" t="e">
        <f t="shared" si="183"/>
        <v>#DIV/0!</v>
      </c>
      <c r="W216" t="e">
        <f t="shared" si="184"/>
        <v>#DIV/0!</v>
      </c>
      <c r="X216" t="e">
        <f t="shared" si="185"/>
        <v>#VALUE!</v>
      </c>
      <c r="Y216" t="e">
        <f t="shared" si="186"/>
        <v>#VALUE!</v>
      </c>
      <c r="Z216" t="e">
        <f t="shared" si="187"/>
        <v>#VALUE!</v>
      </c>
      <c r="AA216" t="e">
        <f t="shared" si="173"/>
        <v>#VALUE!</v>
      </c>
      <c r="AB216" t="str">
        <f t="shared" si="188"/>
        <v/>
      </c>
      <c r="AC216" t="str">
        <f t="shared" si="189"/>
        <v/>
      </c>
      <c r="AD216" t="str">
        <f t="shared" si="190"/>
        <v/>
      </c>
      <c r="AE216" t="str">
        <f t="shared" si="191"/>
        <v/>
      </c>
      <c r="AK216" s="4">
        <f t="shared" si="192"/>
        <v>46.400000000000304</v>
      </c>
      <c r="AL216">
        <f t="shared" si="174"/>
        <v>2569.0000000000364</v>
      </c>
      <c r="AM216">
        <f t="shared" si="175"/>
        <v>9754.8666666666268</v>
      </c>
      <c r="AN216">
        <f>IF($AK215+$AK$1&lt;=Data!$H$4-0.5,AVERAGE(AM214:AM218),AN215)</f>
        <v>9754.8666666666268</v>
      </c>
      <c r="AO216">
        <f t="shared" si="176"/>
        <v>8292.9999999999636</v>
      </c>
      <c r="AP216">
        <f t="shared" si="193"/>
        <v>9479.3999999999469</v>
      </c>
      <c r="AQ216">
        <f>IF($AK215+$AK$1&lt;=Data!$H$4-0.5,AVERAGE(AP214:AP218),AQ215)</f>
        <v>9479.3999999999469</v>
      </c>
      <c r="AR216">
        <f>IF($AK215+$AK$1&lt;=Data!$H$4-0.5,SLOPE($AN212:$AN220,$AK212:$AK220),AR215)</f>
        <v>-127.12500000000304</v>
      </c>
      <c r="AS216">
        <f>IF($AK215+$AK$1&lt;=Data!$H$4-0.5,SLOPE($AQ212:$AQ220,$AK212:$AK220),AS215)</f>
        <v>-181.01666666667296</v>
      </c>
      <c r="AT216" t="str">
        <f>IF(AND($AK216&gt;=Results!$G$13,$AK216&lt;=Results!$G$14),Curves!AR216,"")</f>
        <v/>
      </c>
      <c r="AU216" t="str">
        <f>IF(AND($AK216&gt;=Results!$G$13,$AK216&lt;=Results!$G$14),Curves!AS216,"")</f>
        <v/>
      </c>
      <c r="AV216">
        <f t="shared" si="177"/>
        <v>46.400000000000304</v>
      </c>
      <c r="AW216">
        <f>IF(AND($AK216&lt;=Results!$I$21,$AK216&gt;=Results!$I$20,$AK216&lt;=Results!$F$4),$AN216,"")</f>
        <v>9754.8666666666268</v>
      </c>
      <c r="AX216" t="str">
        <f t="shared" si="177"/>
        <v/>
      </c>
      <c r="AY216" t="str">
        <f>IF(AND($AK216&lt;=Results!$I$23,$AK216&gt;=Results!$I$22,$AK216&gt;=Results!$F$4),$AN216,"")</f>
        <v/>
      </c>
      <c r="AZ216" t="str">
        <f t="shared" si="150"/>
        <v/>
      </c>
      <c r="BA216" t="str">
        <f>IF(AND($AK216&lt;=Results!$I$27,$AK216&gt;=Results!$I$26,$AK216&lt;=Results!$F$4),$AQ216,"")</f>
        <v/>
      </c>
      <c r="BB216" t="str">
        <f t="shared" si="151"/>
        <v/>
      </c>
      <c r="BC216" t="str">
        <f>IF(AND($AK216&lt;=Results!$I$29,$AK216&gt;=Results!$I$28,$AK216&gt;=Results!$F$4),$AQ216,"")</f>
        <v/>
      </c>
      <c r="BD216">
        <f t="shared" si="152"/>
        <v>9761.8573347738693</v>
      </c>
      <c r="BE216">
        <f t="shared" si="153"/>
        <v>1936.4829592556844</v>
      </c>
      <c r="BF216">
        <f t="shared" si="154"/>
        <v>9802.6961901560462</v>
      </c>
      <c r="BG216">
        <f t="shared" si="155"/>
        <v>1283.2193919619151</v>
      </c>
      <c r="BH216">
        <f t="shared" si="156"/>
        <v>0</v>
      </c>
      <c r="BI216">
        <f t="shared" si="157"/>
        <v>0.99910666662426872</v>
      </c>
      <c r="BJ216">
        <f t="shared" si="158"/>
        <v>0.96205210744577319</v>
      </c>
      <c r="BK216">
        <f t="shared" si="159"/>
        <v>-2.5810901058520206E-3</v>
      </c>
      <c r="BL216">
        <f t="shared" si="160"/>
        <v>-1.3145285913934525E-2</v>
      </c>
      <c r="BM216">
        <f t="shared" si="178"/>
        <v>120.00000000000055</v>
      </c>
      <c r="BN216">
        <f t="shared" si="179"/>
        <v>-119.99999999999829</v>
      </c>
      <c r="BO216">
        <f>Data!$H$2*(1-BI216)*(1-BI216/Data!$H$3)*BM216</f>
        <v>1.915306848469056E-10</v>
      </c>
      <c r="BP216">
        <f t="shared" si="161"/>
        <v>-119.89279999491281</v>
      </c>
      <c r="BQ216">
        <f>Data!$H$2*(1-BJ216)*(1-BJ216/Data!$H$3)*BN216</f>
        <v>-3.4561021183370939E-7</v>
      </c>
      <c r="BR216">
        <f t="shared" si="162"/>
        <v>115.44625289349113</v>
      </c>
      <c r="BS216">
        <f t="shared" si="163"/>
        <v>0</v>
      </c>
      <c r="BT216">
        <f t="shared" si="164"/>
        <v>0</v>
      </c>
      <c r="BU216">
        <f t="shared" si="165"/>
        <v>0</v>
      </c>
      <c r="BV216">
        <f t="shared" si="166"/>
        <v>0</v>
      </c>
      <c r="BW216">
        <f t="shared" si="180"/>
        <v>0</v>
      </c>
      <c r="BX216" t="str">
        <f t="shared" si="181"/>
        <v/>
      </c>
      <c r="BY216" s="66" t="str">
        <f t="shared" si="167"/>
        <v/>
      </c>
      <c r="BZ216" t="str">
        <f t="shared" si="168"/>
        <v/>
      </c>
      <c r="CA216" s="67" t="str">
        <f t="shared" si="169"/>
        <v/>
      </c>
    </row>
    <row r="217" spans="4:79" x14ac:dyDescent="0.25">
      <c r="D217" s="3" t="e">
        <f t="shared" si="194"/>
        <v>#DIV/0!</v>
      </c>
      <c r="E217" s="3" t="e">
        <f t="shared" si="194"/>
        <v>#DIV/0!</v>
      </c>
      <c r="F217" t="str">
        <f>IF(A217&gt;0,IF(F216=1,1,IF(B217=Data!$H$4,1,0)),"")</f>
        <v/>
      </c>
      <c r="O217" s="3"/>
      <c r="P217" s="3"/>
      <c r="Q217" t="str">
        <f t="shared" si="170"/>
        <v/>
      </c>
      <c r="R217" s="4" t="str">
        <f t="shared" si="171"/>
        <v/>
      </c>
      <c r="S217" t="e">
        <f t="shared" si="182"/>
        <v>#DIV/0!</v>
      </c>
      <c r="T217" t="e">
        <f t="shared" si="195"/>
        <v>#DIV/0!</v>
      </c>
      <c r="U217" s="4">
        <f t="shared" si="172"/>
        <v>0</v>
      </c>
      <c r="V217" t="e">
        <f t="shared" si="183"/>
        <v>#DIV/0!</v>
      </c>
      <c r="W217" t="e">
        <f t="shared" si="184"/>
        <v>#DIV/0!</v>
      </c>
      <c r="X217" t="e">
        <f t="shared" si="185"/>
        <v>#VALUE!</v>
      </c>
      <c r="Y217" t="e">
        <f t="shared" si="186"/>
        <v>#VALUE!</v>
      </c>
      <c r="Z217" t="e">
        <f t="shared" si="187"/>
        <v>#VALUE!</v>
      </c>
      <c r="AA217" t="e">
        <f t="shared" si="173"/>
        <v>#VALUE!</v>
      </c>
      <c r="AB217" t="str">
        <f t="shared" si="188"/>
        <v/>
      </c>
      <c r="AC217" t="str">
        <f t="shared" si="189"/>
        <v/>
      </c>
      <c r="AD217" t="str">
        <f t="shared" si="190"/>
        <v/>
      </c>
      <c r="AE217" t="str">
        <f t="shared" si="191"/>
        <v/>
      </c>
      <c r="AK217" s="4">
        <f t="shared" si="192"/>
        <v>46.500000000000306</v>
      </c>
      <c r="AL217">
        <f t="shared" si="174"/>
        <v>2581.0000000000368</v>
      </c>
      <c r="AM217">
        <f t="shared" si="175"/>
        <v>9742.0833333332939</v>
      </c>
      <c r="AN217">
        <f>IF($AK216+$AK$1&lt;=Data!$H$4-0.5,AVERAGE(AM215:AM219),AN216)</f>
        <v>9742.0833333332939</v>
      </c>
      <c r="AO217">
        <f t="shared" si="176"/>
        <v>8280.9999999999636</v>
      </c>
      <c r="AP217">
        <f t="shared" si="193"/>
        <v>9461.1666666666115</v>
      </c>
      <c r="AQ217">
        <f>IF($AK216+$AK$1&lt;=Data!$H$4-0.5,AVERAGE(AP215:AP219),AQ216)</f>
        <v>9461.1666666666115</v>
      </c>
      <c r="AR217">
        <f>IF($AK216+$AK$1&lt;=Data!$H$4-0.5,SLOPE($AN213:$AN221,$AK213:$AK221),AR216)</f>
        <v>-127.75333333333401</v>
      </c>
      <c r="AS217">
        <f>IF($AK216+$AK$1&lt;=Data!$H$4-0.5,SLOPE($AQ213:$AQ221,$AK213:$AK221),AS216)</f>
        <v>-182.38222222222987</v>
      </c>
      <c r="AT217" t="str">
        <f>IF(AND($AK217&gt;=Results!$G$13,$AK217&lt;=Results!$G$14),Curves!AR217,"")</f>
        <v/>
      </c>
      <c r="AU217" t="str">
        <f>IF(AND($AK217&gt;=Results!$G$13,$AK217&lt;=Results!$G$14),Curves!AS217,"")</f>
        <v/>
      </c>
      <c r="AV217">
        <f t="shared" si="177"/>
        <v>46.500000000000306</v>
      </c>
      <c r="AW217">
        <f>IF(AND($AK217&lt;=Results!$I$21,$AK217&gt;=Results!$I$20,$AK217&lt;=Results!$F$4),$AN217,"")</f>
        <v>9742.0833333332939</v>
      </c>
      <c r="AX217" t="str">
        <f t="shared" si="177"/>
        <v/>
      </c>
      <c r="AY217" t="str">
        <f>IF(AND($AK217&lt;=Results!$I$23,$AK217&gt;=Results!$I$22,$AK217&gt;=Results!$F$4),$AN217,"")</f>
        <v/>
      </c>
      <c r="AZ217" t="str">
        <f t="shared" si="150"/>
        <v/>
      </c>
      <c r="BA217" t="str">
        <f>IF(AND($AK217&lt;=Results!$I$27,$AK217&gt;=Results!$I$26,$AK217&lt;=Results!$F$4),$AQ217,"")</f>
        <v/>
      </c>
      <c r="BB217" t="str">
        <f t="shared" si="151"/>
        <v/>
      </c>
      <c r="BC217" t="str">
        <f>IF(AND($AK217&lt;=Results!$I$29,$AK217&gt;=Results!$I$28,$AK217&gt;=Results!$F$4),$AQ217,"")</f>
        <v/>
      </c>
      <c r="BD217">
        <f t="shared" si="152"/>
        <v>9751.087139975949</v>
      </c>
      <c r="BE217">
        <f t="shared" si="153"/>
        <v>1933.1671700063634</v>
      </c>
      <c r="BF217">
        <f t="shared" si="154"/>
        <v>9795.4062079231535</v>
      </c>
      <c r="BG217">
        <f t="shared" si="155"/>
        <v>1282.66859100239</v>
      </c>
      <c r="BH217">
        <f t="shared" si="156"/>
        <v>0</v>
      </c>
      <c r="BI217">
        <f t="shared" si="157"/>
        <v>0.9988483117405601</v>
      </c>
      <c r="BJ217">
        <f t="shared" si="158"/>
        <v>0.9607365390198126</v>
      </c>
      <c r="BK217">
        <f t="shared" si="159"/>
        <v>-2.5860146082545463E-3</v>
      </c>
      <c r="BL217">
        <f t="shared" si="160"/>
        <v>-1.316610732065663E-2</v>
      </c>
      <c r="BM217">
        <f t="shared" si="178"/>
        <v>120.00000000000055</v>
      </c>
      <c r="BN217">
        <f t="shared" si="179"/>
        <v>-119.99999999999829</v>
      </c>
      <c r="BO217">
        <f>Data!$H$2*(1-BI217)*(1-BI217/Data!$H$3)*BM217</f>
        <v>3.1833260326360996E-10</v>
      </c>
      <c r="BP217">
        <f t="shared" si="161"/>
        <v>-119.86179740886777</v>
      </c>
      <c r="BQ217">
        <f>Data!$H$2*(1-BJ217)*(1-BJ217/Data!$H$3)*BN217</f>
        <v>-3.6998864835424243E-7</v>
      </c>
      <c r="BR217">
        <f t="shared" si="162"/>
        <v>115.28838468237588</v>
      </c>
      <c r="BS217">
        <f t="shared" si="163"/>
        <v>0</v>
      </c>
      <c r="BT217">
        <f t="shared" si="164"/>
        <v>0</v>
      </c>
      <c r="BU217">
        <f t="shared" si="165"/>
        <v>0</v>
      </c>
      <c r="BV217">
        <f t="shared" si="166"/>
        <v>0</v>
      </c>
      <c r="BW217">
        <f t="shared" si="180"/>
        <v>0</v>
      </c>
      <c r="BX217" t="str">
        <f t="shared" si="181"/>
        <v/>
      </c>
      <c r="BY217" s="66" t="str">
        <f t="shared" si="167"/>
        <v/>
      </c>
      <c r="BZ217" t="str">
        <f t="shared" si="168"/>
        <v/>
      </c>
      <c r="CA217" s="67" t="str">
        <f t="shared" si="169"/>
        <v/>
      </c>
    </row>
    <row r="218" spans="4:79" x14ac:dyDescent="0.25">
      <c r="D218" s="3" t="e">
        <f t="shared" si="194"/>
        <v>#DIV/0!</v>
      </c>
      <c r="E218" s="3" t="e">
        <f t="shared" si="194"/>
        <v>#DIV/0!</v>
      </c>
      <c r="F218" t="str">
        <f>IF(A218&gt;0,IF(F217=1,1,IF(B218=Data!$H$4,1,0)),"")</f>
        <v/>
      </c>
      <c r="O218" s="3"/>
      <c r="P218" s="3"/>
      <c r="Q218" t="str">
        <f t="shared" si="170"/>
        <v/>
      </c>
      <c r="R218" s="4" t="str">
        <f t="shared" si="171"/>
        <v/>
      </c>
      <c r="S218" t="e">
        <f t="shared" si="182"/>
        <v>#DIV/0!</v>
      </c>
      <c r="T218" t="e">
        <f t="shared" si="195"/>
        <v>#DIV/0!</v>
      </c>
      <c r="U218" s="4">
        <f t="shared" si="172"/>
        <v>0</v>
      </c>
      <c r="V218" t="e">
        <f t="shared" si="183"/>
        <v>#DIV/0!</v>
      </c>
      <c r="W218" t="e">
        <f t="shared" si="184"/>
        <v>#DIV/0!</v>
      </c>
      <c r="X218" t="e">
        <f t="shared" si="185"/>
        <v>#VALUE!</v>
      </c>
      <c r="Y218" t="e">
        <f t="shared" si="186"/>
        <v>#VALUE!</v>
      </c>
      <c r="Z218" t="e">
        <f t="shared" si="187"/>
        <v>#VALUE!</v>
      </c>
      <c r="AA218" t="e">
        <f t="shared" si="173"/>
        <v>#VALUE!</v>
      </c>
      <c r="AB218" t="str">
        <f t="shared" si="188"/>
        <v/>
      </c>
      <c r="AC218" t="str">
        <f t="shared" si="189"/>
        <v/>
      </c>
      <c r="AD218" t="str">
        <f t="shared" si="190"/>
        <v/>
      </c>
      <c r="AE218" t="str">
        <f t="shared" si="191"/>
        <v/>
      </c>
      <c r="AK218" s="4">
        <f t="shared" si="192"/>
        <v>46.600000000000307</v>
      </c>
      <c r="AL218">
        <f t="shared" si="174"/>
        <v>2593.0000000000368</v>
      </c>
      <c r="AM218">
        <f t="shared" si="175"/>
        <v>9729.2999999999611</v>
      </c>
      <c r="AN218">
        <f>IF($AK217+$AK$1&lt;=Data!$H$4-0.5,AVERAGE(AM216:AM220),AN217)</f>
        <v>9729.2999999999611</v>
      </c>
      <c r="AO218">
        <f t="shared" si="176"/>
        <v>8268.9999999999636</v>
      </c>
      <c r="AP218">
        <f t="shared" si="193"/>
        <v>9442.9333333332779</v>
      </c>
      <c r="AQ218">
        <f>IF($AK217+$AK$1&lt;=Data!$H$4-0.5,AVERAGE(AP216:AP220),AQ217)</f>
        <v>9442.9333333332779</v>
      </c>
      <c r="AR218">
        <f>IF($AK217+$AK$1&lt;=Data!$H$4-0.5,SLOPE($AN214:$AN222,$AK214:$AK222),AR217)</f>
        <v>-128.24166666666648</v>
      </c>
      <c r="AS218">
        <f>IF($AK217+$AK$1&lt;=Data!$H$4-0.5,SLOPE($AQ214:$AQ222,$AK214:$AK222),AS217)</f>
        <v>-183.83333333334286</v>
      </c>
      <c r="AT218" t="str">
        <f>IF(AND($AK218&gt;=Results!$G$13,$AK218&lt;=Results!$G$14),Curves!AR218,"")</f>
        <v/>
      </c>
      <c r="AU218" t="str">
        <f>IF(AND($AK218&gt;=Results!$G$13,$AK218&lt;=Results!$G$14),Curves!AS218,"")</f>
        <v/>
      </c>
      <c r="AV218">
        <f t="shared" si="177"/>
        <v>46.600000000000307</v>
      </c>
      <c r="AW218">
        <f>IF(AND($AK218&lt;=Results!$I$21,$AK218&gt;=Results!$I$20,$AK218&lt;=Results!$F$4),$AN218,"")</f>
        <v>9729.2999999999611</v>
      </c>
      <c r="AX218" t="str">
        <f t="shared" si="177"/>
        <v/>
      </c>
      <c r="AY218" t="str">
        <f>IF(AND($AK218&lt;=Results!$I$23,$AK218&gt;=Results!$I$22,$AK218&gt;=Results!$F$4),$AN218,"")</f>
        <v/>
      </c>
      <c r="AZ218" t="str">
        <f t="shared" si="150"/>
        <v/>
      </c>
      <c r="BA218" t="str">
        <f>IF(AND($AK218&lt;=Results!$I$27,$AK218&gt;=Results!$I$26,$AK218&lt;=Results!$F$4),$AQ218,"")</f>
        <v/>
      </c>
      <c r="BB218" t="str">
        <f t="shared" si="151"/>
        <v/>
      </c>
      <c r="BC218" t="str">
        <f>IF(AND($AK218&lt;=Results!$I$29,$AK218&gt;=Results!$I$28,$AK218&gt;=Results!$F$4),$AQ218,"")</f>
        <v/>
      </c>
      <c r="BD218">
        <f t="shared" si="152"/>
        <v>9740.3169451780304</v>
      </c>
      <c r="BE218">
        <f t="shared" si="153"/>
        <v>1929.8513807570425</v>
      </c>
      <c r="BF218">
        <f t="shared" si="154"/>
        <v>9788.1162256902608</v>
      </c>
      <c r="BG218">
        <f t="shared" si="155"/>
        <v>1282.1177900428652</v>
      </c>
      <c r="BH218">
        <f t="shared" si="156"/>
        <v>0</v>
      </c>
      <c r="BI218">
        <f t="shared" si="157"/>
        <v>0.99858946370261781</v>
      </c>
      <c r="BJ218">
        <f t="shared" si="158"/>
        <v>0.95941888598164182</v>
      </c>
      <c r="BK218">
        <f t="shared" si="159"/>
        <v>-2.5909532174217174E-3</v>
      </c>
      <c r="BL218">
        <f t="shared" si="160"/>
        <v>-1.3186978236530512E-2</v>
      </c>
      <c r="BM218">
        <f t="shared" si="178"/>
        <v>119.99999999999829</v>
      </c>
      <c r="BN218">
        <f t="shared" si="179"/>
        <v>-119.99999999999829</v>
      </c>
      <c r="BO218">
        <f>Data!$H$2*(1-BI218)*(1-BI218/Data!$H$3)*BM218</f>
        <v>4.7750703509583256E-10</v>
      </c>
      <c r="BP218">
        <f t="shared" si="161"/>
        <v>-119.83073564431244</v>
      </c>
      <c r="BQ218">
        <f>Data!$H$2*(1-BJ218)*(1-BJ218/Data!$H$3)*BN218</f>
        <v>-3.9523843559303119E-7</v>
      </c>
      <c r="BR218">
        <f t="shared" si="162"/>
        <v>115.13026631779539</v>
      </c>
      <c r="BS218">
        <f t="shared" si="163"/>
        <v>0</v>
      </c>
      <c r="BT218">
        <f t="shared" si="164"/>
        <v>0</v>
      </c>
      <c r="BU218">
        <f t="shared" si="165"/>
        <v>0</v>
      </c>
      <c r="BV218">
        <f t="shared" si="166"/>
        <v>0</v>
      </c>
      <c r="BW218">
        <f t="shared" si="180"/>
        <v>0</v>
      </c>
      <c r="BX218" t="str">
        <f t="shared" si="181"/>
        <v/>
      </c>
      <c r="BY218" s="66" t="str">
        <f t="shared" si="167"/>
        <v/>
      </c>
      <c r="BZ218" t="str">
        <f t="shared" si="168"/>
        <v/>
      </c>
      <c r="CA218" s="67" t="str">
        <f t="shared" si="169"/>
        <v/>
      </c>
    </row>
    <row r="219" spans="4:79" x14ac:dyDescent="0.25">
      <c r="D219" s="3" t="e">
        <f t="shared" si="194"/>
        <v>#DIV/0!</v>
      </c>
      <c r="E219" s="3" t="e">
        <f t="shared" si="194"/>
        <v>#DIV/0!</v>
      </c>
      <c r="F219" t="str">
        <f>IF(A219&gt;0,IF(F218=1,1,IF(B219=Data!$H$4,1,0)),"")</f>
        <v/>
      </c>
      <c r="O219" s="3"/>
      <c r="P219" s="3"/>
      <c r="Q219" t="str">
        <f t="shared" si="170"/>
        <v/>
      </c>
      <c r="R219" s="4" t="str">
        <f t="shared" si="171"/>
        <v/>
      </c>
      <c r="S219" t="e">
        <f t="shared" si="182"/>
        <v>#DIV/0!</v>
      </c>
      <c r="T219" t="e">
        <f t="shared" si="195"/>
        <v>#DIV/0!</v>
      </c>
      <c r="U219" s="4">
        <f t="shared" si="172"/>
        <v>0</v>
      </c>
      <c r="V219" t="e">
        <f t="shared" si="183"/>
        <v>#DIV/0!</v>
      </c>
      <c r="W219" t="e">
        <f t="shared" si="184"/>
        <v>#DIV/0!</v>
      </c>
      <c r="X219" t="e">
        <f t="shared" si="185"/>
        <v>#VALUE!</v>
      </c>
      <c r="Y219" t="e">
        <f t="shared" si="186"/>
        <v>#VALUE!</v>
      </c>
      <c r="Z219" t="e">
        <f t="shared" si="187"/>
        <v>#VALUE!</v>
      </c>
      <c r="AA219" t="e">
        <f t="shared" si="173"/>
        <v>#VALUE!</v>
      </c>
      <c r="AB219" t="str">
        <f t="shared" si="188"/>
        <v/>
      </c>
      <c r="AC219" t="str">
        <f t="shared" si="189"/>
        <v/>
      </c>
      <c r="AD219" t="str">
        <f t="shared" si="190"/>
        <v/>
      </c>
      <c r="AE219" t="str">
        <f t="shared" si="191"/>
        <v/>
      </c>
      <c r="AK219" s="4">
        <f t="shared" si="192"/>
        <v>46.700000000000308</v>
      </c>
      <c r="AL219">
        <f t="shared" si="174"/>
        <v>2605.0000000000368</v>
      </c>
      <c r="AM219">
        <f t="shared" si="175"/>
        <v>9716.5166666666264</v>
      </c>
      <c r="AN219">
        <f>IF($AK218+$AK$1&lt;=Data!$H$4-0.5,AVERAGE(AM217:AM221),AN218)</f>
        <v>9716.5166666666264</v>
      </c>
      <c r="AO219">
        <f t="shared" si="176"/>
        <v>8256.9999999999636</v>
      </c>
      <c r="AP219">
        <f t="shared" si="193"/>
        <v>9424.6999999999443</v>
      </c>
      <c r="AQ219">
        <f>IF($AK218+$AK$1&lt;=Data!$H$4-0.5,AVERAGE(AP217:AP221),AQ218)</f>
        <v>9424.6999999999443</v>
      </c>
      <c r="AR219">
        <f>IF($AK218+$AK$1&lt;=Data!$H$4-0.5,SLOPE($AN215:$AN223,$AK215:$AK223),AR218)</f>
        <v>-128.786111111113</v>
      </c>
      <c r="AS219">
        <f>IF($AK218+$AK$1&lt;=Data!$H$4-0.5,SLOPE($AQ215:$AQ223,$AK215:$AK223),AS218)</f>
        <v>-185.83333333334525</v>
      </c>
      <c r="AT219" t="str">
        <f>IF(AND($AK219&gt;=Results!$G$13,$AK219&lt;=Results!$G$14),Curves!AR219,"")</f>
        <v/>
      </c>
      <c r="AU219" t="str">
        <f>IF(AND($AK219&gt;=Results!$G$13,$AK219&lt;=Results!$G$14),Curves!AS219,"")</f>
        <v/>
      </c>
      <c r="AV219">
        <f t="shared" si="177"/>
        <v>46.700000000000308</v>
      </c>
      <c r="AW219">
        <f>IF(AND($AK219&lt;=Results!$I$21,$AK219&gt;=Results!$I$20,$AK219&lt;=Results!$F$4),$AN219,"")</f>
        <v>9716.5166666666264</v>
      </c>
      <c r="AX219" t="str">
        <f t="shared" si="177"/>
        <v/>
      </c>
      <c r="AY219" t="str">
        <f>IF(AND($AK219&lt;=Results!$I$23,$AK219&gt;=Results!$I$22,$AK219&gt;=Results!$F$4),$AN219,"")</f>
        <v/>
      </c>
      <c r="AZ219" t="str">
        <f t="shared" si="150"/>
        <v/>
      </c>
      <c r="BA219" t="str">
        <f>IF(AND($AK219&lt;=Results!$I$27,$AK219&gt;=Results!$I$26,$AK219&lt;=Results!$F$4),$AQ219,"")</f>
        <v/>
      </c>
      <c r="BB219" t="str">
        <f t="shared" si="151"/>
        <v/>
      </c>
      <c r="BC219" t="str">
        <f>IF(AND($AK219&lt;=Results!$I$29,$AK219&gt;=Results!$I$28,$AK219&gt;=Results!$F$4),$AQ219,"")</f>
        <v/>
      </c>
      <c r="BD219">
        <f t="shared" si="152"/>
        <v>9729.5467503801101</v>
      </c>
      <c r="BE219">
        <f t="shared" si="153"/>
        <v>1926.5355915077218</v>
      </c>
      <c r="BF219">
        <f t="shared" si="154"/>
        <v>9780.826243457368</v>
      </c>
      <c r="BG219">
        <f t="shared" si="155"/>
        <v>1281.5669890833401</v>
      </c>
      <c r="BH219">
        <f t="shared" si="156"/>
        <v>0</v>
      </c>
      <c r="BI219">
        <f t="shared" si="157"/>
        <v>0.99833012109707575</v>
      </c>
      <c r="BJ219">
        <f t="shared" si="158"/>
        <v>0.95809914337250646</v>
      </c>
      <c r="BK219">
        <f t="shared" si="159"/>
        <v>-2.5959059872820616E-3</v>
      </c>
      <c r="BL219">
        <f t="shared" si="160"/>
        <v>-1.3207898818649401E-2</v>
      </c>
      <c r="BM219">
        <f t="shared" si="178"/>
        <v>120.00000000000055</v>
      </c>
      <c r="BN219">
        <f t="shared" si="179"/>
        <v>-119.99999999999829</v>
      </c>
      <c r="BO219">
        <f>Data!$H$2*(1-BI219)*(1-BI219/Data!$H$3)*BM219</f>
        <v>6.692389321035614E-10</v>
      </c>
      <c r="BP219">
        <f t="shared" si="161"/>
        <v>-119.79961453164964</v>
      </c>
      <c r="BQ219">
        <f>Data!$H$2*(1-BJ219)*(1-BJ219/Data!$H$3)*BN219</f>
        <v>-4.2136362866825869E-7</v>
      </c>
      <c r="BR219">
        <f t="shared" si="162"/>
        <v>114.97189720469915</v>
      </c>
      <c r="BS219">
        <f t="shared" si="163"/>
        <v>0</v>
      </c>
      <c r="BT219">
        <f t="shared" si="164"/>
        <v>0</v>
      </c>
      <c r="BU219">
        <f t="shared" si="165"/>
        <v>0</v>
      </c>
      <c r="BV219">
        <f t="shared" si="166"/>
        <v>0</v>
      </c>
      <c r="BW219">
        <f t="shared" si="180"/>
        <v>0</v>
      </c>
      <c r="BX219" t="str">
        <f t="shared" si="181"/>
        <v/>
      </c>
      <c r="BY219" s="66" t="str">
        <f t="shared" si="167"/>
        <v/>
      </c>
      <c r="BZ219" t="str">
        <f t="shared" si="168"/>
        <v/>
      </c>
      <c r="CA219" s="67" t="str">
        <f t="shared" si="169"/>
        <v/>
      </c>
    </row>
    <row r="220" spans="4:79" x14ac:dyDescent="0.25">
      <c r="D220" s="3" t="e">
        <f t="shared" si="194"/>
        <v>#DIV/0!</v>
      </c>
      <c r="E220" s="3" t="e">
        <f t="shared" si="194"/>
        <v>#DIV/0!</v>
      </c>
      <c r="F220" t="str">
        <f>IF(A220&gt;0,IF(F219=1,1,IF(B220=Data!$H$4,1,0)),"")</f>
        <v/>
      </c>
      <c r="O220" s="3"/>
      <c r="P220" s="3"/>
      <c r="Q220" t="str">
        <f t="shared" si="170"/>
        <v/>
      </c>
      <c r="R220" s="4" t="str">
        <f t="shared" si="171"/>
        <v/>
      </c>
      <c r="S220" t="e">
        <f t="shared" si="182"/>
        <v>#DIV/0!</v>
      </c>
      <c r="T220" t="e">
        <f t="shared" si="195"/>
        <v>#DIV/0!</v>
      </c>
      <c r="U220" s="4">
        <f t="shared" si="172"/>
        <v>0</v>
      </c>
      <c r="V220" t="e">
        <f t="shared" si="183"/>
        <v>#DIV/0!</v>
      </c>
      <c r="W220" t="e">
        <f t="shared" si="184"/>
        <v>#DIV/0!</v>
      </c>
      <c r="X220" t="e">
        <f t="shared" si="185"/>
        <v>#VALUE!</v>
      </c>
      <c r="Y220" t="e">
        <f t="shared" si="186"/>
        <v>#VALUE!</v>
      </c>
      <c r="Z220" t="e">
        <f t="shared" si="187"/>
        <v>#VALUE!</v>
      </c>
      <c r="AA220" t="e">
        <f t="shared" si="173"/>
        <v>#VALUE!</v>
      </c>
      <c r="AB220" t="str">
        <f t="shared" si="188"/>
        <v/>
      </c>
      <c r="AC220" t="str">
        <f t="shared" si="189"/>
        <v/>
      </c>
      <c r="AD220" t="str">
        <f t="shared" si="190"/>
        <v/>
      </c>
      <c r="AE220" t="str">
        <f t="shared" si="191"/>
        <v/>
      </c>
      <c r="AK220" s="4">
        <f t="shared" si="192"/>
        <v>46.80000000000031</v>
      </c>
      <c r="AL220">
        <f t="shared" si="174"/>
        <v>2617.0000000000373</v>
      </c>
      <c r="AM220">
        <f t="shared" si="175"/>
        <v>9703.7333333332936</v>
      </c>
      <c r="AN220">
        <f>IF($AK219+$AK$1&lt;=Data!$H$4-0.5,AVERAGE(AM218:AM222),AN219)</f>
        <v>9703.7333333332936</v>
      </c>
      <c r="AO220">
        <f t="shared" si="176"/>
        <v>8244.9999999999636</v>
      </c>
      <c r="AP220">
        <f t="shared" si="193"/>
        <v>9406.4666666666108</v>
      </c>
      <c r="AQ220">
        <f>IF($AK219+$AK$1&lt;=Data!$H$4-0.5,AVERAGE(AP218:AP222),AQ219)</f>
        <v>9406.4666666666089</v>
      </c>
      <c r="AR220">
        <f>IF($AK219+$AK$1&lt;=Data!$H$4-0.5,SLOPE($AN216:$AN224,$AK216:$AK224),AR219)</f>
        <v>-129.60277777777929</v>
      </c>
      <c r="AS220">
        <f>IF($AK219+$AK$1&lt;=Data!$H$4-0.5,SLOPE($AQ216:$AQ224,$AK216:$AK224),AS219)</f>
        <v>-188.83333333334824</v>
      </c>
      <c r="AT220" t="str">
        <f>IF(AND($AK220&gt;=Results!$G$13,$AK220&lt;=Results!$G$14),Curves!AR220,"")</f>
        <v/>
      </c>
      <c r="AU220" t="str">
        <f>IF(AND($AK220&gt;=Results!$G$13,$AK220&lt;=Results!$G$14),Curves!AS220,"")</f>
        <v/>
      </c>
      <c r="AV220">
        <f t="shared" si="177"/>
        <v>46.80000000000031</v>
      </c>
      <c r="AW220">
        <f>IF(AND($AK220&lt;=Results!$I$21,$AK220&gt;=Results!$I$20,$AK220&lt;=Results!$F$4),$AN220,"")</f>
        <v>9703.7333333332936</v>
      </c>
      <c r="AX220" t="str">
        <f t="shared" si="177"/>
        <v/>
      </c>
      <c r="AY220" t="str">
        <f>IF(AND($AK220&lt;=Results!$I$23,$AK220&gt;=Results!$I$22,$AK220&gt;=Results!$F$4),$AN220,"")</f>
        <v/>
      </c>
      <c r="AZ220" t="str">
        <f t="shared" si="150"/>
        <v/>
      </c>
      <c r="BA220" t="str">
        <f>IF(AND($AK220&lt;=Results!$I$27,$AK220&gt;=Results!$I$26,$AK220&lt;=Results!$F$4),$AQ220,"")</f>
        <v/>
      </c>
      <c r="BB220" t="str">
        <f t="shared" si="151"/>
        <v/>
      </c>
      <c r="BC220" t="str">
        <f>IF(AND($AK220&lt;=Results!$I$29,$AK220&gt;=Results!$I$28,$AK220&gt;=Results!$F$4),$AQ220,"")</f>
        <v/>
      </c>
      <c r="BD220">
        <f t="shared" si="152"/>
        <v>9718.7765555821898</v>
      </c>
      <c r="BE220">
        <f t="shared" si="153"/>
        <v>1923.2198022584009</v>
      </c>
      <c r="BF220">
        <f t="shared" si="154"/>
        <v>9773.5362612244753</v>
      </c>
      <c r="BG220">
        <f t="shared" si="155"/>
        <v>1281.016188123815</v>
      </c>
      <c r="BH220">
        <f t="shared" si="156"/>
        <v>0</v>
      </c>
      <c r="BI220">
        <f t="shared" si="157"/>
        <v>0.99807028250516139</v>
      </c>
      <c r="BJ220">
        <f t="shared" si="158"/>
        <v>0.9567773062179119</v>
      </c>
      <c r="BK220">
        <f t="shared" si="159"/>
        <v>-2.7057337751112578E-3</v>
      </c>
      <c r="BL220">
        <f t="shared" si="160"/>
        <v>-1.3582401803308525E-2</v>
      </c>
      <c r="BM220">
        <f t="shared" si="178"/>
        <v>120.00000000000055</v>
      </c>
      <c r="BN220">
        <f t="shared" si="179"/>
        <v>-120.00000000000739</v>
      </c>
      <c r="BO220">
        <f>Data!$H$2*(1-BI220)*(1-BI220/Data!$H$3)*BM220</f>
        <v>8.9371430637269429E-10</v>
      </c>
      <c r="BP220">
        <f t="shared" si="161"/>
        <v>-119.76843390061993</v>
      </c>
      <c r="BQ220">
        <f>Data!$H$2*(1-BJ220)*(1-BJ220/Data!$H$3)*BN220</f>
        <v>-4.4836830186726519E-7</v>
      </c>
      <c r="BR220">
        <f t="shared" si="162"/>
        <v>114.8132767461565</v>
      </c>
      <c r="BS220">
        <f t="shared" si="163"/>
        <v>0</v>
      </c>
      <c r="BT220">
        <f t="shared" si="164"/>
        <v>0</v>
      </c>
      <c r="BU220">
        <f t="shared" si="165"/>
        <v>0</v>
      </c>
      <c r="BV220">
        <f t="shared" si="166"/>
        <v>0</v>
      </c>
      <c r="BW220">
        <f t="shared" si="180"/>
        <v>0</v>
      </c>
      <c r="BX220" t="str">
        <f t="shared" si="181"/>
        <v/>
      </c>
      <c r="BY220" s="66" t="str">
        <f t="shared" si="167"/>
        <v/>
      </c>
      <c r="BZ220" t="str">
        <f t="shared" si="168"/>
        <v/>
      </c>
      <c r="CA220" s="67" t="str">
        <f t="shared" si="169"/>
        <v/>
      </c>
    </row>
    <row r="221" spans="4:79" x14ac:dyDescent="0.25">
      <c r="D221" s="3" t="e">
        <f t="shared" si="194"/>
        <v>#DIV/0!</v>
      </c>
      <c r="E221" s="3" t="e">
        <f t="shared" si="194"/>
        <v>#DIV/0!</v>
      </c>
      <c r="F221" t="str">
        <f>IF(A221&gt;0,IF(F220=1,1,IF(B221=Data!$H$4,1,0)),"")</f>
        <v/>
      </c>
      <c r="O221" s="3"/>
      <c r="P221" s="3"/>
      <c r="Q221" t="str">
        <f t="shared" si="170"/>
        <v/>
      </c>
      <c r="R221" s="4" t="str">
        <f t="shared" si="171"/>
        <v/>
      </c>
      <c r="S221" t="e">
        <f t="shared" si="182"/>
        <v>#DIV/0!</v>
      </c>
      <c r="T221" t="e">
        <f t="shared" si="195"/>
        <v>#DIV/0!</v>
      </c>
      <c r="U221" s="4">
        <f t="shared" si="172"/>
        <v>0</v>
      </c>
      <c r="V221" t="e">
        <f t="shared" si="183"/>
        <v>#DIV/0!</v>
      </c>
      <c r="W221" t="e">
        <f t="shared" si="184"/>
        <v>#DIV/0!</v>
      </c>
      <c r="X221" t="e">
        <f t="shared" si="185"/>
        <v>#VALUE!</v>
      </c>
      <c r="Y221" t="e">
        <f t="shared" si="186"/>
        <v>#VALUE!</v>
      </c>
      <c r="Z221" t="e">
        <f t="shared" si="187"/>
        <v>#VALUE!</v>
      </c>
      <c r="AA221" t="e">
        <f t="shared" si="173"/>
        <v>#VALUE!</v>
      </c>
      <c r="AB221" t="str">
        <f t="shared" si="188"/>
        <v/>
      </c>
      <c r="AC221" t="str">
        <f t="shared" si="189"/>
        <v/>
      </c>
      <c r="AD221" t="str">
        <f t="shared" si="190"/>
        <v/>
      </c>
      <c r="AE221" t="str">
        <f t="shared" si="191"/>
        <v/>
      </c>
      <c r="AK221" s="4">
        <f t="shared" si="192"/>
        <v>46.900000000000311</v>
      </c>
      <c r="AL221">
        <f t="shared" si="174"/>
        <v>2629.0000000000373</v>
      </c>
      <c r="AM221">
        <f t="shared" si="175"/>
        <v>9690.9499999999589</v>
      </c>
      <c r="AN221">
        <f>IF($AK220+$AK$1&lt;=Data!$H$4-0.5,AVERAGE(AM219:AM223),AN220)</f>
        <v>9690.7866666666268</v>
      </c>
      <c r="AO221">
        <f t="shared" si="176"/>
        <v>8232.9999999999618</v>
      </c>
      <c r="AP221">
        <f t="shared" si="193"/>
        <v>9388.2333333332772</v>
      </c>
      <c r="AQ221">
        <f>IF($AK220+$AK$1&lt;=Data!$H$4-0.5,AVERAGE(AP219:AP223),AQ220)</f>
        <v>9387.6333333332732</v>
      </c>
      <c r="AR221">
        <f>IF($AK220+$AK$1&lt;=Data!$H$4-0.5,SLOPE($AN217:$AN225,$AK217:$AK225),AR220)</f>
        <v>-130.6916666666699</v>
      </c>
      <c r="AS221">
        <f>IF($AK220+$AK$1&lt;=Data!$H$4-0.5,SLOPE($AQ217:$AQ225,$AK217:$AK225),AS220)</f>
        <v>-192.83333333334906</v>
      </c>
      <c r="AT221" t="str">
        <f>IF(AND($AK221&gt;=Results!$G$13,$AK221&lt;=Results!$G$14),Curves!AR221,"")</f>
        <v/>
      </c>
      <c r="AU221" t="str">
        <f>IF(AND($AK221&gt;=Results!$G$13,$AK221&lt;=Results!$G$14),Curves!AS221,"")</f>
        <v/>
      </c>
      <c r="AV221">
        <f t="shared" si="177"/>
        <v>46.900000000000311</v>
      </c>
      <c r="AW221">
        <f>IF(AND($AK221&lt;=Results!$I$21,$AK221&gt;=Results!$I$20,$AK221&lt;=Results!$F$4),$AN221,"")</f>
        <v>9690.7866666666268</v>
      </c>
      <c r="AX221" t="str">
        <f t="shared" si="177"/>
        <v/>
      </c>
      <c r="AY221" t="str">
        <f>IF(AND($AK221&lt;=Results!$I$23,$AK221&gt;=Results!$I$22,$AK221&gt;=Results!$F$4),$AN221,"")</f>
        <v/>
      </c>
      <c r="AZ221" t="str">
        <f t="shared" si="150"/>
        <v/>
      </c>
      <c r="BA221" t="str">
        <f>IF(AND($AK221&lt;=Results!$I$27,$AK221&gt;=Results!$I$26,$AK221&lt;=Results!$F$4),$AQ221,"")</f>
        <v/>
      </c>
      <c r="BB221" t="str">
        <f t="shared" si="151"/>
        <v/>
      </c>
      <c r="BC221" t="str">
        <f>IF(AND($AK221&lt;=Results!$I$29,$AK221&gt;=Results!$I$28,$AK221&gt;=Results!$F$4),$AQ221,"")</f>
        <v/>
      </c>
      <c r="BD221">
        <f t="shared" si="152"/>
        <v>9708.0063607842712</v>
      </c>
      <c r="BE221">
        <f t="shared" si="153"/>
        <v>1919.90401300908</v>
      </c>
      <c r="BF221">
        <f t="shared" si="154"/>
        <v>9766.2462789915808</v>
      </c>
      <c r="BG221">
        <f t="shared" si="155"/>
        <v>1280.46538716429</v>
      </c>
      <c r="BH221">
        <f t="shared" si="156"/>
        <v>0</v>
      </c>
      <c r="BI221">
        <f t="shared" si="157"/>
        <v>0.99778897434205349</v>
      </c>
      <c r="BJ221">
        <f t="shared" si="158"/>
        <v>0.95538266301184471</v>
      </c>
      <c r="BK221">
        <f t="shared" si="159"/>
        <v>-2.9207380273326843E-3</v>
      </c>
      <c r="BL221">
        <f t="shared" si="160"/>
        <v>-1.4311330316796118E-2</v>
      </c>
      <c r="BM221">
        <f t="shared" si="178"/>
        <v>119.99999999999829</v>
      </c>
      <c r="BN221">
        <f t="shared" si="179"/>
        <v>-120.00000000000739</v>
      </c>
      <c r="BO221">
        <f>Data!$H$2*(1-BI221)*(1-BI221/Data!$H$3)*BM221</f>
        <v>1.1732722704234528E-9</v>
      </c>
      <c r="BP221">
        <f t="shared" si="161"/>
        <v>-119.73467692104472</v>
      </c>
      <c r="BQ221">
        <f>Data!$H$2*(1-BJ221)*(1-BJ221/Data!$H$3)*BN221</f>
        <v>-4.777696223795358E-7</v>
      </c>
      <c r="BR221">
        <f t="shared" si="162"/>
        <v>114.64591956142843</v>
      </c>
      <c r="BS221">
        <f t="shared" si="163"/>
        <v>0</v>
      </c>
      <c r="BT221">
        <f t="shared" si="164"/>
        <v>0</v>
      </c>
      <c r="BU221">
        <f t="shared" si="165"/>
        <v>0</v>
      </c>
      <c r="BV221">
        <f t="shared" si="166"/>
        <v>0</v>
      </c>
      <c r="BW221">
        <f t="shared" si="180"/>
        <v>0</v>
      </c>
      <c r="BX221" t="str">
        <f t="shared" si="181"/>
        <v/>
      </c>
      <c r="BY221" s="66" t="str">
        <f t="shared" si="167"/>
        <v/>
      </c>
      <c r="BZ221" t="str">
        <f t="shared" si="168"/>
        <v/>
      </c>
      <c r="CA221" s="67" t="str">
        <f t="shared" si="169"/>
        <v/>
      </c>
    </row>
    <row r="222" spans="4:79" x14ac:dyDescent="0.25">
      <c r="D222" s="3" t="e">
        <f t="shared" si="194"/>
        <v>#DIV/0!</v>
      </c>
      <c r="E222" s="3" t="e">
        <f t="shared" si="194"/>
        <v>#DIV/0!</v>
      </c>
      <c r="F222" t="str">
        <f>IF(A222&gt;0,IF(F221=1,1,IF(B222=Data!$H$4,1,0)),"")</f>
        <v/>
      </c>
      <c r="O222" s="3"/>
      <c r="P222" s="3"/>
      <c r="Q222" t="str">
        <f t="shared" si="170"/>
        <v/>
      </c>
      <c r="R222" s="4" t="str">
        <f t="shared" si="171"/>
        <v/>
      </c>
      <c r="S222" t="e">
        <f t="shared" si="182"/>
        <v>#DIV/0!</v>
      </c>
      <c r="T222" t="e">
        <f t="shared" si="195"/>
        <v>#DIV/0!</v>
      </c>
      <c r="U222" s="4">
        <f t="shared" si="172"/>
        <v>0</v>
      </c>
      <c r="V222" t="e">
        <f t="shared" si="183"/>
        <v>#DIV/0!</v>
      </c>
      <c r="W222" t="e">
        <f t="shared" si="184"/>
        <v>#DIV/0!</v>
      </c>
      <c r="X222" t="e">
        <f t="shared" si="185"/>
        <v>#VALUE!</v>
      </c>
      <c r="Y222" t="e">
        <f t="shared" si="186"/>
        <v>#VALUE!</v>
      </c>
      <c r="Z222" t="e">
        <f t="shared" si="187"/>
        <v>#VALUE!</v>
      </c>
      <c r="AA222" t="e">
        <f t="shared" si="173"/>
        <v>#VALUE!</v>
      </c>
      <c r="AB222" t="str">
        <f t="shared" si="188"/>
        <v/>
      </c>
      <c r="AC222" t="str">
        <f t="shared" si="189"/>
        <v/>
      </c>
      <c r="AD222" t="str">
        <f t="shared" si="190"/>
        <v/>
      </c>
      <c r="AE222" t="str">
        <f t="shared" si="191"/>
        <v/>
      </c>
      <c r="AK222" s="4">
        <f t="shared" si="192"/>
        <v>47.000000000000313</v>
      </c>
      <c r="AL222">
        <f t="shared" si="174"/>
        <v>2641.0000000000373</v>
      </c>
      <c r="AM222">
        <f t="shared" si="175"/>
        <v>9678.1666666666242</v>
      </c>
      <c r="AN222">
        <f>IF($AK221+$AK$1&lt;=Data!$H$4-0.5,AVERAGE(AM220:AM224),AN221)</f>
        <v>9677.6766666666263</v>
      </c>
      <c r="AO222">
        <f t="shared" si="176"/>
        <v>8220.9999999999618</v>
      </c>
      <c r="AP222">
        <f t="shared" si="193"/>
        <v>9369.9999999999345</v>
      </c>
      <c r="AQ222">
        <f>IF($AK221+$AK$1&lt;=Data!$H$4-0.5,AVERAGE(AP220:AP224),AQ221)</f>
        <v>9368.1999999999371</v>
      </c>
      <c r="AR222">
        <f>IF($AK221+$AK$1&lt;=Data!$H$4-0.5,SLOPE($AN218:$AN226,$AK218:$AK226),AR221)</f>
        <v>-131.91666666667086</v>
      </c>
      <c r="AS222">
        <f>IF($AK221+$AK$1&lt;=Data!$H$4-0.5,SLOPE($AQ218:$AQ226,$AK218:$AK226),AS221)</f>
        <v>-197.33333333334932</v>
      </c>
      <c r="AT222" t="str">
        <f>IF(AND($AK222&gt;=Results!$G$13,$AK222&lt;=Results!$G$14),Curves!AR222,"")</f>
        <v/>
      </c>
      <c r="AU222" t="str">
        <f>IF(AND($AK222&gt;=Results!$G$13,$AK222&lt;=Results!$G$14),Curves!AS222,"")</f>
        <v/>
      </c>
      <c r="AV222" t="str">
        <f t="shared" si="177"/>
        <v/>
      </c>
      <c r="AW222" t="str">
        <f>IF(AND($AK222&lt;=Results!$I$21,$AK222&gt;=Results!$I$20,$AK222&lt;=Results!$F$4),$AN222,"")</f>
        <v/>
      </c>
      <c r="AX222" t="str">
        <f t="shared" si="177"/>
        <v/>
      </c>
      <c r="AY222" t="str">
        <f>IF(AND($AK222&lt;=Results!$I$23,$AK222&gt;=Results!$I$22,$AK222&gt;=Results!$F$4),$AN222,"")</f>
        <v/>
      </c>
      <c r="AZ222" t="str">
        <f t="shared" si="150"/>
        <v/>
      </c>
      <c r="BA222" t="str">
        <f>IF(AND($AK222&lt;=Results!$I$27,$AK222&gt;=Results!$I$26,$AK222&lt;=Results!$F$4),$AQ222,"")</f>
        <v/>
      </c>
      <c r="BB222" t="str">
        <f t="shared" si="151"/>
        <v/>
      </c>
      <c r="BC222" t="str">
        <f>IF(AND($AK222&lt;=Results!$I$29,$AK222&gt;=Results!$I$28,$AK222&gt;=Results!$F$4),$AQ222,"")</f>
        <v/>
      </c>
      <c r="BD222">
        <f t="shared" si="152"/>
        <v>9697.2361659863509</v>
      </c>
      <c r="BE222">
        <f t="shared" si="153"/>
        <v>1916.5882237597593</v>
      </c>
      <c r="BF222">
        <f t="shared" si="154"/>
        <v>9758.956296758688</v>
      </c>
      <c r="BG222">
        <f t="shared" si="155"/>
        <v>1279.9145862047651</v>
      </c>
      <c r="BH222">
        <f t="shared" si="156"/>
        <v>0</v>
      </c>
      <c r="BI222">
        <f t="shared" si="157"/>
        <v>0.99748613489969484</v>
      </c>
      <c r="BJ222">
        <f t="shared" si="158"/>
        <v>0.95391504015455264</v>
      </c>
      <c r="BK222">
        <f t="shared" si="159"/>
        <v>-3.1363605436778965E-3</v>
      </c>
      <c r="BL222">
        <f t="shared" si="160"/>
        <v>-1.5041997589553609E-2</v>
      </c>
      <c r="BM222">
        <f t="shared" si="178"/>
        <v>120.00000000000055</v>
      </c>
      <c r="BN222">
        <f t="shared" si="179"/>
        <v>-119.99999999999829</v>
      </c>
      <c r="BO222">
        <f>Data!$H$2*(1-BI222)*(1-BI222/Data!$H$3)*BM222</f>
        <v>1.5166842582077487E-9</v>
      </c>
      <c r="BP222">
        <f t="shared" si="161"/>
        <v>-119.69833618796393</v>
      </c>
      <c r="BQ222">
        <f>Data!$H$2*(1-BJ222)*(1-BJ222/Data!$H$3)*BN222</f>
        <v>-5.0971764574955165E-7</v>
      </c>
      <c r="BR222">
        <f t="shared" si="162"/>
        <v>114.46980481854469</v>
      </c>
      <c r="BS222">
        <f t="shared" si="163"/>
        <v>0</v>
      </c>
      <c r="BT222">
        <f t="shared" si="164"/>
        <v>0</v>
      </c>
      <c r="BU222">
        <f t="shared" si="165"/>
        <v>0</v>
      </c>
      <c r="BV222">
        <f t="shared" si="166"/>
        <v>0</v>
      </c>
      <c r="BW222">
        <f t="shared" si="180"/>
        <v>0</v>
      </c>
      <c r="BX222" t="str">
        <f t="shared" si="181"/>
        <v/>
      </c>
      <c r="BY222" s="66" t="str">
        <f t="shared" si="167"/>
        <v/>
      </c>
      <c r="BZ222" t="str">
        <f t="shared" si="168"/>
        <v/>
      </c>
      <c r="CA222" s="67" t="str">
        <f t="shared" si="169"/>
        <v/>
      </c>
    </row>
    <row r="223" spans="4:79" x14ac:dyDescent="0.25">
      <c r="D223" s="3" t="e">
        <f t="shared" si="194"/>
        <v>#DIV/0!</v>
      </c>
      <c r="E223" s="3" t="e">
        <f t="shared" si="194"/>
        <v>#DIV/0!</v>
      </c>
      <c r="F223" t="str">
        <f>IF(A223&gt;0,IF(F222=1,1,IF(B223=Data!$H$4,1,0)),"")</f>
        <v/>
      </c>
      <c r="O223" s="3"/>
      <c r="P223" s="3"/>
      <c r="Q223" t="str">
        <f t="shared" si="170"/>
        <v/>
      </c>
      <c r="R223" s="4" t="str">
        <f t="shared" si="171"/>
        <v/>
      </c>
      <c r="S223" t="e">
        <f t="shared" si="182"/>
        <v>#DIV/0!</v>
      </c>
      <c r="T223" t="e">
        <f t="shared" si="195"/>
        <v>#DIV/0!</v>
      </c>
      <c r="U223" s="4">
        <f t="shared" si="172"/>
        <v>0</v>
      </c>
      <c r="V223" t="e">
        <f t="shared" si="183"/>
        <v>#DIV/0!</v>
      </c>
      <c r="W223" t="e">
        <f t="shared" si="184"/>
        <v>#DIV/0!</v>
      </c>
      <c r="X223" t="e">
        <f t="shared" si="185"/>
        <v>#VALUE!</v>
      </c>
      <c r="Y223" t="e">
        <f t="shared" si="186"/>
        <v>#VALUE!</v>
      </c>
      <c r="Z223" t="e">
        <f t="shared" si="187"/>
        <v>#VALUE!</v>
      </c>
      <c r="AA223" t="e">
        <f t="shared" si="173"/>
        <v>#VALUE!</v>
      </c>
      <c r="AB223" t="str">
        <f t="shared" si="188"/>
        <v/>
      </c>
      <c r="AC223" t="str">
        <f t="shared" si="189"/>
        <v/>
      </c>
      <c r="AD223" t="str">
        <f t="shared" si="190"/>
        <v/>
      </c>
      <c r="AE223" t="str">
        <f t="shared" si="191"/>
        <v/>
      </c>
      <c r="AK223" s="4">
        <f t="shared" si="192"/>
        <v>47.100000000000314</v>
      </c>
      <c r="AL223">
        <f t="shared" si="174"/>
        <v>2653.0000000000377</v>
      </c>
      <c r="AM223">
        <f t="shared" si="175"/>
        <v>9664.5666666666239</v>
      </c>
      <c r="AN223">
        <f>IF($AK222+$AK$1&lt;=Data!$H$4-0.5,AVERAGE(AM221:AM225),AN222)</f>
        <v>9664.40333333329</v>
      </c>
      <c r="AO223">
        <f t="shared" si="176"/>
        <v>8208.9999999999618</v>
      </c>
      <c r="AP223">
        <f t="shared" si="193"/>
        <v>9348.7666666665991</v>
      </c>
      <c r="AQ223">
        <f>IF($AK222+$AK$1&lt;=Data!$H$4-0.5,AVERAGE(AP221:AP225),AQ222)</f>
        <v>9348.1666666666024</v>
      </c>
      <c r="AR223">
        <f>IF($AK222+$AK$1&lt;=Data!$H$4-0.5,SLOPE($AN219:$AN227,$AK219:$AK227),AR222)</f>
        <v>-133.14166666667089</v>
      </c>
      <c r="AS223">
        <f>IF($AK222+$AK$1&lt;=Data!$H$4-0.5,SLOPE($AQ219:$AQ227,$AK219:$AK227),AS222)</f>
        <v>-201.83333333334772</v>
      </c>
      <c r="AT223" t="str">
        <f>IF(AND($AK223&gt;=Results!$G$13,$AK223&lt;=Results!$G$14),Curves!AR223,"")</f>
        <v/>
      </c>
      <c r="AU223" t="str">
        <f>IF(AND($AK223&gt;=Results!$G$13,$AK223&lt;=Results!$G$14),Curves!AS223,"")</f>
        <v/>
      </c>
      <c r="AV223" t="str">
        <f t="shared" si="177"/>
        <v/>
      </c>
      <c r="AW223" t="str">
        <f>IF(AND($AK223&lt;=Results!$I$21,$AK223&gt;=Results!$I$20,$AK223&lt;=Results!$F$4),$AN223,"")</f>
        <v/>
      </c>
      <c r="AX223" t="str">
        <f t="shared" si="177"/>
        <v/>
      </c>
      <c r="AY223" t="str">
        <f>IF(AND($AK223&lt;=Results!$I$23,$AK223&gt;=Results!$I$22,$AK223&gt;=Results!$F$4),$AN223,"")</f>
        <v/>
      </c>
      <c r="AZ223" t="str">
        <f t="shared" si="150"/>
        <v/>
      </c>
      <c r="BA223" t="str">
        <f>IF(AND($AK223&lt;=Results!$I$27,$AK223&gt;=Results!$I$26,$AK223&lt;=Results!$F$4),$AQ223,"")</f>
        <v/>
      </c>
      <c r="BB223" t="str">
        <f t="shared" si="151"/>
        <v/>
      </c>
      <c r="BC223" t="str">
        <f>IF(AND($AK223&lt;=Results!$I$29,$AK223&gt;=Results!$I$28,$AK223&gt;=Results!$F$4),$AQ223,"")</f>
        <v/>
      </c>
      <c r="BD223">
        <f t="shared" si="152"/>
        <v>9686.4659711884306</v>
      </c>
      <c r="BE223">
        <f t="shared" si="153"/>
        <v>1913.2724345104384</v>
      </c>
      <c r="BF223">
        <f t="shared" si="154"/>
        <v>9751.6663145257953</v>
      </c>
      <c r="BG223">
        <f t="shared" si="155"/>
        <v>1279.36378524524</v>
      </c>
      <c r="BH223">
        <f t="shared" si="156"/>
        <v>0</v>
      </c>
      <c r="BI223">
        <f t="shared" si="157"/>
        <v>0.9971617022333179</v>
      </c>
      <c r="BJ223">
        <f t="shared" si="158"/>
        <v>0.95237426349393395</v>
      </c>
      <c r="BK223">
        <f t="shared" si="159"/>
        <v>-3.3526036969188729E-3</v>
      </c>
      <c r="BL223">
        <f t="shared" si="160"/>
        <v>-1.5774409156078303E-2</v>
      </c>
      <c r="BM223">
        <f t="shared" si="178"/>
        <v>120.00000000000055</v>
      </c>
      <c r="BN223">
        <f t="shared" si="179"/>
        <v>-119.99999999999829</v>
      </c>
      <c r="BO223">
        <f>Data!$H$2*(1-BI223)*(1-BI223/Data!$H$3)*BM223</f>
        <v>1.9334242109646271E-9</v>
      </c>
      <c r="BP223">
        <f t="shared" si="161"/>
        <v>-119.6594042679987</v>
      </c>
      <c r="BQ223">
        <f>Data!$H$2*(1-BJ223)*(1-BJ223/Data!$H$3)*BN223</f>
        <v>-5.4437058665884801E-7</v>
      </c>
      <c r="BR223">
        <f t="shared" si="162"/>
        <v>114.28491161927045</v>
      </c>
      <c r="BS223">
        <f t="shared" si="163"/>
        <v>0</v>
      </c>
      <c r="BT223">
        <f t="shared" si="164"/>
        <v>0</v>
      </c>
      <c r="BU223">
        <f t="shared" si="165"/>
        <v>0</v>
      </c>
      <c r="BV223">
        <f t="shared" si="166"/>
        <v>0</v>
      </c>
      <c r="BW223">
        <f t="shared" si="180"/>
        <v>0</v>
      </c>
      <c r="BX223" t="str">
        <f t="shared" si="181"/>
        <v/>
      </c>
      <c r="BY223" s="66" t="str">
        <f t="shared" si="167"/>
        <v/>
      </c>
      <c r="BZ223" t="str">
        <f t="shared" si="168"/>
        <v/>
      </c>
      <c r="CA223" s="67" t="str">
        <f t="shared" si="169"/>
        <v/>
      </c>
    </row>
    <row r="224" spans="4:79" x14ac:dyDescent="0.25">
      <c r="D224" s="3" t="e">
        <f t="shared" si="194"/>
        <v>#DIV/0!</v>
      </c>
      <c r="E224" s="3" t="e">
        <f t="shared" si="194"/>
        <v>#DIV/0!</v>
      </c>
      <c r="F224" t="str">
        <f>IF(A224&gt;0,IF(F223=1,1,IF(B224=Data!$H$4,1,0)),"")</f>
        <v/>
      </c>
      <c r="O224" s="3"/>
      <c r="P224" s="3"/>
      <c r="Q224" t="str">
        <f t="shared" si="170"/>
        <v/>
      </c>
      <c r="R224" s="4" t="str">
        <f t="shared" si="171"/>
        <v/>
      </c>
      <c r="S224" t="e">
        <f t="shared" si="182"/>
        <v>#DIV/0!</v>
      </c>
      <c r="T224" t="e">
        <f t="shared" si="195"/>
        <v>#DIV/0!</v>
      </c>
      <c r="U224" s="4">
        <f t="shared" si="172"/>
        <v>0</v>
      </c>
      <c r="V224" t="e">
        <f t="shared" si="183"/>
        <v>#DIV/0!</v>
      </c>
      <c r="W224" t="e">
        <f t="shared" si="184"/>
        <v>#DIV/0!</v>
      </c>
      <c r="X224" t="e">
        <f t="shared" si="185"/>
        <v>#VALUE!</v>
      </c>
      <c r="Y224" t="e">
        <f t="shared" si="186"/>
        <v>#VALUE!</v>
      </c>
      <c r="Z224" t="e">
        <f t="shared" si="187"/>
        <v>#VALUE!</v>
      </c>
      <c r="AA224" t="e">
        <f t="shared" si="173"/>
        <v>#VALUE!</v>
      </c>
      <c r="AB224" t="str">
        <f t="shared" si="188"/>
        <v/>
      </c>
      <c r="AC224" t="str">
        <f t="shared" si="189"/>
        <v/>
      </c>
      <c r="AD224" t="str">
        <f t="shared" si="190"/>
        <v/>
      </c>
      <c r="AE224" t="str">
        <f t="shared" si="191"/>
        <v/>
      </c>
      <c r="AK224" s="4">
        <f t="shared" si="192"/>
        <v>47.200000000000315</v>
      </c>
      <c r="AL224">
        <f t="shared" si="174"/>
        <v>2665.0000000000377</v>
      </c>
      <c r="AM224">
        <f t="shared" si="175"/>
        <v>9650.9666666666235</v>
      </c>
      <c r="AN224">
        <f>IF($AK223+$AK$1&lt;=Data!$H$4-0.5,AVERAGE(AM222:AM226),AN223)</f>
        <v>9650.9666666666253</v>
      </c>
      <c r="AO224">
        <f t="shared" si="176"/>
        <v>8196.9999999999618</v>
      </c>
      <c r="AP224">
        <f t="shared" si="193"/>
        <v>9327.5333333332655</v>
      </c>
      <c r="AQ224">
        <f>IF($AK223+$AK$1&lt;=Data!$H$4-0.5,AVERAGE(AP222:AP226),AQ223)</f>
        <v>9327.5333333332655</v>
      </c>
      <c r="AR224">
        <f>IF($AK223+$AK$1&lt;=Data!$H$4-0.5,SLOPE($AN220:$AN228,$AK220:$AK228),AR223)</f>
        <v>-134.2305555555603</v>
      </c>
      <c r="AS224">
        <f>IF($AK223+$AK$1&lt;=Data!$H$4-0.5,SLOPE($AQ220:$AQ228,$AK220:$AK228),AS223)</f>
        <v>-205.83333333334556</v>
      </c>
      <c r="AT224" t="str">
        <f>IF(AND($AK224&gt;=Results!$G$13,$AK224&lt;=Results!$G$14),Curves!AR224,"")</f>
        <v/>
      </c>
      <c r="AU224" t="str">
        <f>IF(AND($AK224&gt;=Results!$G$13,$AK224&lt;=Results!$G$14),Curves!AS224,"")</f>
        <v/>
      </c>
      <c r="AV224" t="str">
        <f t="shared" si="177"/>
        <v/>
      </c>
      <c r="AW224" t="str">
        <f>IF(AND($AK224&lt;=Results!$I$21,$AK224&gt;=Results!$I$20,$AK224&lt;=Results!$F$4),$AN224,"")</f>
        <v/>
      </c>
      <c r="AX224" t="str">
        <f t="shared" si="177"/>
        <v/>
      </c>
      <c r="AY224" t="str">
        <f>IF(AND($AK224&lt;=Results!$I$23,$AK224&gt;=Results!$I$22,$AK224&gt;=Results!$F$4),$AN224,"")</f>
        <v/>
      </c>
      <c r="AZ224" t="str">
        <f t="shared" si="150"/>
        <v/>
      </c>
      <c r="BA224" t="str">
        <f>IF(AND($AK224&lt;=Results!$I$27,$AK224&gt;=Results!$I$26,$AK224&lt;=Results!$F$4),$AQ224,"")</f>
        <v/>
      </c>
      <c r="BB224" t="str">
        <f t="shared" si="151"/>
        <v/>
      </c>
      <c r="BC224" t="str">
        <f>IF(AND($AK224&lt;=Results!$I$29,$AK224&gt;=Results!$I$28,$AK224&gt;=Results!$F$4),$AQ224,"")</f>
        <v/>
      </c>
      <c r="BD224">
        <f t="shared" si="152"/>
        <v>9675.695776390512</v>
      </c>
      <c r="BE224">
        <f t="shared" si="153"/>
        <v>1909.9566452611177</v>
      </c>
      <c r="BF224">
        <f t="shared" si="154"/>
        <v>9744.3763322929008</v>
      </c>
      <c r="BG224">
        <f t="shared" si="155"/>
        <v>1278.8129842857152</v>
      </c>
      <c r="BH224">
        <f t="shared" si="156"/>
        <v>0</v>
      </c>
      <c r="BI224">
        <f t="shared" si="157"/>
        <v>0.99681561416031106</v>
      </c>
      <c r="BJ224">
        <f t="shared" si="158"/>
        <v>0.95076015832333693</v>
      </c>
      <c r="BK224">
        <f t="shared" si="159"/>
        <v>-3.569469871224589E-3</v>
      </c>
      <c r="BL224">
        <f t="shared" si="160"/>
        <v>-1.6508570572907097E-2</v>
      </c>
      <c r="BM224">
        <f t="shared" si="178"/>
        <v>120.00000000000055</v>
      </c>
      <c r="BN224">
        <f t="shared" si="179"/>
        <v>-119.99999999999829</v>
      </c>
      <c r="BO224">
        <f>Data!$H$2*(1-BI224)*(1-BI224/Data!$H$3)*BM224</f>
        <v>2.4336751622427577E-9</v>
      </c>
      <c r="BP224">
        <f t="shared" si="161"/>
        <v>-119.61787369923788</v>
      </c>
      <c r="BQ224">
        <f>Data!$H$2*(1-BJ224)*(1-BJ224/Data!$H$3)*BN224</f>
        <v>-5.8189488200227445E-7</v>
      </c>
      <c r="BR224">
        <f t="shared" si="162"/>
        <v>114.09121899879881</v>
      </c>
      <c r="BS224">
        <f t="shared" si="163"/>
        <v>0</v>
      </c>
      <c r="BT224">
        <f t="shared" si="164"/>
        <v>0</v>
      </c>
      <c r="BU224">
        <f t="shared" si="165"/>
        <v>0</v>
      </c>
      <c r="BV224">
        <f t="shared" si="166"/>
        <v>0</v>
      </c>
      <c r="BW224">
        <f t="shared" si="180"/>
        <v>0</v>
      </c>
      <c r="BX224" t="str">
        <f t="shared" si="181"/>
        <v/>
      </c>
      <c r="BY224" s="66" t="str">
        <f t="shared" si="167"/>
        <v/>
      </c>
      <c r="BZ224" t="str">
        <f t="shared" si="168"/>
        <v/>
      </c>
      <c r="CA224" s="67" t="str">
        <f t="shared" si="169"/>
        <v/>
      </c>
    </row>
    <row r="225" spans="4:79" x14ac:dyDescent="0.25">
      <c r="D225" s="3" t="e">
        <f t="shared" si="194"/>
        <v>#DIV/0!</v>
      </c>
      <c r="E225" s="3" t="e">
        <f t="shared" si="194"/>
        <v>#DIV/0!</v>
      </c>
      <c r="F225" t="str">
        <f>IF(A225&gt;0,IF(F224=1,1,IF(B225=Data!$H$4,1,0)),"")</f>
        <v/>
      </c>
      <c r="Q225" t="str">
        <f t="shared" si="170"/>
        <v/>
      </c>
      <c r="R225" s="4" t="str">
        <f t="shared" si="171"/>
        <v/>
      </c>
      <c r="S225" t="e">
        <f t="shared" si="182"/>
        <v>#DIV/0!</v>
      </c>
      <c r="T225" t="e">
        <f t="shared" si="195"/>
        <v>#DIV/0!</v>
      </c>
      <c r="U225" s="4">
        <f t="shared" si="172"/>
        <v>0</v>
      </c>
      <c r="V225" t="e">
        <f t="shared" si="183"/>
        <v>#DIV/0!</v>
      </c>
      <c r="W225" t="e">
        <f t="shared" si="184"/>
        <v>#DIV/0!</v>
      </c>
      <c r="X225" t="e">
        <f t="shared" si="185"/>
        <v>#VALUE!</v>
      </c>
      <c r="Y225" t="e">
        <f t="shared" si="186"/>
        <v>#VALUE!</v>
      </c>
      <c r="Z225" t="e">
        <f t="shared" si="187"/>
        <v>#VALUE!</v>
      </c>
      <c r="AA225" t="e">
        <f t="shared" si="173"/>
        <v>#VALUE!</v>
      </c>
      <c r="AB225" t="str">
        <f t="shared" si="188"/>
        <v/>
      </c>
      <c r="AC225" t="str">
        <f t="shared" si="189"/>
        <v/>
      </c>
      <c r="AD225" t="str">
        <f t="shared" si="190"/>
        <v/>
      </c>
      <c r="AE225" t="str">
        <f t="shared" si="191"/>
        <v/>
      </c>
      <c r="AK225" s="4">
        <f t="shared" si="192"/>
        <v>47.300000000000317</v>
      </c>
      <c r="AL225">
        <f t="shared" si="174"/>
        <v>2677.0000000000382</v>
      </c>
      <c r="AM225">
        <f t="shared" si="175"/>
        <v>9637.3666666666231</v>
      </c>
      <c r="AN225">
        <f>IF($AK224+$AK$1&lt;=Data!$H$4-0.5,AVERAGE(AM223:AM227),AN224)</f>
        <v>9637.3666666666231</v>
      </c>
      <c r="AO225">
        <f t="shared" si="176"/>
        <v>8184.9999999999618</v>
      </c>
      <c r="AP225">
        <f t="shared" si="193"/>
        <v>9306.299999999932</v>
      </c>
      <c r="AQ225">
        <f>IF($AK224+$AK$1&lt;=Data!$H$4-0.5,AVERAGE(AP223:AP227),AQ224)</f>
        <v>9306.299999999932</v>
      </c>
      <c r="AR225">
        <f>IF($AK224+$AK$1&lt;=Data!$H$4-0.5,SLOPE($AN221:$AN229,$AK221:$AK229),AR224)</f>
        <v>-135.04722222222657</v>
      </c>
      <c r="AS225">
        <f>IF($AK224+$AK$1&lt;=Data!$H$4-0.5,SLOPE($AQ221:$AQ229,$AK221:$AK229),AS224)</f>
        <v>-208.83333333334153</v>
      </c>
      <c r="AT225" t="str">
        <f>IF(AND($AK225&gt;=Results!$G$13,$AK225&lt;=Results!$G$14),Curves!AR225,"")</f>
        <v/>
      </c>
      <c r="AU225" t="str">
        <f>IF(AND($AK225&gt;=Results!$G$13,$AK225&lt;=Results!$G$14),Curves!AS225,"")</f>
        <v/>
      </c>
      <c r="AV225" t="str">
        <f t="shared" si="177"/>
        <v/>
      </c>
      <c r="AW225" t="str">
        <f>IF(AND($AK225&lt;=Results!$I$21,$AK225&gt;=Results!$I$20,$AK225&lt;=Results!$F$4),$AN225,"")</f>
        <v/>
      </c>
      <c r="AX225" t="str">
        <f t="shared" si="177"/>
        <v/>
      </c>
      <c r="AY225" t="str">
        <f>IF(AND($AK225&lt;=Results!$I$23,$AK225&gt;=Results!$I$22,$AK225&gt;=Results!$F$4),$AN225,"")</f>
        <v/>
      </c>
      <c r="AZ225" t="str">
        <f t="shared" si="150"/>
        <v/>
      </c>
      <c r="BA225" t="str">
        <f>IF(AND($AK225&lt;=Results!$I$27,$AK225&gt;=Results!$I$26,$AK225&lt;=Results!$F$4),$AQ225,"")</f>
        <v/>
      </c>
      <c r="BB225" t="str">
        <f t="shared" si="151"/>
        <v/>
      </c>
      <c r="BC225" t="str">
        <f>IF(AND($AK225&lt;=Results!$I$29,$AK225&gt;=Results!$I$28,$AK225&gt;=Results!$F$4),$AQ225,"")</f>
        <v/>
      </c>
      <c r="BD225">
        <f t="shared" si="152"/>
        <v>9664.9255815925917</v>
      </c>
      <c r="BE225">
        <f t="shared" si="153"/>
        <v>1906.6408560117968</v>
      </c>
      <c r="BF225">
        <f t="shared" si="154"/>
        <v>9737.086350060008</v>
      </c>
      <c r="BG225">
        <f t="shared" si="155"/>
        <v>1278.2621833261901</v>
      </c>
      <c r="BH225">
        <f t="shared" si="156"/>
        <v>0</v>
      </c>
      <c r="BI225">
        <f t="shared" si="157"/>
        <v>0.99644780825907298</v>
      </c>
      <c r="BJ225">
        <f t="shared" si="158"/>
        <v>0.94907254937935248</v>
      </c>
      <c r="BK225">
        <f t="shared" si="159"/>
        <v>-3.6815964067465371E-3</v>
      </c>
      <c r="BL225">
        <f t="shared" si="160"/>
        <v>-1.6889545412674158E-2</v>
      </c>
      <c r="BM225">
        <f t="shared" si="178"/>
        <v>120.00000000000055</v>
      </c>
      <c r="BN225">
        <f t="shared" si="179"/>
        <v>-119.99999999999829</v>
      </c>
      <c r="BO225">
        <f>Data!$H$2*(1-BI225)*(1-BI225/Data!$H$3)*BM225</f>
        <v>3.0283358794344531E-9</v>
      </c>
      <c r="BP225">
        <f t="shared" si="161"/>
        <v>-119.57373699108931</v>
      </c>
      <c r="BQ225">
        <f>Data!$H$2*(1-BJ225)*(1-BJ225/Data!$H$3)*BN225</f>
        <v>-6.2246525441242905E-7</v>
      </c>
      <c r="BR225">
        <f t="shared" si="162"/>
        <v>113.88870592552068</v>
      </c>
      <c r="BS225">
        <f t="shared" si="163"/>
        <v>0</v>
      </c>
      <c r="BT225">
        <f t="shared" si="164"/>
        <v>0</v>
      </c>
      <c r="BU225">
        <f t="shared" si="165"/>
        <v>0</v>
      </c>
      <c r="BV225">
        <f t="shared" si="166"/>
        <v>0</v>
      </c>
      <c r="BW225">
        <f t="shared" si="180"/>
        <v>0</v>
      </c>
      <c r="BX225" t="str">
        <f t="shared" si="181"/>
        <v/>
      </c>
      <c r="BY225" s="66" t="str">
        <f t="shared" si="167"/>
        <v/>
      </c>
      <c r="BZ225" t="str">
        <f t="shared" si="168"/>
        <v/>
      </c>
      <c r="CA225" s="67" t="str">
        <f t="shared" si="169"/>
        <v/>
      </c>
    </row>
    <row r="226" spans="4:79" x14ac:dyDescent="0.25">
      <c r="D226" s="3" t="e">
        <f t="shared" si="194"/>
        <v>#DIV/0!</v>
      </c>
      <c r="E226" s="3" t="e">
        <f t="shared" si="194"/>
        <v>#DIV/0!</v>
      </c>
      <c r="F226" t="str">
        <f>IF(A226&gt;0,IF(F225=1,1,IF(B226=Data!$H$4,1,0)),"")</f>
        <v/>
      </c>
      <c r="Q226" t="str">
        <f t="shared" si="170"/>
        <v/>
      </c>
      <c r="R226" s="4" t="str">
        <f t="shared" si="171"/>
        <v/>
      </c>
      <c r="S226" t="e">
        <f t="shared" si="182"/>
        <v>#DIV/0!</v>
      </c>
      <c r="T226" t="e">
        <f t="shared" si="195"/>
        <v>#DIV/0!</v>
      </c>
      <c r="U226" s="4">
        <f t="shared" si="172"/>
        <v>0</v>
      </c>
      <c r="V226" t="e">
        <f t="shared" si="183"/>
        <v>#DIV/0!</v>
      </c>
      <c r="W226" t="e">
        <f t="shared" si="184"/>
        <v>#DIV/0!</v>
      </c>
      <c r="X226" t="e">
        <f t="shared" si="185"/>
        <v>#VALUE!</v>
      </c>
      <c r="Y226" t="e">
        <f t="shared" si="186"/>
        <v>#VALUE!</v>
      </c>
      <c r="Z226" t="e">
        <f t="shared" si="187"/>
        <v>#VALUE!</v>
      </c>
      <c r="AA226" t="e">
        <f t="shared" si="173"/>
        <v>#VALUE!</v>
      </c>
      <c r="AB226" t="str">
        <f t="shared" si="188"/>
        <v/>
      </c>
      <c r="AC226" t="str">
        <f t="shared" si="189"/>
        <v/>
      </c>
      <c r="AD226" t="str">
        <f t="shared" si="190"/>
        <v/>
      </c>
      <c r="AE226" t="str">
        <f t="shared" si="191"/>
        <v/>
      </c>
      <c r="AK226" s="4">
        <f t="shared" si="192"/>
        <v>47.400000000000318</v>
      </c>
      <c r="AL226">
        <f t="shared" si="174"/>
        <v>2689.0000000000382</v>
      </c>
      <c r="AM226">
        <f t="shared" si="175"/>
        <v>9623.7666666666228</v>
      </c>
      <c r="AN226">
        <f>IF($AK225+$AK$1&lt;=Data!$H$4-0.5,AVERAGE(AM224:AM228),AN225)</f>
        <v>9623.7666666666228</v>
      </c>
      <c r="AO226">
        <f t="shared" si="176"/>
        <v>8172.9999999999618</v>
      </c>
      <c r="AP226">
        <f t="shared" si="193"/>
        <v>9285.0666666665984</v>
      </c>
      <c r="AQ226">
        <f>IF($AK225+$AK$1&lt;=Data!$H$4-0.5,AVERAGE(AP224:AP228),AQ225)</f>
        <v>9285.0666666665984</v>
      </c>
      <c r="AR226">
        <f>IF($AK225+$AK$1&lt;=Data!$H$4-0.5,SLOPE($AN222:$AN230,$AK222:$AK230),AR225)</f>
        <v>-135.59166666667008</v>
      </c>
      <c r="AS226">
        <f>IF($AK225+$AK$1&lt;=Data!$H$4-0.5,SLOPE($AQ222:$AQ230,$AK222:$AK230),AS225)</f>
        <v>-210.83333333333914</v>
      </c>
      <c r="AT226" t="str">
        <f>IF(AND($AK226&gt;=Results!$G$13,$AK226&lt;=Results!$G$14),Curves!AR226,"")</f>
        <v/>
      </c>
      <c r="AU226" t="str">
        <f>IF(AND($AK226&gt;=Results!$G$13,$AK226&lt;=Results!$G$14),Curves!AS226,"")</f>
        <v/>
      </c>
      <c r="AV226" t="str">
        <f t="shared" si="177"/>
        <v/>
      </c>
      <c r="AW226" t="str">
        <f>IF(AND($AK226&lt;=Results!$I$21,$AK226&gt;=Results!$I$20,$AK226&lt;=Results!$F$4),$AN226,"")</f>
        <v/>
      </c>
      <c r="AX226" t="str">
        <f t="shared" si="177"/>
        <v/>
      </c>
      <c r="AY226" t="str">
        <f>IF(AND($AK226&lt;=Results!$I$23,$AK226&gt;=Results!$I$22,$AK226&gt;=Results!$F$4),$AN226,"")</f>
        <v/>
      </c>
      <c r="AZ226" t="str">
        <f t="shared" si="150"/>
        <v/>
      </c>
      <c r="BA226" t="str">
        <f>IF(AND($AK226&lt;=Results!$I$27,$AK226&gt;=Results!$I$26,$AK226&lt;=Results!$F$4),$AQ226,"")</f>
        <v/>
      </c>
      <c r="BB226" t="str">
        <f t="shared" si="151"/>
        <v/>
      </c>
      <c r="BC226" t="str">
        <f>IF(AND($AK226&lt;=Results!$I$29,$AK226&gt;=Results!$I$28,$AK226&gt;=Results!$F$4),$AQ226,"")</f>
        <v/>
      </c>
      <c r="BD226">
        <f t="shared" si="152"/>
        <v>9654.1553867946714</v>
      </c>
      <c r="BE226">
        <f t="shared" si="153"/>
        <v>1903.3250667624759</v>
      </c>
      <c r="BF226">
        <f t="shared" si="154"/>
        <v>9729.7963678271153</v>
      </c>
      <c r="BG226">
        <f t="shared" si="155"/>
        <v>1277.711382366665</v>
      </c>
      <c r="BH226">
        <f t="shared" si="156"/>
        <v>0</v>
      </c>
      <c r="BI226">
        <f t="shared" si="157"/>
        <v>0.99607929487896174</v>
      </c>
      <c r="BJ226">
        <f t="shared" si="158"/>
        <v>0.94738224924080205</v>
      </c>
      <c r="BK226">
        <f t="shared" si="159"/>
        <v>-3.688681411633202E-3</v>
      </c>
      <c r="BL226">
        <f t="shared" si="160"/>
        <v>-1.6916489570954242E-2</v>
      </c>
      <c r="BM226">
        <f t="shared" si="178"/>
        <v>119.99999999999829</v>
      </c>
      <c r="BN226">
        <f t="shared" si="179"/>
        <v>-119.99999999999829</v>
      </c>
      <c r="BO226">
        <f>Data!$H$2*(1-BI226)*(1-BI226/Data!$H$3)*BM226</f>
        <v>3.6892628750724989E-9</v>
      </c>
      <c r="BP226">
        <f t="shared" si="161"/>
        <v>-119.52951538547372</v>
      </c>
      <c r="BQ226">
        <f>Data!$H$2*(1-BJ226)*(1-BJ226/Data!$H$3)*BN226</f>
        <v>-6.644706467896888E-7</v>
      </c>
      <c r="BR226">
        <f t="shared" si="162"/>
        <v>113.68586990889463</v>
      </c>
      <c r="BS226">
        <f t="shared" si="163"/>
        <v>0</v>
      </c>
      <c r="BT226">
        <f t="shared" si="164"/>
        <v>0</v>
      </c>
      <c r="BU226">
        <f t="shared" si="165"/>
        <v>0</v>
      </c>
      <c r="BV226">
        <f t="shared" si="166"/>
        <v>0</v>
      </c>
      <c r="BW226">
        <f t="shared" si="180"/>
        <v>0</v>
      </c>
      <c r="BX226" t="str">
        <f t="shared" si="181"/>
        <v/>
      </c>
      <c r="BY226" s="66" t="str">
        <f t="shared" si="167"/>
        <v/>
      </c>
      <c r="BZ226" t="str">
        <f t="shared" si="168"/>
        <v/>
      </c>
      <c r="CA226" s="67" t="str">
        <f t="shared" si="169"/>
        <v/>
      </c>
    </row>
    <row r="227" spans="4:79" x14ac:dyDescent="0.25">
      <c r="D227" s="3" t="e">
        <f t="shared" si="194"/>
        <v>#DIV/0!</v>
      </c>
      <c r="E227" s="3" t="e">
        <f t="shared" si="194"/>
        <v>#DIV/0!</v>
      </c>
      <c r="F227" t="str">
        <f>IF(A227&gt;0,IF(F226=1,1,IF(B227=Data!$H$4,1,0)),"")</f>
        <v/>
      </c>
      <c r="Q227" t="str">
        <f t="shared" si="170"/>
        <v/>
      </c>
      <c r="R227" s="4" t="str">
        <f t="shared" si="171"/>
        <v/>
      </c>
      <c r="S227" t="e">
        <f t="shared" si="182"/>
        <v>#DIV/0!</v>
      </c>
      <c r="T227" t="e">
        <f t="shared" si="195"/>
        <v>#DIV/0!</v>
      </c>
      <c r="U227" s="4">
        <f t="shared" si="172"/>
        <v>0</v>
      </c>
      <c r="V227" t="e">
        <f t="shared" si="183"/>
        <v>#DIV/0!</v>
      </c>
      <c r="W227" t="e">
        <f t="shared" si="184"/>
        <v>#DIV/0!</v>
      </c>
      <c r="X227" t="e">
        <f t="shared" si="185"/>
        <v>#VALUE!</v>
      </c>
      <c r="Y227" t="e">
        <f t="shared" si="186"/>
        <v>#VALUE!</v>
      </c>
      <c r="Z227" t="e">
        <f t="shared" si="187"/>
        <v>#VALUE!</v>
      </c>
      <c r="AA227" t="e">
        <f t="shared" si="173"/>
        <v>#VALUE!</v>
      </c>
      <c r="AB227" t="str">
        <f t="shared" si="188"/>
        <v/>
      </c>
      <c r="AC227" t="str">
        <f t="shared" si="189"/>
        <v/>
      </c>
      <c r="AD227" t="str">
        <f t="shared" si="190"/>
        <v/>
      </c>
      <c r="AE227" t="str">
        <f t="shared" si="191"/>
        <v/>
      </c>
      <c r="AK227" s="4">
        <f t="shared" si="192"/>
        <v>47.50000000000032</v>
      </c>
      <c r="AL227">
        <f t="shared" si="174"/>
        <v>2701.0000000000382</v>
      </c>
      <c r="AM227">
        <f t="shared" si="175"/>
        <v>9610.1666666666224</v>
      </c>
      <c r="AN227">
        <f>IF($AK226+$AK$1&lt;=Data!$H$4-0.5,AVERAGE(AM225:AM229),AN226)</f>
        <v>9610.1666666666224</v>
      </c>
      <c r="AO227">
        <f t="shared" si="176"/>
        <v>8160.9999999999618</v>
      </c>
      <c r="AP227">
        <f t="shared" si="193"/>
        <v>9263.8333333332648</v>
      </c>
      <c r="AQ227">
        <f>IF($AK226+$AK$1&lt;=Data!$H$4-0.5,AVERAGE(AP225:AP229),AQ226)</f>
        <v>9263.8333333332648</v>
      </c>
      <c r="AR227">
        <f>IF($AK226+$AK$1&lt;=Data!$H$4-0.5,SLOPE($AN223:$AN231,$AK223:$AK231),AR226)</f>
        <v>-135.98222222222486</v>
      </c>
      <c r="AS227">
        <f>IF($AK226+$AK$1&lt;=Data!$H$4-0.5,SLOPE($AQ223:$AQ231,$AK223:$AK231),AS226)</f>
        <v>-212.45777777778554</v>
      </c>
      <c r="AT227" t="str">
        <f>IF(AND($AK227&gt;=Results!$G$13,$AK227&lt;=Results!$G$14),Curves!AR227,"")</f>
        <v/>
      </c>
      <c r="AU227" t="str">
        <f>IF(AND($AK227&gt;=Results!$G$13,$AK227&lt;=Results!$G$14),Curves!AS227,"")</f>
        <v/>
      </c>
      <c r="AV227" t="str">
        <f t="shared" si="177"/>
        <v/>
      </c>
      <c r="AW227" t="str">
        <f>IF(AND($AK227&lt;=Results!$I$21,$AK227&gt;=Results!$I$20,$AK227&lt;=Results!$F$4),$AN227,"")</f>
        <v/>
      </c>
      <c r="AX227" t="str">
        <f t="shared" si="177"/>
        <v/>
      </c>
      <c r="AY227" t="str">
        <f>IF(AND($AK227&lt;=Results!$I$23,$AK227&gt;=Results!$I$22,$AK227&gt;=Results!$F$4),$AN227,"")</f>
        <v/>
      </c>
      <c r="AZ227" t="str">
        <f t="shared" si="150"/>
        <v/>
      </c>
      <c r="BA227" t="str">
        <f>IF(AND($AK227&lt;=Results!$I$27,$AK227&gt;=Results!$I$26,$AK227&lt;=Results!$F$4),$AQ227,"")</f>
        <v/>
      </c>
      <c r="BB227" t="str">
        <f t="shared" si="151"/>
        <v/>
      </c>
      <c r="BC227" t="str">
        <f>IF(AND($AK227&lt;=Results!$I$29,$AK227&gt;=Results!$I$28,$AK227&gt;=Results!$F$4),$AQ227,"")</f>
        <v/>
      </c>
      <c r="BD227">
        <f t="shared" si="152"/>
        <v>9643.3851919967528</v>
      </c>
      <c r="BE227">
        <f t="shared" si="153"/>
        <v>1900.0092775131552</v>
      </c>
      <c r="BF227">
        <f t="shared" si="154"/>
        <v>9722.5063855942226</v>
      </c>
      <c r="BG227">
        <f t="shared" si="155"/>
        <v>1277.1605814071399</v>
      </c>
      <c r="BH227">
        <f t="shared" si="156"/>
        <v>0</v>
      </c>
      <c r="BI227">
        <f t="shared" si="157"/>
        <v>0.99571007197674632</v>
      </c>
      <c r="BJ227">
        <f t="shared" si="158"/>
        <v>0.94568925146516158</v>
      </c>
      <c r="BK227">
        <f t="shared" si="159"/>
        <v>-3.695786888203659E-3</v>
      </c>
      <c r="BL227">
        <f t="shared" si="160"/>
        <v>-1.6943498257378821E-2</v>
      </c>
      <c r="BM227">
        <f t="shared" si="178"/>
        <v>120.00000000000055</v>
      </c>
      <c r="BN227">
        <f t="shared" si="179"/>
        <v>-119.99999999999829</v>
      </c>
      <c r="BO227">
        <f>Data!$H$2*(1-BI227)*(1-BI227/Data!$H$3)*BM227</f>
        <v>4.416835786727345E-9</v>
      </c>
      <c r="BP227">
        <f t="shared" si="161"/>
        <v>-119.48520863721011</v>
      </c>
      <c r="BQ227">
        <f>Data!$H$2*(1-BJ227)*(1-BJ227/Data!$H$3)*BN227</f>
        <v>-7.079177775394587E-7</v>
      </c>
      <c r="BR227">
        <f t="shared" si="162"/>
        <v>113.48271017581777</v>
      </c>
      <c r="BS227">
        <f t="shared" si="163"/>
        <v>0</v>
      </c>
      <c r="BT227">
        <f t="shared" si="164"/>
        <v>0</v>
      </c>
      <c r="BU227">
        <f t="shared" si="165"/>
        <v>0</v>
      </c>
      <c r="BV227">
        <f t="shared" si="166"/>
        <v>0</v>
      </c>
      <c r="BW227">
        <f t="shared" si="180"/>
        <v>0</v>
      </c>
      <c r="BX227" t="str">
        <f t="shared" si="181"/>
        <v/>
      </c>
      <c r="BY227" s="66" t="str">
        <f t="shared" si="167"/>
        <v/>
      </c>
      <c r="BZ227" t="str">
        <f t="shared" si="168"/>
        <v/>
      </c>
      <c r="CA227" s="67" t="str">
        <f t="shared" si="169"/>
        <v/>
      </c>
    </row>
    <row r="228" spans="4:79" x14ac:dyDescent="0.25">
      <c r="D228" s="3" t="e">
        <f t="shared" si="194"/>
        <v>#DIV/0!</v>
      </c>
      <c r="E228" s="3" t="e">
        <f t="shared" si="194"/>
        <v>#DIV/0!</v>
      </c>
      <c r="F228" t="str">
        <f>IF(A228&gt;0,IF(F227=1,1,IF(B228=Data!$H$4,1,0)),"")</f>
        <v/>
      </c>
      <c r="Q228" t="str">
        <f t="shared" si="170"/>
        <v/>
      </c>
      <c r="R228" s="4" t="str">
        <f t="shared" si="171"/>
        <v/>
      </c>
      <c r="S228" t="e">
        <f t="shared" si="182"/>
        <v>#DIV/0!</v>
      </c>
      <c r="T228" t="e">
        <f t="shared" si="195"/>
        <v>#DIV/0!</v>
      </c>
      <c r="U228" s="4">
        <f t="shared" si="172"/>
        <v>0</v>
      </c>
      <c r="V228" t="e">
        <f t="shared" si="183"/>
        <v>#DIV/0!</v>
      </c>
      <c r="W228" t="e">
        <f t="shared" si="184"/>
        <v>#DIV/0!</v>
      </c>
      <c r="X228" t="e">
        <f t="shared" si="185"/>
        <v>#VALUE!</v>
      </c>
      <c r="Y228" t="e">
        <f t="shared" si="186"/>
        <v>#VALUE!</v>
      </c>
      <c r="Z228" t="e">
        <f t="shared" si="187"/>
        <v>#VALUE!</v>
      </c>
      <c r="AA228" t="e">
        <f t="shared" si="173"/>
        <v>#VALUE!</v>
      </c>
      <c r="AB228" t="str">
        <f t="shared" si="188"/>
        <v/>
      </c>
      <c r="AC228" t="str">
        <f t="shared" si="189"/>
        <v/>
      </c>
      <c r="AD228" t="str">
        <f t="shared" si="190"/>
        <v/>
      </c>
      <c r="AE228" t="str">
        <f t="shared" si="191"/>
        <v/>
      </c>
      <c r="AK228" s="4">
        <f t="shared" si="192"/>
        <v>47.600000000000321</v>
      </c>
      <c r="AL228">
        <f t="shared" si="174"/>
        <v>2713.0000000000387</v>
      </c>
      <c r="AM228">
        <f t="shared" si="175"/>
        <v>9596.566666666622</v>
      </c>
      <c r="AN228">
        <f>IF($AK227+$AK$1&lt;=Data!$H$4-0.5,AVERAGE(AM226:AM230),AN227)</f>
        <v>9596.566666666622</v>
      </c>
      <c r="AO228">
        <f t="shared" si="176"/>
        <v>8148.9999999999618</v>
      </c>
      <c r="AP228">
        <f t="shared" si="193"/>
        <v>9242.5999999999312</v>
      </c>
      <c r="AQ228">
        <f>IF($AK227+$AK$1&lt;=Data!$H$4-0.5,AVERAGE(AP226:AP230),AQ227)</f>
        <v>9242.5999999999294</v>
      </c>
      <c r="AR228">
        <f>IF($AK227+$AK$1&lt;=Data!$H$4-0.5,SLOPE($AN224:$AN232,$AK224:$AK232),AR227)</f>
        <v>-136.34166666666974</v>
      </c>
      <c r="AS228">
        <f>IF($AK227+$AK$1&lt;=Data!$H$4-0.5,SLOPE($AQ224:$AQ232,$AK224:$AK232),AS227)</f>
        <v>-214.30000000001013</v>
      </c>
      <c r="AT228" t="str">
        <f>IF(AND($AK228&gt;=Results!$G$13,$AK228&lt;=Results!$G$14),Curves!AR228,"")</f>
        <v/>
      </c>
      <c r="AU228" t="str">
        <f>IF(AND($AK228&gt;=Results!$G$13,$AK228&lt;=Results!$G$14),Curves!AS228,"")</f>
        <v/>
      </c>
      <c r="AV228" t="str">
        <f t="shared" si="177"/>
        <v/>
      </c>
      <c r="AW228" t="str">
        <f>IF(AND($AK228&lt;=Results!$I$21,$AK228&gt;=Results!$I$20,$AK228&lt;=Results!$F$4),$AN228,"")</f>
        <v/>
      </c>
      <c r="AX228" t="str">
        <f t="shared" si="177"/>
        <v/>
      </c>
      <c r="AY228" t="str">
        <f>IF(AND($AK228&lt;=Results!$I$23,$AK228&gt;=Results!$I$22,$AK228&gt;=Results!$F$4),$AN228,"")</f>
        <v/>
      </c>
      <c r="AZ228" t="str">
        <f t="shared" si="150"/>
        <v/>
      </c>
      <c r="BA228" t="str">
        <f>IF(AND($AK228&lt;=Results!$I$27,$AK228&gt;=Results!$I$26,$AK228&lt;=Results!$F$4),$AQ228,"")</f>
        <v/>
      </c>
      <c r="BB228" t="str">
        <f t="shared" si="151"/>
        <v/>
      </c>
      <c r="BC228" t="str">
        <f>IF(AND($AK228&lt;=Results!$I$29,$AK228&gt;=Results!$I$28,$AK228&gt;=Results!$F$4),$AQ228,"")</f>
        <v/>
      </c>
      <c r="BD228">
        <f t="shared" si="152"/>
        <v>9632.6149971988325</v>
      </c>
      <c r="BE228">
        <f t="shared" si="153"/>
        <v>1896.6934882638343</v>
      </c>
      <c r="BF228">
        <f t="shared" si="154"/>
        <v>9715.2164033613299</v>
      </c>
      <c r="BG228">
        <f t="shared" si="155"/>
        <v>1276.6097804476151</v>
      </c>
      <c r="BH228">
        <f t="shared" si="156"/>
        <v>0</v>
      </c>
      <c r="BI228">
        <f t="shared" si="157"/>
        <v>0.995340137501321</v>
      </c>
      <c r="BJ228">
        <f t="shared" si="158"/>
        <v>0.94399354958932624</v>
      </c>
      <c r="BK228">
        <f t="shared" si="159"/>
        <v>-3.7029129154025368E-3</v>
      </c>
      <c r="BL228">
        <f t="shared" si="160"/>
        <v>-1.6970571678157943E-2</v>
      </c>
      <c r="BM228">
        <f t="shared" si="178"/>
        <v>120.00000000000055</v>
      </c>
      <c r="BN228">
        <f t="shared" si="179"/>
        <v>-120.00000000000284</v>
      </c>
      <c r="BO228">
        <f>Data!$H$2*(1-BI228)*(1-BI228/Data!$H$3)*BM228</f>
        <v>5.2114364415828016E-9</v>
      </c>
      <c r="BP228">
        <f t="shared" si="161"/>
        <v>-119.44081650015907</v>
      </c>
      <c r="BQ228">
        <f>Data!$H$2*(1-BJ228)*(1-BJ228/Data!$H$3)*BN228</f>
        <v>-7.5281339702479987E-7</v>
      </c>
      <c r="BR228">
        <f t="shared" si="162"/>
        <v>113.27922595072184</v>
      </c>
      <c r="BS228">
        <f t="shared" si="163"/>
        <v>0</v>
      </c>
      <c r="BT228">
        <f t="shared" si="164"/>
        <v>0</v>
      </c>
      <c r="BU228">
        <f t="shared" si="165"/>
        <v>0</v>
      </c>
      <c r="BV228">
        <f t="shared" si="166"/>
        <v>0</v>
      </c>
      <c r="BW228">
        <f t="shared" si="180"/>
        <v>0</v>
      </c>
      <c r="BX228" t="str">
        <f t="shared" si="181"/>
        <v/>
      </c>
      <c r="BY228" s="66" t="str">
        <f t="shared" si="167"/>
        <v/>
      </c>
      <c r="BZ228" t="str">
        <f t="shared" si="168"/>
        <v/>
      </c>
      <c r="CA228" s="67" t="str">
        <f t="shared" si="169"/>
        <v/>
      </c>
    </row>
    <row r="229" spans="4:79" x14ac:dyDescent="0.25">
      <c r="D229" s="3" t="e">
        <f t="shared" si="194"/>
        <v>#DIV/0!</v>
      </c>
      <c r="E229" s="3" t="e">
        <f t="shared" si="194"/>
        <v>#DIV/0!</v>
      </c>
      <c r="F229" t="str">
        <f>IF(A229&gt;0,IF(F228=1,1,IF(B229=Data!$H$4,1,0)),"")</f>
        <v/>
      </c>
      <c r="Q229" t="str">
        <f t="shared" si="170"/>
        <v/>
      </c>
      <c r="R229" s="4" t="str">
        <f t="shared" si="171"/>
        <v/>
      </c>
      <c r="S229" t="e">
        <f t="shared" si="182"/>
        <v>#DIV/0!</v>
      </c>
      <c r="T229" t="e">
        <f t="shared" si="195"/>
        <v>#DIV/0!</v>
      </c>
      <c r="U229" s="4">
        <f t="shared" si="172"/>
        <v>0</v>
      </c>
      <c r="V229" t="e">
        <f t="shared" si="183"/>
        <v>#DIV/0!</v>
      </c>
      <c r="W229" t="e">
        <f t="shared" si="184"/>
        <v>#DIV/0!</v>
      </c>
      <c r="X229" t="e">
        <f t="shared" si="185"/>
        <v>#VALUE!</v>
      </c>
      <c r="Y229" t="e">
        <f t="shared" si="186"/>
        <v>#VALUE!</v>
      </c>
      <c r="Z229" t="e">
        <f t="shared" si="187"/>
        <v>#VALUE!</v>
      </c>
      <c r="AA229" t="e">
        <f t="shared" si="173"/>
        <v>#VALUE!</v>
      </c>
      <c r="AB229" t="str">
        <f t="shared" si="188"/>
        <v/>
      </c>
      <c r="AC229" t="str">
        <f t="shared" si="189"/>
        <v/>
      </c>
      <c r="AD229" t="str">
        <f t="shared" si="190"/>
        <v/>
      </c>
      <c r="AE229" t="str">
        <f t="shared" si="191"/>
        <v/>
      </c>
      <c r="AK229" s="4">
        <f t="shared" si="192"/>
        <v>47.700000000000323</v>
      </c>
      <c r="AL229">
        <f t="shared" si="174"/>
        <v>2725.0000000000387</v>
      </c>
      <c r="AM229">
        <f t="shared" si="175"/>
        <v>9582.9666666666217</v>
      </c>
      <c r="AN229">
        <f>IF($AK228+$AK$1&lt;=Data!$H$4-0.5,AVERAGE(AM227:AM231),AN228)</f>
        <v>9582.9666666666217</v>
      </c>
      <c r="AO229">
        <f t="shared" si="176"/>
        <v>8136.9999999999609</v>
      </c>
      <c r="AP229">
        <f t="shared" si="193"/>
        <v>9221.3666666665958</v>
      </c>
      <c r="AQ229">
        <f>IF($AK228+$AK$1&lt;=Data!$H$4-0.5,AVERAGE(AP227:AP231),AQ228)</f>
        <v>9221.3666666665977</v>
      </c>
      <c r="AR229">
        <f>IF($AK228+$AK$1&lt;=Data!$H$4-0.5,SLOPE($AN225:$AN233,$AK225:$AK233),AR228)</f>
        <v>-136.79722222222384</v>
      </c>
      <c r="AS229">
        <f>IF($AK228+$AK$1&lt;=Data!$H$4-0.5,SLOPE($AQ225:$AQ233,$AK225:$AK233),AS228)</f>
        <v>-216.92222222223694</v>
      </c>
      <c r="AT229" t="str">
        <f>IF(AND($AK229&gt;=Results!$G$13,$AK229&lt;=Results!$G$14),Curves!AR229,"")</f>
        <v/>
      </c>
      <c r="AU229" t="str">
        <f>IF(AND($AK229&gt;=Results!$G$13,$AK229&lt;=Results!$G$14),Curves!AS229,"")</f>
        <v/>
      </c>
      <c r="AV229" t="str">
        <f t="shared" si="177"/>
        <v/>
      </c>
      <c r="AW229" t="str">
        <f>IF(AND($AK229&lt;=Results!$I$21,$AK229&gt;=Results!$I$20,$AK229&lt;=Results!$F$4),$AN229,"")</f>
        <v/>
      </c>
      <c r="AX229" t="str">
        <f t="shared" si="177"/>
        <v/>
      </c>
      <c r="AY229" t="str">
        <f>IF(AND($AK229&lt;=Results!$I$23,$AK229&gt;=Results!$I$22,$AK229&gt;=Results!$F$4),$AN229,"")</f>
        <v/>
      </c>
      <c r="AZ229" t="str">
        <f t="shared" si="150"/>
        <v/>
      </c>
      <c r="BA229" t="str">
        <f>IF(AND($AK229&lt;=Results!$I$27,$AK229&gt;=Results!$I$26,$AK229&lt;=Results!$F$4),$AQ229,"")</f>
        <v/>
      </c>
      <c r="BB229" t="str">
        <f t="shared" si="151"/>
        <v/>
      </c>
      <c r="BC229" t="str">
        <f>IF(AND($AK229&lt;=Results!$I$29,$AK229&gt;=Results!$I$28,$AK229&gt;=Results!$F$4),$AQ229,"")</f>
        <v/>
      </c>
      <c r="BD229">
        <f t="shared" si="152"/>
        <v>9621.8448024009122</v>
      </c>
      <c r="BE229">
        <f t="shared" si="153"/>
        <v>1893.3776990145136</v>
      </c>
      <c r="BF229">
        <f t="shared" si="154"/>
        <v>9707.9264211284353</v>
      </c>
      <c r="BG229">
        <f t="shared" si="155"/>
        <v>1276.05897948809</v>
      </c>
      <c r="BH229">
        <f t="shared" si="156"/>
        <v>0</v>
      </c>
      <c r="BI229">
        <f t="shared" si="157"/>
        <v>0.99496948939366581</v>
      </c>
      <c r="BJ229">
        <f t="shared" si="158"/>
        <v>0.94229513712952995</v>
      </c>
      <c r="BK229">
        <f t="shared" si="159"/>
        <v>-3.7100595725597122E-3</v>
      </c>
      <c r="BL229">
        <f t="shared" si="160"/>
        <v>-1.6997710040335439E-2</v>
      </c>
      <c r="BM229">
        <f t="shared" si="178"/>
        <v>120.00000000000055</v>
      </c>
      <c r="BN229">
        <f t="shared" si="179"/>
        <v>-120.00000000000284</v>
      </c>
      <c r="BO229">
        <f>Data!$H$2*(1-BI229)*(1-BI229/Data!$H$3)*BM229</f>
        <v>6.0734488705058223E-9</v>
      </c>
      <c r="BP229">
        <f t="shared" si="161"/>
        <v>-119.39633872724045</v>
      </c>
      <c r="BQ229">
        <f>Data!$H$2*(1-BJ229)*(1-BJ229/Data!$H$3)*BN229</f>
        <v>-7.9916428773595977E-7</v>
      </c>
      <c r="BR229">
        <f t="shared" si="162"/>
        <v>113.07541645554628</v>
      </c>
      <c r="BS229">
        <f t="shared" si="163"/>
        <v>0</v>
      </c>
      <c r="BT229">
        <f t="shared" si="164"/>
        <v>0</v>
      </c>
      <c r="BU229">
        <f t="shared" si="165"/>
        <v>0</v>
      </c>
      <c r="BV229">
        <f t="shared" si="166"/>
        <v>0</v>
      </c>
      <c r="BW229">
        <f t="shared" si="180"/>
        <v>0</v>
      </c>
      <c r="BX229" t="str">
        <f t="shared" si="181"/>
        <v/>
      </c>
      <c r="BY229" s="66" t="str">
        <f t="shared" si="167"/>
        <v/>
      </c>
      <c r="BZ229" t="str">
        <f t="shared" si="168"/>
        <v/>
      </c>
      <c r="CA229" s="67" t="str">
        <f t="shared" si="169"/>
        <v/>
      </c>
    </row>
    <row r="230" spans="4:79" x14ac:dyDescent="0.25">
      <c r="D230" s="3" t="e">
        <f t="shared" si="194"/>
        <v>#DIV/0!</v>
      </c>
      <c r="E230" s="3" t="e">
        <f t="shared" si="194"/>
        <v>#DIV/0!</v>
      </c>
      <c r="F230" t="str">
        <f>IF(A230&gt;0,IF(F229=1,1,IF(B230=Data!$H$4,1,0)),"")</f>
        <v/>
      </c>
      <c r="Q230" t="str">
        <f t="shared" si="170"/>
        <v/>
      </c>
      <c r="R230" s="4" t="str">
        <f t="shared" si="171"/>
        <v/>
      </c>
      <c r="S230" t="e">
        <f t="shared" si="182"/>
        <v>#DIV/0!</v>
      </c>
      <c r="T230" t="e">
        <f t="shared" si="195"/>
        <v>#DIV/0!</v>
      </c>
      <c r="U230" s="4">
        <f t="shared" si="172"/>
        <v>0</v>
      </c>
      <c r="V230" t="e">
        <f t="shared" si="183"/>
        <v>#DIV/0!</v>
      </c>
      <c r="W230" t="e">
        <f t="shared" si="184"/>
        <v>#DIV/0!</v>
      </c>
      <c r="X230" t="e">
        <f t="shared" si="185"/>
        <v>#VALUE!</v>
      </c>
      <c r="Y230" t="e">
        <f t="shared" si="186"/>
        <v>#VALUE!</v>
      </c>
      <c r="Z230" t="e">
        <f t="shared" si="187"/>
        <v>#VALUE!</v>
      </c>
      <c r="AA230" t="e">
        <f t="shared" si="173"/>
        <v>#VALUE!</v>
      </c>
      <c r="AB230" t="str">
        <f t="shared" si="188"/>
        <v/>
      </c>
      <c r="AC230" t="str">
        <f t="shared" si="189"/>
        <v/>
      </c>
      <c r="AD230" t="str">
        <f t="shared" si="190"/>
        <v/>
      </c>
      <c r="AE230" t="str">
        <f t="shared" si="191"/>
        <v/>
      </c>
      <c r="AK230" s="4">
        <f t="shared" si="192"/>
        <v>47.800000000000324</v>
      </c>
      <c r="AL230">
        <f t="shared" si="174"/>
        <v>2737.0000000000391</v>
      </c>
      <c r="AM230">
        <f t="shared" si="175"/>
        <v>9569.3666666666213</v>
      </c>
      <c r="AN230">
        <f>IF($AK229+$AK$1&lt;=Data!$H$4-0.5,AVERAGE(AM228:AM232),AN229)</f>
        <v>9569.3666666666213</v>
      </c>
      <c r="AO230">
        <f t="shared" si="176"/>
        <v>8124.9999999999609</v>
      </c>
      <c r="AP230">
        <f t="shared" si="193"/>
        <v>9200.1333333332623</v>
      </c>
      <c r="AQ230">
        <f>IF($AK229+$AK$1&lt;=Data!$H$4-0.5,AVERAGE(AP228:AP232),AQ229)</f>
        <v>9200.1333333332623</v>
      </c>
      <c r="AR230">
        <f>IF($AK229+$AK$1&lt;=Data!$H$4-0.5,SLOPE($AN226:$AN234,$AK226:$AK234),AR229)</f>
        <v>-137.48055555555842</v>
      </c>
      <c r="AS230">
        <f>IF($AK229+$AK$1&lt;=Data!$H$4-0.5,SLOPE($AQ226:$AQ234,$AK226:$AK234),AS229)</f>
        <v>-220.85555555557454</v>
      </c>
      <c r="AT230" t="str">
        <f>IF(AND($AK230&gt;=Results!$G$13,$AK230&lt;=Results!$G$14),Curves!AR230,"")</f>
        <v/>
      </c>
      <c r="AU230" t="str">
        <f>IF(AND($AK230&gt;=Results!$G$13,$AK230&lt;=Results!$G$14),Curves!AS230,"")</f>
        <v/>
      </c>
      <c r="AV230" t="str">
        <f t="shared" si="177"/>
        <v/>
      </c>
      <c r="AW230" t="str">
        <f>IF(AND($AK230&lt;=Results!$I$21,$AK230&gt;=Results!$I$20,$AK230&lt;=Results!$F$4),$AN230,"")</f>
        <v/>
      </c>
      <c r="AX230" t="str">
        <f t="shared" si="177"/>
        <v/>
      </c>
      <c r="AY230" t="str">
        <f>IF(AND($AK230&lt;=Results!$I$23,$AK230&gt;=Results!$I$22,$AK230&gt;=Results!$F$4),$AN230,"")</f>
        <v/>
      </c>
      <c r="AZ230" t="str">
        <f t="shared" si="150"/>
        <v/>
      </c>
      <c r="BA230" t="str">
        <f>IF(AND($AK230&lt;=Results!$I$27,$AK230&gt;=Results!$I$26,$AK230&lt;=Results!$F$4),$AQ230,"")</f>
        <v/>
      </c>
      <c r="BB230" t="str">
        <f t="shared" si="151"/>
        <v/>
      </c>
      <c r="BC230" t="str">
        <f>IF(AND($AK230&lt;=Results!$I$29,$AK230&gt;=Results!$I$28,$AK230&gt;=Results!$F$4),$AQ230,"")</f>
        <v/>
      </c>
      <c r="BD230">
        <f t="shared" si="152"/>
        <v>9611.0746076029936</v>
      </c>
      <c r="BE230">
        <f t="shared" si="153"/>
        <v>1890.0619097651927</v>
      </c>
      <c r="BF230">
        <f t="shared" si="154"/>
        <v>9700.6364388955426</v>
      </c>
      <c r="BG230">
        <f t="shared" si="155"/>
        <v>1275.5081785285652</v>
      </c>
      <c r="BH230">
        <f t="shared" si="156"/>
        <v>0</v>
      </c>
      <c r="BI230">
        <f t="shared" si="157"/>
        <v>0.99459812558680905</v>
      </c>
      <c r="BJ230">
        <f t="shared" si="158"/>
        <v>0.94059400758125911</v>
      </c>
      <c r="BK230">
        <f t="shared" si="159"/>
        <v>-3.8058155397951445E-3</v>
      </c>
      <c r="BL230">
        <f t="shared" si="160"/>
        <v>-1.7492144668849491E-2</v>
      </c>
      <c r="BM230">
        <f t="shared" si="178"/>
        <v>120.00000000000055</v>
      </c>
      <c r="BN230">
        <f t="shared" si="179"/>
        <v>-119.99999999999829</v>
      </c>
      <c r="BO230">
        <f>Data!$H$2*(1-BI230)*(1-BI230/Data!$H$3)*BM230</f>
        <v>7.0032593222129409E-9</v>
      </c>
      <c r="BP230">
        <f t="shared" si="161"/>
        <v>-119.35177507041763</v>
      </c>
      <c r="BQ230">
        <f>Data!$H$2*(1-BJ230)*(1-BJ230/Data!$H$3)*BN230</f>
        <v>-8.4697726446130802E-7</v>
      </c>
      <c r="BR230">
        <f t="shared" si="162"/>
        <v>112.87128090974949</v>
      </c>
      <c r="BS230">
        <f t="shared" si="163"/>
        <v>0</v>
      </c>
      <c r="BT230">
        <f t="shared" si="164"/>
        <v>0</v>
      </c>
      <c r="BU230">
        <f t="shared" si="165"/>
        <v>0</v>
      </c>
      <c r="BV230">
        <f t="shared" si="166"/>
        <v>0</v>
      </c>
      <c r="BW230">
        <f t="shared" si="180"/>
        <v>0</v>
      </c>
      <c r="BX230" t="str">
        <f t="shared" si="181"/>
        <v/>
      </c>
      <c r="BY230" s="66" t="str">
        <f t="shared" si="167"/>
        <v/>
      </c>
      <c r="BZ230" t="str">
        <f t="shared" si="168"/>
        <v/>
      </c>
      <c r="CA230" s="67" t="str">
        <f t="shared" si="169"/>
        <v/>
      </c>
    </row>
    <row r="231" spans="4:79" x14ac:dyDescent="0.25">
      <c r="D231" s="3" t="e">
        <f t="shared" si="194"/>
        <v>#DIV/0!</v>
      </c>
      <c r="E231" s="3" t="e">
        <f t="shared" si="194"/>
        <v>#DIV/0!</v>
      </c>
      <c r="F231" t="str">
        <f>IF(A231&gt;0,IF(F230=1,1,IF(B231=Data!$H$4,1,0)),"")</f>
        <v/>
      </c>
      <c r="Q231" t="str">
        <f t="shared" si="170"/>
        <v/>
      </c>
      <c r="R231" s="4" t="str">
        <f t="shared" si="171"/>
        <v/>
      </c>
      <c r="S231" t="e">
        <f t="shared" si="182"/>
        <v>#DIV/0!</v>
      </c>
      <c r="T231" t="e">
        <f t="shared" si="195"/>
        <v>#DIV/0!</v>
      </c>
      <c r="U231" s="4">
        <f t="shared" si="172"/>
        <v>0</v>
      </c>
      <c r="V231" t="e">
        <f t="shared" si="183"/>
        <v>#DIV/0!</v>
      </c>
      <c r="W231" t="e">
        <f t="shared" si="184"/>
        <v>#DIV/0!</v>
      </c>
      <c r="X231" t="e">
        <f t="shared" si="185"/>
        <v>#VALUE!</v>
      </c>
      <c r="Y231" t="e">
        <f t="shared" si="186"/>
        <v>#VALUE!</v>
      </c>
      <c r="Z231" t="e">
        <f t="shared" si="187"/>
        <v>#VALUE!</v>
      </c>
      <c r="AA231" t="e">
        <f t="shared" si="173"/>
        <v>#VALUE!</v>
      </c>
      <c r="AB231" t="str">
        <f t="shared" si="188"/>
        <v/>
      </c>
      <c r="AC231" t="str">
        <f t="shared" si="189"/>
        <v/>
      </c>
      <c r="AD231" t="str">
        <f t="shared" si="190"/>
        <v/>
      </c>
      <c r="AE231" t="str">
        <f t="shared" si="191"/>
        <v/>
      </c>
      <c r="AK231" s="4">
        <f t="shared" si="192"/>
        <v>47.900000000000325</v>
      </c>
      <c r="AL231">
        <f t="shared" si="174"/>
        <v>2749.0000000000391</v>
      </c>
      <c r="AM231">
        <f t="shared" si="175"/>
        <v>9555.7666666666209</v>
      </c>
      <c r="AN231">
        <f>IF($AK230+$AK$1&lt;=Data!$H$4-0.5,AVERAGE(AM229:AM233),AN230)</f>
        <v>9555.6299999999537</v>
      </c>
      <c r="AO231">
        <f t="shared" si="176"/>
        <v>8112.9999999999609</v>
      </c>
      <c r="AP231">
        <f t="shared" si="193"/>
        <v>9178.8999999999287</v>
      </c>
      <c r="AQ231">
        <f>IF($AK230+$AK$1&lt;=Data!$H$4-0.5,AVERAGE(AP229:AP233),AQ230)</f>
        <v>9178.1133333332564</v>
      </c>
      <c r="AR231">
        <f>IF($AK230+$AK$1&lt;=Data!$H$4-0.5,SLOPE($AN227:$AN235,$AK227:$AK235),AR230)</f>
        <v>-138.39166666666989</v>
      </c>
      <c r="AS231">
        <f>IF($AK230+$AK$1&lt;=Data!$H$4-0.5,SLOPE($AQ227:$AQ235,$AK227:$AK235),AS230)</f>
        <v>-226.10000000002142</v>
      </c>
      <c r="AT231" t="str">
        <f>IF(AND($AK231&gt;=Results!$G$13,$AK231&lt;=Results!$G$14),Curves!AR231,"")</f>
        <v/>
      </c>
      <c r="AU231" t="str">
        <f>IF(AND($AK231&gt;=Results!$G$13,$AK231&lt;=Results!$G$14),Curves!AS231,"")</f>
        <v/>
      </c>
      <c r="AV231" t="str">
        <f t="shared" si="177"/>
        <v/>
      </c>
      <c r="AW231" t="str">
        <f>IF(AND($AK231&lt;=Results!$I$21,$AK231&gt;=Results!$I$20,$AK231&lt;=Results!$F$4),$AN231,"")</f>
        <v/>
      </c>
      <c r="AX231" t="str">
        <f t="shared" si="177"/>
        <v/>
      </c>
      <c r="AY231" t="str">
        <f>IF(AND($AK231&lt;=Results!$I$23,$AK231&gt;=Results!$I$22,$AK231&gt;=Results!$F$4),$AN231,"")</f>
        <v/>
      </c>
      <c r="AZ231" t="str">
        <f t="shared" si="150"/>
        <v/>
      </c>
      <c r="BA231" t="str">
        <f>IF(AND($AK231&lt;=Results!$I$27,$AK231&gt;=Results!$I$26,$AK231&lt;=Results!$F$4),$AQ231,"")</f>
        <v/>
      </c>
      <c r="BB231" t="str">
        <f t="shared" si="151"/>
        <v/>
      </c>
      <c r="BC231" t="str">
        <f>IF(AND($AK231&lt;=Results!$I$29,$AK231&gt;=Results!$I$28,$AK231&gt;=Results!$F$4),$AQ231,"")</f>
        <v/>
      </c>
      <c r="BD231">
        <f t="shared" si="152"/>
        <v>9600.3044128050733</v>
      </c>
      <c r="BE231">
        <f t="shared" si="153"/>
        <v>1886.7461205158718</v>
      </c>
      <c r="BF231">
        <f t="shared" si="154"/>
        <v>9693.3464566626499</v>
      </c>
      <c r="BG231">
        <f t="shared" si="155"/>
        <v>1274.9573775690401</v>
      </c>
      <c r="BH231">
        <f t="shared" si="156"/>
        <v>0</v>
      </c>
      <c r="BI231">
        <f t="shared" si="157"/>
        <v>0.99420832628570677</v>
      </c>
      <c r="BJ231">
        <f t="shared" si="158"/>
        <v>0.93879670819576</v>
      </c>
      <c r="BK231">
        <f t="shared" si="159"/>
        <v>-3.9904379825055894E-3</v>
      </c>
      <c r="BL231">
        <f t="shared" si="160"/>
        <v>-1.8454998770338363E-2</v>
      </c>
      <c r="BM231">
        <f t="shared" si="178"/>
        <v>119.99999999999829</v>
      </c>
      <c r="BN231">
        <f t="shared" si="179"/>
        <v>-119.99999999999829</v>
      </c>
      <c r="BO231">
        <f>Data!$H$2*(1-BI231)*(1-BI231/Data!$H$3)*BM231</f>
        <v>8.0504362590803258E-9</v>
      </c>
      <c r="BP231">
        <f t="shared" si="161"/>
        <v>-119.30499915428312</v>
      </c>
      <c r="BQ231">
        <f>Data!$H$2*(1-BJ231)*(1-BJ231/Data!$H$3)*BN231</f>
        <v>-8.9900230264197556E-7</v>
      </c>
      <c r="BR231">
        <f t="shared" si="162"/>
        <v>112.6556049834896</v>
      </c>
      <c r="BS231">
        <f t="shared" si="163"/>
        <v>0</v>
      </c>
      <c r="BT231">
        <f t="shared" si="164"/>
        <v>0</v>
      </c>
      <c r="BU231">
        <f t="shared" si="165"/>
        <v>0</v>
      </c>
      <c r="BV231">
        <f t="shared" si="166"/>
        <v>0</v>
      </c>
      <c r="BW231">
        <f t="shared" si="180"/>
        <v>0</v>
      </c>
      <c r="BX231" t="str">
        <f t="shared" si="181"/>
        <v/>
      </c>
      <c r="BY231" s="66" t="str">
        <f t="shared" si="167"/>
        <v/>
      </c>
      <c r="BZ231" t="str">
        <f t="shared" si="168"/>
        <v/>
      </c>
      <c r="CA231" s="67" t="str">
        <f t="shared" si="169"/>
        <v/>
      </c>
    </row>
    <row r="232" spans="4:79" x14ac:dyDescent="0.25">
      <c r="D232" s="3" t="e">
        <f t="shared" si="194"/>
        <v>#DIV/0!</v>
      </c>
      <c r="E232" s="3" t="e">
        <f t="shared" si="194"/>
        <v>#DIV/0!</v>
      </c>
      <c r="F232" t="str">
        <f>IF(A232&gt;0,IF(F231=1,1,IF(B232=Data!$H$4,1,0)),"")</f>
        <v/>
      </c>
      <c r="Q232" t="str">
        <f t="shared" si="170"/>
        <v/>
      </c>
      <c r="R232" s="4" t="str">
        <f t="shared" si="171"/>
        <v/>
      </c>
      <c r="S232" t="e">
        <f t="shared" si="182"/>
        <v>#DIV/0!</v>
      </c>
      <c r="T232" t="e">
        <f t="shared" si="195"/>
        <v>#DIV/0!</v>
      </c>
      <c r="U232" s="4">
        <f t="shared" si="172"/>
        <v>0</v>
      </c>
      <c r="V232" t="e">
        <f t="shared" si="183"/>
        <v>#DIV/0!</v>
      </c>
      <c r="W232" t="e">
        <f t="shared" si="184"/>
        <v>#DIV/0!</v>
      </c>
      <c r="X232" t="e">
        <f t="shared" si="185"/>
        <v>#VALUE!</v>
      </c>
      <c r="Y232" t="e">
        <f t="shared" si="186"/>
        <v>#VALUE!</v>
      </c>
      <c r="Z232" t="e">
        <f t="shared" si="187"/>
        <v>#VALUE!</v>
      </c>
      <c r="AA232" t="e">
        <f t="shared" si="173"/>
        <v>#VALUE!</v>
      </c>
      <c r="AB232" t="str">
        <f t="shared" si="188"/>
        <v/>
      </c>
      <c r="AC232" t="str">
        <f t="shared" si="189"/>
        <v/>
      </c>
      <c r="AD232" t="str">
        <f t="shared" si="190"/>
        <v/>
      </c>
      <c r="AE232" t="str">
        <f t="shared" si="191"/>
        <v/>
      </c>
      <c r="AK232" s="4">
        <f t="shared" si="192"/>
        <v>48.000000000000327</v>
      </c>
      <c r="AL232">
        <f t="shared" si="174"/>
        <v>2761.0000000000391</v>
      </c>
      <c r="AM232">
        <f t="shared" si="175"/>
        <v>9542.1666666666188</v>
      </c>
      <c r="AN232">
        <f>IF($AK231+$AK$1&lt;=Data!$H$4-0.5,AVERAGE(AM230:AM234),AN231)</f>
        <v>9541.7566666666207</v>
      </c>
      <c r="AO232">
        <f t="shared" si="176"/>
        <v>8100.9999999999609</v>
      </c>
      <c r="AP232">
        <f t="shared" si="193"/>
        <v>9157.6666666665824</v>
      </c>
      <c r="AQ232">
        <f>IF($AK231+$AK$1&lt;=Data!$H$4-0.5,AVERAGE(AP230:AP234),AQ231)</f>
        <v>9155.3066666665873</v>
      </c>
      <c r="AR232">
        <f>IF($AK231+$AK$1&lt;=Data!$H$4-0.5,SLOPE($AN228:$AN236,$AK228:$AK236),AR231)</f>
        <v>-139.41666666666953</v>
      </c>
      <c r="AS232">
        <f>IF($AK231+$AK$1&lt;=Data!$H$4-0.5,SLOPE($AQ228:$AQ236,$AK228:$AK236),AS231)</f>
        <v>-232.00000000001947</v>
      </c>
      <c r="AT232">
        <f>IF(AND($AK232&gt;=Results!$G$13,$AK232&lt;=Results!$G$14),Curves!AR232,"")</f>
        <v>-139.41666666666953</v>
      </c>
      <c r="AU232">
        <f>IF(AND($AK232&gt;=Results!$G$13,$AK232&lt;=Results!$G$14),Curves!AS232,"")</f>
        <v>-232.00000000001947</v>
      </c>
      <c r="AV232" t="str">
        <f t="shared" si="177"/>
        <v/>
      </c>
      <c r="AW232" t="str">
        <f>IF(AND($AK232&lt;=Results!$I$21,$AK232&gt;=Results!$I$20,$AK232&lt;=Results!$F$4),$AN232,"")</f>
        <v/>
      </c>
      <c r="AX232" t="str">
        <f t="shared" si="177"/>
        <v/>
      </c>
      <c r="AY232" t="str">
        <f>IF(AND($AK232&lt;=Results!$I$23,$AK232&gt;=Results!$I$22,$AK232&gt;=Results!$F$4),$AN232,"")</f>
        <v/>
      </c>
      <c r="AZ232" t="str">
        <f t="shared" si="150"/>
        <v/>
      </c>
      <c r="BA232" t="str">
        <f>IF(AND($AK232&lt;=Results!$I$27,$AK232&gt;=Results!$I$26,$AK232&lt;=Results!$F$4),$AQ232,"")</f>
        <v/>
      </c>
      <c r="BB232" t="str">
        <f t="shared" si="151"/>
        <v/>
      </c>
      <c r="BC232" t="str">
        <f>IF(AND($AK232&lt;=Results!$I$29,$AK232&gt;=Results!$I$28,$AK232&gt;=Results!$F$4),$AQ232,"")</f>
        <v/>
      </c>
      <c r="BD232">
        <f t="shared" si="152"/>
        <v>9589.534218007153</v>
      </c>
      <c r="BE232">
        <f t="shared" si="153"/>
        <v>1883.4303312665511</v>
      </c>
      <c r="BF232">
        <f t="shared" si="154"/>
        <v>9686.0564744297571</v>
      </c>
      <c r="BG232">
        <f t="shared" si="155"/>
        <v>1274.406576609515</v>
      </c>
      <c r="BH232">
        <f t="shared" si="156"/>
        <v>0</v>
      </c>
      <c r="BI232">
        <f t="shared" si="157"/>
        <v>0.99380003799030792</v>
      </c>
      <c r="BJ232">
        <f t="shared" si="158"/>
        <v>0.93690300782719138</v>
      </c>
      <c r="BK232">
        <f t="shared" si="159"/>
        <v>-4.1755964617844988E-3</v>
      </c>
      <c r="BL232">
        <f t="shared" si="160"/>
        <v>-1.9420168036967944E-2</v>
      </c>
      <c r="BM232">
        <f t="shared" si="178"/>
        <v>120.00000000000055</v>
      </c>
      <c r="BN232">
        <f t="shared" si="179"/>
        <v>-119.99999999999829</v>
      </c>
      <c r="BO232">
        <f>Data!$H$2*(1-BI232)*(1-BI232/Data!$H$3)*BM232</f>
        <v>9.225486941190067E-9</v>
      </c>
      <c r="BP232">
        <f t="shared" si="161"/>
        <v>-119.2560045588375</v>
      </c>
      <c r="BQ232">
        <f>Data!$H$2*(1-BJ232)*(1-BJ232/Data!$H$3)*BN232</f>
        <v>-9.5549530110129964E-7</v>
      </c>
      <c r="BR232">
        <f t="shared" si="162"/>
        <v>112.42836093926137</v>
      </c>
      <c r="BS232">
        <f t="shared" si="163"/>
        <v>0</v>
      </c>
      <c r="BT232">
        <f t="shared" si="164"/>
        <v>0</v>
      </c>
      <c r="BU232">
        <f t="shared" si="165"/>
        <v>0</v>
      </c>
      <c r="BV232">
        <f t="shared" si="166"/>
        <v>0</v>
      </c>
      <c r="BW232">
        <f t="shared" si="180"/>
        <v>0</v>
      </c>
      <c r="BX232" t="str">
        <f t="shared" si="181"/>
        <v/>
      </c>
      <c r="BY232" s="66" t="str">
        <f t="shared" si="167"/>
        <v/>
      </c>
      <c r="BZ232" t="str">
        <f t="shared" si="168"/>
        <v/>
      </c>
      <c r="CA232" s="67" t="str">
        <f t="shared" si="169"/>
        <v/>
      </c>
    </row>
    <row r="233" spans="4:79" x14ac:dyDescent="0.25">
      <c r="D233" s="3" t="e">
        <f t="shared" si="194"/>
        <v>#DIV/0!</v>
      </c>
      <c r="E233" s="3" t="e">
        <f t="shared" si="194"/>
        <v>#DIV/0!</v>
      </c>
      <c r="F233" t="str">
        <f>IF(A233&gt;0,IF(F232=1,1,IF(B233=Data!$H$4,1,0)),"")</f>
        <v/>
      </c>
      <c r="Q233" t="str">
        <f t="shared" si="170"/>
        <v/>
      </c>
      <c r="R233" s="4" t="str">
        <f t="shared" si="171"/>
        <v/>
      </c>
      <c r="S233" t="e">
        <f t="shared" si="182"/>
        <v>#DIV/0!</v>
      </c>
      <c r="T233" t="e">
        <f t="shared" si="195"/>
        <v>#DIV/0!</v>
      </c>
      <c r="U233" s="4">
        <f t="shared" si="172"/>
        <v>0</v>
      </c>
      <c r="V233" t="e">
        <f t="shared" si="183"/>
        <v>#DIV/0!</v>
      </c>
      <c r="W233" t="e">
        <f t="shared" si="184"/>
        <v>#DIV/0!</v>
      </c>
      <c r="X233" t="e">
        <f t="shared" si="185"/>
        <v>#VALUE!</v>
      </c>
      <c r="Y233" t="e">
        <f t="shared" si="186"/>
        <v>#VALUE!</v>
      </c>
      <c r="Z233" t="e">
        <f t="shared" si="187"/>
        <v>#VALUE!</v>
      </c>
      <c r="AA233" t="e">
        <f t="shared" si="173"/>
        <v>#VALUE!</v>
      </c>
      <c r="AB233" t="str">
        <f t="shared" si="188"/>
        <v/>
      </c>
      <c r="AC233" t="str">
        <f t="shared" si="189"/>
        <v/>
      </c>
      <c r="AD233" t="str">
        <f t="shared" si="190"/>
        <v/>
      </c>
      <c r="AE233" t="str">
        <f t="shared" si="191"/>
        <v/>
      </c>
      <c r="AK233" s="4">
        <f t="shared" si="192"/>
        <v>48.100000000000328</v>
      </c>
      <c r="AL233">
        <f t="shared" si="174"/>
        <v>2773.0000000000396</v>
      </c>
      <c r="AM233">
        <f t="shared" si="175"/>
        <v>9527.8833333332859</v>
      </c>
      <c r="AN233">
        <f>IF($AK232+$AK$1&lt;=Data!$H$4-0.5,AVERAGE(AM231:AM235),AN232)</f>
        <v>9527.7466666666205</v>
      </c>
      <c r="AO233">
        <f t="shared" si="176"/>
        <v>8088.9999999999609</v>
      </c>
      <c r="AP233">
        <f t="shared" si="193"/>
        <v>9132.4999999999145</v>
      </c>
      <c r="AQ233">
        <f>IF($AK232+$AK$1&lt;=Data!$H$4-0.5,AVERAGE(AP231:AP235),AQ232)</f>
        <v>9131.7133333332513</v>
      </c>
      <c r="AR233">
        <f>IF($AK232+$AK$1&lt;=Data!$H$4-0.5,SLOPE($AN229:$AN237,$AK229:$AK237),AR232)</f>
        <v>-140.44166666666851</v>
      </c>
      <c r="AS233">
        <f>IF($AK232+$AK$1&lt;=Data!$H$4-0.5,SLOPE($AQ229:$AQ237,$AK229:$AK237),AS232)</f>
        <v>-237.90000000001868</v>
      </c>
      <c r="AT233">
        <f>IF(AND($AK233&gt;=Results!$G$13,$AK233&lt;=Results!$G$14),Curves!AR233,"")</f>
        <v>-140.44166666666851</v>
      </c>
      <c r="AU233">
        <f>IF(AND($AK233&gt;=Results!$G$13,$AK233&lt;=Results!$G$14),Curves!AS233,"")</f>
        <v>-237.90000000001868</v>
      </c>
      <c r="AV233" t="str">
        <f t="shared" si="177"/>
        <v/>
      </c>
      <c r="AW233" t="str">
        <f>IF(AND($AK233&lt;=Results!$I$21,$AK233&gt;=Results!$I$20,$AK233&lt;=Results!$F$4),$AN233,"")</f>
        <v/>
      </c>
      <c r="AX233" t="str">
        <f t="shared" si="177"/>
        <v/>
      </c>
      <c r="AY233" t="str">
        <f>IF(AND($AK233&lt;=Results!$I$23,$AK233&gt;=Results!$I$22,$AK233&gt;=Results!$F$4),$AN233,"")</f>
        <v/>
      </c>
      <c r="AZ233" t="str">
        <f t="shared" si="150"/>
        <v/>
      </c>
      <c r="BA233" t="str">
        <f>IF(AND($AK233&lt;=Results!$I$27,$AK233&gt;=Results!$I$26,$AK233&lt;=Results!$F$4),$AQ233,"")</f>
        <v/>
      </c>
      <c r="BB233" t="str">
        <f t="shared" si="151"/>
        <v/>
      </c>
      <c r="BC233" t="str">
        <f>IF(AND($AK233&lt;=Results!$I$29,$AK233&gt;=Results!$I$28,$AK233&gt;=Results!$F$4),$AQ233,"")</f>
        <v/>
      </c>
      <c r="BD233">
        <f t="shared" si="152"/>
        <v>9578.7640232092344</v>
      </c>
      <c r="BE233">
        <f t="shared" si="153"/>
        <v>1880.1145420172302</v>
      </c>
      <c r="BF233">
        <f t="shared" si="154"/>
        <v>9678.7664921968644</v>
      </c>
      <c r="BG233">
        <f t="shared" si="155"/>
        <v>1273.8557756499899</v>
      </c>
      <c r="BH233">
        <f t="shared" si="156"/>
        <v>0</v>
      </c>
      <c r="BI233">
        <f t="shared" si="157"/>
        <v>0.99337320699334986</v>
      </c>
      <c r="BJ233">
        <f t="shared" si="158"/>
        <v>0.93491267458836635</v>
      </c>
      <c r="BK233">
        <f t="shared" si="159"/>
        <v>-4.3612930547609003E-3</v>
      </c>
      <c r="BL233">
        <f t="shared" si="160"/>
        <v>-2.0387659897059526E-2</v>
      </c>
      <c r="BM233">
        <f t="shared" si="178"/>
        <v>120.00000000000055</v>
      </c>
      <c r="BN233">
        <f t="shared" si="179"/>
        <v>-120.00000000000284</v>
      </c>
      <c r="BO233">
        <f>Data!$H$2*(1-BI233)*(1-BI233/Data!$H$3)*BM233</f>
        <v>1.0539452532716991E-8</v>
      </c>
      <c r="BP233">
        <f t="shared" si="161"/>
        <v>-119.20478483920253</v>
      </c>
      <c r="BQ233">
        <f>Data!$H$2*(1-BJ233)*(1-BJ233/Data!$H$3)*BN233</f>
        <v>-1.0167263830175978E-6</v>
      </c>
      <c r="BR233">
        <f t="shared" si="162"/>
        <v>112.18952095060662</v>
      </c>
      <c r="BS233">
        <f t="shared" si="163"/>
        <v>0</v>
      </c>
      <c r="BT233">
        <f t="shared" si="164"/>
        <v>0</v>
      </c>
      <c r="BU233">
        <f t="shared" si="165"/>
        <v>0</v>
      </c>
      <c r="BV233">
        <f t="shared" si="166"/>
        <v>0</v>
      </c>
      <c r="BW233">
        <f t="shared" si="180"/>
        <v>0</v>
      </c>
      <c r="BX233" t="str">
        <f t="shared" si="181"/>
        <v/>
      </c>
      <c r="BY233" s="66" t="str">
        <f t="shared" si="167"/>
        <v/>
      </c>
      <c r="BZ233" t="str">
        <f t="shared" si="168"/>
        <v/>
      </c>
      <c r="CA233" s="67" t="str">
        <f t="shared" si="169"/>
        <v/>
      </c>
    </row>
    <row r="234" spans="4:79" x14ac:dyDescent="0.25">
      <c r="D234" s="3" t="e">
        <f t="shared" si="194"/>
        <v>#DIV/0!</v>
      </c>
      <c r="E234" s="3" t="e">
        <f t="shared" si="194"/>
        <v>#DIV/0!</v>
      </c>
      <c r="F234" t="str">
        <f>IF(A234&gt;0,IF(F233=1,1,IF(B234=Data!$H$4,1,0)),"")</f>
        <v/>
      </c>
      <c r="Q234" t="str">
        <f t="shared" si="170"/>
        <v/>
      </c>
      <c r="R234" s="4" t="str">
        <f t="shared" si="171"/>
        <v/>
      </c>
      <c r="S234" t="e">
        <f t="shared" si="182"/>
        <v>#DIV/0!</v>
      </c>
      <c r="T234" t="e">
        <f t="shared" si="195"/>
        <v>#DIV/0!</v>
      </c>
      <c r="U234" s="4">
        <f t="shared" si="172"/>
        <v>0</v>
      </c>
      <c r="V234" t="e">
        <f t="shared" si="183"/>
        <v>#DIV/0!</v>
      </c>
      <c r="W234" t="e">
        <f t="shared" si="184"/>
        <v>#DIV/0!</v>
      </c>
      <c r="X234" t="e">
        <f t="shared" si="185"/>
        <v>#VALUE!</v>
      </c>
      <c r="Y234" t="e">
        <f t="shared" si="186"/>
        <v>#VALUE!</v>
      </c>
      <c r="Z234" t="e">
        <f t="shared" si="187"/>
        <v>#VALUE!</v>
      </c>
      <c r="AA234" t="e">
        <f t="shared" si="173"/>
        <v>#VALUE!</v>
      </c>
      <c r="AB234" t="str">
        <f t="shared" si="188"/>
        <v/>
      </c>
      <c r="AC234" t="str">
        <f t="shared" si="189"/>
        <v/>
      </c>
      <c r="AD234" t="str">
        <f t="shared" si="190"/>
        <v/>
      </c>
      <c r="AE234" t="str">
        <f t="shared" si="191"/>
        <v/>
      </c>
      <c r="AK234" s="4">
        <f t="shared" si="192"/>
        <v>48.20000000000033</v>
      </c>
      <c r="AL234">
        <f t="shared" si="174"/>
        <v>2785.0000000000396</v>
      </c>
      <c r="AM234">
        <f t="shared" si="175"/>
        <v>9513.5999999999531</v>
      </c>
      <c r="AN234">
        <f>IF($AK233+$AK$1&lt;=Data!$H$4-0.5,AVERAGE(AM232:AM236),AN233)</f>
        <v>9513.5999999999513</v>
      </c>
      <c r="AO234">
        <f t="shared" si="176"/>
        <v>8076.99999999996</v>
      </c>
      <c r="AP234">
        <f t="shared" si="193"/>
        <v>9107.3333333332484</v>
      </c>
      <c r="AQ234">
        <f>IF($AK233+$AK$1&lt;=Data!$H$4-0.5,AVERAGE(AP232:AP236),AQ233)</f>
        <v>9107.3333333332484</v>
      </c>
      <c r="AR234">
        <f>IF($AK233+$AK$1&lt;=Data!$H$4-0.5,SLOPE($AN230:$AN238,$AK230:$AK238),AR233)</f>
        <v>-141.35277777777941</v>
      </c>
      <c r="AS234">
        <f>IF($AK233+$AK$1&lt;=Data!$H$4-0.5,SLOPE($AQ230:$AQ238,$AK230:$AK238),AS233)</f>
        <v>-243.14444444445797</v>
      </c>
      <c r="AT234">
        <f>IF(AND($AK234&gt;=Results!$G$13,$AK234&lt;=Results!$G$14),Curves!AR234,"")</f>
        <v>-141.35277777777941</v>
      </c>
      <c r="AU234">
        <f>IF(AND($AK234&gt;=Results!$G$13,$AK234&lt;=Results!$G$14),Curves!AS234,"")</f>
        <v>-243.14444444445797</v>
      </c>
      <c r="AV234" t="str">
        <f t="shared" si="177"/>
        <v/>
      </c>
      <c r="AW234" t="str">
        <f>IF(AND($AK234&lt;=Results!$I$21,$AK234&gt;=Results!$I$20,$AK234&lt;=Results!$F$4),$AN234,"")</f>
        <v/>
      </c>
      <c r="AX234" t="str">
        <f t="shared" si="177"/>
        <v/>
      </c>
      <c r="AY234" t="str">
        <f>IF(AND($AK234&lt;=Results!$I$23,$AK234&gt;=Results!$I$22,$AK234&gt;=Results!$F$4),$AN234,"")</f>
        <v/>
      </c>
      <c r="AZ234" t="str">
        <f t="shared" si="150"/>
        <v/>
      </c>
      <c r="BA234" t="str">
        <f>IF(AND($AK234&lt;=Results!$I$27,$AK234&gt;=Results!$I$26,$AK234&lt;=Results!$F$4),$AQ234,"")</f>
        <v/>
      </c>
      <c r="BB234" t="str">
        <f t="shared" si="151"/>
        <v/>
      </c>
      <c r="BC234" t="str">
        <f>IF(AND($AK234&lt;=Results!$I$29,$AK234&gt;=Results!$I$28,$AK234&gt;=Results!$F$4),$AQ234,"")</f>
        <v/>
      </c>
      <c r="BD234">
        <f t="shared" si="152"/>
        <v>9567.9938284113141</v>
      </c>
      <c r="BE234">
        <f t="shared" si="153"/>
        <v>1876.7987527679095</v>
      </c>
      <c r="BF234">
        <f t="shared" si="154"/>
        <v>9671.4765099639699</v>
      </c>
      <c r="BG234">
        <f t="shared" si="155"/>
        <v>1273.3049746904651</v>
      </c>
      <c r="BH234">
        <f t="shared" si="156"/>
        <v>0</v>
      </c>
      <c r="BI234">
        <f t="shared" si="157"/>
        <v>0.99292777937935572</v>
      </c>
      <c r="BJ234">
        <f t="shared" si="158"/>
        <v>0.93282547584777942</v>
      </c>
      <c r="BK234">
        <f t="shared" si="159"/>
        <v>-4.5475298486302067E-3</v>
      </c>
      <c r="BL234">
        <f t="shared" si="160"/>
        <v>-2.135748180874722E-2</v>
      </c>
      <c r="BM234">
        <f t="shared" si="178"/>
        <v>119.99999999999829</v>
      </c>
      <c r="BN234">
        <f t="shared" si="179"/>
        <v>-120.00000000000284</v>
      </c>
      <c r="BO234">
        <f>Data!$H$2*(1-BI234)*(1-BI234/Data!$H$3)*BM234</f>
        <v>1.2003913081695696E-8</v>
      </c>
      <c r="BP234">
        <f t="shared" si="161"/>
        <v>-119.151333525521</v>
      </c>
      <c r="BQ234">
        <f>Data!$H$2*(1-BJ234)*(1-BJ234/Data!$H$3)*BN234</f>
        <v>-1.0829800068185694E-6</v>
      </c>
      <c r="BR234">
        <f t="shared" si="162"/>
        <v>111.93905710173618</v>
      </c>
      <c r="BS234">
        <f t="shared" si="163"/>
        <v>0</v>
      </c>
      <c r="BT234">
        <f t="shared" si="164"/>
        <v>0</v>
      </c>
      <c r="BU234">
        <f t="shared" si="165"/>
        <v>0</v>
      </c>
      <c r="BV234">
        <f t="shared" si="166"/>
        <v>0</v>
      </c>
      <c r="BW234">
        <f t="shared" si="180"/>
        <v>0</v>
      </c>
      <c r="BX234" t="str">
        <f t="shared" si="181"/>
        <v/>
      </c>
      <c r="BY234" s="66" t="str">
        <f t="shared" si="167"/>
        <v/>
      </c>
      <c r="BZ234" t="str">
        <f t="shared" si="168"/>
        <v/>
      </c>
      <c r="CA234" s="67" t="str">
        <f t="shared" si="169"/>
        <v/>
      </c>
    </row>
    <row r="235" spans="4:79" x14ac:dyDescent="0.25">
      <c r="D235" s="3" t="e">
        <f t="shared" si="194"/>
        <v>#DIV/0!</v>
      </c>
      <c r="E235" s="3" t="e">
        <f t="shared" si="194"/>
        <v>#DIV/0!</v>
      </c>
      <c r="F235" t="str">
        <f>IF(A235&gt;0,IF(F234=1,1,IF(B235=Data!$H$4,1,0)),"")</f>
        <v/>
      </c>
      <c r="Q235" t="str">
        <f t="shared" si="170"/>
        <v/>
      </c>
      <c r="R235" s="4" t="str">
        <f t="shared" si="171"/>
        <v/>
      </c>
      <c r="S235" t="e">
        <f t="shared" si="182"/>
        <v>#DIV/0!</v>
      </c>
      <c r="T235" t="e">
        <f t="shared" si="195"/>
        <v>#DIV/0!</v>
      </c>
      <c r="U235" s="4">
        <f t="shared" si="172"/>
        <v>0</v>
      </c>
      <c r="V235" t="e">
        <f t="shared" si="183"/>
        <v>#DIV/0!</v>
      </c>
      <c r="W235" t="e">
        <f t="shared" si="184"/>
        <v>#DIV/0!</v>
      </c>
      <c r="X235" t="e">
        <f t="shared" si="185"/>
        <v>#VALUE!</v>
      </c>
      <c r="Y235" t="e">
        <f t="shared" si="186"/>
        <v>#VALUE!</v>
      </c>
      <c r="Z235" t="e">
        <f t="shared" si="187"/>
        <v>#VALUE!</v>
      </c>
      <c r="AA235" t="e">
        <f t="shared" si="173"/>
        <v>#VALUE!</v>
      </c>
      <c r="AB235" t="str">
        <f t="shared" si="188"/>
        <v/>
      </c>
      <c r="AC235" t="str">
        <f t="shared" si="189"/>
        <v/>
      </c>
      <c r="AD235" t="str">
        <f t="shared" si="190"/>
        <v/>
      </c>
      <c r="AE235" t="str">
        <f t="shared" si="191"/>
        <v/>
      </c>
      <c r="AK235" s="4">
        <f t="shared" si="192"/>
        <v>48.300000000000331</v>
      </c>
      <c r="AL235">
        <f t="shared" si="174"/>
        <v>2797.0000000000396</v>
      </c>
      <c r="AM235">
        <f t="shared" si="175"/>
        <v>9499.3166666666184</v>
      </c>
      <c r="AN235">
        <f>IF($AK234+$AK$1&lt;=Data!$H$4-0.5,AVERAGE(AM233:AM237),AN234)</f>
        <v>9499.3166666666184</v>
      </c>
      <c r="AO235">
        <f t="shared" si="176"/>
        <v>8064.99999999996</v>
      </c>
      <c r="AP235">
        <f t="shared" si="193"/>
        <v>9082.1666666665824</v>
      </c>
      <c r="AQ235">
        <f>IF($AK234+$AK$1&lt;=Data!$H$4-0.5,AVERAGE(AP233:AP237),AQ234)</f>
        <v>9082.1666666665806</v>
      </c>
      <c r="AR235">
        <f>IF($AK234+$AK$1&lt;=Data!$H$4-0.5,SLOPE($AN231:$AN239,$AK231:$AK239),AR234)</f>
        <v>-142.03611111111189</v>
      </c>
      <c r="AS235">
        <f>IF($AK234+$AK$1&lt;=Data!$H$4-0.5,SLOPE($AQ231:$AQ239,$AK231:$AK239),AS234)</f>
        <v>-247.07777777778344</v>
      </c>
      <c r="AT235">
        <f>IF(AND($AK235&gt;=Results!$G$13,$AK235&lt;=Results!$G$14),Curves!AR235,"")</f>
        <v>-142.03611111111189</v>
      </c>
      <c r="AU235">
        <f>IF(AND($AK235&gt;=Results!$G$13,$AK235&lt;=Results!$G$14),Curves!AS235,"")</f>
        <v>-247.07777777778344</v>
      </c>
      <c r="AV235" t="str">
        <f t="shared" si="177"/>
        <v/>
      </c>
      <c r="AW235" t="str">
        <f>IF(AND($AK235&lt;=Results!$I$21,$AK235&gt;=Results!$I$20,$AK235&lt;=Results!$F$4),$AN235,"")</f>
        <v/>
      </c>
      <c r="AX235" t="str">
        <f t="shared" si="177"/>
        <v/>
      </c>
      <c r="AY235" t="str">
        <f>IF(AND($AK235&lt;=Results!$I$23,$AK235&gt;=Results!$I$22,$AK235&gt;=Results!$F$4),$AN235,"")</f>
        <v/>
      </c>
      <c r="AZ235" t="str">
        <f t="shared" si="150"/>
        <v/>
      </c>
      <c r="BA235" t="str">
        <f>IF(AND($AK235&lt;=Results!$I$27,$AK235&gt;=Results!$I$26,$AK235&lt;=Results!$F$4),$AQ235,"")</f>
        <v/>
      </c>
      <c r="BB235" t="str">
        <f t="shared" si="151"/>
        <v/>
      </c>
      <c r="BC235" t="str">
        <f>IF(AND($AK235&lt;=Results!$I$29,$AK235&gt;=Results!$I$28,$AK235&gt;=Results!$F$4),$AQ235,"")</f>
        <v/>
      </c>
      <c r="BD235">
        <f t="shared" si="152"/>
        <v>9557.2236336133938</v>
      </c>
      <c r="BE235">
        <f t="shared" si="153"/>
        <v>1873.4829635185886</v>
      </c>
      <c r="BF235">
        <f t="shared" si="154"/>
        <v>9664.1865277310771</v>
      </c>
      <c r="BG235">
        <f t="shared" si="155"/>
        <v>1272.75417373094</v>
      </c>
      <c r="BH235">
        <f t="shared" si="156"/>
        <v>0</v>
      </c>
      <c r="BI235">
        <f t="shared" si="157"/>
        <v>0.9924637010236238</v>
      </c>
      <c r="BJ235">
        <f t="shared" si="158"/>
        <v>0.93064117822661685</v>
      </c>
      <c r="BK235">
        <f t="shared" si="159"/>
        <v>-4.6452902004422867E-3</v>
      </c>
      <c r="BL235">
        <f t="shared" si="160"/>
        <v>-2.1860532462425721E-2</v>
      </c>
      <c r="BM235">
        <f t="shared" si="178"/>
        <v>120.00000000000055</v>
      </c>
      <c r="BN235">
        <f t="shared" si="179"/>
        <v>-119.99999999999829</v>
      </c>
      <c r="BO235">
        <f>Data!$H$2*(1-BI235)*(1-BI235/Data!$H$3)*BM235</f>
        <v>1.3630992542719007E-8</v>
      </c>
      <c r="BP235">
        <f t="shared" si="161"/>
        <v>-119.09564412283541</v>
      </c>
      <c r="BQ235">
        <f>Data!$H$2*(1-BJ235)*(1-BJ235/Data!$H$3)*BN235</f>
        <v>-1.1545550778700465E-6</v>
      </c>
      <c r="BR235">
        <f t="shared" si="162"/>
        <v>111.67694138719243</v>
      </c>
      <c r="BS235">
        <f t="shared" si="163"/>
        <v>0</v>
      </c>
      <c r="BT235">
        <f t="shared" si="164"/>
        <v>0</v>
      </c>
      <c r="BU235">
        <f t="shared" si="165"/>
        <v>0</v>
      </c>
      <c r="BV235">
        <f t="shared" si="166"/>
        <v>0</v>
      </c>
      <c r="BW235">
        <f t="shared" si="180"/>
        <v>0</v>
      </c>
      <c r="BX235" t="str">
        <f t="shared" si="181"/>
        <v/>
      </c>
      <c r="BY235" s="66" t="str">
        <f t="shared" si="167"/>
        <v/>
      </c>
      <c r="BZ235" t="str">
        <f t="shared" si="168"/>
        <v/>
      </c>
      <c r="CA235" s="67" t="str">
        <f t="shared" si="169"/>
        <v/>
      </c>
    </row>
    <row r="236" spans="4:79" x14ac:dyDescent="0.25">
      <c r="D236" s="3" t="e">
        <f t="shared" si="194"/>
        <v>#DIV/0!</v>
      </c>
      <c r="E236" s="3" t="e">
        <f t="shared" si="194"/>
        <v>#DIV/0!</v>
      </c>
      <c r="F236" t="str">
        <f>IF(A236&gt;0,IF(F235=1,1,IF(B236=Data!$H$4,1,0)),"")</f>
        <v/>
      </c>
      <c r="Q236" t="str">
        <f t="shared" si="170"/>
        <v/>
      </c>
      <c r="R236" s="4" t="str">
        <f t="shared" si="171"/>
        <v/>
      </c>
      <c r="S236" t="e">
        <f t="shared" si="182"/>
        <v>#DIV/0!</v>
      </c>
      <c r="T236" t="e">
        <f t="shared" si="195"/>
        <v>#DIV/0!</v>
      </c>
      <c r="U236" s="4">
        <f t="shared" si="172"/>
        <v>0</v>
      </c>
      <c r="V236" t="e">
        <f t="shared" si="183"/>
        <v>#DIV/0!</v>
      </c>
      <c r="W236" t="e">
        <f t="shared" si="184"/>
        <v>#DIV/0!</v>
      </c>
      <c r="X236" t="e">
        <f t="shared" si="185"/>
        <v>#VALUE!</v>
      </c>
      <c r="Y236" t="e">
        <f t="shared" si="186"/>
        <v>#VALUE!</v>
      </c>
      <c r="Z236" t="e">
        <f t="shared" si="187"/>
        <v>#VALUE!</v>
      </c>
      <c r="AA236" t="e">
        <f t="shared" si="173"/>
        <v>#VALUE!</v>
      </c>
      <c r="AB236" t="str">
        <f t="shared" si="188"/>
        <v/>
      </c>
      <c r="AC236" t="str">
        <f t="shared" si="189"/>
        <v/>
      </c>
      <c r="AD236" t="str">
        <f t="shared" si="190"/>
        <v/>
      </c>
      <c r="AE236" t="str">
        <f t="shared" si="191"/>
        <v/>
      </c>
      <c r="AK236" s="4">
        <f t="shared" si="192"/>
        <v>48.400000000000333</v>
      </c>
      <c r="AL236">
        <f t="shared" si="174"/>
        <v>2809.00000000004</v>
      </c>
      <c r="AM236">
        <f t="shared" si="175"/>
        <v>9485.0333333332856</v>
      </c>
      <c r="AN236">
        <f>IF($AK235+$AK$1&lt;=Data!$H$4-0.5,AVERAGE(AM234:AM238),AN235)</f>
        <v>9485.0333333332856</v>
      </c>
      <c r="AO236">
        <f t="shared" si="176"/>
        <v>8052.99999999996</v>
      </c>
      <c r="AP236">
        <f t="shared" si="193"/>
        <v>9056.9999999999145</v>
      </c>
      <c r="AQ236">
        <f>IF($AK235+$AK$1&lt;=Data!$H$4-0.5,AVERAGE(AP234:AP238),AQ235)</f>
        <v>9056.9999999999163</v>
      </c>
      <c r="AR236">
        <f>IF($AK235+$AK$1&lt;=Data!$H$4-0.5,SLOPE($AN232:$AN240,$AK232:$AK240),AR235)</f>
        <v>-142.49166666666778</v>
      </c>
      <c r="AS236">
        <f>IF($AK235+$AK$1&lt;=Data!$H$4-0.5,SLOPE($AQ232:$AQ240,$AK232:$AK240),AS235)</f>
        <v>-249.70000000000388</v>
      </c>
      <c r="AT236">
        <f>IF(AND($AK236&gt;=Results!$G$13,$AK236&lt;=Results!$G$14),Curves!AR236,"")</f>
        <v>-142.49166666666778</v>
      </c>
      <c r="AU236">
        <f>IF(AND($AK236&gt;=Results!$G$13,$AK236&lt;=Results!$G$14),Curves!AS236,"")</f>
        <v>-249.70000000000388</v>
      </c>
      <c r="AV236" t="str">
        <f t="shared" si="177"/>
        <v/>
      </c>
      <c r="AW236" t="str">
        <f>IF(AND($AK236&lt;=Results!$I$21,$AK236&gt;=Results!$I$20,$AK236&lt;=Results!$F$4),$AN236,"")</f>
        <v/>
      </c>
      <c r="AX236" t="str">
        <f t="shared" si="177"/>
        <v/>
      </c>
      <c r="AY236" t="str">
        <f>IF(AND($AK236&lt;=Results!$I$23,$AK236&gt;=Results!$I$22,$AK236&gt;=Results!$F$4),$AN236,"")</f>
        <v/>
      </c>
      <c r="AZ236" t="str">
        <f t="shared" si="150"/>
        <v/>
      </c>
      <c r="BA236" t="str">
        <f>IF(AND($AK236&lt;=Results!$I$27,$AK236&gt;=Results!$I$26,$AK236&lt;=Results!$F$4),$AQ236,"")</f>
        <v/>
      </c>
      <c r="BB236" t="str">
        <f t="shared" si="151"/>
        <v/>
      </c>
      <c r="BC236" t="str">
        <f>IF(AND($AK236&lt;=Results!$I$29,$AK236&gt;=Results!$I$28,$AK236&gt;=Results!$F$4),$AQ236,"")</f>
        <v/>
      </c>
      <c r="BD236">
        <f t="shared" si="152"/>
        <v>9546.4534388154752</v>
      </c>
      <c r="BE236">
        <f t="shared" si="153"/>
        <v>1870.1671742692677</v>
      </c>
      <c r="BF236">
        <f t="shared" si="154"/>
        <v>9656.8965454981844</v>
      </c>
      <c r="BG236">
        <f t="shared" si="155"/>
        <v>1272.2033727714152</v>
      </c>
      <c r="BH236">
        <f t="shared" si="156"/>
        <v>0</v>
      </c>
      <c r="BI236">
        <f t="shared" si="157"/>
        <v>0.99199872133926725</v>
      </c>
      <c r="BJ236">
        <f t="shared" si="158"/>
        <v>0.92845336935529421</v>
      </c>
      <c r="BK236">
        <f t="shared" si="159"/>
        <v>-4.6543166285899938E-3</v>
      </c>
      <c r="BL236">
        <f t="shared" si="160"/>
        <v>-2.1895687330492318E-2</v>
      </c>
      <c r="BM236">
        <f t="shared" si="178"/>
        <v>120.00000000000055</v>
      </c>
      <c r="BN236">
        <f t="shared" si="179"/>
        <v>-119.99999999999829</v>
      </c>
      <c r="BO236">
        <f>Data!$H$2*(1-BI236)*(1-BI236/Data!$H$3)*BM236</f>
        <v>1.5364910449607405E-8</v>
      </c>
      <c r="BP236">
        <f t="shared" si="161"/>
        <v>-119.03984656071262</v>
      </c>
      <c r="BQ236">
        <f>Data!$H$2*(1-BJ236)*(1-BJ236/Data!$H$3)*BN236</f>
        <v>-1.2285408855863712E-6</v>
      </c>
      <c r="BR236">
        <f t="shared" si="162"/>
        <v>111.41440432263373</v>
      </c>
      <c r="BS236">
        <f t="shared" si="163"/>
        <v>0</v>
      </c>
      <c r="BT236">
        <f t="shared" si="164"/>
        <v>0</v>
      </c>
      <c r="BU236">
        <f t="shared" si="165"/>
        <v>0</v>
      </c>
      <c r="BV236">
        <f t="shared" si="166"/>
        <v>0</v>
      </c>
      <c r="BW236">
        <f t="shared" si="180"/>
        <v>0</v>
      </c>
      <c r="BX236" t="str">
        <f t="shared" si="181"/>
        <v/>
      </c>
      <c r="BY236" s="66" t="str">
        <f t="shared" si="167"/>
        <v/>
      </c>
      <c r="BZ236" t="str">
        <f t="shared" si="168"/>
        <v/>
      </c>
      <c r="CA236" s="67" t="str">
        <f t="shared" si="169"/>
        <v/>
      </c>
    </row>
    <row r="237" spans="4:79" x14ac:dyDescent="0.25">
      <c r="D237" s="3" t="e">
        <f t="shared" si="194"/>
        <v>#DIV/0!</v>
      </c>
      <c r="E237" s="3" t="e">
        <f t="shared" si="194"/>
        <v>#DIV/0!</v>
      </c>
      <c r="F237" t="str">
        <f>IF(A237&gt;0,IF(F236=1,1,IF(B237=Data!$H$4,1,0)),"")</f>
        <v/>
      </c>
      <c r="Q237" t="str">
        <f t="shared" si="170"/>
        <v/>
      </c>
      <c r="R237" s="4" t="str">
        <f t="shared" si="171"/>
        <v/>
      </c>
      <c r="S237" t="e">
        <f t="shared" si="182"/>
        <v>#DIV/0!</v>
      </c>
      <c r="T237" t="e">
        <f t="shared" si="195"/>
        <v>#DIV/0!</v>
      </c>
      <c r="U237" s="4">
        <f t="shared" si="172"/>
        <v>0</v>
      </c>
      <c r="V237" t="e">
        <f t="shared" si="183"/>
        <v>#DIV/0!</v>
      </c>
      <c r="W237" t="e">
        <f t="shared" si="184"/>
        <v>#DIV/0!</v>
      </c>
      <c r="X237" t="e">
        <f t="shared" si="185"/>
        <v>#VALUE!</v>
      </c>
      <c r="Y237" t="e">
        <f t="shared" si="186"/>
        <v>#VALUE!</v>
      </c>
      <c r="Z237" t="e">
        <f t="shared" si="187"/>
        <v>#VALUE!</v>
      </c>
      <c r="AA237" t="e">
        <f t="shared" si="173"/>
        <v>#VALUE!</v>
      </c>
      <c r="AB237" t="str">
        <f t="shared" si="188"/>
        <v/>
      </c>
      <c r="AC237" t="str">
        <f t="shared" si="189"/>
        <v/>
      </c>
      <c r="AD237" t="str">
        <f t="shared" si="190"/>
        <v/>
      </c>
      <c r="AE237" t="str">
        <f t="shared" si="191"/>
        <v/>
      </c>
      <c r="AK237" s="4">
        <f t="shared" si="192"/>
        <v>48.500000000000334</v>
      </c>
      <c r="AL237">
        <f t="shared" si="174"/>
        <v>2821.00000000004</v>
      </c>
      <c r="AM237">
        <f t="shared" si="175"/>
        <v>9470.7499999999527</v>
      </c>
      <c r="AN237">
        <f>IF($AK236+$AK$1&lt;=Data!$H$4-0.5,AVERAGE(AM235:AM239),AN236)</f>
        <v>9470.7499999999527</v>
      </c>
      <c r="AO237">
        <f t="shared" si="176"/>
        <v>8040.99999999996</v>
      </c>
      <c r="AP237">
        <f t="shared" si="193"/>
        <v>9031.8333333332484</v>
      </c>
      <c r="AQ237">
        <f>IF($AK236+$AK$1&lt;=Data!$H$4-0.5,AVERAGE(AP235:AP239),AQ236)</f>
        <v>9031.8333333332466</v>
      </c>
      <c r="AR237">
        <f>IF($AK236+$AK$1&lt;=Data!$H$4-0.5,SLOPE($AN233:$AN241,$AK233:$AK241),AR236)</f>
        <v>-143.02444444444649</v>
      </c>
      <c r="AS237">
        <f>IF($AK236+$AK$1&lt;=Data!$H$4-0.5,SLOPE($AQ233:$AQ241,$AK233:$AK241),AS236)</f>
        <v>-251.76888888889459</v>
      </c>
      <c r="AT237">
        <f>IF(AND($AK237&gt;=Results!$G$13,$AK237&lt;=Results!$G$14),Curves!AR237,"")</f>
        <v>-143.02444444444649</v>
      </c>
      <c r="AU237">
        <f>IF(AND($AK237&gt;=Results!$G$13,$AK237&lt;=Results!$G$14),Curves!AS237,"")</f>
        <v>-251.76888888889459</v>
      </c>
      <c r="AV237" t="str">
        <f t="shared" si="177"/>
        <v/>
      </c>
      <c r="AW237" t="str">
        <f>IF(AND($AK237&lt;=Results!$I$21,$AK237&gt;=Results!$I$20,$AK237&lt;=Results!$F$4),$AN237,"")</f>
        <v/>
      </c>
      <c r="AX237" t="str">
        <f t="shared" si="177"/>
        <v/>
      </c>
      <c r="AY237" t="str">
        <f>IF(AND($AK237&lt;=Results!$I$23,$AK237&gt;=Results!$I$22,$AK237&gt;=Results!$F$4),$AN237,"")</f>
        <v/>
      </c>
      <c r="AZ237" t="str">
        <f t="shared" si="150"/>
        <v/>
      </c>
      <c r="BA237" t="str">
        <f>IF(AND($AK237&lt;=Results!$I$27,$AK237&gt;=Results!$I$26,$AK237&lt;=Results!$F$4),$AQ237,"")</f>
        <v/>
      </c>
      <c r="BB237" t="str">
        <f t="shared" si="151"/>
        <v/>
      </c>
      <c r="BC237" t="str">
        <f>IF(AND($AK237&lt;=Results!$I$29,$AK237&gt;=Results!$I$28,$AK237&gt;=Results!$F$4),$AQ237,"")</f>
        <v/>
      </c>
      <c r="BD237">
        <f t="shared" si="152"/>
        <v>9535.6832440175567</v>
      </c>
      <c r="BE237">
        <f t="shared" si="153"/>
        <v>1866.851385019947</v>
      </c>
      <c r="BF237">
        <f t="shared" si="154"/>
        <v>9649.6065632652899</v>
      </c>
      <c r="BG237">
        <f t="shared" si="155"/>
        <v>1271.6525718118901</v>
      </c>
      <c r="BH237">
        <f t="shared" si="156"/>
        <v>0</v>
      </c>
      <c r="BI237">
        <f t="shared" si="157"/>
        <v>0.99153283769790579</v>
      </c>
      <c r="BJ237">
        <f t="shared" si="158"/>
        <v>0.92626204076051832</v>
      </c>
      <c r="BK237">
        <f t="shared" si="159"/>
        <v>-4.6633693916874773E-3</v>
      </c>
      <c r="BL237">
        <f t="shared" si="160"/>
        <v>-2.1930927067910465E-2</v>
      </c>
      <c r="BM237">
        <f t="shared" si="178"/>
        <v>119.99999999999829</v>
      </c>
      <c r="BN237">
        <f t="shared" si="179"/>
        <v>-119.99999999999829</v>
      </c>
      <c r="BO237">
        <f>Data!$H$2*(1-BI237)*(1-BI237/Data!$H$3)*BM237</f>
        <v>1.7206280988001036E-8</v>
      </c>
      <c r="BP237">
        <f t="shared" si="161"/>
        <v>-118.98394052374701</v>
      </c>
      <c r="BQ237">
        <f>Data!$H$2*(1-BJ237)*(1-BJ237/Data!$H$3)*BN237</f>
        <v>-1.304948791872812E-6</v>
      </c>
      <c r="BR237">
        <f t="shared" si="162"/>
        <v>111.15144489126062</v>
      </c>
      <c r="BS237">
        <f t="shared" si="163"/>
        <v>0</v>
      </c>
      <c r="BT237">
        <f t="shared" si="164"/>
        <v>0</v>
      </c>
      <c r="BU237">
        <f t="shared" si="165"/>
        <v>0</v>
      </c>
      <c r="BV237">
        <f t="shared" si="166"/>
        <v>0</v>
      </c>
      <c r="BW237">
        <f t="shared" si="180"/>
        <v>0</v>
      </c>
      <c r="BX237" t="str">
        <f t="shared" si="181"/>
        <v/>
      </c>
      <c r="BY237" s="66" t="str">
        <f t="shared" si="167"/>
        <v/>
      </c>
      <c r="BZ237" t="str">
        <f t="shared" si="168"/>
        <v/>
      </c>
      <c r="CA237" s="67" t="str">
        <f t="shared" si="169"/>
        <v/>
      </c>
    </row>
    <row r="238" spans="4:79" x14ac:dyDescent="0.25">
      <c r="D238" s="3" t="e">
        <f t="shared" si="194"/>
        <v>#DIV/0!</v>
      </c>
      <c r="E238" s="3" t="e">
        <f t="shared" si="194"/>
        <v>#DIV/0!</v>
      </c>
      <c r="F238" t="str">
        <f>IF(A238&gt;0,IF(F237=1,1,IF(B238=Data!$H$4,1,0)),"")</f>
        <v/>
      </c>
      <c r="Q238" t="str">
        <f t="shared" si="170"/>
        <v/>
      </c>
      <c r="R238" s="4" t="str">
        <f t="shared" si="171"/>
        <v/>
      </c>
      <c r="S238" t="e">
        <f t="shared" si="182"/>
        <v>#DIV/0!</v>
      </c>
      <c r="T238" t="e">
        <f t="shared" si="195"/>
        <v>#DIV/0!</v>
      </c>
      <c r="U238" s="4">
        <f t="shared" si="172"/>
        <v>0</v>
      </c>
      <c r="V238" t="e">
        <f t="shared" si="183"/>
        <v>#DIV/0!</v>
      </c>
      <c r="W238" t="e">
        <f t="shared" si="184"/>
        <v>#DIV/0!</v>
      </c>
      <c r="X238" t="e">
        <f t="shared" si="185"/>
        <v>#VALUE!</v>
      </c>
      <c r="Y238" t="e">
        <f t="shared" si="186"/>
        <v>#VALUE!</v>
      </c>
      <c r="Z238" t="e">
        <f t="shared" si="187"/>
        <v>#VALUE!</v>
      </c>
      <c r="AA238" t="e">
        <f t="shared" si="173"/>
        <v>#VALUE!</v>
      </c>
      <c r="AB238" t="str">
        <f t="shared" si="188"/>
        <v/>
      </c>
      <c r="AC238" t="str">
        <f t="shared" si="189"/>
        <v/>
      </c>
      <c r="AD238" t="str">
        <f t="shared" si="190"/>
        <v/>
      </c>
      <c r="AE238" t="str">
        <f t="shared" si="191"/>
        <v/>
      </c>
      <c r="AK238" s="4">
        <f t="shared" si="192"/>
        <v>48.600000000000335</v>
      </c>
      <c r="AL238">
        <f t="shared" si="174"/>
        <v>2833.00000000004</v>
      </c>
      <c r="AM238">
        <f t="shared" si="175"/>
        <v>9456.466666666618</v>
      </c>
      <c r="AN238">
        <f>IF($AK237+$AK$1&lt;=Data!$H$4-0.5,AVERAGE(AM236:AM240),AN237)</f>
        <v>9456.466666666618</v>
      </c>
      <c r="AO238">
        <f t="shared" si="176"/>
        <v>8028.99999999996</v>
      </c>
      <c r="AP238">
        <f t="shared" si="193"/>
        <v>9006.6666666665806</v>
      </c>
      <c r="AQ238">
        <f>IF($AK237+$AK$1&lt;=Data!$H$4-0.5,AVERAGE(AP236:AP240),AQ237)</f>
        <v>9006.6666666665806</v>
      </c>
      <c r="AR238">
        <f>IF($AK237+$AK$1&lt;=Data!$H$4-0.5,SLOPE($AN234:$AN242,$AK234:$AK242),AR237)</f>
        <v>-143.89166666666952</v>
      </c>
      <c r="AS238">
        <f>IF($AK237+$AK$1&lt;=Data!$H$4-0.5,SLOPE($AQ234:$AQ242,$AK234:$AK242),AS237)</f>
        <v>-254.01666666667435</v>
      </c>
      <c r="AT238">
        <f>IF(AND($AK238&gt;=Results!$G$13,$AK238&lt;=Results!$G$14),Curves!AR238,"")</f>
        <v>-143.89166666666952</v>
      </c>
      <c r="AU238">
        <f>IF(AND($AK238&gt;=Results!$G$13,$AK238&lt;=Results!$G$14),Curves!AS238,"")</f>
        <v>-254.01666666667435</v>
      </c>
      <c r="AV238" t="str">
        <f t="shared" si="177"/>
        <v/>
      </c>
      <c r="AW238" t="str">
        <f>IF(AND($AK238&lt;=Results!$I$21,$AK238&gt;=Results!$I$20,$AK238&lt;=Results!$F$4),$AN238,"")</f>
        <v/>
      </c>
      <c r="AX238" t="str">
        <f t="shared" si="177"/>
        <v/>
      </c>
      <c r="AY238" t="str">
        <f>IF(AND($AK238&lt;=Results!$I$23,$AK238&gt;=Results!$I$22,$AK238&gt;=Results!$F$4),$AN238,"")</f>
        <v/>
      </c>
      <c r="AZ238" t="str">
        <f t="shared" si="150"/>
        <v/>
      </c>
      <c r="BA238" t="str">
        <f>IF(AND($AK238&lt;=Results!$I$27,$AK238&gt;=Results!$I$26,$AK238&lt;=Results!$F$4),$AQ238,"")</f>
        <v/>
      </c>
      <c r="BB238" t="str">
        <f t="shared" si="151"/>
        <v/>
      </c>
      <c r="BC238" t="str">
        <f>IF(AND($AK238&lt;=Results!$I$29,$AK238&gt;=Results!$I$28,$AK238&gt;=Results!$F$4),$AQ238,"")</f>
        <v/>
      </c>
      <c r="BD238">
        <f t="shared" si="152"/>
        <v>9524.9130492196346</v>
      </c>
      <c r="BE238">
        <f t="shared" si="153"/>
        <v>1863.5355957706261</v>
      </c>
      <c r="BF238">
        <f t="shared" si="154"/>
        <v>9642.3165810323972</v>
      </c>
      <c r="BG238">
        <f t="shared" si="155"/>
        <v>1271.101770852365</v>
      </c>
      <c r="BH238">
        <f t="shared" si="156"/>
        <v>0</v>
      </c>
      <c r="BI238">
        <f t="shared" si="157"/>
        <v>0.99106604746092974</v>
      </c>
      <c r="BJ238">
        <f t="shared" si="158"/>
        <v>0.92406718394171206</v>
      </c>
      <c r="BK238">
        <f t="shared" si="159"/>
        <v>-4.672448592281042E-3</v>
      </c>
      <c r="BL238">
        <f t="shared" si="160"/>
        <v>-2.196625194808146E-2</v>
      </c>
      <c r="BM238">
        <f t="shared" si="178"/>
        <v>120.00000000000055</v>
      </c>
      <c r="BN238">
        <f t="shared" si="179"/>
        <v>-119.99999999999829</v>
      </c>
      <c r="BO238">
        <f>Data!$H$2*(1-BI238)*(1-BI238/Data!$H$3)*BM238</f>
        <v>1.9155721912886457E-8</v>
      </c>
      <c r="BP238">
        <f t="shared" si="161"/>
        <v>-118.92792569531211</v>
      </c>
      <c r="BQ238">
        <f>Data!$H$2*(1-BJ238)*(1-BJ238/Data!$H$3)*BN238</f>
        <v>-1.3837902130900101E-6</v>
      </c>
      <c r="BR238">
        <f t="shared" si="162"/>
        <v>110.88806207300387</v>
      </c>
      <c r="BS238">
        <f t="shared" si="163"/>
        <v>0</v>
      </c>
      <c r="BT238">
        <f t="shared" si="164"/>
        <v>0</v>
      </c>
      <c r="BU238">
        <f t="shared" si="165"/>
        <v>0</v>
      </c>
      <c r="BV238">
        <f t="shared" si="166"/>
        <v>0</v>
      </c>
      <c r="BW238">
        <f t="shared" si="180"/>
        <v>0</v>
      </c>
      <c r="BX238" t="str">
        <f t="shared" si="181"/>
        <v/>
      </c>
      <c r="BY238" s="66" t="str">
        <f t="shared" si="167"/>
        <v/>
      </c>
      <c r="BZ238" t="str">
        <f t="shared" si="168"/>
        <v/>
      </c>
      <c r="CA238" s="67" t="str">
        <f t="shared" si="169"/>
        <v/>
      </c>
    </row>
    <row r="239" spans="4:79" x14ac:dyDescent="0.25">
      <c r="D239" s="3" t="e">
        <f t="shared" si="194"/>
        <v>#DIV/0!</v>
      </c>
      <c r="E239" s="3" t="e">
        <f t="shared" si="194"/>
        <v>#DIV/0!</v>
      </c>
      <c r="F239" t="str">
        <f>IF(A239&gt;0,IF(F238=1,1,IF(B239=Data!$H$4,1,0)),"")</f>
        <v/>
      </c>
      <c r="Q239" t="str">
        <f t="shared" si="170"/>
        <v/>
      </c>
      <c r="R239" s="4" t="str">
        <f t="shared" si="171"/>
        <v/>
      </c>
      <c r="S239" t="e">
        <f t="shared" si="182"/>
        <v>#DIV/0!</v>
      </c>
      <c r="T239" t="e">
        <f t="shared" si="195"/>
        <v>#DIV/0!</v>
      </c>
      <c r="U239" s="4">
        <f t="shared" si="172"/>
        <v>0</v>
      </c>
      <c r="V239" t="e">
        <f t="shared" si="183"/>
        <v>#DIV/0!</v>
      </c>
      <c r="W239" t="e">
        <f t="shared" si="184"/>
        <v>#DIV/0!</v>
      </c>
      <c r="X239" t="e">
        <f t="shared" si="185"/>
        <v>#VALUE!</v>
      </c>
      <c r="Y239" t="e">
        <f t="shared" si="186"/>
        <v>#VALUE!</v>
      </c>
      <c r="Z239" t="e">
        <f t="shared" si="187"/>
        <v>#VALUE!</v>
      </c>
      <c r="AA239" t="e">
        <f t="shared" si="173"/>
        <v>#VALUE!</v>
      </c>
      <c r="AB239" t="str">
        <f t="shared" si="188"/>
        <v/>
      </c>
      <c r="AC239" t="str">
        <f t="shared" si="189"/>
        <v/>
      </c>
      <c r="AD239" t="str">
        <f t="shared" si="190"/>
        <v/>
      </c>
      <c r="AE239" t="str">
        <f t="shared" si="191"/>
        <v/>
      </c>
      <c r="AK239" s="4">
        <f t="shared" si="192"/>
        <v>48.700000000000337</v>
      </c>
      <c r="AL239">
        <f t="shared" si="174"/>
        <v>2845.0000000000405</v>
      </c>
      <c r="AM239">
        <f t="shared" si="175"/>
        <v>9442.1833333332852</v>
      </c>
      <c r="AN239">
        <f>IF($AK238+$AK$1&lt;=Data!$H$4-0.5,AVERAGE(AM237:AM241),AN238)</f>
        <v>9442.1833333332852</v>
      </c>
      <c r="AO239">
        <f t="shared" si="176"/>
        <v>8016.99999999996</v>
      </c>
      <c r="AP239">
        <f t="shared" si="193"/>
        <v>8981.4999999999145</v>
      </c>
      <c r="AQ239">
        <f>IF($AK238+$AK$1&lt;=Data!$H$4-0.5,AVERAGE(AP237:AP241),AQ238)</f>
        <v>8981.4999999999163</v>
      </c>
      <c r="AR239">
        <f>IF($AK238+$AK$1&lt;=Data!$H$4-0.5,SLOPE($AN235:$AN243,$AK235:$AK243),AR238)</f>
        <v>-145.30277777778252</v>
      </c>
      <c r="AS239">
        <f>IF($AK238+$AK$1&lt;=Data!$H$4-0.5,SLOPE($AQ235:$AQ243,$AK235:$AK243),AS238)</f>
        <v>-257.15000000001299</v>
      </c>
      <c r="AT239">
        <f>IF(AND($AK239&gt;=Results!$G$13,$AK239&lt;=Results!$G$14),Curves!AR239,"")</f>
        <v>-145.30277777778252</v>
      </c>
      <c r="AU239">
        <f>IF(AND($AK239&gt;=Results!$G$13,$AK239&lt;=Results!$G$14),Curves!AS239,"")</f>
        <v>-257.15000000001299</v>
      </c>
      <c r="AV239" t="str">
        <f t="shared" si="177"/>
        <v/>
      </c>
      <c r="AW239" t="str">
        <f>IF(AND($AK239&lt;=Results!$I$21,$AK239&gt;=Results!$I$20,$AK239&lt;=Results!$F$4),$AN239,"")</f>
        <v/>
      </c>
      <c r="AX239" t="str">
        <f t="shared" si="177"/>
        <v/>
      </c>
      <c r="AY239" t="str">
        <f>IF(AND($AK239&lt;=Results!$I$23,$AK239&gt;=Results!$I$22,$AK239&gt;=Results!$F$4),$AN239,"")</f>
        <v/>
      </c>
      <c r="AZ239" t="str">
        <f t="shared" si="150"/>
        <v/>
      </c>
      <c r="BA239" t="str">
        <f>IF(AND($AK239&lt;=Results!$I$27,$AK239&gt;=Results!$I$26,$AK239&lt;=Results!$F$4),$AQ239,"")</f>
        <v/>
      </c>
      <c r="BB239" t="str">
        <f t="shared" si="151"/>
        <v/>
      </c>
      <c r="BC239" t="str">
        <f>IF(AND($AK239&lt;=Results!$I$29,$AK239&gt;=Results!$I$28,$AK239&gt;=Results!$F$4),$AQ239,"")</f>
        <v/>
      </c>
      <c r="BD239">
        <f t="shared" si="152"/>
        <v>9514.142854421716</v>
      </c>
      <c r="BE239">
        <f t="shared" si="153"/>
        <v>1860.2198065213054</v>
      </c>
      <c r="BF239">
        <f t="shared" si="154"/>
        <v>9635.0265987995044</v>
      </c>
      <c r="BG239">
        <f t="shared" si="155"/>
        <v>1270.5509698928399</v>
      </c>
      <c r="BH239">
        <f t="shared" si="156"/>
        <v>0</v>
      </c>
      <c r="BI239">
        <f t="shared" si="157"/>
        <v>0.99059834797944957</v>
      </c>
      <c r="BJ239">
        <f t="shared" si="158"/>
        <v>0.92186879037090197</v>
      </c>
      <c r="BK239">
        <f t="shared" si="159"/>
        <v>-4.6815543334160379E-3</v>
      </c>
      <c r="BL239">
        <f t="shared" si="160"/>
        <v>-2.2001662245519044E-2</v>
      </c>
      <c r="BM239">
        <f t="shared" si="178"/>
        <v>120.00000000000055</v>
      </c>
      <c r="BN239">
        <f t="shared" si="179"/>
        <v>-120.00000000000284</v>
      </c>
      <c r="BO239">
        <f>Data!$H$2*(1-BI239)*(1-BI239/Data!$H$3)*BM239</f>
        <v>2.1213854571724906E-8</v>
      </c>
      <c r="BP239">
        <f t="shared" si="161"/>
        <v>-118.8718017575345</v>
      </c>
      <c r="BQ239">
        <f>Data!$H$2*(1-BJ239)*(1-BJ239/Data!$H$3)*BN239</f>
        <v>-1.4650766203454893E-6</v>
      </c>
      <c r="BR239">
        <f t="shared" si="162"/>
        <v>110.62425484451086</v>
      </c>
      <c r="BS239">
        <f t="shared" si="163"/>
        <v>0</v>
      </c>
      <c r="BT239">
        <f t="shared" si="164"/>
        <v>0</v>
      </c>
      <c r="BU239">
        <f t="shared" si="165"/>
        <v>0</v>
      </c>
      <c r="BV239">
        <f t="shared" si="166"/>
        <v>0</v>
      </c>
      <c r="BW239">
        <f t="shared" si="180"/>
        <v>0</v>
      </c>
      <c r="BX239" t="str">
        <f t="shared" si="181"/>
        <v/>
      </c>
      <c r="BY239" s="66" t="str">
        <f t="shared" si="167"/>
        <v/>
      </c>
      <c r="BZ239" t="str">
        <f t="shared" si="168"/>
        <v/>
      </c>
      <c r="CA239" s="67" t="str">
        <f t="shared" si="169"/>
        <v/>
      </c>
    </row>
    <row r="240" spans="4:79" x14ac:dyDescent="0.25">
      <c r="D240" s="3" t="e">
        <f t="shared" si="194"/>
        <v>#DIV/0!</v>
      </c>
      <c r="E240" s="3" t="e">
        <f t="shared" si="194"/>
        <v>#DIV/0!</v>
      </c>
      <c r="F240" t="str">
        <f>IF(A240&gt;0,IF(F239=1,1,IF(B240=Data!$H$4,1,0)),"")</f>
        <v/>
      </c>
      <c r="Q240" t="str">
        <f t="shared" si="170"/>
        <v/>
      </c>
      <c r="R240" s="4" t="str">
        <f t="shared" si="171"/>
        <v/>
      </c>
      <c r="S240" t="e">
        <f t="shared" si="182"/>
        <v>#DIV/0!</v>
      </c>
      <c r="T240" t="e">
        <f t="shared" si="195"/>
        <v>#DIV/0!</v>
      </c>
      <c r="U240" s="4">
        <f t="shared" si="172"/>
        <v>0</v>
      </c>
      <c r="V240" t="e">
        <f t="shared" si="183"/>
        <v>#DIV/0!</v>
      </c>
      <c r="W240" t="e">
        <f t="shared" si="184"/>
        <v>#DIV/0!</v>
      </c>
      <c r="X240" t="e">
        <f t="shared" si="185"/>
        <v>#VALUE!</v>
      </c>
      <c r="Y240" t="e">
        <f t="shared" si="186"/>
        <v>#VALUE!</v>
      </c>
      <c r="Z240" t="e">
        <f t="shared" si="187"/>
        <v>#VALUE!</v>
      </c>
      <c r="AA240" t="e">
        <f t="shared" si="173"/>
        <v>#VALUE!</v>
      </c>
      <c r="AB240" t="str">
        <f t="shared" si="188"/>
        <v/>
      </c>
      <c r="AC240" t="str">
        <f t="shared" si="189"/>
        <v/>
      </c>
      <c r="AD240" t="str">
        <f t="shared" si="190"/>
        <v/>
      </c>
      <c r="AE240" t="str">
        <f t="shared" si="191"/>
        <v/>
      </c>
      <c r="AK240" s="4">
        <f t="shared" si="192"/>
        <v>48.800000000000338</v>
      </c>
      <c r="AL240">
        <f t="shared" si="174"/>
        <v>2857.0000000000405</v>
      </c>
      <c r="AM240">
        <f t="shared" si="175"/>
        <v>9427.8999999999523</v>
      </c>
      <c r="AN240">
        <f>IF($AK239+$AK$1&lt;=Data!$H$4-0.5,AVERAGE(AM238:AM242),AN239)</f>
        <v>9427.8999999999505</v>
      </c>
      <c r="AO240">
        <f t="shared" si="176"/>
        <v>8004.9999999999591</v>
      </c>
      <c r="AP240">
        <f t="shared" si="193"/>
        <v>8956.3333333332484</v>
      </c>
      <c r="AQ240">
        <f>IF($AK239+$AK$1&lt;=Data!$H$4-0.5,AVERAGE(AP238:AP242),AQ239)</f>
        <v>8956.3333333332448</v>
      </c>
      <c r="AR240">
        <f>IF($AK239+$AK$1&lt;=Data!$H$4-0.5,SLOPE($AN236:$AN244,$AK236:$AK244),AR239)</f>
        <v>-147.4194444444517</v>
      </c>
      <c r="AS240">
        <f>IF($AK239+$AK$1&lt;=Data!$H$4-0.5,SLOPE($AQ236:$AQ244,$AK236:$AK244),AS239)</f>
        <v>-261.85000000001907</v>
      </c>
      <c r="AT240">
        <f>IF(AND($AK240&gt;=Results!$G$13,$AK240&lt;=Results!$G$14),Curves!AR240,"")</f>
        <v>-147.4194444444517</v>
      </c>
      <c r="AU240">
        <f>IF(AND($AK240&gt;=Results!$G$13,$AK240&lt;=Results!$G$14),Curves!AS240,"")</f>
        <v>-261.85000000001907</v>
      </c>
      <c r="AV240" t="str">
        <f t="shared" si="177"/>
        <v/>
      </c>
      <c r="AW240" t="str">
        <f>IF(AND($AK240&lt;=Results!$I$21,$AK240&gt;=Results!$I$20,$AK240&lt;=Results!$F$4),$AN240,"")</f>
        <v/>
      </c>
      <c r="AX240" t="str">
        <f t="shared" si="177"/>
        <v/>
      </c>
      <c r="AY240" t="str">
        <f>IF(AND($AK240&lt;=Results!$I$23,$AK240&gt;=Results!$I$22,$AK240&gt;=Results!$F$4),$AN240,"")</f>
        <v/>
      </c>
      <c r="AZ240" t="str">
        <f t="shared" si="150"/>
        <v/>
      </c>
      <c r="BA240" t="str">
        <f>IF(AND($AK240&lt;=Results!$I$27,$AK240&gt;=Results!$I$26,$AK240&lt;=Results!$F$4),$AQ240,"")</f>
        <v/>
      </c>
      <c r="BB240" t="str">
        <f t="shared" si="151"/>
        <v/>
      </c>
      <c r="BC240" t="str">
        <f>IF(AND($AK240&lt;=Results!$I$29,$AK240&gt;=Results!$I$28,$AK240&gt;=Results!$F$4),$AQ240,"")</f>
        <v/>
      </c>
      <c r="BD240">
        <f t="shared" si="152"/>
        <v>9503.3726596237975</v>
      </c>
      <c r="BE240">
        <f t="shared" si="153"/>
        <v>1856.9040172719845</v>
      </c>
      <c r="BF240">
        <f t="shared" si="154"/>
        <v>9627.7366165666117</v>
      </c>
      <c r="BG240">
        <f t="shared" si="155"/>
        <v>1270.0001689333151</v>
      </c>
      <c r="BH240">
        <f t="shared" si="156"/>
        <v>0</v>
      </c>
      <c r="BI240">
        <f t="shared" si="157"/>
        <v>0.99012973659424652</v>
      </c>
      <c r="BJ240">
        <f t="shared" si="158"/>
        <v>0.91966685149260818</v>
      </c>
      <c r="BK240">
        <f t="shared" si="159"/>
        <v>-4.9677730809643394E-3</v>
      </c>
      <c r="BL240">
        <f t="shared" si="160"/>
        <v>-2.2599965269541011E-2</v>
      </c>
      <c r="BM240">
        <f t="shared" si="178"/>
        <v>120.00000000000055</v>
      </c>
      <c r="BN240">
        <f t="shared" si="179"/>
        <v>-120.00000000000284</v>
      </c>
      <c r="BO240">
        <f>Data!$H$2*(1-BI240)*(1-BI240/Data!$H$3)*BM240</f>
        <v>2.3381303927749599E-8</v>
      </c>
      <c r="BP240">
        <f t="shared" si="161"/>
        <v>-118.81556839131014</v>
      </c>
      <c r="BQ240">
        <f>Data!$H$2*(1-BJ240)*(1-BJ240/Data!$H$3)*BN240</f>
        <v>-1.5488195397865969E-6</v>
      </c>
      <c r="BR240">
        <f t="shared" si="162"/>
        <v>110.36002217911559</v>
      </c>
      <c r="BS240">
        <f t="shared" si="163"/>
        <v>0</v>
      </c>
      <c r="BT240">
        <f t="shared" si="164"/>
        <v>0</v>
      </c>
      <c r="BU240">
        <f t="shared" si="165"/>
        <v>0</v>
      </c>
      <c r="BV240">
        <f t="shared" si="166"/>
        <v>0</v>
      </c>
      <c r="BW240">
        <f t="shared" si="180"/>
        <v>0</v>
      </c>
      <c r="BX240" t="str">
        <f t="shared" si="181"/>
        <v/>
      </c>
      <c r="BY240" s="66" t="str">
        <f t="shared" si="167"/>
        <v/>
      </c>
      <c r="BZ240" t="str">
        <f t="shared" si="168"/>
        <v/>
      </c>
      <c r="CA240" s="67" t="str">
        <f t="shared" si="169"/>
        <v/>
      </c>
    </row>
    <row r="241" spans="4:79" x14ac:dyDescent="0.25">
      <c r="D241" s="3" t="e">
        <f t="shared" si="194"/>
        <v>#DIV/0!</v>
      </c>
      <c r="E241" s="3" t="e">
        <f t="shared" si="194"/>
        <v>#DIV/0!</v>
      </c>
      <c r="F241" t="str">
        <f>IF(A241&gt;0,IF(F240=1,1,IF(B241=Data!$H$4,1,0)),"")</f>
        <v/>
      </c>
      <c r="Q241" t="str">
        <f t="shared" si="170"/>
        <v/>
      </c>
      <c r="R241" s="4" t="str">
        <f t="shared" si="171"/>
        <v/>
      </c>
      <c r="S241" t="e">
        <f t="shared" si="182"/>
        <v>#DIV/0!</v>
      </c>
      <c r="T241" t="e">
        <f t="shared" si="195"/>
        <v>#DIV/0!</v>
      </c>
      <c r="U241" s="4">
        <f t="shared" si="172"/>
        <v>0</v>
      </c>
      <c r="V241" t="e">
        <f t="shared" si="183"/>
        <v>#DIV/0!</v>
      </c>
      <c r="W241" t="e">
        <f t="shared" si="184"/>
        <v>#DIV/0!</v>
      </c>
      <c r="X241" t="e">
        <f t="shared" si="185"/>
        <v>#VALUE!</v>
      </c>
      <c r="Y241" t="e">
        <f t="shared" si="186"/>
        <v>#VALUE!</v>
      </c>
      <c r="Z241" t="e">
        <f t="shared" si="187"/>
        <v>#VALUE!</v>
      </c>
      <c r="AA241" t="e">
        <f t="shared" si="173"/>
        <v>#VALUE!</v>
      </c>
      <c r="AB241" t="str">
        <f t="shared" si="188"/>
        <v/>
      </c>
      <c r="AC241" t="str">
        <f t="shared" si="189"/>
        <v/>
      </c>
      <c r="AD241" t="str">
        <f t="shared" si="190"/>
        <v/>
      </c>
      <c r="AE241" t="str">
        <f t="shared" si="191"/>
        <v/>
      </c>
      <c r="AK241" s="4">
        <f t="shared" si="192"/>
        <v>48.90000000000034</v>
      </c>
      <c r="AL241">
        <f t="shared" si="174"/>
        <v>2869.0000000000409</v>
      </c>
      <c r="AM241">
        <f t="shared" si="175"/>
        <v>9413.6166666666195</v>
      </c>
      <c r="AN241">
        <f>IF($AK240+$AK$1&lt;=Data!$H$4-0.5,AVERAGE(AM239:AM243),AN240)</f>
        <v>9413.1933333332818</v>
      </c>
      <c r="AO241">
        <f t="shared" si="176"/>
        <v>7992.9999999999591</v>
      </c>
      <c r="AP241">
        <f t="shared" si="193"/>
        <v>8931.1666666665806</v>
      </c>
      <c r="AQ241">
        <f>IF($AK240+$AK$1&lt;=Data!$H$4-0.5,AVERAGE(AP239:AP243),AQ240)</f>
        <v>8930.2266666665728</v>
      </c>
      <c r="AR241">
        <f>IF($AK240+$AK$1&lt;=Data!$H$4-0.5,SLOPE($AN237:$AN245,$AK237:$AK245),AR240)</f>
        <v>-150.24166666667463</v>
      </c>
      <c r="AS241">
        <f>IF($AK240+$AK$1&lt;=Data!$H$4-0.5,SLOPE($AQ237:$AQ245,$AK237:$AK245),AS240)</f>
        <v>-268.11666666668714</v>
      </c>
      <c r="AT241">
        <f>IF(AND($AK241&gt;=Results!$G$13,$AK241&lt;=Results!$G$14),Curves!AR241,"")</f>
        <v>-150.24166666667463</v>
      </c>
      <c r="AU241">
        <f>IF(AND($AK241&gt;=Results!$G$13,$AK241&lt;=Results!$G$14),Curves!AS241,"")</f>
        <v>-268.11666666668714</v>
      </c>
      <c r="AV241" t="str">
        <f t="shared" si="177"/>
        <v/>
      </c>
      <c r="AW241" t="str">
        <f>IF(AND($AK241&lt;=Results!$I$21,$AK241&gt;=Results!$I$20,$AK241&lt;=Results!$F$4),$AN241,"")</f>
        <v/>
      </c>
      <c r="AX241" t="str">
        <f t="shared" si="177"/>
        <v/>
      </c>
      <c r="AY241" t="str">
        <f>IF(AND($AK241&lt;=Results!$I$23,$AK241&gt;=Results!$I$22,$AK241&gt;=Results!$F$4),$AN241,"")</f>
        <v/>
      </c>
      <c r="AZ241" t="str">
        <f t="shared" si="150"/>
        <v/>
      </c>
      <c r="BA241" t="str">
        <f>IF(AND($AK241&lt;=Results!$I$27,$AK241&gt;=Results!$I$26,$AK241&lt;=Results!$F$4),$AQ241,"")</f>
        <v/>
      </c>
      <c r="BB241" t="str">
        <f t="shared" si="151"/>
        <v/>
      </c>
      <c r="BC241" t="str">
        <f>IF(AND($AK241&lt;=Results!$I$29,$AK241&gt;=Results!$I$28,$AK241&gt;=Results!$F$4),$AQ241,"")</f>
        <v/>
      </c>
      <c r="BD241">
        <f t="shared" si="152"/>
        <v>9492.6024648258754</v>
      </c>
      <c r="BE241">
        <f t="shared" si="153"/>
        <v>1853.5882280226635</v>
      </c>
      <c r="BF241">
        <f t="shared" si="154"/>
        <v>9620.446634333719</v>
      </c>
      <c r="BG241">
        <f t="shared" si="155"/>
        <v>1269.44936797379</v>
      </c>
      <c r="BH241">
        <f t="shared" si="156"/>
        <v>0</v>
      </c>
      <c r="BI241">
        <f t="shared" si="157"/>
        <v>0.98960479336325669</v>
      </c>
      <c r="BJ241">
        <f t="shared" si="158"/>
        <v>0.9173487973169937</v>
      </c>
      <c r="BK241">
        <f t="shared" si="159"/>
        <v>-5.5319169017358557E-3</v>
      </c>
      <c r="BL241">
        <f t="shared" si="160"/>
        <v>-2.3762524938275239E-2</v>
      </c>
      <c r="BM241">
        <f t="shared" si="178"/>
        <v>120.00000000000055</v>
      </c>
      <c r="BN241">
        <f t="shared" si="179"/>
        <v>-119.99999999999829</v>
      </c>
      <c r="BO241">
        <f>Data!$H$2*(1-BI241)*(1-BI241/Data!$H$3)*BM241</f>
        <v>2.593447704494226E-8</v>
      </c>
      <c r="BP241">
        <f t="shared" si="161"/>
        <v>-118.75257520359135</v>
      </c>
      <c r="BQ241">
        <f>Data!$H$2*(1-BJ241)*(1-BJ241/Data!$H$3)*BN241</f>
        <v>-1.6394931131873498E-6</v>
      </c>
      <c r="BR241">
        <f t="shared" si="162"/>
        <v>110.08185567803768</v>
      </c>
      <c r="BS241">
        <f t="shared" si="163"/>
        <v>0</v>
      </c>
      <c r="BT241">
        <f t="shared" si="164"/>
        <v>0</v>
      </c>
      <c r="BU241">
        <f t="shared" si="165"/>
        <v>0</v>
      </c>
      <c r="BV241">
        <f t="shared" si="166"/>
        <v>0</v>
      </c>
      <c r="BW241">
        <f t="shared" si="180"/>
        <v>0</v>
      </c>
      <c r="BX241" t="str">
        <f t="shared" si="181"/>
        <v/>
      </c>
      <c r="BY241" s="66" t="str">
        <f t="shared" si="167"/>
        <v/>
      </c>
      <c r="BZ241" t="str">
        <f t="shared" si="168"/>
        <v/>
      </c>
      <c r="CA241" s="67" t="str">
        <f t="shared" si="169"/>
        <v/>
      </c>
    </row>
    <row r="242" spans="4:79" x14ac:dyDescent="0.25">
      <c r="D242" s="3" t="e">
        <f t="shared" si="194"/>
        <v>#DIV/0!</v>
      </c>
      <c r="E242" s="3" t="e">
        <f t="shared" si="194"/>
        <v>#DIV/0!</v>
      </c>
      <c r="F242" t="str">
        <f>IF(A242&gt;0,IF(F241=1,1,IF(B242=Data!$H$4,1,0)),"")</f>
        <v/>
      </c>
      <c r="Q242" t="str">
        <f t="shared" si="170"/>
        <v/>
      </c>
      <c r="R242" s="4" t="str">
        <f t="shared" si="171"/>
        <v/>
      </c>
      <c r="S242" t="e">
        <f t="shared" si="182"/>
        <v>#DIV/0!</v>
      </c>
      <c r="T242" t="e">
        <f t="shared" si="195"/>
        <v>#DIV/0!</v>
      </c>
      <c r="U242" s="4">
        <f t="shared" si="172"/>
        <v>0</v>
      </c>
      <c r="V242" t="e">
        <f t="shared" si="183"/>
        <v>#DIV/0!</v>
      </c>
      <c r="W242" t="e">
        <f t="shared" si="184"/>
        <v>#DIV/0!</v>
      </c>
      <c r="X242" t="e">
        <f t="shared" si="185"/>
        <v>#VALUE!</v>
      </c>
      <c r="Y242" t="e">
        <f t="shared" si="186"/>
        <v>#VALUE!</v>
      </c>
      <c r="Z242" t="e">
        <f t="shared" si="187"/>
        <v>#VALUE!</v>
      </c>
      <c r="AA242" t="e">
        <f t="shared" si="173"/>
        <v>#VALUE!</v>
      </c>
      <c r="AB242" t="str">
        <f t="shared" si="188"/>
        <v/>
      </c>
      <c r="AC242" t="str">
        <f t="shared" si="189"/>
        <v/>
      </c>
      <c r="AD242" t="str">
        <f t="shared" si="190"/>
        <v/>
      </c>
      <c r="AE242" t="str">
        <f t="shared" si="191"/>
        <v/>
      </c>
      <c r="AK242" s="4">
        <f t="shared" si="192"/>
        <v>49.000000000000341</v>
      </c>
      <c r="AL242">
        <f t="shared" si="174"/>
        <v>2881.0000000000409</v>
      </c>
      <c r="AM242">
        <f t="shared" si="175"/>
        <v>9399.3333333332776</v>
      </c>
      <c r="AN242">
        <f>IF($AK241+$AK$1&lt;=Data!$H$4-0.5,AVERAGE(AM240:AM244),AN241)</f>
        <v>9398.0633333332808</v>
      </c>
      <c r="AO242">
        <f t="shared" si="176"/>
        <v>7980.9999999999591</v>
      </c>
      <c r="AP242">
        <f t="shared" si="193"/>
        <v>8905.9999999998981</v>
      </c>
      <c r="AQ242">
        <f>IF($AK241+$AK$1&lt;=Data!$H$4-0.5,AVERAGE(AP240:AP244),AQ241)</f>
        <v>8903.1799999999057</v>
      </c>
      <c r="AR242">
        <f>IF($AK241+$AK$1&lt;=Data!$H$4-0.5,SLOPE($AN238:$AN246,$AK238:$AK246),AR241)</f>
        <v>-153.41666666667479</v>
      </c>
      <c r="AS242">
        <f>IF($AK241+$AK$1&lt;=Data!$H$4-0.5,SLOPE($AQ238:$AQ246,$AK238:$AK246),AS241)</f>
        <v>-275.16666666668942</v>
      </c>
      <c r="AT242">
        <f>IF(AND($AK242&gt;=Results!$G$13,$AK242&lt;=Results!$G$14),Curves!AR242,"")</f>
        <v>-153.41666666667479</v>
      </c>
      <c r="AU242">
        <f>IF(AND($AK242&gt;=Results!$G$13,$AK242&lt;=Results!$G$14),Curves!AS242,"")</f>
        <v>-275.16666666668942</v>
      </c>
      <c r="AV242" t="str">
        <f t="shared" si="177"/>
        <v/>
      </c>
      <c r="AW242" t="str">
        <f>IF(AND($AK242&lt;=Results!$I$21,$AK242&gt;=Results!$I$20,$AK242&lt;=Results!$F$4),$AN242,"")</f>
        <v/>
      </c>
      <c r="AX242" t="str">
        <f t="shared" si="177"/>
        <v/>
      </c>
      <c r="AY242" t="str">
        <f>IF(AND($AK242&lt;=Results!$I$23,$AK242&gt;=Results!$I$22,$AK242&gt;=Results!$F$4),$AN242,"")</f>
        <v/>
      </c>
      <c r="AZ242" t="str">
        <f t="shared" si="150"/>
        <v/>
      </c>
      <c r="BA242" t="str">
        <f>IF(AND($AK242&lt;=Results!$I$27,$AK242&gt;=Results!$I$26,$AK242&lt;=Results!$F$4),$AQ242,"")</f>
        <v/>
      </c>
      <c r="BB242" t="str">
        <f t="shared" si="151"/>
        <v/>
      </c>
      <c r="BC242" t="str">
        <f>IF(AND($AK242&lt;=Results!$I$29,$AK242&gt;=Results!$I$28,$AK242&gt;=Results!$F$4),$AQ242,"")</f>
        <v/>
      </c>
      <c r="BD242">
        <f t="shared" si="152"/>
        <v>9481.8322700279568</v>
      </c>
      <c r="BE242">
        <f t="shared" si="153"/>
        <v>1850.2724387733429</v>
      </c>
      <c r="BF242">
        <f t="shared" si="154"/>
        <v>9613.1566521008244</v>
      </c>
      <c r="BG242">
        <f t="shared" si="155"/>
        <v>1268.8985670142652</v>
      </c>
      <c r="BH242">
        <f t="shared" si="156"/>
        <v>0</v>
      </c>
      <c r="BI242">
        <f t="shared" si="157"/>
        <v>0.98902335321389934</v>
      </c>
      <c r="BJ242">
        <f t="shared" si="158"/>
        <v>0.91491434650495307</v>
      </c>
      <c r="BK242">
        <f t="shared" si="159"/>
        <v>-6.0977146762763133E-3</v>
      </c>
      <c r="BL242">
        <f t="shared" si="160"/>
        <v>-2.4927902546179249E-2</v>
      </c>
      <c r="BM242">
        <f t="shared" si="178"/>
        <v>119.99999999999829</v>
      </c>
      <c r="BN242">
        <f t="shared" si="179"/>
        <v>-119.99999999999829</v>
      </c>
      <c r="BO242">
        <f>Data!$H$2*(1-BI242)*(1-BI242/Data!$H$3)*BM242</f>
        <v>2.8916825920034956E-8</v>
      </c>
      <c r="BP242">
        <f t="shared" si="161"/>
        <v>-118.68280238566624</v>
      </c>
      <c r="BQ242">
        <f>Data!$H$2*(1-BJ242)*(1-BJ242/Data!$H$3)*BN242</f>
        <v>-1.7374964233629815E-6</v>
      </c>
      <c r="BR242">
        <f t="shared" si="162"/>
        <v>109.78972158059281</v>
      </c>
      <c r="BS242">
        <f t="shared" si="163"/>
        <v>0</v>
      </c>
      <c r="BT242">
        <f t="shared" si="164"/>
        <v>0</v>
      </c>
      <c r="BU242">
        <f t="shared" si="165"/>
        <v>0</v>
      </c>
      <c r="BV242">
        <f t="shared" si="166"/>
        <v>0</v>
      </c>
      <c r="BW242">
        <f t="shared" si="180"/>
        <v>0</v>
      </c>
      <c r="BX242" t="str">
        <f t="shared" si="181"/>
        <v/>
      </c>
      <c r="BY242" s="66" t="str">
        <f t="shared" si="167"/>
        <v/>
      </c>
      <c r="BZ242" t="str">
        <f t="shared" si="168"/>
        <v/>
      </c>
      <c r="CA242" s="67" t="str">
        <f t="shared" si="169"/>
        <v/>
      </c>
    </row>
    <row r="243" spans="4:79" x14ac:dyDescent="0.25">
      <c r="D243" s="3" t="e">
        <f t="shared" si="194"/>
        <v>#DIV/0!</v>
      </c>
      <c r="E243" s="3" t="e">
        <f t="shared" si="194"/>
        <v>#DIV/0!</v>
      </c>
      <c r="F243" t="str">
        <f>IF(A243&gt;0,IF(F242=1,1,IF(B243=Data!$H$4,1,0)),"")</f>
        <v/>
      </c>
      <c r="Q243" t="str">
        <f t="shared" si="170"/>
        <v/>
      </c>
      <c r="R243" s="4" t="str">
        <f t="shared" si="171"/>
        <v/>
      </c>
      <c r="S243" t="e">
        <f t="shared" si="182"/>
        <v>#DIV/0!</v>
      </c>
      <c r="T243" t="e">
        <f t="shared" si="195"/>
        <v>#DIV/0!</v>
      </c>
      <c r="U243" s="4">
        <f t="shared" si="172"/>
        <v>0</v>
      </c>
      <c r="V243" t="e">
        <f t="shared" si="183"/>
        <v>#DIV/0!</v>
      </c>
      <c r="W243" t="e">
        <f t="shared" si="184"/>
        <v>#DIV/0!</v>
      </c>
      <c r="X243" t="e">
        <f t="shared" si="185"/>
        <v>#VALUE!</v>
      </c>
      <c r="Y243" t="e">
        <f t="shared" si="186"/>
        <v>#VALUE!</v>
      </c>
      <c r="Z243" t="e">
        <f t="shared" si="187"/>
        <v>#VALUE!</v>
      </c>
      <c r="AA243" t="e">
        <f t="shared" si="173"/>
        <v>#VALUE!</v>
      </c>
      <c r="AB243" t="str">
        <f t="shared" si="188"/>
        <v/>
      </c>
      <c r="AC243" t="str">
        <f t="shared" si="189"/>
        <v/>
      </c>
      <c r="AD243" t="str">
        <f t="shared" si="190"/>
        <v/>
      </c>
      <c r="AE243" t="str">
        <f t="shared" si="191"/>
        <v/>
      </c>
      <c r="AK243" s="4">
        <f t="shared" si="192"/>
        <v>49.100000000000342</v>
      </c>
      <c r="AL243">
        <f t="shared" si="174"/>
        <v>2893.0000000000409</v>
      </c>
      <c r="AM243">
        <f t="shared" si="175"/>
        <v>9382.9333333332779</v>
      </c>
      <c r="AN243">
        <f>IF($AK242+$AK$1&lt;=Data!$H$4-0.5,AVERAGE(AM241:AM245),AN242)</f>
        <v>9382.5099999999475</v>
      </c>
      <c r="AO243">
        <f t="shared" si="176"/>
        <v>7968.9999999999591</v>
      </c>
      <c r="AP243">
        <f t="shared" si="193"/>
        <v>8876.1333333332313</v>
      </c>
      <c r="AQ243">
        <f>IF($AK242+$AK$1&lt;=Data!$H$4-0.5,AVERAGE(AP241:AP245),AQ242)</f>
        <v>8875.1933333332345</v>
      </c>
      <c r="AR243">
        <f>IF($AK242+$AK$1&lt;=Data!$H$4-0.5,SLOPE($AN239:$AN247,$AK239:$AK247),AR242)</f>
        <v>-156.59166666667309</v>
      </c>
      <c r="AS243">
        <f>IF($AK242+$AK$1&lt;=Data!$H$4-0.5,SLOPE($AQ239:$AQ247,$AK239:$AK247),AS242)</f>
        <v>-282.2166666666871</v>
      </c>
      <c r="AT243">
        <f>IF(AND($AK243&gt;=Results!$G$13,$AK243&lt;=Results!$G$14),Curves!AR243,"")</f>
        <v>-156.59166666667309</v>
      </c>
      <c r="AU243">
        <f>IF(AND($AK243&gt;=Results!$G$13,$AK243&lt;=Results!$G$14),Curves!AS243,"")</f>
        <v>-282.2166666666871</v>
      </c>
      <c r="AV243" t="str">
        <f t="shared" si="177"/>
        <v/>
      </c>
      <c r="AW243" t="str">
        <f>IF(AND($AK243&lt;=Results!$I$21,$AK243&gt;=Results!$I$20,$AK243&lt;=Results!$F$4),$AN243,"")</f>
        <v/>
      </c>
      <c r="AX243" t="str">
        <f t="shared" si="177"/>
        <v/>
      </c>
      <c r="AY243" t="str">
        <f>IF(AND($AK243&lt;=Results!$I$23,$AK243&gt;=Results!$I$22,$AK243&gt;=Results!$F$4),$AN243,"")</f>
        <v/>
      </c>
      <c r="AZ243" t="str">
        <f t="shared" si="150"/>
        <v/>
      </c>
      <c r="BA243" t="str">
        <f>IF(AND($AK243&lt;=Results!$I$27,$AK243&gt;=Results!$I$26,$AK243&lt;=Results!$F$4),$AQ243,"")</f>
        <v/>
      </c>
      <c r="BB243" t="str">
        <f t="shared" si="151"/>
        <v/>
      </c>
      <c r="BC243" t="str">
        <f>IF(AND($AK243&lt;=Results!$I$29,$AK243&gt;=Results!$I$28,$AK243&gt;=Results!$F$4),$AQ243,"")</f>
        <v/>
      </c>
      <c r="BD243">
        <f t="shared" si="152"/>
        <v>9471.0620752300383</v>
      </c>
      <c r="BE243">
        <f t="shared" si="153"/>
        <v>1846.9566495240219</v>
      </c>
      <c r="BF243">
        <f t="shared" si="154"/>
        <v>9605.8666698679317</v>
      </c>
      <c r="BG243">
        <f t="shared" si="155"/>
        <v>1268.3477660547401</v>
      </c>
      <c r="BH243">
        <f t="shared" si="156"/>
        <v>0</v>
      </c>
      <c r="BI243">
        <f t="shared" si="157"/>
        <v>0.98838525042800141</v>
      </c>
      <c r="BJ243">
        <f t="shared" si="158"/>
        <v>0.91236321680775778</v>
      </c>
      <c r="BK243">
        <f t="shared" si="159"/>
        <v>-6.665172876311647E-3</v>
      </c>
      <c r="BL243">
        <f t="shared" si="160"/>
        <v>-2.6096107207856559E-2</v>
      </c>
      <c r="BM243">
        <f t="shared" si="178"/>
        <v>120.00000000000055</v>
      </c>
      <c r="BN243">
        <f t="shared" si="179"/>
        <v>-119.99999999999829</v>
      </c>
      <c r="BO243">
        <f>Data!$H$2*(1-BI243)*(1-BI243/Data!$H$3)*BM243</f>
        <v>3.2376577828858115E-8</v>
      </c>
      <c r="BP243">
        <f t="shared" si="161"/>
        <v>-118.60623005136071</v>
      </c>
      <c r="BQ243">
        <f>Data!$H$2*(1-BJ243)*(1-BJ243/Data!$H$3)*BN243</f>
        <v>-1.8432493843881503E-6</v>
      </c>
      <c r="BR243">
        <f t="shared" si="162"/>
        <v>109.48358601692938</v>
      </c>
      <c r="BS243">
        <f t="shared" si="163"/>
        <v>0</v>
      </c>
      <c r="BT243">
        <f t="shared" si="164"/>
        <v>0</v>
      </c>
      <c r="BU243">
        <f t="shared" si="165"/>
        <v>0</v>
      </c>
      <c r="BV243">
        <f t="shared" si="166"/>
        <v>0</v>
      </c>
      <c r="BW243">
        <f t="shared" si="180"/>
        <v>0</v>
      </c>
      <c r="BX243" t="str">
        <f t="shared" si="181"/>
        <v/>
      </c>
      <c r="BY243" s="66" t="str">
        <f t="shared" si="167"/>
        <v/>
      </c>
      <c r="BZ243" t="str">
        <f t="shared" si="168"/>
        <v/>
      </c>
      <c r="CA243" s="67" t="str">
        <f t="shared" si="169"/>
        <v/>
      </c>
    </row>
    <row r="244" spans="4:79" x14ac:dyDescent="0.25">
      <c r="D244" s="3" t="e">
        <f t="shared" si="194"/>
        <v>#DIV/0!</v>
      </c>
      <c r="E244" s="3" t="e">
        <f t="shared" si="194"/>
        <v>#DIV/0!</v>
      </c>
      <c r="F244" t="str">
        <f>IF(A244&gt;0,IF(F243=1,1,IF(B244=Data!$H$4,1,0)),"")</f>
        <v/>
      </c>
      <c r="Q244" t="str">
        <f t="shared" si="170"/>
        <v/>
      </c>
      <c r="R244" s="4" t="str">
        <f t="shared" si="171"/>
        <v/>
      </c>
      <c r="S244" t="e">
        <f t="shared" si="182"/>
        <v>#DIV/0!</v>
      </c>
      <c r="T244" t="e">
        <f t="shared" si="195"/>
        <v>#DIV/0!</v>
      </c>
      <c r="U244" s="4">
        <f t="shared" si="172"/>
        <v>0</v>
      </c>
      <c r="V244" t="e">
        <f t="shared" si="183"/>
        <v>#DIV/0!</v>
      </c>
      <c r="W244" t="e">
        <f t="shared" si="184"/>
        <v>#DIV/0!</v>
      </c>
      <c r="X244" t="e">
        <f t="shared" si="185"/>
        <v>#VALUE!</v>
      </c>
      <c r="Y244" t="e">
        <f t="shared" si="186"/>
        <v>#VALUE!</v>
      </c>
      <c r="Z244" t="e">
        <f t="shared" si="187"/>
        <v>#VALUE!</v>
      </c>
      <c r="AA244" t="e">
        <f t="shared" si="173"/>
        <v>#VALUE!</v>
      </c>
      <c r="AB244" t="str">
        <f t="shared" si="188"/>
        <v/>
      </c>
      <c r="AC244" t="str">
        <f t="shared" si="189"/>
        <v/>
      </c>
      <c r="AD244" t="str">
        <f t="shared" si="190"/>
        <v/>
      </c>
      <c r="AE244" t="str">
        <f t="shared" si="191"/>
        <v/>
      </c>
      <c r="AK244" s="4">
        <f t="shared" si="192"/>
        <v>49.200000000000344</v>
      </c>
      <c r="AL244">
        <f t="shared" si="174"/>
        <v>2905.0000000000414</v>
      </c>
      <c r="AM244">
        <f t="shared" si="175"/>
        <v>9366.5333333332783</v>
      </c>
      <c r="AN244">
        <f>IF($AK243+$AK$1&lt;=Data!$H$4-0.5,AVERAGE(AM242:AM246),AN243)</f>
        <v>9366.5333333332783</v>
      </c>
      <c r="AO244">
        <f t="shared" si="176"/>
        <v>7956.9999999999591</v>
      </c>
      <c r="AP244">
        <f t="shared" si="193"/>
        <v>8846.2666666665646</v>
      </c>
      <c r="AQ244">
        <f>IF($AK243+$AK$1&lt;=Data!$H$4-0.5,AVERAGE(AP242:AP246),AQ243)</f>
        <v>8846.2666666665646</v>
      </c>
      <c r="AR244">
        <f>IF($AK243+$AK$1&lt;=Data!$H$4-0.5,SLOPE($AN240:$AN248,$AK240:$AK248),AR243)</f>
        <v>-159.41388888889452</v>
      </c>
      <c r="AS244">
        <f>IF($AK243+$AK$1&lt;=Data!$H$4-0.5,SLOPE($AQ240:$AQ248,$AK240:$AK248),AS243)</f>
        <v>-288.48333333334665</v>
      </c>
      <c r="AT244">
        <f>IF(AND($AK244&gt;=Results!$G$13,$AK244&lt;=Results!$G$14),Curves!AR244,"")</f>
        <v>-159.41388888889452</v>
      </c>
      <c r="AU244">
        <f>IF(AND($AK244&gt;=Results!$G$13,$AK244&lt;=Results!$G$14),Curves!AS244,"")</f>
        <v>-288.48333333334665</v>
      </c>
      <c r="AV244" t="str">
        <f t="shared" si="177"/>
        <v/>
      </c>
      <c r="AW244" t="str">
        <f>IF(AND($AK244&lt;=Results!$I$21,$AK244&gt;=Results!$I$20,$AK244&lt;=Results!$F$4),$AN244,"")</f>
        <v/>
      </c>
      <c r="AX244" t="str">
        <f t="shared" si="177"/>
        <v/>
      </c>
      <c r="AY244" t="str">
        <f>IF(AND($AK244&lt;=Results!$I$23,$AK244&gt;=Results!$I$22,$AK244&gt;=Results!$F$4),$AN244,"")</f>
        <v/>
      </c>
      <c r="AZ244" t="str">
        <f t="shared" si="150"/>
        <v/>
      </c>
      <c r="BA244" t="str">
        <f>IF(AND($AK244&lt;=Results!$I$27,$AK244&gt;=Results!$I$26,$AK244&lt;=Results!$F$4),$AQ244,"")</f>
        <v/>
      </c>
      <c r="BB244" t="str">
        <f t="shared" si="151"/>
        <v/>
      </c>
      <c r="BC244" t="str">
        <f>IF(AND($AK244&lt;=Results!$I$29,$AK244&gt;=Results!$I$28,$AK244&gt;=Results!$F$4),$AQ244,"")</f>
        <v/>
      </c>
      <c r="BD244">
        <f t="shared" si="152"/>
        <v>9460.2918804321162</v>
      </c>
      <c r="BE244">
        <f t="shared" si="153"/>
        <v>1843.6408602747013</v>
      </c>
      <c r="BF244">
        <f t="shared" si="154"/>
        <v>9598.576687635039</v>
      </c>
      <c r="BG244">
        <f t="shared" si="155"/>
        <v>1267.796965095215</v>
      </c>
      <c r="BH244">
        <f t="shared" si="156"/>
        <v>0</v>
      </c>
      <c r="BI244">
        <f t="shared" si="157"/>
        <v>0.98769031863863699</v>
      </c>
      <c r="BJ244">
        <f t="shared" si="158"/>
        <v>0.90969512506338168</v>
      </c>
      <c r="BK244">
        <f t="shared" si="159"/>
        <v>-7.2342980052591066E-3</v>
      </c>
      <c r="BL244">
        <f t="shared" si="160"/>
        <v>-2.7267148074783972E-2</v>
      </c>
      <c r="BM244">
        <f t="shared" si="178"/>
        <v>120.00000000000055</v>
      </c>
      <c r="BN244">
        <f t="shared" si="179"/>
        <v>-120.00000000000284</v>
      </c>
      <c r="BO244">
        <f>Data!$H$2*(1-BI244)*(1-BI244/Data!$H$3)*BM244</f>
        <v>3.6366781252389273E-8</v>
      </c>
      <c r="BP244">
        <f t="shared" si="161"/>
        <v>-118.52283823663699</v>
      </c>
      <c r="BQ244">
        <f>Data!$H$2*(1-BJ244)*(1-BJ244/Data!$H$3)*BN244</f>
        <v>-1.9571929049564321E-6</v>
      </c>
      <c r="BR244">
        <f t="shared" si="162"/>
        <v>109.16341500760839</v>
      </c>
      <c r="BS244">
        <f t="shared" si="163"/>
        <v>0</v>
      </c>
      <c r="BT244">
        <f t="shared" si="164"/>
        <v>0</v>
      </c>
      <c r="BU244">
        <f t="shared" si="165"/>
        <v>0</v>
      </c>
      <c r="BV244">
        <f t="shared" si="166"/>
        <v>0</v>
      </c>
      <c r="BW244">
        <f t="shared" si="180"/>
        <v>0</v>
      </c>
      <c r="BX244" t="str">
        <f t="shared" si="181"/>
        <v/>
      </c>
      <c r="BY244" s="66" t="str">
        <f t="shared" si="167"/>
        <v/>
      </c>
      <c r="BZ244" t="str">
        <f t="shared" si="168"/>
        <v/>
      </c>
      <c r="CA244" s="67" t="str">
        <f t="shared" si="169"/>
        <v/>
      </c>
    </row>
    <row r="245" spans="4:79" x14ac:dyDescent="0.25">
      <c r="D245" s="3" t="e">
        <f t="shared" si="194"/>
        <v>#DIV/0!</v>
      </c>
      <c r="E245" s="3" t="e">
        <f t="shared" si="194"/>
        <v>#DIV/0!</v>
      </c>
      <c r="F245" t="str">
        <f>IF(A245&gt;0,IF(F244=1,1,IF(B245=Data!$H$4,1,0)),"")</f>
        <v/>
      </c>
      <c r="Q245" t="str">
        <f t="shared" si="170"/>
        <v/>
      </c>
      <c r="R245" s="4" t="str">
        <f t="shared" si="171"/>
        <v/>
      </c>
      <c r="S245" t="e">
        <f t="shared" si="182"/>
        <v>#DIV/0!</v>
      </c>
      <c r="T245" t="e">
        <f t="shared" si="195"/>
        <v>#DIV/0!</v>
      </c>
      <c r="U245" s="4">
        <f t="shared" si="172"/>
        <v>0</v>
      </c>
      <c r="V245" t="e">
        <f t="shared" si="183"/>
        <v>#DIV/0!</v>
      </c>
      <c r="W245" t="e">
        <f t="shared" si="184"/>
        <v>#DIV/0!</v>
      </c>
      <c r="X245" t="e">
        <f t="shared" si="185"/>
        <v>#VALUE!</v>
      </c>
      <c r="Y245" t="e">
        <f t="shared" si="186"/>
        <v>#VALUE!</v>
      </c>
      <c r="Z245" t="e">
        <f t="shared" si="187"/>
        <v>#VALUE!</v>
      </c>
      <c r="AA245" t="e">
        <f t="shared" si="173"/>
        <v>#VALUE!</v>
      </c>
      <c r="AB245" t="str">
        <f t="shared" si="188"/>
        <v/>
      </c>
      <c r="AC245" t="str">
        <f t="shared" si="189"/>
        <v/>
      </c>
      <c r="AD245" t="str">
        <f t="shared" si="190"/>
        <v/>
      </c>
      <c r="AE245" t="str">
        <f t="shared" si="191"/>
        <v/>
      </c>
      <c r="AK245" s="4">
        <f t="shared" si="192"/>
        <v>49.300000000000345</v>
      </c>
      <c r="AL245">
        <f t="shared" si="174"/>
        <v>2917.0000000000414</v>
      </c>
      <c r="AM245">
        <f t="shared" si="175"/>
        <v>9350.1333333332786</v>
      </c>
      <c r="AN245">
        <f>IF($AK244+$AK$1&lt;=Data!$H$4-0.5,AVERAGE(AM243:AM247),AN244)</f>
        <v>9350.1333333332786</v>
      </c>
      <c r="AO245">
        <f t="shared" si="176"/>
        <v>7944.9999999999582</v>
      </c>
      <c r="AP245">
        <f t="shared" si="193"/>
        <v>8816.3999999998978</v>
      </c>
      <c r="AQ245">
        <f>IF($AK244+$AK$1&lt;=Data!$H$4-0.5,AVERAGE(AP243:AP247),AQ244)</f>
        <v>8816.3999999998978</v>
      </c>
      <c r="AR245">
        <f>IF($AK244+$AK$1&lt;=Data!$H$4-0.5,SLOPE($AN241:$AN249,$AK241:$AK249),AR244)</f>
        <v>-161.53055555555858</v>
      </c>
      <c r="AS245">
        <f>IF($AK244+$AK$1&lt;=Data!$H$4-0.5,SLOPE($AQ241:$AQ249,$AK241:$AK249),AS244)</f>
        <v>-293.18333333334073</v>
      </c>
      <c r="AT245">
        <f>IF(AND($AK245&gt;=Results!$G$13,$AK245&lt;=Results!$G$14),Curves!AR245,"")</f>
        <v>-161.53055555555858</v>
      </c>
      <c r="AU245">
        <f>IF(AND($AK245&gt;=Results!$G$13,$AK245&lt;=Results!$G$14),Curves!AS245,"")</f>
        <v>-293.18333333334073</v>
      </c>
      <c r="AV245" t="str">
        <f t="shared" si="177"/>
        <v/>
      </c>
      <c r="AW245" t="str">
        <f>IF(AND($AK245&lt;=Results!$I$21,$AK245&gt;=Results!$I$20,$AK245&lt;=Results!$F$4),$AN245,"")</f>
        <v/>
      </c>
      <c r="AX245" t="str">
        <f t="shared" si="177"/>
        <v/>
      </c>
      <c r="AY245" t="str">
        <f>IF(AND($AK245&lt;=Results!$I$23,$AK245&gt;=Results!$I$22,$AK245&gt;=Results!$F$4),$AN245,"")</f>
        <v/>
      </c>
      <c r="AZ245" t="str">
        <f t="shared" si="150"/>
        <v/>
      </c>
      <c r="BA245" t="str">
        <f>IF(AND($AK245&lt;=Results!$I$27,$AK245&gt;=Results!$I$26,$AK245&lt;=Results!$F$4),$AQ245,"")</f>
        <v/>
      </c>
      <c r="BB245" t="str">
        <f t="shared" si="151"/>
        <v/>
      </c>
      <c r="BC245" t="str">
        <f>IF(AND($AK245&lt;=Results!$I$29,$AK245&gt;=Results!$I$28,$AK245&gt;=Results!$F$4),$AQ245,"")</f>
        <v/>
      </c>
      <c r="BD245">
        <f t="shared" si="152"/>
        <v>9449.5216856341976</v>
      </c>
      <c r="BE245">
        <f t="shared" si="153"/>
        <v>1840.3250710253803</v>
      </c>
      <c r="BF245">
        <f t="shared" si="154"/>
        <v>9591.2867054021444</v>
      </c>
      <c r="BG245">
        <f t="shared" si="155"/>
        <v>1267.2461641356899</v>
      </c>
      <c r="BH245">
        <f t="shared" si="156"/>
        <v>0</v>
      </c>
      <c r="BI245">
        <f t="shared" si="157"/>
        <v>0.98693839082694956</v>
      </c>
      <c r="BJ245">
        <f t="shared" si="158"/>
        <v>0.90690978719280091</v>
      </c>
      <c r="BK245">
        <f t="shared" si="159"/>
        <v>-7.5266516566479006E-3</v>
      </c>
      <c r="BL245">
        <f t="shared" si="160"/>
        <v>-2.7875947200090172E-2</v>
      </c>
      <c r="BM245">
        <f t="shared" si="178"/>
        <v>120.00000000000055</v>
      </c>
      <c r="BN245">
        <f t="shared" si="179"/>
        <v>-120.00000000000284</v>
      </c>
      <c r="BO245">
        <f>Data!$H$2*(1-BI245)*(1-BI245/Data!$H$3)*BM245</f>
        <v>4.0945352205483867E-8</v>
      </c>
      <c r="BP245">
        <f t="shared" si="161"/>
        <v>-118.4326068992345</v>
      </c>
      <c r="BQ245">
        <f>Data!$H$2*(1-BJ245)*(1-BJ245/Data!$H$3)*BN245</f>
        <v>-2.0797890529175561E-6</v>
      </c>
      <c r="BR245">
        <f t="shared" si="162"/>
        <v>108.82917446313868</v>
      </c>
      <c r="BS245">
        <f t="shared" si="163"/>
        <v>0</v>
      </c>
      <c r="BT245">
        <f t="shared" si="164"/>
        <v>0</v>
      </c>
      <c r="BU245">
        <f t="shared" si="165"/>
        <v>0</v>
      </c>
      <c r="BV245">
        <f t="shared" si="166"/>
        <v>0</v>
      </c>
      <c r="BW245">
        <f t="shared" si="180"/>
        <v>0</v>
      </c>
      <c r="BX245" t="str">
        <f t="shared" si="181"/>
        <v/>
      </c>
      <c r="BY245" s="66" t="str">
        <f t="shared" si="167"/>
        <v/>
      </c>
      <c r="BZ245" t="str">
        <f t="shared" si="168"/>
        <v/>
      </c>
      <c r="CA245" s="67" t="str">
        <f t="shared" si="169"/>
        <v/>
      </c>
    </row>
    <row r="246" spans="4:79" x14ac:dyDescent="0.25">
      <c r="D246" s="3" t="e">
        <f t="shared" si="194"/>
        <v>#DIV/0!</v>
      </c>
      <c r="E246" s="3" t="e">
        <f t="shared" si="194"/>
        <v>#DIV/0!</v>
      </c>
      <c r="F246" t="str">
        <f>IF(A246&gt;0,IF(F245=1,1,IF(B246=Data!$H$4,1,0)),"")</f>
        <v/>
      </c>
      <c r="Q246" t="str">
        <f t="shared" si="170"/>
        <v/>
      </c>
      <c r="R246" s="4" t="str">
        <f t="shared" si="171"/>
        <v/>
      </c>
      <c r="S246" t="e">
        <f t="shared" si="182"/>
        <v>#DIV/0!</v>
      </c>
      <c r="T246" t="e">
        <f t="shared" si="195"/>
        <v>#DIV/0!</v>
      </c>
      <c r="U246" s="4">
        <f t="shared" si="172"/>
        <v>0</v>
      </c>
      <c r="V246" t="e">
        <f t="shared" si="183"/>
        <v>#DIV/0!</v>
      </c>
      <c r="W246" t="e">
        <f t="shared" si="184"/>
        <v>#DIV/0!</v>
      </c>
      <c r="X246" t="e">
        <f t="shared" si="185"/>
        <v>#VALUE!</v>
      </c>
      <c r="Y246" t="e">
        <f t="shared" si="186"/>
        <v>#VALUE!</v>
      </c>
      <c r="Z246" t="e">
        <f t="shared" si="187"/>
        <v>#VALUE!</v>
      </c>
      <c r="AA246" t="e">
        <f t="shared" si="173"/>
        <v>#VALUE!</v>
      </c>
      <c r="AB246" t="str">
        <f t="shared" si="188"/>
        <v/>
      </c>
      <c r="AC246" t="str">
        <f t="shared" si="189"/>
        <v/>
      </c>
      <c r="AD246" t="str">
        <f t="shared" si="190"/>
        <v/>
      </c>
      <c r="AE246" t="str">
        <f t="shared" si="191"/>
        <v/>
      </c>
      <c r="AK246" s="4">
        <f t="shared" si="192"/>
        <v>49.400000000000347</v>
      </c>
      <c r="AL246">
        <f t="shared" si="174"/>
        <v>2929.0000000000418</v>
      </c>
      <c r="AM246">
        <f t="shared" si="175"/>
        <v>9333.7333333332772</v>
      </c>
      <c r="AN246">
        <f>IF($AK245+$AK$1&lt;=Data!$H$4-0.5,AVERAGE(AM244:AM248),AN245)</f>
        <v>9333.7333333332772</v>
      </c>
      <c r="AO246">
        <f t="shared" si="176"/>
        <v>7932.9999999999582</v>
      </c>
      <c r="AP246">
        <f t="shared" si="193"/>
        <v>8786.533333333231</v>
      </c>
      <c r="AQ246">
        <f>IF($AK245+$AK$1&lt;=Data!$H$4-0.5,AVERAGE(AP244:AP248),AQ245)</f>
        <v>8786.5333333332292</v>
      </c>
      <c r="AR246">
        <f>IF($AK245+$AK$1&lt;=Data!$H$4-0.5,SLOPE($AN242:$AN250,$AK242:$AK250),AR245)</f>
        <v>-162.94166666667005</v>
      </c>
      <c r="AS246">
        <f>IF($AK245+$AK$1&lt;=Data!$H$4-0.5,SLOPE($AQ242:$AQ250,$AK242:$AK250),AS245)</f>
        <v>-296.31666666667269</v>
      </c>
      <c r="AT246">
        <f>IF(AND($AK246&gt;=Results!$G$13,$AK246&lt;=Results!$G$14),Curves!AR246,"")</f>
        <v>-162.94166666667005</v>
      </c>
      <c r="AU246">
        <f>IF(AND($AK246&gt;=Results!$G$13,$AK246&lt;=Results!$G$14),Curves!AS246,"")</f>
        <v>-296.31666666667269</v>
      </c>
      <c r="AV246" t="str">
        <f t="shared" si="177"/>
        <v/>
      </c>
      <c r="AW246" t="str">
        <f>IF(AND($AK246&lt;=Results!$I$21,$AK246&gt;=Results!$I$20,$AK246&lt;=Results!$F$4),$AN246,"")</f>
        <v/>
      </c>
      <c r="AX246" t="str">
        <f t="shared" si="177"/>
        <v/>
      </c>
      <c r="AY246" t="str">
        <f>IF(AND($AK246&lt;=Results!$I$23,$AK246&gt;=Results!$I$22,$AK246&gt;=Results!$F$4),$AN246,"")</f>
        <v/>
      </c>
      <c r="AZ246" t="str">
        <f t="shared" si="150"/>
        <v/>
      </c>
      <c r="BA246" t="str">
        <f>IF(AND($AK246&lt;=Results!$I$27,$AK246&gt;=Results!$I$26,$AK246&lt;=Results!$F$4),$AQ246,"")</f>
        <v/>
      </c>
      <c r="BB246" t="str">
        <f t="shared" si="151"/>
        <v/>
      </c>
      <c r="BC246" t="str">
        <f>IF(AND($AK246&lt;=Results!$I$29,$AK246&gt;=Results!$I$28,$AK246&gt;=Results!$F$4),$AQ246,"")</f>
        <v/>
      </c>
      <c r="BD246">
        <f t="shared" si="152"/>
        <v>9438.7514908362791</v>
      </c>
      <c r="BE246">
        <f t="shared" si="153"/>
        <v>1837.0092817760594</v>
      </c>
      <c r="BF246">
        <f t="shared" si="154"/>
        <v>9583.9967231692517</v>
      </c>
      <c r="BG246">
        <f t="shared" si="155"/>
        <v>1266.6953631761651</v>
      </c>
      <c r="BH246">
        <f t="shared" si="156"/>
        <v>0</v>
      </c>
      <c r="BI246">
        <f t="shared" si="157"/>
        <v>0.98618498830730739</v>
      </c>
      <c r="BJ246">
        <f t="shared" si="158"/>
        <v>0.90411993562336357</v>
      </c>
      <c r="BK246">
        <f t="shared" si="159"/>
        <v>-7.541420449360574E-3</v>
      </c>
      <c r="BL246">
        <f t="shared" si="160"/>
        <v>-2.7921139092220312E-2</v>
      </c>
      <c r="BM246">
        <f t="shared" si="178"/>
        <v>120.00000000000055</v>
      </c>
      <c r="BN246">
        <f t="shared" si="179"/>
        <v>-119.99999999999829</v>
      </c>
      <c r="BO246">
        <f>Data!$H$2*(1-BI246)*(1-BI246/Data!$H$3)*BM246</f>
        <v>4.5805091536616281E-8</v>
      </c>
      <c r="BP246">
        <f t="shared" si="161"/>
        <v>-118.34219859687744</v>
      </c>
      <c r="BQ246">
        <f>Data!$H$2*(1-BJ246)*(1-BJ246/Data!$H$3)*BN246</f>
        <v>-2.2063168187682756E-6</v>
      </c>
      <c r="BR246">
        <f t="shared" si="162"/>
        <v>108.49439227480208</v>
      </c>
      <c r="BS246">
        <f t="shared" si="163"/>
        <v>0</v>
      </c>
      <c r="BT246">
        <f t="shared" si="164"/>
        <v>0</v>
      </c>
      <c r="BU246">
        <f t="shared" si="165"/>
        <v>0</v>
      </c>
      <c r="BV246">
        <f t="shared" si="166"/>
        <v>0</v>
      </c>
      <c r="BW246">
        <f t="shared" si="180"/>
        <v>0</v>
      </c>
      <c r="BX246" t="str">
        <f t="shared" si="181"/>
        <v/>
      </c>
      <c r="BY246" s="66" t="str">
        <f t="shared" si="167"/>
        <v/>
      </c>
      <c r="BZ246" t="str">
        <f t="shared" si="168"/>
        <v/>
      </c>
      <c r="CA246" s="67" t="str">
        <f t="shared" si="169"/>
        <v/>
      </c>
    </row>
    <row r="247" spans="4:79" x14ac:dyDescent="0.25">
      <c r="D247" s="3" t="e">
        <f t="shared" si="194"/>
        <v>#DIV/0!</v>
      </c>
      <c r="E247" s="3" t="e">
        <f t="shared" si="194"/>
        <v>#DIV/0!</v>
      </c>
      <c r="F247" t="str">
        <f>IF(A247&gt;0,IF(F246=1,1,IF(B247=Data!$H$4,1,0)),"")</f>
        <v/>
      </c>
      <c r="Q247" t="str">
        <f t="shared" si="170"/>
        <v/>
      </c>
      <c r="R247" s="4" t="str">
        <f t="shared" si="171"/>
        <v/>
      </c>
      <c r="S247" t="e">
        <f t="shared" si="182"/>
        <v>#DIV/0!</v>
      </c>
      <c r="T247" t="e">
        <f t="shared" si="195"/>
        <v>#DIV/0!</v>
      </c>
      <c r="U247" s="4">
        <f t="shared" si="172"/>
        <v>0</v>
      </c>
      <c r="V247" t="e">
        <f t="shared" si="183"/>
        <v>#DIV/0!</v>
      </c>
      <c r="W247" t="e">
        <f t="shared" si="184"/>
        <v>#DIV/0!</v>
      </c>
      <c r="X247" t="e">
        <f t="shared" si="185"/>
        <v>#VALUE!</v>
      </c>
      <c r="Y247" t="e">
        <f t="shared" si="186"/>
        <v>#VALUE!</v>
      </c>
      <c r="Z247" t="e">
        <f t="shared" si="187"/>
        <v>#VALUE!</v>
      </c>
      <c r="AA247" t="e">
        <f t="shared" si="173"/>
        <v>#VALUE!</v>
      </c>
      <c r="AB247" t="str">
        <f t="shared" si="188"/>
        <v/>
      </c>
      <c r="AC247" t="str">
        <f t="shared" si="189"/>
        <v/>
      </c>
      <c r="AD247" t="str">
        <f t="shared" si="190"/>
        <v/>
      </c>
      <c r="AE247" t="str">
        <f t="shared" si="191"/>
        <v/>
      </c>
      <c r="AK247" s="4">
        <f t="shared" si="192"/>
        <v>49.500000000000348</v>
      </c>
      <c r="AL247">
        <f t="shared" si="174"/>
        <v>2941.0000000000418</v>
      </c>
      <c r="AM247">
        <f t="shared" si="175"/>
        <v>9317.3333333332776</v>
      </c>
      <c r="AN247">
        <f>IF($AK246+$AK$1&lt;=Data!$H$4-0.5,AVERAGE(AM245:AM249),AN246)</f>
        <v>9317.3333333332794</v>
      </c>
      <c r="AO247">
        <f t="shared" si="176"/>
        <v>7920.9999999999582</v>
      </c>
      <c r="AP247">
        <f t="shared" si="193"/>
        <v>8756.6666666665642</v>
      </c>
      <c r="AQ247">
        <f>IF($AK246+$AK$1&lt;=Data!$H$4-0.5,AVERAGE(AP245:AP249),AQ246)</f>
        <v>8756.6666666665642</v>
      </c>
      <c r="AR247">
        <f>IF($AK246+$AK$1&lt;=Data!$H$4-0.5,SLOPE($AN243:$AN251,$AK243:$AK251),AR246)</f>
        <v>-164.21111111111659</v>
      </c>
      <c r="AS247">
        <f>IF($AK246+$AK$1&lt;=Data!$H$4-0.5,SLOPE($AQ243:$AQ251,$AK243:$AK251),AS246)</f>
        <v>-298.80000000000621</v>
      </c>
      <c r="AT247">
        <f>IF(AND($AK247&gt;=Results!$G$13,$AK247&lt;=Results!$G$14),Curves!AR247,"")</f>
        <v>-164.21111111111659</v>
      </c>
      <c r="AU247">
        <f>IF(AND($AK247&gt;=Results!$G$13,$AK247&lt;=Results!$G$14),Curves!AS247,"")</f>
        <v>-298.80000000000621</v>
      </c>
      <c r="AV247" t="str">
        <f t="shared" si="177"/>
        <v/>
      </c>
      <c r="AW247" t="str">
        <f>IF(AND($AK247&lt;=Results!$I$21,$AK247&gt;=Results!$I$20,$AK247&lt;=Results!$F$4),$AN247,"")</f>
        <v/>
      </c>
      <c r="AX247" t="str">
        <f t="shared" si="177"/>
        <v/>
      </c>
      <c r="AY247" t="str">
        <f>IF(AND($AK247&lt;=Results!$I$23,$AK247&gt;=Results!$I$22,$AK247&gt;=Results!$F$4),$AN247,"")</f>
        <v/>
      </c>
      <c r="AZ247" t="str">
        <f t="shared" si="150"/>
        <v/>
      </c>
      <c r="BA247" t="str">
        <f>IF(AND($AK247&lt;=Results!$I$27,$AK247&gt;=Results!$I$26,$AK247&lt;=Results!$F$4),$AQ247,"")</f>
        <v/>
      </c>
      <c r="BB247" t="str">
        <f t="shared" si="151"/>
        <v/>
      </c>
      <c r="BC247" t="str">
        <f>IF(AND($AK247&lt;=Results!$I$29,$AK247&gt;=Results!$I$28,$AK247&gt;=Results!$F$4),$AQ247,"")</f>
        <v/>
      </c>
      <c r="BD247">
        <f t="shared" si="152"/>
        <v>9427.9812960383588</v>
      </c>
      <c r="BE247">
        <f t="shared" si="153"/>
        <v>1833.6934925267387</v>
      </c>
      <c r="BF247">
        <f t="shared" si="154"/>
        <v>9576.706740936359</v>
      </c>
      <c r="BG247">
        <f t="shared" si="155"/>
        <v>1266.14456221664</v>
      </c>
      <c r="BH247">
        <f t="shared" si="156"/>
        <v>0</v>
      </c>
      <c r="BI247">
        <f t="shared" si="157"/>
        <v>0.98543010673707743</v>
      </c>
      <c r="BJ247">
        <f t="shared" si="158"/>
        <v>0.90132555937435677</v>
      </c>
      <c r="BK247">
        <f t="shared" si="159"/>
        <v>-7.5562327537536155E-3</v>
      </c>
      <c r="BL247">
        <f t="shared" si="160"/>
        <v>-2.7966440969720723E-2</v>
      </c>
      <c r="BM247">
        <f t="shared" si="178"/>
        <v>119.99999999999829</v>
      </c>
      <c r="BN247">
        <f t="shared" si="179"/>
        <v>-119.99999999999829</v>
      </c>
      <c r="BO247">
        <f>Data!$H$2*(1-BI247)*(1-BI247/Data!$H$3)*BM247</f>
        <v>5.094762952630885E-8</v>
      </c>
      <c r="BP247">
        <f t="shared" si="161"/>
        <v>-118.2516128084476</v>
      </c>
      <c r="BQ247">
        <f>Data!$H$2*(1-BJ247)*(1-BJ247/Data!$H$3)*BN247</f>
        <v>-2.3367948558680287E-6</v>
      </c>
      <c r="BR247">
        <f t="shared" si="162"/>
        <v>108.15906712492128</v>
      </c>
      <c r="BS247">
        <f t="shared" si="163"/>
        <v>0</v>
      </c>
      <c r="BT247">
        <f t="shared" si="164"/>
        <v>0</v>
      </c>
      <c r="BU247">
        <f t="shared" si="165"/>
        <v>0</v>
      </c>
      <c r="BV247">
        <f t="shared" si="166"/>
        <v>0</v>
      </c>
      <c r="BW247">
        <f t="shared" si="180"/>
        <v>0</v>
      </c>
      <c r="BX247" t="str">
        <f t="shared" si="181"/>
        <v/>
      </c>
      <c r="BY247" s="66" t="str">
        <f t="shared" si="167"/>
        <v/>
      </c>
      <c r="BZ247" t="str">
        <f t="shared" si="168"/>
        <v/>
      </c>
      <c r="CA247" s="67" t="str">
        <f t="shared" si="169"/>
        <v/>
      </c>
    </row>
    <row r="248" spans="4:79" x14ac:dyDescent="0.25">
      <c r="D248" s="3" t="e">
        <f t="shared" si="194"/>
        <v>#DIV/0!</v>
      </c>
      <c r="E248" s="3" t="e">
        <f t="shared" si="194"/>
        <v>#DIV/0!</v>
      </c>
      <c r="F248" t="str">
        <f>IF(A248&gt;0,IF(F247=1,1,IF(B248=Data!$H$4,1,0)),"")</f>
        <v/>
      </c>
      <c r="Q248" t="str">
        <f t="shared" si="170"/>
        <v/>
      </c>
      <c r="R248" s="4" t="str">
        <f t="shared" si="171"/>
        <v/>
      </c>
      <c r="S248" t="e">
        <f t="shared" si="182"/>
        <v>#DIV/0!</v>
      </c>
      <c r="T248" t="e">
        <f t="shared" si="195"/>
        <v>#DIV/0!</v>
      </c>
      <c r="U248" s="4">
        <f t="shared" si="172"/>
        <v>0</v>
      </c>
      <c r="V248" t="e">
        <f t="shared" si="183"/>
        <v>#DIV/0!</v>
      </c>
      <c r="W248" t="e">
        <f t="shared" si="184"/>
        <v>#DIV/0!</v>
      </c>
      <c r="X248" t="e">
        <f t="shared" si="185"/>
        <v>#VALUE!</v>
      </c>
      <c r="Y248" t="e">
        <f t="shared" si="186"/>
        <v>#VALUE!</v>
      </c>
      <c r="Z248" t="e">
        <f t="shared" si="187"/>
        <v>#VALUE!</v>
      </c>
      <c r="AA248" t="e">
        <f t="shared" si="173"/>
        <v>#VALUE!</v>
      </c>
      <c r="AB248" t="str">
        <f t="shared" si="188"/>
        <v/>
      </c>
      <c r="AC248" t="str">
        <f t="shared" si="189"/>
        <v/>
      </c>
      <c r="AD248" t="str">
        <f t="shared" si="190"/>
        <v/>
      </c>
      <c r="AE248" t="str">
        <f t="shared" si="191"/>
        <v/>
      </c>
      <c r="AK248" s="4">
        <f t="shared" si="192"/>
        <v>49.60000000000035</v>
      </c>
      <c r="AL248">
        <f t="shared" si="174"/>
        <v>2953.0000000000418</v>
      </c>
      <c r="AM248">
        <f t="shared" si="175"/>
        <v>9300.9333333332779</v>
      </c>
      <c r="AN248">
        <f>IF($AK247+$AK$1&lt;=Data!$H$4-0.5,AVERAGE(AM246:AM250),AN247)</f>
        <v>9300.9333333332761</v>
      </c>
      <c r="AO248">
        <f t="shared" si="176"/>
        <v>7908.9999999999582</v>
      </c>
      <c r="AP248">
        <f t="shared" si="193"/>
        <v>8726.7999999998974</v>
      </c>
      <c r="AQ248">
        <f>IF($AK247+$AK$1&lt;=Data!$H$4-0.5,AVERAGE(AP246:AP250),AQ247)</f>
        <v>8726.7999999998974</v>
      </c>
      <c r="AR248">
        <f>IF($AK247+$AK$1&lt;=Data!$H$4-0.5,SLOPE($AN244:$AN252,$AK244:$AK252),AR247)</f>
        <v>-165.85000000000801</v>
      </c>
      <c r="AS248">
        <f>IF($AK247+$AK$1&lt;=Data!$H$4-0.5,SLOPE($AQ244:$AQ252,$AK244:$AK252),AS247)</f>
        <v>-301.516666666677</v>
      </c>
      <c r="AT248">
        <f>IF(AND($AK248&gt;=Results!$G$13,$AK248&lt;=Results!$G$14),Curves!AR248,"")</f>
        <v>-165.85000000000801</v>
      </c>
      <c r="AU248">
        <f>IF(AND($AK248&gt;=Results!$G$13,$AK248&lt;=Results!$G$14),Curves!AS248,"")</f>
        <v>-301.516666666677</v>
      </c>
      <c r="AV248" t="str">
        <f t="shared" si="177"/>
        <v/>
      </c>
      <c r="AW248" t="str">
        <f>IF(AND($AK248&lt;=Results!$I$21,$AK248&gt;=Results!$I$20,$AK248&lt;=Results!$F$4),$AN248,"")</f>
        <v/>
      </c>
      <c r="AX248" t="str">
        <f t="shared" si="177"/>
        <v/>
      </c>
      <c r="AY248" t="str">
        <f>IF(AND($AK248&lt;=Results!$I$23,$AK248&gt;=Results!$I$22,$AK248&gt;=Results!$F$4),$AN248,"")</f>
        <v/>
      </c>
      <c r="AZ248" t="str">
        <f t="shared" si="150"/>
        <v/>
      </c>
      <c r="BA248" t="str">
        <f>IF(AND($AK248&lt;=Results!$I$27,$AK248&gt;=Results!$I$26,$AK248&lt;=Results!$F$4),$AQ248,"")</f>
        <v/>
      </c>
      <c r="BB248" t="str">
        <f t="shared" si="151"/>
        <v/>
      </c>
      <c r="BC248" t="str">
        <f>IF(AND($AK248&lt;=Results!$I$29,$AK248&gt;=Results!$I$28,$AK248&gt;=Results!$F$4),$AQ248,"")</f>
        <v/>
      </c>
      <c r="BD248">
        <f t="shared" si="152"/>
        <v>9417.2111012404384</v>
      </c>
      <c r="BE248">
        <f t="shared" si="153"/>
        <v>1830.3777032774178</v>
      </c>
      <c r="BF248">
        <f t="shared" si="154"/>
        <v>9569.4167587034663</v>
      </c>
      <c r="BG248">
        <f t="shared" si="155"/>
        <v>1265.5937612571151</v>
      </c>
      <c r="BH248">
        <f t="shared" si="156"/>
        <v>0</v>
      </c>
      <c r="BI248">
        <f t="shared" si="157"/>
        <v>0.98467374175655664</v>
      </c>
      <c r="BJ248">
        <f t="shared" si="158"/>
        <v>0.89852664742941935</v>
      </c>
      <c r="BK248">
        <f t="shared" si="159"/>
        <v>-7.5710887409190545E-3</v>
      </c>
      <c r="BL248">
        <f t="shared" si="160"/>
        <v>-2.8011853189785101E-2</v>
      </c>
      <c r="BM248">
        <f t="shared" si="178"/>
        <v>120.00000000000055</v>
      </c>
      <c r="BN248">
        <f t="shared" si="179"/>
        <v>-119.99999999999829</v>
      </c>
      <c r="BO248">
        <f>Data!$H$2*(1-BI248)*(1-BI248/Data!$H$3)*BM248</f>
        <v>5.6374606018731969E-8</v>
      </c>
      <c r="BP248">
        <f t="shared" si="161"/>
        <v>-118.16084901078735</v>
      </c>
      <c r="BQ248">
        <f>Data!$H$2*(1-BJ248)*(1-BJ248/Data!$H$3)*BN248</f>
        <v>-2.4712419076591731E-6</v>
      </c>
      <c r="BR248">
        <f t="shared" si="162"/>
        <v>107.82319769152879</v>
      </c>
      <c r="BS248">
        <f t="shared" si="163"/>
        <v>0</v>
      </c>
      <c r="BT248">
        <f t="shared" si="164"/>
        <v>0</v>
      </c>
      <c r="BU248">
        <f t="shared" si="165"/>
        <v>0</v>
      </c>
      <c r="BV248">
        <f t="shared" si="166"/>
        <v>0</v>
      </c>
      <c r="BW248">
        <f t="shared" si="180"/>
        <v>0</v>
      </c>
      <c r="BX248" t="str">
        <f t="shared" si="181"/>
        <v/>
      </c>
      <c r="BY248" s="66" t="str">
        <f t="shared" si="167"/>
        <v/>
      </c>
      <c r="BZ248" t="str">
        <f t="shared" si="168"/>
        <v/>
      </c>
      <c r="CA248" s="67" t="str">
        <f t="shared" si="169"/>
        <v/>
      </c>
    </row>
    <row r="249" spans="4:79" x14ac:dyDescent="0.25">
      <c r="D249" s="3" t="e">
        <f t="shared" si="194"/>
        <v>#DIV/0!</v>
      </c>
      <c r="E249" s="3" t="e">
        <f t="shared" si="194"/>
        <v>#DIV/0!</v>
      </c>
      <c r="F249" t="str">
        <f>IF(A249&gt;0,IF(F248=1,1,IF(B249=Data!$H$4,1,0)),"")</f>
        <v/>
      </c>
      <c r="Q249" t="str">
        <f t="shared" si="170"/>
        <v/>
      </c>
      <c r="R249" s="4" t="str">
        <f t="shared" si="171"/>
        <v/>
      </c>
      <c r="S249" t="e">
        <f t="shared" si="182"/>
        <v>#DIV/0!</v>
      </c>
      <c r="T249" t="e">
        <f t="shared" si="195"/>
        <v>#DIV/0!</v>
      </c>
      <c r="U249" s="4">
        <f t="shared" si="172"/>
        <v>0</v>
      </c>
      <c r="V249" t="e">
        <f t="shared" si="183"/>
        <v>#DIV/0!</v>
      </c>
      <c r="W249" t="e">
        <f t="shared" si="184"/>
        <v>#DIV/0!</v>
      </c>
      <c r="X249" t="e">
        <f t="shared" si="185"/>
        <v>#VALUE!</v>
      </c>
      <c r="Y249" t="e">
        <f t="shared" si="186"/>
        <v>#VALUE!</v>
      </c>
      <c r="Z249" t="e">
        <f t="shared" si="187"/>
        <v>#VALUE!</v>
      </c>
      <c r="AA249" t="e">
        <f t="shared" si="173"/>
        <v>#VALUE!</v>
      </c>
      <c r="AB249" t="str">
        <f t="shared" si="188"/>
        <v/>
      </c>
      <c r="AC249" t="str">
        <f t="shared" si="189"/>
        <v/>
      </c>
      <c r="AD249" t="str">
        <f t="shared" si="190"/>
        <v/>
      </c>
      <c r="AE249" t="str">
        <f t="shared" si="191"/>
        <v/>
      </c>
      <c r="AK249" s="4">
        <f t="shared" si="192"/>
        <v>49.700000000000351</v>
      </c>
      <c r="AL249">
        <f t="shared" si="174"/>
        <v>2965.0000000000423</v>
      </c>
      <c r="AM249">
        <f t="shared" si="175"/>
        <v>9284.5333333332783</v>
      </c>
      <c r="AN249">
        <f>IF($AK248+$AK$1&lt;=Data!$H$4-0.5,AVERAGE(AM247:AM251),AN248)</f>
        <v>9284.5333333332783</v>
      </c>
      <c r="AO249">
        <f t="shared" si="176"/>
        <v>7896.9999999999582</v>
      </c>
      <c r="AP249">
        <f t="shared" si="193"/>
        <v>8696.9333333332306</v>
      </c>
      <c r="AQ249">
        <f>IF($AK248+$AK$1&lt;=Data!$H$4-0.5,AVERAGE(AP247:AP251),AQ248)</f>
        <v>8696.9333333332306</v>
      </c>
      <c r="AR249">
        <f>IF($AK248+$AK$1&lt;=Data!$H$4-0.5,SLOPE($AN245:$AN253,$AK245:$AK253),AR248)</f>
        <v>-168.31666666667783</v>
      </c>
      <c r="AS249">
        <f>IF($AK248+$AK$1&lt;=Data!$H$4-0.5,SLOPE($AQ245:$AQ253,$AK245:$AK253),AS248)</f>
        <v>-305.31666666668463</v>
      </c>
      <c r="AT249">
        <f>IF(AND($AK249&gt;=Results!$G$13,$AK249&lt;=Results!$G$14),Curves!AR249,"")</f>
        <v>-168.31666666667783</v>
      </c>
      <c r="AU249">
        <f>IF(AND($AK249&gt;=Results!$G$13,$AK249&lt;=Results!$G$14),Curves!AS249,"")</f>
        <v>-305.31666666668463</v>
      </c>
      <c r="AV249" t="str">
        <f t="shared" si="177"/>
        <v/>
      </c>
      <c r="AW249" t="str">
        <f>IF(AND($AK249&lt;=Results!$I$21,$AK249&gt;=Results!$I$20,$AK249&lt;=Results!$F$4),$AN249,"")</f>
        <v/>
      </c>
      <c r="AX249" t="str">
        <f t="shared" si="177"/>
        <v/>
      </c>
      <c r="AY249" t="str">
        <f>IF(AND($AK249&lt;=Results!$I$23,$AK249&gt;=Results!$I$22,$AK249&gt;=Results!$F$4),$AN249,"")</f>
        <v/>
      </c>
      <c r="AZ249" t="str">
        <f t="shared" si="150"/>
        <v/>
      </c>
      <c r="BA249" t="str">
        <f>IF(AND($AK249&lt;=Results!$I$27,$AK249&gt;=Results!$I$26,$AK249&lt;=Results!$F$4),$AQ249,"")</f>
        <v/>
      </c>
      <c r="BB249" t="str">
        <f t="shared" si="151"/>
        <v/>
      </c>
      <c r="BC249" t="str">
        <f>IF(AND($AK249&lt;=Results!$I$29,$AK249&gt;=Results!$I$28,$AK249&gt;=Results!$F$4),$AQ249,"")</f>
        <v/>
      </c>
      <c r="BD249">
        <f t="shared" si="152"/>
        <v>9406.4409064425199</v>
      </c>
      <c r="BE249">
        <f t="shared" si="153"/>
        <v>1827.0619140280971</v>
      </c>
      <c r="BF249">
        <f t="shared" si="154"/>
        <v>9562.1267764705735</v>
      </c>
      <c r="BG249">
        <f t="shared" si="155"/>
        <v>1265.0429602975901</v>
      </c>
      <c r="BH249">
        <f t="shared" si="156"/>
        <v>0</v>
      </c>
      <c r="BI249">
        <f t="shared" si="157"/>
        <v>0.98391588898889359</v>
      </c>
      <c r="BJ249">
        <f t="shared" si="158"/>
        <v>0.89572318873639967</v>
      </c>
      <c r="BK249">
        <f t="shared" si="159"/>
        <v>-7.5859885827888078E-3</v>
      </c>
      <c r="BL249">
        <f t="shared" si="160"/>
        <v>-2.8057376111054345E-2</v>
      </c>
      <c r="BM249">
        <f t="shared" si="178"/>
        <v>120.00000000000055</v>
      </c>
      <c r="BN249">
        <f t="shared" si="179"/>
        <v>-119.99999999999829</v>
      </c>
      <c r="BO249">
        <f>Data!$H$2*(1-BI249)*(1-BI249/Data!$H$3)*BM249</f>
        <v>6.2087670484222915E-8</v>
      </c>
      <c r="BP249">
        <f t="shared" si="161"/>
        <v>-118.06990667866778</v>
      </c>
      <c r="BQ249">
        <f>Data!$H$2*(1-BJ249)*(1-BJ249/Data!$H$3)*BN249</f>
        <v>-2.6096768081530486E-6</v>
      </c>
      <c r="BR249">
        <f t="shared" si="162"/>
        <v>107.48678264836643</v>
      </c>
      <c r="BS249">
        <f t="shared" si="163"/>
        <v>0</v>
      </c>
      <c r="BT249">
        <f t="shared" si="164"/>
        <v>0</v>
      </c>
      <c r="BU249">
        <f t="shared" si="165"/>
        <v>0</v>
      </c>
      <c r="BV249">
        <f t="shared" si="166"/>
        <v>0</v>
      </c>
      <c r="BW249">
        <f t="shared" si="180"/>
        <v>0</v>
      </c>
      <c r="BX249" t="str">
        <f t="shared" si="181"/>
        <v/>
      </c>
      <c r="BY249" s="66" t="str">
        <f t="shared" si="167"/>
        <v/>
      </c>
      <c r="BZ249" t="str">
        <f t="shared" si="168"/>
        <v/>
      </c>
      <c r="CA249" s="67" t="str">
        <f t="shared" si="169"/>
        <v/>
      </c>
    </row>
    <row r="250" spans="4:79" x14ac:dyDescent="0.25">
      <c r="D250" s="3" t="e">
        <f t="shared" si="194"/>
        <v>#DIV/0!</v>
      </c>
      <c r="E250" s="3" t="e">
        <f t="shared" si="194"/>
        <v>#DIV/0!</v>
      </c>
      <c r="F250" t="str">
        <f>IF(A250&gt;0,IF(F249=1,1,IF(B250=Data!$H$4,1,0)),"")</f>
        <v/>
      </c>
      <c r="Q250" t="str">
        <f t="shared" si="170"/>
        <v/>
      </c>
      <c r="R250" s="4" t="str">
        <f t="shared" si="171"/>
        <v/>
      </c>
      <c r="S250" t="e">
        <f t="shared" si="182"/>
        <v>#DIV/0!</v>
      </c>
      <c r="T250" t="e">
        <f t="shared" si="195"/>
        <v>#DIV/0!</v>
      </c>
      <c r="U250" s="4">
        <f t="shared" si="172"/>
        <v>0</v>
      </c>
      <c r="V250" t="e">
        <f t="shared" si="183"/>
        <v>#DIV/0!</v>
      </c>
      <c r="W250" t="e">
        <f t="shared" si="184"/>
        <v>#DIV/0!</v>
      </c>
      <c r="X250" t="e">
        <f t="shared" si="185"/>
        <v>#VALUE!</v>
      </c>
      <c r="Y250" t="e">
        <f t="shared" si="186"/>
        <v>#VALUE!</v>
      </c>
      <c r="Z250" t="e">
        <f t="shared" si="187"/>
        <v>#VALUE!</v>
      </c>
      <c r="AA250" t="e">
        <f t="shared" si="173"/>
        <v>#VALUE!</v>
      </c>
      <c r="AB250" t="str">
        <f t="shared" si="188"/>
        <v/>
      </c>
      <c r="AC250" t="str">
        <f t="shared" si="189"/>
        <v/>
      </c>
      <c r="AD250" t="str">
        <f t="shared" si="190"/>
        <v/>
      </c>
      <c r="AE250" t="str">
        <f t="shared" si="191"/>
        <v/>
      </c>
      <c r="AK250" s="4">
        <f t="shared" si="192"/>
        <v>49.800000000000352</v>
      </c>
      <c r="AL250">
        <f t="shared" si="174"/>
        <v>2977.0000000000423</v>
      </c>
      <c r="AM250">
        <f t="shared" si="175"/>
        <v>9268.1333333332768</v>
      </c>
      <c r="AN250">
        <f>IF($AK249+$AK$1&lt;=Data!$H$4-0.5,AVERAGE(AM248:AM252),AN249)</f>
        <v>9268.133333333275</v>
      </c>
      <c r="AO250">
        <f t="shared" si="176"/>
        <v>7884.9999999999582</v>
      </c>
      <c r="AP250">
        <f t="shared" si="193"/>
        <v>8667.0666666665638</v>
      </c>
      <c r="AQ250">
        <f>IF($AK249+$AK$1&lt;=Data!$H$4-0.5,AVERAGE(AP248:AP252),AQ249)</f>
        <v>8667.0666666665602</v>
      </c>
      <c r="AR250">
        <f>IF($AK249+$AK$1&lt;=Data!$H$4-0.5,SLOPE($AN246:$AN254,$AK246:$AK254),AR249)</f>
        <v>-172.01666666668186</v>
      </c>
      <c r="AS250">
        <f>IF($AK249+$AK$1&lt;=Data!$H$4-0.5,SLOPE($AQ246:$AQ254,$AK246:$AK254),AS249)</f>
        <v>-311.01666666669144</v>
      </c>
      <c r="AT250">
        <f>IF(AND($AK250&gt;=Results!$G$13,$AK250&lt;=Results!$G$14),Curves!AR250,"")</f>
        <v>-172.01666666668186</v>
      </c>
      <c r="AU250">
        <f>IF(AND($AK250&gt;=Results!$G$13,$AK250&lt;=Results!$G$14),Curves!AS250,"")</f>
        <v>-311.01666666669144</v>
      </c>
      <c r="AV250" t="str">
        <f t="shared" si="177"/>
        <v/>
      </c>
      <c r="AW250" t="str">
        <f>IF(AND($AK250&lt;=Results!$I$21,$AK250&gt;=Results!$I$20,$AK250&lt;=Results!$F$4),$AN250,"")</f>
        <v/>
      </c>
      <c r="AX250" t="str">
        <f t="shared" si="177"/>
        <v/>
      </c>
      <c r="AY250" t="str">
        <f>IF(AND($AK250&lt;=Results!$I$23,$AK250&gt;=Results!$I$22,$AK250&gt;=Results!$F$4),$AN250,"")</f>
        <v/>
      </c>
      <c r="AZ250" t="str">
        <f t="shared" si="150"/>
        <v/>
      </c>
      <c r="BA250" t="str">
        <f>IF(AND($AK250&lt;=Results!$I$27,$AK250&gt;=Results!$I$26,$AK250&lt;=Results!$F$4),$AQ250,"")</f>
        <v/>
      </c>
      <c r="BB250" t="str">
        <f t="shared" si="151"/>
        <v/>
      </c>
      <c r="BC250" t="str">
        <f>IF(AND($AK250&lt;=Results!$I$29,$AK250&gt;=Results!$I$28,$AK250&gt;=Results!$F$4),$AQ250,"")</f>
        <v/>
      </c>
      <c r="BD250">
        <f t="shared" si="152"/>
        <v>9395.6707116445996</v>
      </c>
      <c r="BE250">
        <f t="shared" si="153"/>
        <v>1823.7461247787762</v>
      </c>
      <c r="BF250">
        <f t="shared" si="154"/>
        <v>9554.836794237679</v>
      </c>
      <c r="BG250">
        <f t="shared" si="155"/>
        <v>1264.492159338065</v>
      </c>
      <c r="BH250">
        <f t="shared" si="156"/>
        <v>0</v>
      </c>
      <c r="BI250">
        <f t="shared" si="157"/>
        <v>0.98315654403999886</v>
      </c>
      <c r="BJ250">
        <f t="shared" si="158"/>
        <v>0.8929151722072084</v>
      </c>
      <c r="BK250">
        <f t="shared" si="159"/>
        <v>-8.0900612227445788E-3</v>
      </c>
      <c r="BL250">
        <f t="shared" si="160"/>
        <v>-2.879111626091627E-2</v>
      </c>
      <c r="BM250">
        <f t="shared" si="178"/>
        <v>119.99999999999829</v>
      </c>
      <c r="BN250">
        <f t="shared" si="179"/>
        <v>-120.00000000000284</v>
      </c>
      <c r="BO250">
        <f>Data!$H$2*(1-BI250)*(1-BI250/Data!$H$3)*BM250</f>
        <v>6.8088482082358531E-8</v>
      </c>
      <c r="BP250">
        <f t="shared" si="161"/>
        <v>-117.97878528479819</v>
      </c>
      <c r="BQ250">
        <f>Data!$H$2*(1-BJ250)*(1-BJ250/Data!$H$3)*BN250</f>
        <v>-2.752118482418905E-6</v>
      </c>
      <c r="BR250">
        <f t="shared" si="162"/>
        <v>107.14982066486755</v>
      </c>
      <c r="BS250">
        <f t="shared" si="163"/>
        <v>0</v>
      </c>
      <c r="BT250">
        <f t="shared" si="164"/>
        <v>0</v>
      </c>
      <c r="BU250">
        <f t="shared" si="165"/>
        <v>0</v>
      </c>
      <c r="BV250">
        <f t="shared" si="166"/>
        <v>0</v>
      </c>
      <c r="BW250">
        <f t="shared" si="180"/>
        <v>0</v>
      </c>
      <c r="BX250" t="str">
        <f t="shared" si="181"/>
        <v/>
      </c>
      <c r="BY250" s="66" t="str">
        <f t="shared" si="167"/>
        <v/>
      </c>
      <c r="BZ250" t="str">
        <f t="shared" si="168"/>
        <v/>
      </c>
      <c r="CA250" s="67" t="str">
        <f t="shared" si="169"/>
        <v/>
      </c>
    </row>
    <row r="251" spans="4:79" x14ac:dyDescent="0.25">
      <c r="D251" s="3" t="e">
        <f t="shared" si="194"/>
        <v>#DIV/0!</v>
      </c>
      <c r="E251" s="3" t="e">
        <f t="shared" si="194"/>
        <v>#DIV/0!</v>
      </c>
      <c r="F251" t="str">
        <f>IF(A251&gt;0,IF(F250=1,1,IF(B251=Data!$H$4,1,0)),"")</f>
        <v/>
      </c>
      <c r="Q251" t="str">
        <f t="shared" si="170"/>
        <v/>
      </c>
      <c r="R251" s="4" t="str">
        <f t="shared" si="171"/>
        <v/>
      </c>
      <c r="S251" t="e">
        <f t="shared" si="182"/>
        <v>#DIV/0!</v>
      </c>
      <c r="T251" t="e">
        <f t="shared" si="195"/>
        <v>#DIV/0!</v>
      </c>
      <c r="U251" s="4">
        <f t="shared" si="172"/>
        <v>0</v>
      </c>
      <c r="V251" t="e">
        <f t="shared" si="183"/>
        <v>#DIV/0!</v>
      </c>
      <c r="W251" t="e">
        <f t="shared" si="184"/>
        <v>#DIV/0!</v>
      </c>
      <c r="X251" t="e">
        <f t="shared" si="185"/>
        <v>#VALUE!</v>
      </c>
      <c r="Y251" t="e">
        <f t="shared" si="186"/>
        <v>#VALUE!</v>
      </c>
      <c r="Z251" t="e">
        <f t="shared" si="187"/>
        <v>#VALUE!</v>
      </c>
      <c r="AA251" t="e">
        <f t="shared" si="173"/>
        <v>#VALUE!</v>
      </c>
      <c r="AB251" t="str">
        <f t="shared" si="188"/>
        <v/>
      </c>
      <c r="AC251" t="str">
        <f t="shared" si="189"/>
        <v/>
      </c>
      <c r="AD251" t="str">
        <f t="shared" si="190"/>
        <v/>
      </c>
      <c r="AE251" t="str">
        <f t="shared" si="191"/>
        <v/>
      </c>
      <c r="AK251" s="4">
        <f t="shared" si="192"/>
        <v>49.900000000000354</v>
      </c>
      <c r="AL251">
        <f t="shared" si="174"/>
        <v>2989.0000000000423</v>
      </c>
      <c r="AM251">
        <f t="shared" si="175"/>
        <v>9251.7333333332772</v>
      </c>
      <c r="AN251">
        <f>IF($AK250+$AK$1&lt;=Data!$H$4-0.5,AVERAGE(AM249:AM253),AN250)</f>
        <v>9250.9933333332719</v>
      </c>
      <c r="AO251">
        <f t="shared" si="176"/>
        <v>7872.9999999999573</v>
      </c>
      <c r="AP251">
        <f t="shared" si="193"/>
        <v>8637.199999999897</v>
      </c>
      <c r="AQ251">
        <f>IF($AK250+$AK$1&lt;=Data!$H$4-0.5,AVERAGE(AP249:AP253),AQ250)</f>
        <v>8636.0599999998885</v>
      </c>
      <c r="AR251">
        <f>IF($AK250+$AK$1&lt;=Data!$H$4-0.5,SLOPE($AN247:$AN255,$AK247:$AK255),AR250)</f>
        <v>-176.95000000001821</v>
      </c>
      <c r="AS251">
        <f>IF($AK250+$AK$1&lt;=Data!$H$4-0.5,SLOPE($AQ247:$AQ255,$AK247:$AK255),AS250)</f>
        <v>-318.61666666669771</v>
      </c>
      <c r="AT251">
        <f>IF(AND($AK251&gt;=Results!$G$13,$AK251&lt;=Results!$G$14),Curves!AR251,"")</f>
        <v>-176.95000000001821</v>
      </c>
      <c r="AU251">
        <f>IF(AND($AK251&gt;=Results!$G$13,$AK251&lt;=Results!$G$14),Curves!AS251,"")</f>
        <v>-318.61666666669771</v>
      </c>
      <c r="AV251" t="str">
        <f t="shared" si="177"/>
        <v/>
      </c>
      <c r="AW251" t="str">
        <f>IF(AND($AK251&lt;=Results!$I$21,$AK251&gt;=Results!$I$20,$AK251&lt;=Results!$F$4),$AN251,"")</f>
        <v/>
      </c>
      <c r="AX251" t="str">
        <f t="shared" si="177"/>
        <v/>
      </c>
      <c r="AY251" t="str">
        <f>IF(AND($AK251&lt;=Results!$I$23,$AK251&gt;=Results!$I$22,$AK251&gt;=Results!$F$4),$AN251,"")</f>
        <v/>
      </c>
      <c r="AZ251" t="str">
        <f t="shared" si="150"/>
        <v/>
      </c>
      <c r="BA251" t="str">
        <f>IF(AND($AK251&lt;=Results!$I$27,$AK251&gt;=Results!$I$26,$AK251&lt;=Results!$F$4),$AQ251,"")</f>
        <v/>
      </c>
      <c r="BB251" t="str">
        <f t="shared" si="151"/>
        <v/>
      </c>
      <c r="BC251" t="str">
        <f>IF(AND($AK251&lt;=Results!$I$29,$AK251&gt;=Results!$I$28,$AK251&gt;=Results!$F$4),$AQ251,"")</f>
        <v/>
      </c>
      <c r="BD251">
        <f t="shared" si="152"/>
        <v>9384.9005168466792</v>
      </c>
      <c r="BE251">
        <f t="shared" si="153"/>
        <v>1820.4303355294553</v>
      </c>
      <c r="BF251">
        <f t="shared" si="154"/>
        <v>9547.5468120047863</v>
      </c>
      <c r="BG251">
        <f t="shared" si="155"/>
        <v>1263.9413583785399</v>
      </c>
      <c r="BH251">
        <f t="shared" si="156"/>
        <v>0</v>
      </c>
      <c r="BI251">
        <f t="shared" si="157"/>
        <v>0.98229787674434466</v>
      </c>
      <c r="BJ251">
        <f t="shared" si="158"/>
        <v>0.88996496548421633</v>
      </c>
      <c r="BK251">
        <f t="shared" si="159"/>
        <v>-9.0847542963494541E-3</v>
      </c>
      <c r="BL251">
        <f t="shared" si="160"/>
        <v>-3.0214754808152847E-2</v>
      </c>
      <c r="BM251">
        <f t="shared" si="178"/>
        <v>120.00000000000055</v>
      </c>
      <c r="BN251">
        <f t="shared" si="179"/>
        <v>-120.00000000000284</v>
      </c>
      <c r="BO251">
        <f>Data!$H$2*(1-BI251)*(1-BI251/Data!$H$3)*BM251</f>
        <v>7.5207640262019648E-8</v>
      </c>
      <c r="BP251">
        <f t="shared" si="161"/>
        <v>-117.87574520932191</v>
      </c>
      <c r="BQ251">
        <f>Data!$H$2*(1-BJ251)*(1-BJ251/Data!$H$3)*BN251</f>
        <v>-2.9058501170135976E-6</v>
      </c>
      <c r="BR251">
        <f t="shared" si="162"/>
        <v>106.79579585810849</v>
      </c>
      <c r="BS251">
        <f t="shared" si="163"/>
        <v>0</v>
      </c>
      <c r="BT251">
        <f t="shared" si="164"/>
        <v>0</v>
      </c>
      <c r="BU251">
        <f t="shared" si="165"/>
        <v>0</v>
      </c>
      <c r="BV251">
        <f t="shared" si="166"/>
        <v>0</v>
      </c>
      <c r="BW251">
        <f t="shared" si="180"/>
        <v>0</v>
      </c>
      <c r="BX251" t="str">
        <f t="shared" si="181"/>
        <v/>
      </c>
      <c r="BY251" s="66" t="str">
        <f t="shared" si="167"/>
        <v/>
      </c>
      <c r="BZ251" t="str">
        <f t="shared" si="168"/>
        <v/>
      </c>
      <c r="CA251" s="67" t="str">
        <f t="shared" si="169"/>
        <v/>
      </c>
    </row>
    <row r="252" spans="4:79" x14ac:dyDescent="0.25">
      <c r="D252" s="3" t="e">
        <f t="shared" si="194"/>
        <v>#DIV/0!</v>
      </c>
      <c r="E252" s="3" t="e">
        <f t="shared" si="194"/>
        <v>#DIV/0!</v>
      </c>
      <c r="F252" t="str">
        <f>IF(A252&gt;0,IF(F251=1,1,IF(B252=Data!$H$4,1,0)),"")</f>
        <v/>
      </c>
      <c r="Q252" t="str">
        <f t="shared" si="170"/>
        <v/>
      </c>
      <c r="R252" s="4" t="str">
        <f t="shared" si="171"/>
        <v/>
      </c>
      <c r="S252" t="e">
        <f t="shared" si="182"/>
        <v>#DIV/0!</v>
      </c>
      <c r="T252" t="e">
        <f t="shared" si="195"/>
        <v>#DIV/0!</v>
      </c>
      <c r="U252" s="4">
        <f t="shared" si="172"/>
        <v>0</v>
      </c>
      <c r="V252" t="e">
        <f t="shared" si="183"/>
        <v>#DIV/0!</v>
      </c>
      <c r="W252" t="e">
        <f t="shared" si="184"/>
        <v>#DIV/0!</v>
      </c>
      <c r="X252" t="e">
        <f t="shared" si="185"/>
        <v>#VALUE!</v>
      </c>
      <c r="Y252" t="e">
        <f t="shared" si="186"/>
        <v>#VALUE!</v>
      </c>
      <c r="Z252" t="e">
        <f t="shared" si="187"/>
        <v>#VALUE!</v>
      </c>
      <c r="AA252" t="e">
        <f t="shared" si="173"/>
        <v>#VALUE!</v>
      </c>
      <c r="AB252" t="str">
        <f t="shared" si="188"/>
        <v/>
      </c>
      <c r="AC252" t="str">
        <f t="shared" si="189"/>
        <v/>
      </c>
      <c r="AD252" t="str">
        <f t="shared" si="190"/>
        <v/>
      </c>
      <c r="AE252" t="str">
        <f t="shared" si="191"/>
        <v/>
      </c>
      <c r="AK252" s="4">
        <f t="shared" si="192"/>
        <v>50.000000000000355</v>
      </c>
      <c r="AL252">
        <f t="shared" si="174"/>
        <v>3001.0000000000427</v>
      </c>
      <c r="AM252">
        <f t="shared" si="175"/>
        <v>9235.3333333332648</v>
      </c>
      <c r="AN252">
        <f>IF($AK251+$AK$1&lt;=Data!$H$4-0.5,AVERAGE(AM250:AM254),AN251)</f>
        <v>9233.1133333332691</v>
      </c>
      <c r="AO252">
        <f t="shared" si="176"/>
        <v>7860.9999999999573</v>
      </c>
      <c r="AP252">
        <f t="shared" si="193"/>
        <v>8607.3333333332102</v>
      </c>
      <c r="AQ252">
        <f>IF($AK251+$AK$1&lt;=Data!$H$4-0.5,AVERAGE(AP250:AP254),AQ251)</f>
        <v>8603.9133333332175</v>
      </c>
      <c r="AR252">
        <f>IF($AK251+$AK$1&lt;=Data!$H$4-0.5,SLOPE($AN248:$AN256,$AK248:$AK256),AR251)</f>
        <v>-182.50000000001739</v>
      </c>
      <c r="AS252">
        <f>IF($AK251+$AK$1&lt;=Data!$H$4-0.5,SLOPE($AQ248:$AQ256,$AK248:$AK256),AS251)</f>
        <v>-327.16666666669937</v>
      </c>
      <c r="AT252">
        <f>IF(AND($AK252&gt;=Results!$G$13,$AK252&lt;=Results!$G$14),Curves!AR252,"")</f>
        <v>-182.50000000001739</v>
      </c>
      <c r="AU252">
        <f>IF(AND($AK252&gt;=Results!$G$13,$AK252&lt;=Results!$G$14),Curves!AS252,"")</f>
        <v>-327.16666666669937</v>
      </c>
      <c r="AV252" t="str">
        <f t="shared" si="177"/>
        <v/>
      </c>
      <c r="AW252" t="str">
        <f>IF(AND($AK252&lt;=Results!$I$21,$AK252&gt;=Results!$I$20,$AK252&lt;=Results!$F$4),$AN252,"")</f>
        <v/>
      </c>
      <c r="AX252" t="str">
        <f t="shared" si="177"/>
        <v/>
      </c>
      <c r="AY252" t="str">
        <f>IF(AND($AK252&lt;=Results!$I$23,$AK252&gt;=Results!$I$22,$AK252&gt;=Results!$F$4),$AN252,"")</f>
        <v/>
      </c>
      <c r="AZ252" t="str">
        <f t="shared" si="150"/>
        <v/>
      </c>
      <c r="BA252" t="str">
        <f>IF(AND($AK252&lt;=Results!$I$27,$AK252&gt;=Results!$I$26,$AK252&lt;=Results!$F$4),$AQ252,"")</f>
        <v/>
      </c>
      <c r="BB252" t="str">
        <f t="shared" si="151"/>
        <v/>
      </c>
      <c r="BC252" t="str">
        <f>IF(AND($AK252&lt;=Results!$I$29,$AK252&gt;=Results!$I$28,$AK252&gt;=Results!$F$4),$AQ252,"")</f>
        <v/>
      </c>
      <c r="BD252">
        <f t="shared" si="152"/>
        <v>9374.1303220487607</v>
      </c>
      <c r="BE252">
        <f t="shared" si="153"/>
        <v>1817.1145462801346</v>
      </c>
      <c r="BF252">
        <f t="shared" si="154"/>
        <v>9540.2568297718935</v>
      </c>
      <c r="BG252">
        <f t="shared" si="155"/>
        <v>1263.3905574190151</v>
      </c>
      <c r="BH252">
        <f t="shared" si="156"/>
        <v>0</v>
      </c>
      <c r="BI252">
        <f t="shared" si="157"/>
        <v>0.98133959318072894</v>
      </c>
      <c r="BJ252">
        <f t="shared" si="158"/>
        <v>0.88687222124557774</v>
      </c>
      <c r="BK252">
        <f t="shared" si="159"/>
        <v>-1.0082392386300121E-2</v>
      </c>
      <c r="BL252">
        <f t="shared" si="160"/>
        <v>-3.1641872234378192E-2</v>
      </c>
      <c r="BM252">
        <f t="shared" si="178"/>
        <v>120.00000000000055</v>
      </c>
      <c r="BN252">
        <f t="shared" si="179"/>
        <v>-119.99999999999829</v>
      </c>
      <c r="BO252">
        <f>Data!$H$2*(1-BI252)*(1-BI252/Data!$H$3)*BM252</f>
        <v>8.357058783856787E-8</v>
      </c>
      <c r="BP252">
        <f t="shared" si="161"/>
        <v>-117.76075118168802</v>
      </c>
      <c r="BQ252">
        <f>Data!$H$2*(1-BJ252)*(1-BJ252/Data!$H$3)*BN252</f>
        <v>-3.0714946382182389E-6</v>
      </c>
      <c r="BR252">
        <f t="shared" si="162"/>
        <v>106.42466654946782</v>
      </c>
      <c r="BS252">
        <f t="shared" si="163"/>
        <v>0</v>
      </c>
      <c r="BT252">
        <f t="shared" si="164"/>
        <v>0</v>
      </c>
      <c r="BU252">
        <f t="shared" si="165"/>
        <v>0</v>
      </c>
      <c r="BV252">
        <f t="shared" si="166"/>
        <v>0</v>
      </c>
      <c r="BW252">
        <f t="shared" si="180"/>
        <v>0</v>
      </c>
      <c r="BX252" t="str">
        <f t="shared" si="181"/>
        <v/>
      </c>
      <c r="BY252" s="66" t="str">
        <f t="shared" si="167"/>
        <v/>
      </c>
      <c r="BZ252" t="str">
        <f t="shared" si="168"/>
        <v/>
      </c>
      <c r="CA252" s="67" t="str">
        <f t="shared" si="169"/>
        <v/>
      </c>
    </row>
    <row r="253" spans="4:79" x14ac:dyDescent="0.25">
      <c r="D253" s="3" t="e">
        <f t="shared" si="194"/>
        <v>#DIV/0!</v>
      </c>
      <c r="E253" s="3" t="e">
        <f t="shared" si="194"/>
        <v>#DIV/0!</v>
      </c>
      <c r="F253" t="str">
        <f>IF(A253&gt;0,IF(F252=1,1,IF(B253=Data!$H$4,1,0)),"")</f>
        <v/>
      </c>
      <c r="Q253" t="str">
        <f t="shared" si="170"/>
        <v/>
      </c>
      <c r="R253" s="4" t="str">
        <f t="shared" si="171"/>
        <v/>
      </c>
      <c r="S253" t="e">
        <f t="shared" si="182"/>
        <v>#DIV/0!</v>
      </c>
      <c r="T253" t="e">
        <f t="shared" si="195"/>
        <v>#DIV/0!</v>
      </c>
      <c r="U253" s="4">
        <f t="shared" si="172"/>
        <v>0</v>
      </c>
      <c r="V253" t="e">
        <f t="shared" si="183"/>
        <v>#DIV/0!</v>
      </c>
      <c r="W253" t="e">
        <f t="shared" si="184"/>
        <v>#DIV/0!</v>
      </c>
      <c r="X253" t="e">
        <f t="shared" si="185"/>
        <v>#VALUE!</v>
      </c>
      <c r="Y253" t="e">
        <f t="shared" si="186"/>
        <v>#VALUE!</v>
      </c>
      <c r="Z253" t="e">
        <f t="shared" si="187"/>
        <v>#VALUE!</v>
      </c>
      <c r="AA253" t="e">
        <f t="shared" si="173"/>
        <v>#VALUE!</v>
      </c>
      <c r="AB253" t="str">
        <f t="shared" si="188"/>
        <v/>
      </c>
      <c r="AC253" t="str">
        <f t="shared" si="189"/>
        <v/>
      </c>
      <c r="AD253" t="str">
        <f t="shared" si="190"/>
        <v/>
      </c>
      <c r="AE253" t="str">
        <f t="shared" si="191"/>
        <v/>
      </c>
      <c r="AK253" s="4">
        <f t="shared" si="192"/>
        <v>50.100000000000357</v>
      </c>
      <c r="AL253">
        <f t="shared" si="174"/>
        <v>3013.0000000000427</v>
      </c>
      <c r="AM253">
        <f t="shared" si="175"/>
        <v>9215.2333333332645</v>
      </c>
      <c r="AN253">
        <f>IF($AK252+$AK$1&lt;=Data!$H$4-0.5,AVERAGE(AM251:AM255),AN252)</f>
        <v>9214.4933333332683</v>
      </c>
      <c r="AO253">
        <f t="shared" si="176"/>
        <v>7848.9999999999573</v>
      </c>
      <c r="AP253">
        <f t="shared" si="193"/>
        <v>8571.7666666665409</v>
      </c>
      <c r="AQ253">
        <f>IF($AK252+$AK$1&lt;=Data!$H$4-0.5,AVERAGE(AP251:AP255),AQ252)</f>
        <v>8570.6266666665451</v>
      </c>
      <c r="AR253">
        <f>IF($AK252+$AK$1&lt;=Data!$H$4-0.5,SLOPE($AN249:$AN257,$AK249:$AK257),AR252)</f>
        <v>-188.0500000000157</v>
      </c>
      <c r="AS253">
        <f>IF($AK252+$AK$1&lt;=Data!$H$4-0.5,SLOPE($AQ249:$AQ257,$AK249:$AK257),AS252)</f>
        <v>-335.71666666669722</v>
      </c>
      <c r="AT253">
        <f>IF(AND($AK253&gt;=Results!$G$13,$AK253&lt;=Results!$G$14),Curves!AR253,"")</f>
        <v>-188.0500000000157</v>
      </c>
      <c r="AU253">
        <f>IF(AND($AK253&gt;=Results!$G$13,$AK253&lt;=Results!$G$14),Curves!AS253,"")</f>
        <v>-335.71666666669722</v>
      </c>
      <c r="AV253" t="str">
        <f t="shared" si="177"/>
        <v/>
      </c>
      <c r="AW253" t="str">
        <f>IF(AND($AK253&lt;=Results!$I$21,$AK253&gt;=Results!$I$20,$AK253&lt;=Results!$F$4),$AN253,"")</f>
        <v/>
      </c>
      <c r="AX253" t="str">
        <f t="shared" si="177"/>
        <v/>
      </c>
      <c r="AY253" t="str">
        <f>IF(AND($AK253&lt;=Results!$I$23,$AK253&gt;=Results!$I$22,$AK253&gt;=Results!$F$4),$AN253,"")</f>
        <v/>
      </c>
      <c r="AZ253" t="str">
        <f t="shared" si="150"/>
        <v/>
      </c>
      <c r="BA253" t="str">
        <f>IF(AND($AK253&lt;=Results!$I$27,$AK253&gt;=Results!$I$26,$AK253&lt;=Results!$F$4),$AQ253,"")</f>
        <v/>
      </c>
      <c r="BB253" t="str">
        <f t="shared" si="151"/>
        <v/>
      </c>
      <c r="BC253" t="str">
        <f>IF(AND($AK253&lt;=Results!$I$29,$AK253&gt;=Results!$I$28,$AK253&gt;=Results!$F$4),$AQ253,"")</f>
        <v/>
      </c>
      <c r="BD253">
        <f t="shared" si="152"/>
        <v>9363.3601272508404</v>
      </c>
      <c r="BE253">
        <f t="shared" si="153"/>
        <v>1813.7987570308137</v>
      </c>
      <c r="BF253">
        <f t="shared" si="154"/>
        <v>9532.966847538999</v>
      </c>
      <c r="BG253">
        <f t="shared" si="155"/>
        <v>1262.83975645949</v>
      </c>
      <c r="BH253">
        <f t="shared" si="156"/>
        <v>0</v>
      </c>
      <c r="BI253">
        <f t="shared" si="157"/>
        <v>0.9802813982670846</v>
      </c>
      <c r="BJ253">
        <f t="shared" si="158"/>
        <v>0.8836365910373406</v>
      </c>
      <c r="BK253">
        <f t="shared" si="159"/>
        <v>-1.1082987129948216E-2</v>
      </c>
      <c r="BL253">
        <f t="shared" si="160"/>
        <v>-3.3072479883735711E-2</v>
      </c>
      <c r="BM253">
        <f t="shared" si="178"/>
        <v>119.99999999999829</v>
      </c>
      <c r="BN253">
        <f t="shared" si="179"/>
        <v>-119.99999999999829</v>
      </c>
      <c r="BO253">
        <f>Data!$H$2*(1-BI253)*(1-BI253/Data!$H$3)*BM253</f>
        <v>9.3317581032318851E-8</v>
      </c>
      <c r="BP253">
        <f t="shared" si="161"/>
        <v>-117.63376779204847</v>
      </c>
      <c r="BQ253">
        <f>Data!$H$2*(1-BJ253)*(1-BJ253/Data!$H$3)*BN253</f>
        <v>-3.249706306898623E-6</v>
      </c>
      <c r="BR253">
        <f t="shared" si="162"/>
        <v>106.03639092447936</v>
      </c>
      <c r="BS253">
        <f t="shared" si="163"/>
        <v>0</v>
      </c>
      <c r="BT253">
        <f t="shared" si="164"/>
        <v>0</v>
      </c>
      <c r="BU253">
        <f t="shared" si="165"/>
        <v>0</v>
      </c>
      <c r="BV253">
        <f t="shared" si="166"/>
        <v>0</v>
      </c>
      <c r="BW253">
        <f t="shared" si="180"/>
        <v>0</v>
      </c>
      <c r="BX253" t="str">
        <f t="shared" si="181"/>
        <v/>
      </c>
      <c r="BY253" s="66" t="str">
        <f t="shared" si="167"/>
        <v/>
      </c>
      <c r="BZ253" t="str">
        <f t="shared" si="168"/>
        <v/>
      </c>
      <c r="CA253" s="67" t="str">
        <f t="shared" si="169"/>
        <v/>
      </c>
    </row>
    <row r="254" spans="4:79" x14ac:dyDescent="0.25">
      <c r="D254" s="3" t="e">
        <f t="shared" si="194"/>
        <v>#DIV/0!</v>
      </c>
      <c r="E254" s="3" t="e">
        <f t="shared" si="194"/>
        <v>#DIV/0!</v>
      </c>
      <c r="F254" t="str">
        <f>IF(A254&gt;0,IF(F253=1,1,IF(B254=Data!$H$4,1,0)),"")</f>
        <v/>
      </c>
      <c r="Q254" t="str">
        <f t="shared" si="170"/>
        <v/>
      </c>
      <c r="R254" s="4" t="str">
        <f t="shared" si="171"/>
        <v/>
      </c>
      <c r="S254" t="e">
        <f t="shared" si="182"/>
        <v>#DIV/0!</v>
      </c>
      <c r="T254" t="e">
        <f t="shared" si="195"/>
        <v>#DIV/0!</v>
      </c>
      <c r="U254" s="4">
        <f t="shared" si="172"/>
        <v>0</v>
      </c>
      <c r="V254" t="e">
        <f t="shared" si="183"/>
        <v>#DIV/0!</v>
      </c>
      <c r="W254" t="e">
        <f t="shared" si="184"/>
        <v>#DIV/0!</v>
      </c>
      <c r="X254" t="e">
        <f t="shared" si="185"/>
        <v>#VALUE!</v>
      </c>
      <c r="Y254" t="e">
        <f t="shared" si="186"/>
        <v>#VALUE!</v>
      </c>
      <c r="Z254" t="e">
        <f t="shared" si="187"/>
        <v>#VALUE!</v>
      </c>
      <c r="AA254" t="e">
        <f t="shared" si="173"/>
        <v>#VALUE!</v>
      </c>
      <c r="AB254" t="str">
        <f t="shared" si="188"/>
        <v/>
      </c>
      <c r="AC254" t="str">
        <f t="shared" si="189"/>
        <v/>
      </c>
      <c r="AD254" t="str">
        <f t="shared" si="190"/>
        <v/>
      </c>
      <c r="AE254" t="str">
        <f t="shared" si="191"/>
        <v/>
      </c>
      <c r="AK254" s="4">
        <f t="shared" si="192"/>
        <v>50.200000000000358</v>
      </c>
      <c r="AL254">
        <f t="shared" si="174"/>
        <v>3025.0000000000427</v>
      </c>
      <c r="AM254">
        <f t="shared" si="175"/>
        <v>9195.1333333332641</v>
      </c>
      <c r="AN254">
        <f>IF($AK253+$AK$1&lt;=Data!$H$4-0.5,AVERAGE(AM252:AM256),AN253)</f>
        <v>9195.1333333332641</v>
      </c>
      <c r="AO254">
        <f t="shared" si="176"/>
        <v>7836.9999999999573</v>
      </c>
      <c r="AP254">
        <f t="shared" si="193"/>
        <v>8536.1999999998734</v>
      </c>
      <c r="AQ254">
        <f>IF($AK253+$AK$1&lt;=Data!$H$4-0.5,AVERAGE(AP252:AP256),AQ253)</f>
        <v>8536.1999999998752</v>
      </c>
      <c r="AR254">
        <f>IF($AK253+$AK$1&lt;=Data!$H$4-0.5,SLOPE($AN250:$AN258,$AK250:$AK258),AR253)</f>
        <v>-192.98333333334506</v>
      </c>
      <c r="AS254">
        <f>IF($AK253+$AK$1&lt;=Data!$H$4-0.5,SLOPE($AQ250:$AQ258,$AK250:$AK258),AS253)</f>
        <v>-343.31666666669145</v>
      </c>
      <c r="AT254">
        <f>IF(AND($AK254&gt;=Results!$G$13,$AK254&lt;=Results!$G$14),Curves!AR254,"")</f>
        <v>-192.98333333334506</v>
      </c>
      <c r="AU254">
        <f>IF(AND($AK254&gt;=Results!$G$13,$AK254&lt;=Results!$G$14),Curves!AS254,"")</f>
        <v>-343.31666666669145</v>
      </c>
      <c r="AV254" t="str">
        <f t="shared" si="177"/>
        <v/>
      </c>
      <c r="AW254" t="str">
        <f>IF(AND($AK254&lt;=Results!$I$21,$AK254&gt;=Results!$I$20,$AK254&lt;=Results!$F$4),$AN254,"")</f>
        <v/>
      </c>
      <c r="AX254" t="str">
        <f t="shared" si="177"/>
        <v/>
      </c>
      <c r="AY254" t="str">
        <f>IF(AND($AK254&lt;=Results!$I$23,$AK254&gt;=Results!$I$22,$AK254&gt;=Results!$F$4),$AN254,"")</f>
        <v/>
      </c>
      <c r="AZ254" t="str">
        <f t="shared" si="150"/>
        <v/>
      </c>
      <c r="BA254" t="str">
        <f>IF(AND($AK254&lt;=Results!$I$27,$AK254&gt;=Results!$I$26,$AK254&lt;=Results!$F$4),$AQ254,"")</f>
        <v/>
      </c>
      <c r="BB254" t="str">
        <f t="shared" si="151"/>
        <v/>
      </c>
      <c r="BC254" t="str">
        <f>IF(AND($AK254&lt;=Results!$I$29,$AK254&gt;=Results!$I$28,$AK254&gt;=Results!$F$4),$AQ254,"")</f>
        <v/>
      </c>
      <c r="BD254">
        <f t="shared" si="152"/>
        <v>9352.58993245292</v>
      </c>
      <c r="BE254">
        <f t="shared" si="153"/>
        <v>1810.482967781493</v>
      </c>
      <c r="BF254">
        <f t="shared" si="154"/>
        <v>9525.6768653061063</v>
      </c>
      <c r="BG254">
        <f t="shared" si="155"/>
        <v>1262.2889554999651</v>
      </c>
      <c r="BH254">
        <f t="shared" si="156"/>
        <v>0</v>
      </c>
      <c r="BI254">
        <f t="shared" si="157"/>
        <v>0.97912299575473927</v>
      </c>
      <c r="BJ254">
        <f t="shared" si="158"/>
        <v>0.8802577252688305</v>
      </c>
      <c r="BK254">
        <f t="shared" si="159"/>
        <v>-1.208655022217991E-2</v>
      </c>
      <c r="BL254">
        <f t="shared" si="160"/>
        <v>-3.4506589146642903E-2</v>
      </c>
      <c r="BM254">
        <f t="shared" si="178"/>
        <v>120.00000000000055</v>
      </c>
      <c r="BN254">
        <f t="shared" si="179"/>
        <v>-119.99999999999829</v>
      </c>
      <c r="BO254">
        <f>Data!$H$2*(1-BI254)*(1-BI254/Data!$H$3)*BM254</f>
        <v>1.046038335015928E-7</v>
      </c>
      <c r="BP254">
        <f t="shared" si="161"/>
        <v>-117.49475949056925</v>
      </c>
      <c r="BQ254">
        <f>Data!$H$2*(1-BJ254)*(1-BJ254/Data!$H$3)*BN254</f>
        <v>-3.4411709658707204E-6</v>
      </c>
      <c r="BR254">
        <f t="shared" si="162"/>
        <v>105.63092703225816</v>
      </c>
      <c r="BS254">
        <f t="shared" si="163"/>
        <v>0</v>
      </c>
      <c r="BT254">
        <f t="shared" si="164"/>
        <v>0</v>
      </c>
      <c r="BU254">
        <f t="shared" si="165"/>
        <v>0</v>
      </c>
      <c r="BV254">
        <f t="shared" si="166"/>
        <v>0</v>
      </c>
      <c r="BW254">
        <f t="shared" si="180"/>
        <v>0</v>
      </c>
      <c r="BX254" t="str">
        <f t="shared" si="181"/>
        <v/>
      </c>
      <c r="BY254" s="66" t="str">
        <f t="shared" si="167"/>
        <v/>
      </c>
      <c r="BZ254" t="str">
        <f t="shared" si="168"/>
        <v/>
      </c>
      <c r="CA254" s="67" t="str">
        <f t="shared" si="169"/>
        <v/>
      </c>
    </row>
    <row r="255" spans="4:79" x14ac:dyDescent="0.25">
      <c r="D255" s="3" t="e">
        <f t="shared" si="194"/>
        <v>#DIV/0!</v>
      </c>
      <c r="E255" s="3" t="e">
        <f t="shared" si="194"/>
        <v>#DIV/0!</v>
      </c>
      <c r="F255" t="str">
        <f>IF(A255&gt;0,IF(F254=1,1,IF(B255=Data!$H$4,1,0)),"")</f>
        <v/>
      </c>
      <c r="Q255" t="str">
        <f t="shared" si="170"/>
        <v/>
      </c>
      <c r="R255" s="4" t="str">
        <f t="shared" si="171"/>
        <v/>
      </c>
      <c r="S255" t="e">
        <f t="shared" si="182"/>
        <v>#DIV/0!</v>
      </c>
      <c r="T255" t="e">
        <f t="shared" si="195"/>
        <v>#DIV/0!</v>
      </c>
      <c r="U255" s="4">
        <f t="shared" si="172"/>
        <v>0</v>
      </c>
      <c r="V255" t="e">
        <f t="shared" si="183"/>
        <v>#DIV/0!</v>
      </c>
      <c r="W255" t="e">
        <f t="shared" si="184"/>
        <v>#DIV/0!</v>
      </c>
      <c r="X255" t="e">
        <f t="shared" si="185"/>
        <v>#VALUE!</v>
      </c>
      <c r="Y255" t="e">
        <f t="shared" si="186"/>
        <v>#VALUE!</v>
      </c>
      <c r="Z255" t="e">
        <f t="shared" si="187"/>
        <v>#VALUE!</v>
      </c>
      <c r="AA255" t="e">
        <f t="shared" si="173"/>
        <v>#VALUE!</v>
      </c>
      <c r="AB255" t="str">
        <f t="shared" si="188"/>
        <v/>
      </c>
      <c r="AC255" t="str">
        <f t="shared" si="189"/>
        <v/>
      </c>
      <c r="AD255" t="str">
        <f t="shared" si="190"/>
        <v/>
      </c>
      <c r="AE255" t="str">
        <f t="shared" si="191"/>
        <v/>
      </c>
      <c r="AK255" s="4">
        <f t="shared" si="192"/>
        <v>50.30000000000036</v>
      </c>
      <c r="AL255">
        <f t="shared" si="174"/>
        <v>3037.0000000000432</v>
      </c>
      <c r="AM255">
        <f t="shared" si="175"/>
        <v>9175.0333333332637</v>
      </c>
      <c r="AN255">
        <f>IF($AK254+$AK$1&lt;=Data!$H$4-0.5,AVERAGE(AM253:AM257),AN254)</f>
        <v>9175.0333333332637</v>
      </c>
      <c r="AO255">
        <f t="shared" si="176"/>
        <v>7824.9999999999573</v>
      </c>
      <c r="AP255">
        <f t="shared" si="193"/>
        <v>8500.6333333332059</v>
      </c>
      <c r="AQ255">
        <f>IF($AK254+$AK$1&lt;=Data!$H$4-0.5,AVERAGE(AP253:AP257),AQ254)</f>
        <v>8500.6333333332059</v>
      </c>
      <c r="AR255">
        <f>IF($AK254+$AK$1&lt;=Data!$H$4-0.5,SLOPE($AN251:$AN259,$AK251:$AK259),AR254)</f>
        <v>-196.68333333334149</v>
      </c>
      <c r="AS255">
        <f>IF($AK254+$AK$1&lt;=Data!$H$4-0.5,SLOPE($AQ251:$AQ259,$AK251:$AK259),AS254)</f>
        <v>-349.01666666668484</v>
      </c>
      <c r="AT255">
        <f>IF(AND($AK255&gt;=Results!$G$13,$AK255&lt;=Results!$G$14),Curves!AR255,"")</f>
        <v>-196.68333333334149</v>
      </c>
      <c r="AU255">
        <f>IF(AND($AK255&gt;=Results!$G$13,$AK255&lt;=Results!$G$14),Curves!AS255,"")</f>
        <v>-349.01666666668484</v>
      </c>
      <c r="AV255" t="str">
        <f t="shared" si="177"/>
        <v/>
      </c>
      <c r="AW255" t="str">
        <f>IF(AND($AK255&lt;=Results!$I$21,$AK255&gt;=Results!$I$20,$AK255&lt;=Results!$F$4),$AN255,"")</f>
        <v/>
      </c>
      <c r="AX255" t="str">
        <f t="shared" si="177"/>
        <v/>
      </c>
      <c r="AY255" t="str">
        <f>IF(AND($AK255&lt;=Results!$I$23,$AK255&gt;=Results!$I$22,$AK255&gt;=Results!$F$4),$AN255,"")</f>
        <v/>
      </c>
      <c r="AZ255" t="str">
        <f t="shared" si="150"/>
        <v/>
      </c>
      <c r="BA255" t="str">
        <f>IF(AND($AK255&lt;=Results!$I$27,$AK255&gt;=Results!$I$26,$AK255&lt;=Results!$F$4),$AQ255,"")</f>
        <v/>
      </c>
      <c r="BB255" t="str">
        <f t="shared" si="151"/>
        <v/>
      </c>
      <c r="BC255" t="str">
        <f>IF(AND($AK255&lt;=Results!$I$29,$AK255&gt;=Results!$I$28,$AK255&gt;=Results!$F$4),$AQ255,"")</f>
        <v/>
      </c>
      <c r="BD255">
        <f t="shared" si="152"/>
        <v>9341.8197376550015</v>
      </c>
      <c r="BE255">
        <f t="shared" si="153"/>
        <v>1807.1671785321721</v>
      </c>
      <c r="BF255">
        <f t="shared" si="154"/>
        <v>9518.3868830732135</v>
      </c>
      <c r="BG255">
        <f t="shared" si="155"/>
        <v>1261.7381545404401</v>
      </c>
      <c r="BH255">
        <f t="shared" si="156"/>
        <v>0</v>
      </c>
      <c r="BI255">
        <f t="shared" si="157"/>
        <v>0.97786408822264859</v>
      </c>
      <c r="BJ255">
        <f t="shared" si="158"/>
        <v>0.87673527320801192</v>
      </c>
      <c r="BK255">
        <f t="shared" si="159"/>
        <v>-1.2601542652176209E-2</v>
      </c>
      <c r="BL255">
        <f t="shared" si="160"/>
        <v>-3.5253294793923307E-2</v>
      </c>
      <c r="BM255">
        <f t="shared" si="178"/>
        <v>120.00000000000055</v>
      </c>
      <c r="BN255">
        <f t="shared" si="179"/>
        <v>-120.00000000000284</v>
      </c>
      <c r="BO255">
        <f>Data!$H$2*(1-BI255)*(1-BI255/Data!$H$3)*BM255</f>
        <v>1.1759966165152494E-7</v>
      </c>
      <c r="BP255">
        <f t="shared" si="161"/>
        <v>-117.34369058671837</v>
      </c>
      <c r="BQ255">
        <f>Data!$H$2*(1-BJ255)*(1-BJ255/Data!$H$3)*BN255</f>
        <v>-3.6466062890649172E-6</v>
      </c>
      <c r="BR255">
        <f t="shared" si="162"/>
        <v>105.20823278496393</v>
      </c>
      <c r="BS255">
        <f t="shared" si="163"/>
        <v>0</v>
      </c>
      <c r="BT255">
        <f t="shared" si="164"/>
        <v>0</v>
      </c>
      <c r="BU255">
        <f t="shared" si="165"/>
        <v>0</v>
      </c>
      <c r="BV255">
        <f t="shared" si="166"/>
        <v>0</v>
      </c>
      <c r="BW255">
        <f t="shared" si="180"/>
        <v>0</v>
      </c>
      <c r="BX255" t="str">
        <f t="shared" si="181"/>
        <v/>
      </c>
      <c r="BY255" s="66" t="str">
        <f t="shared" si="167"/>
        <v/>
      </c>
      <c r="BZ255" t="str">
        <f t="shared" si="168"/>
        <v/>
      </c>
      <c r="CA255" s="67" t="str">
        <f t="shared" si="169"/>
        <v/>
      </c>
    </row>
    <row r="256" spans="4:79" x14ac:dyDescent="0.25">
      <c r="D256" s="3" t="e">
        <f t="shared" si="194"/>
        <v>#DIV/0!</v>
      </c>
      <c r="E256" s="3" t="e">
        <f t="shared" si="194"/>
        <v>#DIV/0!</v>
      </c>
      <c r="F256" t="str">
        <f>IF(A256&gt;0,IF(F255=1,1,IF(B256=Data!$H$4,1,0)),"")</f>
        <v/>
      </c>
      <c r="Q256" t="str">
        <f t="shared" si="170"/>
        <v/>
      </c>
      <c r="R256" s="4" t="str">
        <f t="shared" si="171"/>
        <v/>
      </c>
      <c r="S256" t="e">
        <f t="shared" si="182"/>
        <v>#DIV/0!</v>
      </c>
      <c r="T256" t="e">
        <f t="shared" si="195"/>
        <v>#DIV/0!</v>
      </c>
      <c r="U256" s="4">
        <f t="shared" si="172"/>
        <v>0</v>
      </c>
      <c r="V256" t="e">
        <f t="shared" si="183"/>
        <v>#DIV/0!</v>
      </c>
      <c r="W256" t="e">
        <f t="shared" si="184"/>
        <v>#DIV/0!</v>
      </c>
      <c r="X256" t="e">
        <f t="shared" si="185"/>
        <v>#VALUE!</v>
      </c>
      <c r="Y256" t="e">
        <f t="shared" si="186"/>
        <v>#VALUE!</v>
      </c>
      <c r="Z256" t="e">
        <f t="shared" si="187"/>
        <v>#VALUE!</v>
      </c>
      <c r="AA256" t="e">
        <f t="shared" si="173"/>
        <v>#VALUE!</v>
      </c>
      <c r="AB256" t="str">
        <f t="shared" si="188"/>
        <v/>
      </c>
      <c r="AC256" t="str">
        <f t="shared" si="189"/>
        <v/>
      </c>
      <c r="AD256" t="str">
        <f t="shared" si="190"/>
        <v/>
      </c>
      <c r="AE256" t="str">
        <f t="shared" si="191"/>
        <v/>
      </c>
      <c r="AK256" s="4">
        <f t="shared" si="192"/>
        <v>50.400000000000361</v>
      </c>
      <c r="AL256">
        <f t="shared" si="174"/>
        <v>3049.0000000000432</v>
      </c>
      <c r="AM256">
        <f t="shared" si="175"/>
        <v>9154.9333333332634</v>
      </c>
      <c r="AN256">
        <f>IF($AK255+$AK$1&lt;=Data!$H$4-0.5,AVERAGE(AM254:AM258),AN255)</f>
        <v>9154.9333333332634</v>
      </c>
      <c r="AO256">
        <f t="shared" si="176"/>
        <v>7812.9999999999563</v>
      </c>
      <c r="AP256">
        <f t="shared" si="193"/>
        <v>8465.0666666665384</v>
      </c>
      <c r="AQ256">
        <f>IF($AK255+$AK$1&lt;=Data!$H$4-0.5,AVERAGE(AP254:AP258),AQ255)</f>
        <v>8465.0666666665384</v>
      </c>
      <c r="AR256">
        <f>IF($AK255+$AK$1&lt;=Data!$H$4-0.5,SLOPE($AN252:$AN260,$AK252:$AK260),AR255)</f>
        <v>-199.1500000000089</v>
      </c>
      <c r="AS256">
        <f>IF($AK255+$AK$1&lt;=Data!$H$4-0.5,SLOPE($AQ252:$AQ260,$AK252:$AK260),AS255)</f>
        <v>-352.81666666668133</v>
      </c>
      <c r="AT256">
        <f>IF(AND($AK256&gt;=Results!$G$13,$AK256&lt;=Results!$G$14),Curves!AR256,"")</f>
        <v>-199.1500000000089</v>
      </c>
      <c r="AU256">
        <f>IF(AND($AK256&gt;=Results!$G$13,$AK256&lt;=Results!$G$14),Curves!AS256,"")</f>
        <v>-352.81666666668133</v>
      </c>
      <c r="AV256" t="str">
        <f t="shared" si="177"/>
        <v/>
      </c>
      <c r="AW256" t="str">
        <f>IF(AND($AK256&lt;=Results!$I$21,$AK256&gt;=Results!$I$20,$AK256&lt;=Results!$F$4),$AN256,"")</f>
        <v/>
      </c>
      <c r="AX256" t="str">
        <f t="shared" si="177"/>
        <v/>
      </c>
      <c r="AY256" t="str">
        <f>IF(AND($AK256&lt;=Results!$I$23,$AK256&gt;=Results!$I$22,$AK256&gt;=Results!$F$4),$AN256,"")</f>
        <v/>
      </c>
      <c r="AZ256" t="str">
        <f t="shared" si="150"/>
        <v/>
      </c>
      <c r="BA256" t="str">
        <f>IF(AND($AK256&lt;=Results!$I$27,$AK256&gt;=Results!$I$26,$AK256&lt;=Results!$F$4),$AQ256,"")</f>
        <v/>
      </c>
      <c r="BB256" t="str">
        <f t="shared" si="151"/>
        <v/>
      </c>
      <c r="BC256" t="str">
        <f>IF(AND($AK256&lt;=Results!$I$29,$AK256&gt;=Results!$I$28,$AK256&gt;=Results!$F$4),$AQ256,"")</f>
        <v/>
      </c>
      <c r="BD256">
        <f t="shared" si="152"/>
        <v>9331.0495428570812</v>
      </c>
      <c r="BE256">
        <f t="shared" si="153"/>
        <v>1803.8513892828512</v>
      </c>
      <c r="BF256">
        <f t="shared" si="154"/>
        <v>9511.0969008403208</v>
      </c>
      <c r="BG256">
        <f t="shared" si="155"/>
        <v>1261.187353580915</v>
      </c>
      <c r="BH256">
        <f t="shared" si="156"/>
        <v>0</v>
      </c>
      <c r="BI256">
        <f t="shared" si="157"/>
        <v>0.97660268722430399</v>
      </c>
      <c r="BJ256">
        <f t="shared" si="158"/>
        <v>0.87320706631004574</v>
      </c>
      <c r="BK256">
        <f t="shared" si="159"/>
        <v>-1.2626514391727947E-2</v>
      </c>
      <c r="BL256">
        <f t="shared" si="160"/>
        <v>-3.531091373817024E-2</v>
      </c>
      <c r="BM256">
        <f t="shared" si="178"/>
        <v>120.00000000000055</v>
      </c>
      <c r="BN256">
        <f t="shared" si="179"/>
        <v>-120.00000000000284</v>
      </c>
      <c r="BO256">
        <f>Data!$H$2*(1-BI256)*(1-BI256/Data!$H$3)*BM256</f>
        <v>1.3138421882970006E-7</v>
      </c>
      <c r="BP256">
        <f t="shared" si="161"/>
        <v>-117.19232246691702</v>
      </c>
      <c r="BQ256">
        <f>Data!$H$2*(1-BJ256)*(1-BJ256/Data!$H$3)*BN256</f>
        <v>-3.8583475280893243E-6</v>
      </c>
      <c r="BR256">
        <f t="shared" si="162"/>
        <v>104.78484795720797</v>
      </c>
      <c r="BS256">
        <f t="shared" si="163"/>
        <v>0</v>
      </c>
      <c r="BT256">
        <f t="shared" si="164"/>
        <v>0</v>
      </c>
      <c r="BU256">
        <f t="shared" si="165"/>
        <v>0</v>
      </c>
      <c r="BV256">
        <f t="shared" si="166"/>
        <v>0</v>
      </c>
      <c r="BW256">
        <f t="shared" si="180"/>
        <v>0</v>
      </c>
      <c r="BX256" t="str">
        <f t="shared" si="181"/>
        <v/>
      </c>
      <c r="BY256" s="66" t="str">
        <f t="shared" si="167"/>
        <v/>
      </c>
      <c r="BZ256" t="str">
        <f t="shared" si="168"/>
        <v/>
      </c>
      <c r="CA256" s="67" t="str">
        <f t="shared" si="169"/>
        <v/>
      </c>
    </row>
    <row r="257" spans="4:79" x14ac:dyDescent="0.25">
      <c r="D257" s="3" t="e">
        <f t="shared" si="194"/>
        <v>#DIV/0!</v>
      </c>
      <c r="E257" s="3" t="e">
        <f t="shared" si="194"/>
        <v>#DIV/0!</v>
      </c>
      <c r="F257" t="str">
        <f>IF(A257&gt;0,IF(F256=1,1,IF(B257=Data!$H$4,1,0)),"")</f>
        <v/>
      </c>
      <c r="Q257" t="str">
        <f t="shared" si="170"/>
        <v/>
      </c>
      <c r="R257" s="4" t="str">
        <f t="shared" si="171"/>
        <v/>
      </c>
      <c r="S257" t="e">
        <f t="shared" si="182"/>
        <v>#DIV/0!</v>
      </c>
      <c r="T257" t="e">
        <f t="shared" si="195"/>
        <v>#DIV/0!</v>
      </c>
      <c r="U257" s="4">
        <f t="shared" si="172"/>
        <v>0</v>
      </c>
      <c r="V257" t="e">
        <f t="shared" si="183"/>
        <v>#DIV/0!</v>
      </c>
      <c r="W257" t="e">
        <f t="shared" si="184"/>
        <v>#DIV/0!</v>
      </c>
      <c r="X257" t="e">
        <f t="shared" si="185"/>
        <v>#VALUE!</v>
      </c>
      <c r="Y257" t="e">
        <f t="shared" si="186"/>
        <v>#VALUE!</v>
      </c>
      <c r="Z257" t="e">
        <f t="shared" si="187"/>
        <v>#VALUE!</v>
      </c>
      <c r="AA257" t="e">
        <f t="shared" si="173"/>
        <v>#VALUE!</v>
      </c>
      <c r="AB257" t="str">
        <f t="shared" si="188"/>
        <v/>
      </c>
      <c r="AC257" t="str">
        <f t="shared" si="189"/>
        <v/>
      </c>
      <c r="AD257" t="str">
        <f t="shared" si="190"/>
        <v/>
      </c>
      <c r="AE257" t="str">
        <f t="shared" si="191"/>
        <v/>
      </c>
      <c r="AK257" s="4">
        <f t="shared" si="192"/>
        <v>50.500000000000362</v>
      </c>
      <c r="AL257">
        <f t="shared" si="174"/>
        <v>3061.0000000000437</v>
      </c>
      <c r="AM257">
        <f t="shared" si="175"/>
        <v>9134.833333333263</v>
      </c>
      <c r="AN257">
        <f>IF($AK256+$AK$1&lt;=Data!$H$4-0.5,AVERAGE(AM255:AM259),AN256)</f>
        <v>9134.8333333332648</v>
      </c>
      <c r="AO257">
        <f t="shared" si="176"/>
        <v>7800.9999999999563</v>
      </c>
      <c r="AP257">
        <f t="shared" si="193"/>
        <v>8429.4999999998709</v>
      </c>
      <c r="AQ257">
        <f>IF($AK256+$AK$1&lt;=Data!$H$4-0.5,AVERAGE(AP255:AP259),AQ256)</f>
        <v>8429.4999999998709</v>
      </c>
      <c r="AR257">
        <f>IF($AK256+$AK$1&lt;=Data!$H$4-0.5,SLOPE($AN253:$AN261,$AK253:$AK261),AR256)</f>
        <v>-201.23555555556698</v>
      </c>
      <c r="AS257">
        <f>IF($AK256+$AK$1&lt;=Data!$H$4-0.5,SLOPE($AQ253:$AQ261,$AK253:$AK261),AS256)</f>
        <v>-355.72000000001572</v>
      </c>
      <c r="AT257">
        <f>IF(AND($AK257&gt;=Results!$G$13,$AK257&lt;=Results!$G$14),Curves!AR257,"")</f>
        <v>-201.23555555556698</v>
      </c>
      <c r="AU257">
        <f>IF(AND($AK257&gt;=Results!$G$13,$AK257&lt;=Results!$G$14),Curves!AS257,"")</f>
        <v>-355.72000000001572</v>
      </c>
      <c r="AV257" t="str">
        <f t="shared" si="177"/>
        <v/>
      </c>
      <c r="AW257" t="str">
        <f>IF(AND($AK257&lt;=Results!$I$21,$AK257&gt;=Results!$I$20,$AK257&lt;=Results!$F$4),$AN257,"")</f>
        <v/>
      </c>
      <c r="AX257" t="str">
        <f t="shared" si="177"/>
        <v/>
      </c>
      <c r="AY257" t="str">
        <f>IF(AND($AK257&lt;=Results!$I$23,$AK257&gt;=Results!$I$22,$AK257&gt;=Results!$F$4),$AN257,"")</f>
        <v/>
      </c>
      <c r="AZ257" t="str">
        <f t="shared" si="150"/>
        <v/>
      </c>
      <c r="BA257" t="str">
        <f>IF(AND($AK257&lt;=Results!$I$27,$AK257&gt;=Results!$I$26,$AK257&lt;=Results!$F$4),$AQ257,"")</f>
        <v/>
      </c>
      <c r="BB257" t="str">
        <f t="shared" si="151"/>
        <v/>
      </c>
      <c r="BC257" t="str">
        <f>IF(AND($AK257&lt;=Results!$I$29,$AK257&gt;=Results!$I$28,$AK257&gt;=Results!$F$4),$AQ257,"")</f>
        <v/>
      </c>
      <c r="BD257">
        <f t="shared" si="152"/>
        <v>9320.2793480591608</v>
      </c>
      <c r="BE257">
        <f t="shared" si="153"/>
        <v>1800.5356000335305</v>
      </c>
      <c r="BF257">
        <f t="shared" si="154"/>
        <v>9503.8069186074281</v>
      </c>
      <c r="BG257">
        <f t="shared" si="155"/>
        <v>1260.6365526213899</v>
      </c>
      <c r="BH257">
        <f t="shared" si="156"/>
        <v>0</v>
      </c>
      <c r="BI257">
        <f t="shared" si="157"/>
        <v>0.97533878534430296</v>
      </c>
      <c r="BJ257">
        <f t="shared" si="158"/>
        <v>0.86967309046037777</v>
      </c>
      <c r="BK257">
        <f t="shared" si="159"/>
        <v>-1.2651560432474328E-2</v>
      </c>
      <c r="BL257">
        <f t="shared" si="160"/>
        <v>-3.5368674058931564E-2</v>
      </c>
      <c r="BM257">
        <f t="shared" si="178"/>
        <v>120.00000000000055</v>
      </c>
      <c r="BN257">
        <f t="shared" si="179"/>
        <v>-119.99999999999829</v>
      </c>
      <c r="BO257">
        <f>Data!$H$2*(1-BI257)*(1-BI257/Data!$H$3)*BM257</f>
        <v>1.4596212199064861E-7</v>
      </c>
      <c r="BP257">
        <f t="shared" si="161"/>
        <v>-117.0406542413169</v>
      </c>
      <c r="BQ257">
        <f>Data!$H$2*(1-BJ257)*(1-BJ257/Data!$H$3)*BN257</f>
        <v>-4.0764248040356722E-6</v>
      </c>
      <c r="BR257">
        <f t="shared" si="162"/>
        <v>104.36077085524386</v>
      </c>
      <c r="BS257">
        <f t="shared" si="163"/>
        <v>0</v>
      </c>
      <c r="BT257">
        <f t="shared" si="164"/>
        <v>0</v>
      </c>
      <c r="BU257">
        <f t="shared" si="165"/>
        <v>0</v>
      </c>
      <c r="BV257">
        <f t="shared" si="166"/>
        <v>0</v>
      </c>
      <c r="BW257">
        <f t="shared" si="180"/>
        <v>0</v>
      </c>
      <c r="BX257" t="str">
        <f t="shared" si="181"/>
        <v/>
      </c>
      <c r="BY257" s="66" t="str">
        <f t="shared" si="167"/>
        <v/>
      </c>
      <c r="BZ257" t="str">
        <f t="shared" si="168"/>
        <v/>
      </c>
      <c r="CA257" s="67" t="str">
        <f t="shared" si="169"/>
        <v/>
      </c>
    </row>
    <row r="258" spans="4:79" x14ac:dyDescent="0.25">
      <c r="D258" s="3" t="e">
        <f t="shared" si="194"/>
        <v>#DIV/0!</v>
      </c>
      <c r="E258" s="3" t="e">
        <f t="shared" si="194"/>
        <v>#DIV/0!</v>
      </c>
      <c r="F258" t="str">
        <f>IF(A258&gt;0,IF(F257=1,1,IF(B258=Data!$H$4,1,0)),"")</f>
        <v/>
      </c>
      <c r="Q258" t="str">
        <f t="shared" si="170"/>
        <v/>
      </c>
      <c r="R258" s="4" t="str">
        <f t="shared" si="171"/>
        <v/>
      </c>
      <c r="S258" t="e">
        <f t="shared" si="182"/>
        <v>#DIV/0!</v>
      </c>
      <c r="T258" t="e">
        <f t="shared" si="195"/>
        <v>#DIV/0!</v>
      </c>
      <c r="U258" s="4">
        <f t="shared" si="172"/>
        <v>0</v>
      </c>
      <c r="V258" t="e">
        <f t="shared" si="183"/>
        <v>#DIV/0!</v>
      </c>
      <c r="W258" t="e">
        <f t="shared" si="184"/>
        <v>#DIV/0!</v>
      </c>
      <c r="X258" t="e">
        <f t="shared" si="185"/>
        <v>#VALUE!</v>
      </c>
      <c r="Y258" t="e">
        <f t="shared" si="186"/>
        <v>#VALUE!</v>
      </c>
      <c r="Z258" t="e">
        <f t="shared" si="187"/>
        <v>#VALUE!</v>
      </c>
      <c r="AA258" t="e">
        <f t="shared" si="173"/>
        <v>#VALUE!</v>
      </c>
      <c r="AB258" t="str">
        <f t="shared" si="188"/>
        <v/>
      </c>
      <c r="AC258" t="str">
        <f t="shared" si="189"/>
        <v/>
      </c>
      <c r="AD258" t="str">
        <f t="shared" si="190"/>
        <v/>
      </c>
      <c r="AE258" t="str">
        <f t="shared" si="191"/>
        <v/>
      </c>
      <c r="AK258" s="4">
        <f t="shared" si="192"/>
        <v>50.600000000000364</v>
      </c>
      <c r="AL258">
        <f t="shared" si="174"/>
        <v>3073.0000000000437</v>
      </c>
      <c r="AM258">
        <f t="shared" si="175"/>
        <v>9114.7333333332626</v>
      </c>
      <c r="AN258">
        <f>IF($AK257+$AK$1&lt;=Data!$H$4-0.5,AVERAGE(AM256:AM260),AN257)</f>
        <v>9114.7333333332626</v>
      </c>
      <c r="AO258">
        <f t="shared" si="176"/>
        <v>7788.9999999999563</v>
      </c>
      <c r="AP258">
        <f t="shared" si="193"/>
        <v>8393.9333333332033</v>
      </c>
      <c r="AQ258">
        <f>IF($AK257+$AK$1&lt;=Data!$H$4-0.5,AVERAGE(AP256:AP260),AQ257)</f>
        <v>8393.9333333332033</v>
      </c>
      <c r="AR258">
        <f>IF($AK257+$AK$1&lt;=Data!$H$4-0.5,SLOPE($AN254:$AN262,$AK254:$AK262),AR257)</f>
        <v>-203.73333333334915</v>
      </c>
      <c r="AS258">
        <f>IF($AK257+$AK$1&lt;=Data!$H$4-0.5,SLOPE($AQ254:$AQ262,$AK254:$AK262),AS257)</f>
        <v>-358.71666666668602</v>
      </c>
      <c r="AT258">
        <f>IF(AND($AK258&gt;=Results!$G$13,$AK258&lt;=Results!$G$14),Curves!AR258,"")</f>
        <v>-203.73333333334915</v>
      </c>
      <c r="AU258">
        <f>IF(AND($AK258&gt;=Results!$G$13,$AK258&lt;=Results!$G$14),Curves!AS258,"")</f>
        <v>-358.71666666668602</v>
      </c>
      <c r="AV258" t="str">
        <f t="shared" si="177"/>
        <v/>
      </c>
      <c r="AW258" t="str">
        <f>IF(AND($AK258&lt;=Results!$I$21,$AK258&gt;=Results!$I$20,$AK258&lt;=Results!$F$4),$AN258,"")</f>
        <v/>
      </c>
      <c r="AX258" t="str">
        <f t="shared" si="177"/>
        <v/>
      </c>
      <c r="AY258" t="str">
        <f>IF(AND($AK258&lt;=Results!$I$23,$AK258&gt;=Results!$I$22,$AK258&gt;=Results!$F$4),$AN258,"")</f>
        <v/>
      </c>
      <c r="AZ258" t="str">
        <f t="shared" ref="AZ258:AZ321" si="196">IF(BA258="","",$AK258)</f>
        <v/>
      </c>
      <c r="BA258" t="str">
        <f>IF(AND($AK258&lt;=Results!$I$27,$AK258&gt;=Results!$I$26,$AK258&lt;=Results!$F$4),$AQ258,"")</f>
        <v/>
      </c>
      <c r="BB258" t="str">
        <f t="shared" ref="BB258:BB321" si="197">IF(BC258="","",$AK258)</f>
        <v/>
      </c>
      <c r="BC258" t="str">
        <f>IF(AND($AK258&lt;=Results!$I$29,$AK258&gt;=Results!$I$28,$AK258&gt;=Results!$F$4),$AQ258,"")</f>
        <v/>
      </c>
      <c r="BD258">
        <f t="shared" ref="BD258:BD321" si="198">IF($AV$513&gt;0,INTERCEPT($AW$2:$AW$512,$AV$2:$AV$512)+$AK258*SLOPE($AW$2:$AW$512,$AV$2:$AV$512),INTERCEPT($AN$2:$AN$30,$AK$2:$AK$30)+$AK258*SLOPE($AN$2:$AN$30,$AK$2:$AK$30))</f>
        <v>9309.5091532612423</v>
      </c>
      <c r="BE258">
        <f t="shared" ref="BE258:BE321" si="199">IF($AX$513&gt;0,INTERCEPT($AY$2:$AY$512,$AX$2:$AX$512)+$AK258*SLOPE($AY$2:$AY$512,$AX$2:$AX$512),INTERCEPT($AN$460:$AN$512,$AK$460:$AK$512)+$AK258*SLOPE($AN$460:$AN$512,$AK$460:$AK$512))</f>
        <v>1797.2198107842096</v>
      </c>
      <c r="BF258">
        <f t="shared" ref="BF258:BF321" si="200">IF($AZ$513&gt;0,INTERCEPT($BA$2:$BA$512,$AZ$2:$AZ$512)+$AK258*SLOPE($BA$2:$BA$512,$AZ$2:$AZ$512),INTERCEPT($AQ$2:$AQ$30,$AK$2:$AK$30)+$AK258*SLOPE($AQ$2:$AQ$30,$AK$2:$AK$30))</f>
        <v>9496.5169363745335</v>
      </c>
      <c r="BG258">
        <f t="shared" ref="BG258:BG321" si="201">IF($BB$513&gt;0,INTERCEPT($BC$2:$BC$512,$BB$2:$BB$512)+$AK258*SLOPE($BC$2:$BC$512,$BB$2:$BB$512),INTERCEPT($AQ$460:$AQ$512,$AK$460:$AK$512)+$AK258*SLOPE($AQ$460:$AQ$512,$AK$460:$AK$512))</f>
        <v>1260.0857516618651</v>
      </c>
      <c r="BH258">
        <f t="shared" ref="BH258:BH321" si="202">IF(OR(BJ258=0.5,AND(BJ258&gt;0.5,BJ259&lt;0.5)),$AK$1*(0.5-BJ258)/(BJ259-BJ258)+AK258,0)</f>
        <v>0</v>
      </c>
      <c r="BI258">
        <f t="shared" ref="BI258:BI321" si="203">1-(AN258-BD258)/(BE258-BD258)</f>
        <v>0.97407237513780909</v>
      </c>
      <c r="BJ258">
        <f t="shared" ref="BJ258:BJ321" si="204">1-(AQ258-BF258)/(BG258-BF258)</f>
        <v>0.86613333149825933</v>
      </c>
      <c r="BK258">
        <f t="shared" ref="BK258:BK321" si="205">SLOPE($BI257:$BI259,$AK257:$AK259)</f>
        <v>-1.2676681069470992E-2</v>
      </c>
      <c r="BL258">
        <f t="shared" ref="BL258:BL321" si="206">SLOPE($BJ257:$BJ259,$AK257:$AK259)</f>
        <v>-3.542657621910366E-2</v>
      </c>
      <c r="BM258">
        <f t="shared" si="178"/>
        <v>119.99999999999829</v>
      </c>
      <c r="BN258">
        <f t="shared" si="179"/>
        <v>-119.99999999999829</v>
      </c>
      <c r="BO258">
        <f>Data!$H$2*(1-BI258)*(1-BI258/Data!$H$3)*BM258</f>
        <v>1.6133801543867779E-7</v>
      </c>
      <c r="BP258">
        <f t="shared" ref="BP258:BP321" si="207">-BI258*BM258</f>
        <v>-116.88868501653543</v>
      </c>
      <c r="BQ258">
        <f>Data!$H$2*(1-BJ258)*(1-BJ258/Data!$H$3)*BN258</f>
        <v>-4.3008683845811208E-6</v>
      </c>
      <c r="BR258">
        <f t="shared" ref="BR258:BR321" si="208">-BJ258*BN258</f>
        <v>103.93599977978964</v>
      </c>
      <c r="BS258">
        <f t="shared" ref="BS258:BS321" si="209">IF(AND(BI258&gt;0.4,BI258&lt;0.6),(BL258-BT258*BR258)/BQ258,0)</f>
        <v>0</v>
      </c>
      <c r="BT258">
        <f t="shared" ref="BT258:BT321" si="210">IF(AND(BI258&gt;0.4,BI258&lt;0.6),(BQ258*BK258-BO258*BL258)/(BQ258*BP258-BO258*BR258),0)</f>
        <v>0</v>
      </c>
      <c r="BU258">
        <f t="shared" ref="BU258:BU321" si="211">IF(AND(BI258&gt;0.4,BI258&lt;0.6),1/(273.15+AK258),0)</f>
        <v>0</v>
      </c>
      <c r="BV258">
        <f t="shared" ref="BV258:BV301" si="212">IF(BS258&lt;=0,0,LN(BS258))</f>
        <v>0</v>
      </c>
      <c r="BW258">
        <f t="shared" si="180"/>
        <v>0</v>
      </c>
      <c r="BX258" t="str">
        <f t="shared" si="181"/>
        <v/>
      </c>
      <c r="BY258" s="66" t="str">
        <f t="shared" ref="BY258:BY321" si="213">IF(BU258=0,"",BI258)</f>
        <v/>
      </c>
      <c r="BZ258" t="str">
        <f t="shared" ref="BZ258:BZ321" si="214">IF(BU258=0,"",BV258)</f>
        <v/>
      </c>
      <c r="CA258" s="67" t="str">
        <f t="shared" ref="CA258:CA301" si="215">IF(BU258=0,"",BW258)</f>
        <v/>
      </c>
    </row>
    <row r="259" spans="4:79" x14ac:dyDescent="0.25">
      <c r="D259" s="3" t="e">
        <f t="shared" si="194"/>
        <v>#DIV/0!</v>
      </c>
      <c r="E259" s="3" t="e">
        <f t="shared" si="194"/>
        <v>#DIV/0!</v>
      </c>
      <c r="F259" t="str">
        <f>IF(A259&gt;0,IF(F258=1,1,IF(B259=Data!$H$4,1,0)),"")</f>
        <v/>
      </c>
      <c r="Q259" t="str">
        <f t="shared" ref="Q259:Q301" si="216">IF(MAX(ABS(MIN($K:$K)),ABS(MAX($K:$K)))=ABS(K259),H259,"")</f>
        <v/>
      </c>
      <c r="R259" s="4" t="str">
        <f t="shared" ref="R259:R301" si="217">IF(H259=0,"",ROUND(H259,0))</f>
        <v/>
      </c>
      <c r="S259" t="e">
        <f t="shared" si="182"/>
        <v>#DIV/0!</v>
      </c>
      <c r="T259" t="e">
        <f t="shared" si="195"/>
        <v>#DIV/0!</v>
      </c>
      <c r="U259" s="4">
        <f t="shared" ref="U259:U301" si="218">ROUND(M259,0)</f>
        <v>0</v>
      </c>
      <c r="V259" t="e">
        <f t="shared" si="183"/>
        <v>#DIV/0!</v>
      </c>
      <c r="W259" t="e">
        <f t="shared" si="184"/>
        <v>#DIV/0!</v>
      </c>
      <c r="X259" t="e">
        <f t="shared" si="185"/>
        <v>#VALUE!</v>
      </c>
      <c r="Y259" t="e">
        <f t="shared" si="186"/>
        <v>#VALUE!</v>
      </c>
      <c r="Z259" t="e">
        <f t="shared" si="187"/>
        <v>#VALUE!</v>
      </c>
      <c r="AA259" t="e">
        <f t="shared" ref="AA259:AA301" si="219">X259</f>
        <v>#VALUE!</v>
      </c>
      <c r="AB259" t="str">
        <f t="shared" si="188"/>
        <v/>
      </c>
      <c r="AC259" t="str">
        <f t="shared" si="189"/>
        <v/>
      </c>
      <c r="AD259" t="str">
        <f t="shared" si="190"/>
        <v/>
      </c>
      <c r="AE259" t="str">
        <f t="shared" si="191"/>
        <v/>
      </c>
      <c r="AK259" s="4">
        <f t="shared" si="192"/>
        <v>50.700000000000365</v>
      </c>
      <c r="AL259">
        <f t="shared" ref="AL259:AL322" si="220">IF($AK259=ROUND($AK259,0),VLOOKUP($AK259,$AF$2:$AJ$112,2),($AK259-FLOOR($AK259,1))/(CEILING($AK259,1)-FLOOR($AK259,1))*(VLOOKUP(CEILING($AK259,1),$AF$2:$AJ$112,2,FALSE)-VLOOKUP(FLOOR($AK259,1),$AF$2:$AJ$112,2,FALSE))+VLOOKUP(FLOOR($AK259,1),$AF$2:$AJ$112,2,FALSE))</f>
        <v>3085.0000000000437</v>
      </c>
      <c r="AM259">
        <f t="shared" ref="AM259:AM322" si="221">IF($AK259=ROUND($AK259,0),VLOOKUP($AK259,$AF$2:$AJ$112,3),($AK259-FLOOR($AK259,1))/(CEILING($AK259,1)-FLOOR($AK259,1))*(VLOOKUP(CEILING($AK259,1),$AF$2:$AJ$112,3,FALSE)-VLOOKUP(FLOOR($AK259,1),$AF$2:$AJ$112,3,FALSE))+VLOOKUP(FLOOR($AK259,1),$AF$2:$AJ$112,3,FALSE))</f>
        <v>9094.6333333332623</v>
      </c>
      <c r="AN259">
        <f>IF($AK258+$AK$1&lt;=Data!$H$4-0.5,AVERAGE(AM257:AM261),AN258)</f>
        <v>9094.6333333332623</v>
      </c>
      <c r="AO259">
        <f t="shared" ref="AO259:AO322" si="222">IF($AK259=ROUND($AK259,0),VLOOKUP($AK259,$AF$2:$AJ$112,4),($AK259-FLOOR($AK259,1))/(CEILING($AK259,1)-FLOOR($AK259,1))*(VLOOKUP(CEILING($AK259,1),$AF$2:$AJ$112,4,FALSE)-VLOOKUP(FLOOR($AK259,1),$AF$2:$AJ$112,4,FALSE))+VLOOKUP(FLOOR($AK259,1),$AF$2:$AJ$112,4,FALSE))</f>
        <v>7776.9999999999563</v>
      </c>
      <c r="AP259">
        <f t="shared" si="193"/>
        <v>8358.3666666665358</v>
      </c>
      <c r="AQ259">
        <f>IF($AK258+$AK$1&lt;=Data!$H$4-0.5,AVERAGE(AP257:AP261),AQ258)</f>
        <v>8358.3666666665358</v>
      </c>
      <c r="AR259">
        <f>IF($AK258+$AK$1&lt;=Data!$H$4-0.5,SLOPE($AN255:$AN263,$AK255:$AK263),AR258)</f>
        <v>-207.37777777779993</v>
      </c>
      <c r="AS259">
        <f>IF($AK258+$AK$1&lt;=Data!$H$4-0.5,SLOPE($AQ255:$AQ263,$AK255:$AK263),AS258)</f>
        <v>-362.78333333335769</v>
      </c>
      <c r="AT259">
        <f>IF(AND($AK259&gt;=Results!$G$13,$AK259&lt;=Results!$G$14),Curves!AR259,"")</f>
        <v>-207.37777777779993</v>
      </c>
      <c r="AU259">
        <f>IF(AND($AK259&gt;=Results!$G$13,$AK259&lt;=Results!$G$14),Curves!AS259,"")</f>
        <v>-362.78333333335769</v>
      </c>
      <c r="AV259" t="str">
        <f t="shared" ref="AV259:AX322" si="223">IF(AW259="","",$AK259)</f>
        <v/>
      </c>
      <c r="AW259" t="str">
        <f>IF(AND($AK259&lt;=Results!$I$21,$AK259&gt;=Results!$I$20,$AK259&lt;=Results!$F$4),$AN259,"")</f>
        <v/>
      </c>
      <c r="AX259" t="str">
        <f t="shared" si="223"/>
        <v/>
      </c>
      <c r="AY259" t="str">
        <f>IF(AND($AK259&lt;=Results!$I$23,$AK259&gt;=Results!$I$22,$AK259&gt;=Results!$F$4),$AN259,"")</f>
        <v/>
      </c>
      <c r="AZ259" t="str">
        <f t="shared" si="196"/>
        <v/>
      </c>
      <c r="BA259" t="str">
        <f>IF(AND($AK259&lt;=Results!$I$27,$AK259&gt;=Results!$I$26,$AK259&lt;=Results!$F$4),$AQ259,"")</f>
        <v/>
      </c>
      <c r="BB259" t="str">
        <f t="shared" si="197"/>
        <v/>
      </c>
      <c r="BC259" t="str">
        <f>IF(AND($AK259&lt;=Results!$I$29,$AK259&gt;=Results!$I$28,$AK259&gt;=Results!$F$4),$AQ259,"")</f>
        <v/>
      </c>
      <c r="BD259">
        <f t="shared" si="198"/>
        <v>9298.738958463322</v>
      </c>
      <c r="BE259">
        <f t="shared" si="199"/>
        <v>1793.9040215348889</v>
      </c>
      <c r="BF259">
        <f t="shared" si="200"/>
        <v>9489.2269541416408</v>
      </c>
      <c r="BG259">
        <f t="shared" si="201"/>
        <v>1259.53495070234</v>
      </c>
      <c r="BH259">
        <f t="shared" si="202"/>
        <v>0</v>
      </c>
      <c r="BI259">
        <f t="shared" si="203"/>
        <v>0.97280344913040873</v>
      </c>
      <c r="BJ259">
        <f t="shared" si="204"/>
        <v>0.86258777521655694</v>
      </c>
      <c r="BK259">
        <f t="shared" si="205"/>
        <v>-1.2701876599245751E-2</v>
      </c>
      <c r="BL259">
        <f t="shared" si="206"/>
        <v>-3.5484620683480843E-2</v>
      </c>
      <c r="BM259">
        <f t="shared" ref="BM259:BM322" si="224">SLOPE(AL258:AL260,AK258:AK260)</f>
        <v>120.00000000000055</v>
      </c>
      <c r="BN259">
        <f t="shared" ref="BN259:BN322" si="225">SLOPE(AO258:AO260,AK258:AK260)</f>
        <v>-119.99999999999829</v>
      </c>
      <c r="BO259">
        <f>Data!$H$2*(1-BI259)*(1-BI259/Data!$H$3)*BM259</f>
        <v>1.7751657100854462E-7</v>
      </c>
      <c r="BP259">
        <f t="shared" si="207"/>
        <v>-116.73641389564959</v>
      </c>
      <c r="BQ259">
        <f>Data!$H$2*(1-BJ259)*(1-BJ259/Data!$H$3)*BN259</f>
        <v>-4.5317086847844515E-6</v>
      </c>
      <c r="BR259">
        <f t="shared" si="208"/>
        <v>103.51053302598537</v>
      </c>
      <c r="BS259">
        <f t="shared" si="209"/>
        <v>0</v>
      </c>
      <c r="BT259">
        <f t="shared" si="210"/>
        <v>0</v>
      </c>
      <c r="BU259">
        <f t="shared" si="211"/>
        <v>0</v>
      </c>
      <c r="BV259">
        <f t="shared" si="212"/>
        <v>0</v>
      </c>
      <c r="BW259">
        <f t="shared" ref="BW259:BW322" si="226">IF(BT259&lt;=0,0,LN(BT259))</f>
        <v>0</v>
      </c>
      <c r="BX259" t="str">
        <f t="shared" ref="BX259:BX322" si="227">IF(BU259=0,"",BU259)</f>
        <v/>
      </c>
      <c r="BY259" s="66" t="str">
        <f t="shared" si="213"/>
        <v/>
      </c>
      <c r="BZ259" t="str">
        <f t="shared" si="214"/>
        <v/>
      </c>
      <c r="CA259" s="67" t="str">
        <f t="shared" si="215"/>
        <v/>
      </c>
    </row>
    <row r="260" spans="4:79" x14ac:dyDescent="0.25">
      <c r="D260" s="3" t="e">
        <f t="shared" si="194"/>
        <v>#DIV/0!</v>
      </c>
      <c r="E260" s="3" t="e">
        <f t="shared" si="194"/>
        <v>#DIV/0!</v>
      </c>
      <c r="F260" t="str">
        <f>IF(A260&gt;0,IF(F259=1,1,IF(B260=Data!$H$4,1,0)),"")</f>
        <v/>
      </c>
      <c r="Q260" t="str">
        <f t="shared" si="216"/>
        <v/>
      </c>
      <c r="R260" s="4" t="str">
        <f t="shared" si="217"/>
        <v/>
      </c>
      <c r="S260" t="e">
        <f t="shared" ref="S260:S301" si="228">INTERCEPT($G259:$G261,$H259:$H261)+SLOPE($G259:$G261,$H259:$H261)*$R260</f>
        <v>#DIV/0!</v>
      </c>
      <c r="T260" t="e">
        <f t="shared" si="195"/>
        <v>#DIV/0!</v>
      </c>
      <c r="U260" s="4">
        <f t="shared" si="218"/>
        <v>0</v>
      </c>
      <c r="V260" t="e">
        <f t="shared" ref="V260:V301" si="229">INTERCEPT($L259:$L261,$M259:$M261)+SLOPE($L259:$L261,$M259:$M261)*$U260</f>
        <v>#DIV/0!</v>
      </c>
      <c r="W260" t="e">
        <f t="shared" ref="W260:W301" si="230">INTERCEPT($N259:$N261,$M259:$M261)+SLOPE($N259:$N261,$M259:$M261)*$U260</f>
        <v>#DIV/0!</v>
      </c>
      <c r="X260" t="e">
        <f t="shared" ref="X260:X301" si="231">IF($R260-$R259&gt;1,$R259+1,"")</f>
        <v>#VALUE!</v>
      </c>
      <c r="Y260" t="e">
        <f t="shared" ref="Y260:Y301" si="232">IF($R260-$R259&gt;2,$R259+2,"")</f>
        <v>#VALUE!</v>
      </c>
      <c r="Z260" t="e">
        <f t="shared" ref="Z260:Z301" si="233">IF($R260-$R259&gt;3,$R259+3,"")</f>
        <v>#VALUE!</v>
      </c>
      <c r="AA260" t="e">
        <f t="shared" si="219"/>
        <v>#VALUE!</v>
      </c>
      <c r="AB260" t="str">
        <f t="shared" ref="AB260:AB301" si="234">IF($U260-$U259&gt;1,$U259+1,"")</f>
        <v/>
      </c>
      <c r="AC260" t="str">
        <f t="shared" ref="AC260:AC301" si="235">IF($U260-$U259&gt;2,$U259+2,"")</f>
        <v/>
      </c>
      <c r="AD260" t="str">
        <f t="shared" ref="AD260:AD301" si="236">IF($U260-$U259&gt;3,$U259+3,"")</f>
        <v/>
      </c>
      <c r="AE260" t="str">
        <f t="shared" ref="AE260:AE301" si="237">AB260</f>
        <v/>
      </c>
      <c r="AK260" s="4">
        <f t="shared" ref="AK260:AK323" si="238">IF($AK259+$AK$1&lt;=MAX($AF$2:$AF$113),AK259+$AK$1,AK259)</f>
        <v>50.800000000000367</v>
      </c>
      <c r="AL260">
        <f t="shared" si="220"/>
        <v>3097.0000000000441</v>
      </c>
      <c r="AM260">
        <f t="shared" si="221"/>
        <v>9074.5333333332619</v>
      </c>
      <c r="AN260">
        <f>IF($AK259+$AK$1&lt;=Data!$H$4-0.5,AVERAGE(AM258:AM262),AN259)</f>
        <v>9074.5333333332565</v>
      </c>
      <c r="AO260">
        <f t="shared" si="222"/>
        <v>7764.9999999999563</v>
      </c>
      <c r="AP260">
        <f t="shared" ref="AP260:AP323" si="239">IF($AK260=ROUND($AK259,0),VLOOKUP($AK259,$AF$2:$AJ$112,5),($AK260-FLOOR($AK260,1))/(CEILING($AK260,1)-FLOOR($AK260,1))*(VLOOKUP(CEILING($AK260,1),$AF$2:$AJ$112,5,FALSE)-VLOOKUP(FLOOR($AK260,1),$AF$2:$AJ$112,5,FALSE))+VLOOKUP(FLOOR($AK260,1),$AF$2:$AJ$112,5,FALSE))</f>
        <v>8322.7999999998683</v>
      </c>
      <c r="AQ260">
        <f>IF($AK259+$AK$1&lt;=Data!$H$4-0.5,AVERAGE(AP258:AP262),AQ259)</f>
        <v>8322.7999999998647</v>
      </c>
      <c r="AR260">
        <f>IF($AK259+$AK$1&lt;=Data!$H$4-0.5,SLOPE($AN256:$AN264,$AK256:$AK264),AR259)</f>
        <v>-212.84444444447365</v>
      </c>
      <c r="AS260">
        <f>IF($AK259+$AK$1&lt;=Data!$H$4-0.5,SLOPE($AQ256:$AQ264,$AK256:$AK264),AS259)</f>
        <v>-368.88333333336544</v>
      </c>
      <c r="AT260">
        <f>IF(AND($AK260&gt;=Results!$G$13,$AK260&lt;=Results!$G$14),Curves!AR260,"")</f>
        <v>-212.84444444447365</v>
      </c>
      <c r="AU260">
        <f>IF(AND($AK260&gt;=Results!$G$13,$AK260&lt;=Results!$G$14),Curves!AS260,"")</f>
        <v>-368.88333333336544</v>
      </c>
      <c r="AV260" t="str">
        <f t="shared" si="223"/>
        <v/>
      </c>
      <c r="AW260" t="str">
        <f>IF(AND($AK260&lt;=Results!$I$21,$AK260&gt;=Results!$I$20,$AK260&lt;=Results!$F$4),$AN260,"")</f>
        <v/>
      </c>
      <c r="AX260" t="str">
        <f t="shared" si="223"/>
        <v/>
      </c>
      <c r="AY260" t="str">
        <f>IF(AND($AK260&lt;=Results!$I$23,$AK260&gt;=Results!$I$22,$AK260&gt;=Results!$F$4),$AN260,"")</f>
        <v/>
      </c>
      <c r="AZ260" t="str">
        <f t="shared" si="196"/>
        <v/>
      </c>
      <c r="BA260" t="str">
        <f>IF(AND($AK260&lt;=Results!$I$27,$AK260&gt;=Results!$I$26,$AK260&lt;=Results!$F$4),$AQ260,"")</f>
        <v/>
      </c>
      <c r="BB260" t="str">
        <f t="shared" si="197"/>
        <v/>
      </c>
      <c r="BC260" t="str">
        <f>IF(AND($AK260&lt;=Results!$I$29,$AK260&gt;=Results!$I$28,$AK260&gt;=Results!$F$4),$AQ260,"")</f>
        <v/>
      </c>
      <c r="BD260">
        <f t="shared" si="198"/>
        <v>9287.9687636654016</v>
      </c>
      <c r="BE260">
        <f t="shared" si="199"/>
        <v>1790.588232285568</v>
      </c>
      <c r="BF260">
        <f t="shared" si="200"/>
        <v>9481.9369719087481</v>
      </c>
      <c r="BG260">
        <f t="shared" si="201"/>
        <v>1258.9841497428151</v>
      </c>
      <c r="BH260">
        <f t="shared" si="202"/>
        <v>0</v>
      </c>
      <c r="BI260">
        <f t="shared" si="203"/>
        <v>0.9715319998179599</v>
      </c>
      <c r="BJ260">
        <f t="shared" si="204"/>
        <v>0.85903640736156306</v>
      </c>
      <c r="BK260">
        <f t="shared" si="205"/>
        <v>-1.3457016556805786E-2</v>
      </c>
      <c r="BL260">
        <f t="shared" si="206"/>
        <v>-3.6285242361994194E-2</v>
      </c>
      <c r="BM260">
        <f t="shared" si="224"/>
        <v>120.00000000000055</v>
      </c>
      <c r="BN260">
        <f t="shared" si="225"/>
        <v>-120.00000000000284</v>
      </c>
      <c r="BO260">
        <f>Data!$H$2*(1-BI260)*(1-BI260/Data!$H$3)*BM260</f>
        <v>1.945024882475133E-7</v>
      </c>
      <c r="BP260">
        <f t="shared" si="207"/>
        <v>-116.58383997815572</v>
      </c>
      <c r="BQ260">
        <f>Data!$H$2*(1-BJ260)*(1-BJ260/Data!$H$3)*BN260</f>
        <v>-4.7689762678885596E-6</v>
      </c>
      <c r="BR260">
        <f t="shared" si="208"/>
        <v>103.08436888339001</v>
      </c>
      <c r="BS260">
        <f t="shared" si="209"/>
        <v>0</v>
      </c>
      <c r="BT260">
        <f t="shared" si="210"/>
        <v>0</v>
      </c>
      <c r="BU260">
        <f t="shared" si="211"/>
        <v>0</v>
      </c>
      <c r="BV260">
        <f t="shared" si="212"/>
        <v>0</v>
      </c>
      <c r="BW260">
        <f t="shared" si="226"/>
        <v>0</v>
      </c>
      <c r="BX260" t="str">
        <f t="shared" si="227"/>
        <v/>
      </c>
      <c r="BY260" s="66" t="str">
        <f t="shared" si="213"/>
        <v/>
      </c>
      <c r="BZ260" t="str">
        <f t="shared" si="214"/>
        <v/>
      </c>
      <c r="CA260" s="67" t="str">
        <f t="shared" si="215"/>
        <v/>
      </c>
    </row>
    <row r="261" spans="4:79" x14ac:dyDescent="0.25">
      <c r="D261" s="3" t="e">
        <f t="shared" ref="D261:E324" si="240">SLOPE(B259:B263,$A259:$A263)</f>
        <v>#DIV/0!</v>
      </c>
      <c r="E261" s="3" t="e">
        <f t="shared" si="240"/>
        <v>#DIV/0!</v>
      </c>
      <c r="F261" t="str">
        <f>IF(A261&gt;0,IF(F260=1,1,IF(B261=Data!$H$4,1,0)),"")</f>
        <v/>
      </c>
      <c r="Q261" t="str">
        <f t="shared" si="216"/>
        <v/>
      </c>
      <c r="R261" s="4" t="str">
        <f t="shared" si="217"/>
        <v/>
      </c>
      <c r="S261" t="e">
        <f t="shared" si="228"/>
        <v>#DIV/0!</v>
      </c>
      <c r="T261" t="e">
        <f t="shared" ref="T261:T301" si="241">INTERCEPT($I260:$I262,$H260:$H262)+SLOPE($I260:$I262,$H260:$H262)*$R261</f>
        <v>#DIV/0!</v>
      </c>
      <c r="U261" s="4">
        <f t="shared" si="218"/>
        <v>0</v>
      </c>
      <c r="V261" t="e">
        <f t="shared" si="229"/>
        <v>#DIV/0!</v>
      </c>
      <c r="W261" t="e">
        <f t="shared" si="230"/>
        <v>#DIV/0!</v>
      </c>
      <c r="X261" t="e">
        <f t="shared" si="231"/>
        <v>#VALUE!</v>
      </c>
      <c r="Y261" t="e">
        <f t="shared" si="232"/>
        <v>#VALUE!</v>
      </c>
      <c r="Z261" t="e">
        <f t="shared" si="233"/>
        <v>#VALUE!</v>
      </c>
      <c r="AA261" t="e">
        <f t="shared" si="219"/>
        <v>#VALUE!</v>
      </c>
      <c r="AB261" t="str">
        <f t="shared" si="234"/>
        <v/>
      </c>
      <c r="AC261" t="str">
        <f t="shared" si="235"/>
        <v/>
      </c>
      <c r="AD261" t="str">
        <f t="shared" si="236"/>
        <v/>
      </c>
      <c r="AE261" t="str">
        <f t="shared" si="237"/>
        <v/>
      </c>
      <c r="AK261" s="4">
        <f t="shared" si="238"/>
        <v>50.900000000000368</v>
      </c>
      <c r="AL261">
        <f t="shared" si="220"/>
        <v>3109.0000000000441</v>
      </c>
      <c r="AM261">
        <f t="shared" si="221"/>
        <v>9054.4333333332615</v>
      </c>
      <c r="AN261">
        <f>IF($AK260+$AK$1&lt;=Data!$H$4-0.5,AVERAGE(AM259:AM263),AN260)</f>
        <v>9053.3399999999201</v>
      </c>
      <c r="AO261">
        <f t="shared" si="222"/>
        <v>7752.9999999999554</v>
      </c>
      <c r="AP261">
        <f t="shared" si="239"/>
        <v>8287.2333333332008</v>
      </c>
      <c r="AQ261">
        <f>IF($AK260+$AK$1&lt;=Data!$H$4-0.5,AVERAGE(AP259:AP263),AQ260)</f>
        <v>8286.0133333331905</v>
      </c>
      <c r="AR261">
        <f>IF($AK260+$AK$1&lt;=Data!$H$4-0.5,SLOPE($AN257:$AN265,$AK257:$AK265),AR260)</f>
        <v>-220.13333333336647</v>
      </c>
      <c r="AS261">
        <f>IF($AK260+$AK$1&lt;=Data!$H$4-0.5,SLOPE($AQ257:$AQ265,$AK257:$AK265),AS260)</f>
        <v>-377.01666666670263</v>
      </c>
      <c r="AT261">
        <f>IF(AND($AK261&gt;=Results!$G$13,$AK261&lt;=Results!$G$14),Curves!AR261,"")</f>
        <v>-220.13333333336647</v>
      </c>
      <c r="AU261">
        <f>IF(AND($AK261&gt;=Results!$G$13,$AK261&lt;=Results!$G$14),Curves!AS261,"")</f>
        <v>-377.01666666670263</v>
      </c>
      <c r="AV261" t="str">
        <f t="shared" si="223"/>
        <v/>
      </c>
      <c r="AW261" t="str">
        <f>IF(AND($AK261&lt;=Results!$I$21,$AK261&gt;=Results!$I$20,$AK261&lt;=Results!$F$4),$AN261,"")</f>
        <v/>
      </c>
      <c r="AX261" t="str">
        <f t="shared" si="223"/>
        <v/>
      </c>
      <c r="AY261" t="str">
        <f>IF(AND($AK261&lt;=Results!$I$23,$AK261&gt;=Results!$I$22,$AK261&gt;=Results!$F$4),$AN261,"")</f>
        <v/>
      </c>
      <c r="AZ261" t="str">
        <f t="shared" si="196"/>
        <v/>
      </c>
      <c r="BA261" t="str">
        <f>IF(AND($AK261&lt;=Results!$I$27,$AK261&gt;=Results!$I$26,$AK261&lt;=Results!$F$4),$AQ261,"")</f>
        <v/>
      </c>
      <c r="BB261" t="str">
        <f t="shared" si="197"/>
        <v/>
      </c>
      <c r="BC261" t="str">
        <f>IF(AND($AK261&lt;=Results!$I$29,$AK261&gt;=Results!$I$28,$AK261&gt;=Results!$F$4),$AQ261,"")</f>
        <v/>
      </c>
      <c r="BD261">
        <f t="shared" si="198"/>
        <v>9277.1985688674831</v>
      </c>
      <c r="BE261">
        <f t="shared" si="199"/>
        <v>1787.2724430362471</v>
      </c>
      <c r="BF261">
        <f t="shared" si="200"/>
        <v>9474.6469896758535</v>
      </c>
      <c r="BG261">
        <f t="shared" si="201"/>
        <v>1258.4333487832901</v>
      </c>
      <c r="BH261">
        <f t="shared" si="202"/>
        <v>0</v>
      </c>
      <c r="BI261">
        <f t="shared" si="203"/>
        <v>0.97011204581904753</v>
      </c>
      <c r="BJ261">
        <f t="shared" si="204"/>
        <v>0.855330726744158</v>
      </c>
      <c r="BK261">
        <f t="shared" si="205"/>
        <v>-1.4944282636295889E-2</v>
      </c>
      <c r="BL261">
        <f t="shared" si="206"/>
        <v>-3.7830270122984358E-2</v>
      </c>
      <c r="BM261">
        <f t="shared" si="224"/>
        <v>120.00000000000055</v>
      </c>
      <c r="BN261">
        <f t="shared" si="225"/>
        <v>-120.00000000000284</v>
      </c>
      <c r="BO261">
        <f>Data!$H$2*(1-BI261)*(1-BI261/Data!$H$3)*BM261</f>
        <v>2.1438955322945241E-7</v>
      </c>
      <c r="BP261">
        <f t="shared" si="207"/>
        <v>-116.41344549828624</v>
      </c>
      <c r="BQ261">
        <f>Data!$H$2*(1-BJ261)*(1-BJ261/Data!$H$3)*BN261</f>
        <v>-5.0230076698497551E-6</v>
      </c>
      <c r="BR261">
        <f t="shared" si="208"/>
        <v>102.63968720930139</v>
      </c>
      <c r="BS261">
        <f t="shared" si="209"/>
        <v>0</v>
      </c>
      <c r="BT261">
        <f t="shared" si="210"/>
        <v>0</v>
      </c>
      <c r="BU261">
        <f t="shared" si="211"/>
        <v>0</v>
      </c>
      <c r="BV261">
        <f t="shared" si="212"/>
        <v>0</v>
      </c>
      <c r="BW261">
        <f t="shared" si="226"/>
        <v>0</v>
      </c>
      <c r="BX261" t="str">
        <f t="shared" si="227"/>
        <v/>
      </c>
      <c r="BY261" s="66" t="str">
        <f t="shared" si="213"/>
        <v/>
      </c>
      <c r="BZ261" t="str">
        <f t="shared" si="214"/>
        <v/>
      </c>
      <c r="CA261" s="67" t="str">
        <f t="shared" si="215"/>
        <v/>
      </c>
    </row>
    <row r="262" spans="4:79" x14ac:dyDescent="0.25">
      <c r="D262" s="3" t="e">
        <f t="shared" si="240"/>
        <v>#DIV/0!</v>
      </c>
      <c r="E262" s="3" t="e">
        <f t="shared" si="240"/>
        <v>#DIV/0!</v>
      </c>
      <c r="F262" t="str">
        <f>IF(A262&gt;0,IF(F261=1,1,IF(B262=Data!$H$4,1,0)),"")</f>
        <v/>
      </c>
      <c r="Q262" t="str">
        <f t="shared" si="216"/>
        <v/>
      </c>
      <c r="R262" s="4" t="str">
        <f t="shared" si="217"/>
        <v/>
      </c>
      <c r="S262" t="e">
        <f t="shared" si="228"/>
        <v>#DIV/0!</v>
      </c>
      <c r="T262" t="e">
        <f t="shared" si="241"/>
        <v>#DIV/0!</v>
      </c>
      <c r="U262" s="4">
        <f t="shared" si="218"/>
        <v>0</v>
      </c>
      <c r="V262" t="e">
        <f t="shared" si="229"/>
        <v>#DIV/0!</v>
      </c>
      <c r="W262" t="e">
        <f t="shared" si="230"/>
        <v>#DIV/0!</v>
      </c>
      <c r="X262" t="e">
        <f t="shared" si="231"/>
        <v>#VALUE!</v>
      </c>
      <c r="Y262" t="e">
        <f t="shared" si="232"/>
        <v>#VALUE!</v>
      </c>
      <c r="Z262" t="e">
        <f t="shared" si="233"/>
        <v>#VALUE!</v>
      </c>
      <c r="AA262" t="e">
        <f t="shared" si="219"/>
        <v>#VALUE!</v>
      </c>
      <c r="AB262" t="str">
        <f t="shared" si="234"/>
        <v/>
      </c>
      <c r="AC262" t="str">
        <f t="shared" si="235"/>
        <v/>
      </c>
      <c r="AD262" t="str">
        <f t="shared" si="236"/>
        <v/>
      </c>
      <c r="AE262" t="str">
        <f t="shared" si="237"/>
        <v/>
      </c>
      <c r="AK262" s="4">
        <f t="shared" si="238"/>
        <v>51.000000000000369</v>
      </c>
      <c r="AL262">
        <f t="shared" si="220"/>
        <v>3121.0000000000446</v>
      </c>
      <c r="AM262">
        <f t="shared" si="221"/>
        <v>9034.3333333332412</v>
      </c>
      <c r="AN262">
        <f>IF($AK261+$AK$1&lt;=Data!$H$4-0.5,AVERAGE(AM260:AM264),AN261)</f>
        <v>9031.0533333332478</v>
      </c>
      <c r="AO262">
        <f t="shared" si="222"/>
        <v>7740.9999999999554</v>
      </c>
      <c r="AP262">
        <f t="shared" si="239"/>
        <v>8251.6666666665096</v>
      </c>
      <c r="AQ262">
        <f>IF($AK261+$AK$1&lt;=Data!$H$4-0.5,AVERAGE(AP260:AP264),AQ261)</f>
        <v>8248.0066666665207</v>
      </c>
      <c r="AR262">
        <f>IF($AK261+$AK$1&lt;=Data!$H$4-0.5,SLOPE($AN258:$AN266,$AK258:$AK266),AR261)</f>
        <v>-228.33333333336435</v>
      </c>
      <c r="AS262">
        <f>IF($AK261+$AK$1&lt;=Data!$H$4-0.5,SLOPE($AQ258:$AQ266,$AK258:$AK266),AS261)</f>
        <v>-386.16666666670159</v>
      </c>
      <c r="AT262">
        <f>IF(AND($AK262&gt;=Results!$G$13,$AK262&lt;=Results!$G$14),Curves!AR262,"")</f>
        <v>-228.33333333336435</v>
      </c>
      <c r="AU262">
        <f>IF(AND($AK262&gt;=Results!$G$13,$AK262&lt;=Results!$G$14),Curves!AS262,"")</f>
        <v>-386.16666666670159</v>
      </c>
      <c r="AV262" t="str">
        <f t="shared" si="223"/>
        <v/>
      </c>
      <c r="AW262" t="str">
        <f>IF(AND($AK262&lt;=Results!$I$21,$AK262&gt;=Results!$I$20,$AK262&lt;=Results!$F$4),$AN262,"")</f>
        <v/>
      </c>
      <c r="AX262" t="str">
        <f t="shared" si="223"/>
        <v/>
      </c>
      <c r="AY262" t="str">
        <f>IF(AND($AK262&lt;=Results!$I$23,$AK262&gt;=Results!$I$22,$AK262&gt;=Results!$F$4),$AN262,"")</f>
        <v/>
      </c>
      <c r="AZ262" t="str">
        <f t="shared" si="196"/>
        <v/>
      </c>
      <c r="BA262" t="str">
        <f>IF(AND($AK262&lt;=Results!$I$27,$AK262&gt;=Results!$I$26,$AK262&lt;=Results!$F$4),$AQ262,"")</f>
        <v/>
      </c>
      <c r="BB262" t="str">
        <f t="shared" si="197"/>
        <v/>
      </c>
      <c r="BC262" t="str">
        <f>IF(AND($AK262&lt;=Results!$I$29,$AK262&gt;=Results!$I$28,$AK262&gt;=Results!$F$4),$AQ262,"")</f>
        <v/>
      </c>
      <c r="BD262">
        <f t="shared" si="198"/>
        <v>9266.4283740695628</v>
      </c>
      <c r="BE262">
        <f t="shared" si="199"/>
        <v>1783.9566537869264</v>
      </c>
      <c r="BF262">
        <f t="shared" si="200"/>
        <v>9467.3570074429608</v>
      </c>
      <c r="BG262">
        <f t="shared" si="201"/>
        <v>1257.882547823765</v>
      </c>
      <c r="BH262">
        <f t="shared" si="202"/>
        <v>0</v>
      </c>
      <c r="BI262">
        <f t="shared" si="203"/>
        <v>0.96854314329070068</v>
      </c>
      <c r="BJ262">
        <f t="shared" si="204"/>
        <v>0.85147035333696608</v>
      </c>
      <c r="BK262">
        <f t="shared" si="205"/>
        <v>-1.6435995997873033E-2</v>
      </c>
      <c r="BL262">
        <f t="shared" si="206"/>
        <v>-3.9379104402170732E-2</v>
      </c>
      <c r="BM262">
        <f t="shared" si="224"/>
        <v>120.00000000000055</v>
      </c>
      <c r="BN262">
        <f t="shared" si="225"/>
        <v>-119.99999999999829</v>
      </c>
      <c r="BO262">
        <f>Data!$H$2*(1-BI262)*(1-BI262/Data!$H$3)*BM262</f>
        <v>2.3748812016705459E-7</v>
      </c>
      <c r="BP262">
        <f t="shared" si="207"/>
        <v>-116.22517719488462</v>
      </c>
      <c r="BQ262">
        <f>Data!$H$2*(1-BJ262)*(1-BJ262/Data!$H$3)*BN262</f>
        <v>-5.2946534250828934E-6</v>
      </c>
      <c r="BR262">
        <f t="shared" si="208"/>
        <v>102.17644240043448</v>
      </c>
      <c r="BS262">
        <f t="shared" si="209"/>
        <v>0</v>
      </c>
      <c r="BT262">
        <f t="shared" si="210"/>
        <v>0</v>
      </c>
      <c r="BU262">
        <f t="shared" si="211"/>
        <v>0</v>
      </c>
      <c r="BV262">
        <f t="shared" si="212"/>
        <v>0</v>
      </c>
      <c r="BW262">
        <f t="shared" si="226"/>
        <v>0</v>
      </c>
      <c r="BX262" t="str">
        <f t="shared" si="227"/>
        <v/>
      </c>
      <c r="BY262" s="66" t="str">
        <f t="shared" si="213"/>
        <v/>
      </c>
      <c r="BZ262" t="str">
        <f t="shared" si="214"/>
        <v/>
      </c>
      <c r="CA262" s="67" t="str">
        <f t="shared" si="215"/>
        <v/>
      </c>
    </row>
    <row r="263" spans="4:79" x14ac:dyDescent="0.25">
      <c r="D263" s="3" t="e">
        <f t="shared" si="240"/>
        <v>#DIV/0!</v>
      </c>
      <c r="E263" s="3" t="e">
        <f t="shared" si="240"/>
        <v>#DIV/0!</v>
      </c>
      <c r="F263" t="str">
        <f>IF(A263&gt;0,IF(F262=1,1,IF(B263=Data!$H$4,1,0)),"")</f>
        <v/>
      </c>
      <c r="Q263" t="str">
        <f t="shared" si="216"/>
        <v/>
      </c>
      <c r="R263" s="4" t="str">
        <f t="shared" si="217"/>
        <v/>
      </c>
      <c r="S263" t="e">
        <f t="shared" si="228"/>
        <v>#DIV/0!</v>
      </c>
      <c r="T263" t="e">
        <f t="shared" si="241"/>
        <v>#DIV/0!</v>
      </c>
      <c r="U263" s="4">
        <f t="shared" si="218"/>
        <v>0</v>
      </c>
      <c r="V263" t="e">
        <f t="shared" si="229"/>
        <v>#DIV/0!</v>
      </c>
      <c r="W263" t="e">
        <f t="shared" si="230"/>
        <v>#DIV/0!</v>
      </c>
      <c r="X263" t="e">
        <f t="shared" si="231"/>
        <v>#VALUE!</v>
      </c>
      <c r="Y263" t="e">
        <f t="shared" si="232"/>
        <v>#VALUE!</v>
      </c>
      <c r="Z263" t="e">
        <f t="shared" si="233"/>
        <v>#VALUE!</v>
      </c>
      <c r="AA263" t="e">
        <f t="shared" si="219"/>
        <v>#VALUE!</v>
      </c>
      <c r="AB263" t="str">
        <f t="shared" si="234"/>
        <v/>
      </c>
      <c r="AC263" t="str">
        <f t="shared" si="235"/>
        <v/>
      </c>
      <c r="AD263" t="str">
        <f t="shared" si="236"/>
        <v/>
      </c>
      <c r="AE263" t="str">
        <f t="shared" si="237"/>
        <v/>
      </c>
      <c r="AK263" s="4">
        <f t="shared" si="238"/>
        <v>51.100000000000371</v>
      </c>
      <c r="AL263">
        <f t="shared" si="220"/>
        <v>3133.0000000000446</v>
      </c>
      <c r="AM263">
        <f t="shared" si="221"/>
        <v>9008.7666666665737</v>
      </c>
      <c r="AN263">
        <f>IF($AK262+$AK$1&lt;=Data!$H$4-0.5,AVERAGE(AM261:AM265),AN262)</f>
        <v>9007.673333333245</v>
      </c>
      <c r="AO263">
        <f t="shared" si="222"/>
        <v>7728.9999999999554</v>
      </c>
      <c r="AP263">
        <f t="shared" si="239"/>
        <v>8209.9999999998436</v>
      </c>
      <c r="AQ263">
        <f>IF($AK262+$AK$1&lt;=Data!$H$4-0.5,AVERAGE(AP261:AP265),AQ262)</f>
        <v>8208.7799999998497</v>
      </c>
      <c r="AR263">
        <f>IF($AK262+$AK$1&lt;=Data!$H$4-0.5,SLOPE($AN259:$AN267,$AK259:$AK267),AR262)</f>
        <v>-236.53333333336158</v>
      </c>
      <c r="AS263">
        <f>IF($AK262+$AK$1&lt;=Data!$H$4-0.5,SLOPE($AQ259:$AQ267,$AK259:$AK267),AS262)</f>
        <v>-395.3166666666969</v>
      </c>
      <c r="AT263">
        <f>IF(AND($AK263&gt;=Results!$G$13,$AK263&lt;=Results!$G$14),Curves!AR263,"")</f>
        <v>-236.53333333336158</v>
      </c>
      <c r="AU263">
        <f>IF(AND($AK263&gt;=Results!$G$13,$AK263&lt;=Results!$G$14),Curves!AS263,"")</f>
        <v>-395.3166666666969</v>
      </c>
      <c r="AV263" t="str">
        <f t="shared" si="223"/>
        <v/>
      </c>
      <c r="AW263" t="str">
        <f>IF(AND($AK263&lt;=Results!$I$21,$AK263&gt;=Results!$I$20,$AK263&lt;=Results!$F$4),$AN263,"")</f>
        <v/>
      </c>
      <c r="AX263" t="str">
        <f t="shared" si="223"/>
        <v/>
      </c>
      <c r="AY263" t="str">
        <f>IF(AND($AK263&lt;=Results!$I$23,$AK263&gt;=Results!$I$22,$AK263&gt;=Results!$F$4),$AN263,"")</f>
        <v/>
      </c>
      <c r="AZ263" t="str">
        <f t="shared" si="196"/>
        <v/>
      </c>
      <c r="BA263" t="str">
        <f>IF(AND($AK263&lt;=Results!$I$27,$AK263&gt;=Results!$I$26,$AK263&lt;=Results!$F$4),$AQ263,"")</f>
        <v/>
      </c>
      <c r="BB263" t="str">
        <f t="shared" si="197"/>
        <v/>
      </c>
      <c r="BC263" t="str">
        <f>IF(AND($AK263&lt;=Results!$I$29,$AK263&gt;=Results!$I$28,$AK263&gt;=Results!$F$4),$AQ263,"")</f>
        <v/>
      </c>
      <c r="BD263">
        <f t="shared" si="198"/>
        <v>9255.6581792716424</v>
      </c>
      <c r="BE263">
        <f t="shared" si="199"/>
        <v>1780.6408645376055</v>
      </c>
      <c r="BF263">
        <f t="shared" si="200"/>
        <v>9460.0670252100681</v>
      </c>
      <c r="BG263">
        <f t="shared" si="201"/>
        <v>1257.3317468642399</v>
      </c>
      <c r="BH263">
        <f t="shared" si="202"/>
        <v>0</v>
      </c>
      <c r="BI263">
        <f t="shared" si="203"/>
        <v>0.96682484661947288</v>
      </c>
      <c r="BJ263">
        <f t="shared" si="204"/>
        <v>0.84745490586372374</v>
      </c>
      <c r="BK263">
        <f t="shared" si="205"/>
        <v>-1.7932174390489518E-2</v>
      </c>
      <c r="BL263">
        <f t="shared" si="206"/>
        <v>-4.0931757714103255E-2</v>
      </c>
      <c r="BM263">
        <f t="shared" si="224"/>
        <v>119.99999999999829</v>
      </c>
      <c r="BN263">
        <f t="shared" si="225"/>
        <v>-119.99999999999829</v>
      </c>
      <c r="BO263">
        <f>Data!$H$2*(1-BI263)*(1-BI263/Data!$H$3)*BM263</f>
        <v>2.6414179243715627E-7</v>
      </c>
      <c r="BP263">
        <f t="shared" si="207"/>
        <v>-116.0189815943351</v>
      </c>
      <c r="BQ263">
        <f>Data!$H$2*(1-BJ263)*(1-BJ263/Data!$H$3)*BN263</f>
        <v>-5.5848013788108138E-6</v>
      </c>
      <c r="BR263">
        <f t="shared" si="208"/>
        <v>101.69458870364541</v>
      </c>
      <c r="BS263">
        <f t="shared" si="209"/>
        <v>0</v>
      </c>
      <c r="BT263">
        <f t="shared" si="210"/>
        <v>0</v>
      </c>
      <c r="BU263">
        <f t="shared" si="211"/>
        <v>0</v>
      </c>
      <c r="BV263">
        <f t="shared" si="212"/>
        <v>0</v>
      </c>
      <c r="BW263">
        <f t="shared" si="226"/>
        <v>0</v>
      </c>
      <c r="BX263" t="str">
        <f t="shared" si="227"/>
        <v/>
      </c>
      <c r="BY263" s="66" t="str">
        <f t="shared" si="213"/>
        <v/>
      </c>
      <c r="BZ263" t="str">
        <f t="shared" si="214"/>
        <v/>
      </c>
      <c r="CA263" s="67" t="str">
        <f t="shared" si="215"/>
        <v/>
      </c>
    </row>
    <row r="264" spans="4:79" x14ac:dyDescent="0.25">
      <c r="D264" s="3" t="e">
        <f t="shared" si="240"/>
        <v>#DIV/0!</v>
      </c>
      <c r="E264" s="3" t="e">
        <f t="shared" si="240"/>
        <v>#DIV/0!</v>
      </c>
      <c r="F264" t="str">
        <f>IF(A264&gt;0,IF(F263=1,1,IF(B264=Data!$H$4,1,0)),"")</f>
        <v/>
      </c>
      <c r="Q264" t="str">
        <f t="shared" si="216"/>
        <v/>
      </c>
      <c r="R264" s="4" t="str">
        <f t="shared" si="217"/>
        <v/>
      </c>
      <c r="S264" t="e">
        <f t="shared" si="228"/>
        <v>#DIV/0!</v>
      </c>
      <c r="T264" t="e">
        <f t="shared" si="241"/>
        <v>#DIV/0!</v>
      </c>
      <c r="U264" s="4">
        <f t="shared" si="218"/>
        <v>0</v>
      </c>
      <c r="V264" t="e">
        <f t="shared" si="229"/>
        <v>#DIV/0!</v>
      </c>
      <c r="W264" t="e">
        <f t="shared" si="230"/>
        <v>#DIV/0!</v>
      </c>
      <c r="X264" t="e">
        <f t="shared" si="231"/>
        <v>#VALUE!</v>
      </c>
      <c r="Y264" t="e">
        <f t="shared" si="232"/>
        <v>#VALUE!</v>
      </c>
      <c r="Z264" t="e">
        <f t="shared" si="233"/>
        <v>#VALUE!</v>
      </c>
      <c r="AA264" t="e">
        <f t="shared" si="219"/>
        <v>#VALUE!</v>
      </c>
      <c r="AB264" t="str">
        <f t="shared" si="234"/>
        <v/>
      </c>
      <c r="AC264" t="str">
        <f t="shared" si="235"/>
        <v/>
      </c>
      <c r="AD264" t="str">
        <f t="shared" si="236"/>
        <v/>
      </c>
      <c r="AE264" t="str">
        <f t="shared" si="237"/>
        <v/>
      </c>
      <c r="AK264" s="4">
        <f t="shared" si="238"/>
        <v>51.200000000000372</v>
      </c>
      <c r="AL264">
        <f t="shared" si="220"/>
        <v>3145.0000000000446</v>
      </c>
      <c r="AM264">
        <f t="shared" si="221"/>
        <v>8983.1999999999061</v>
      </c>
      <c r="AN264">
        <f>IF($AK263+$AK$1&lt;=Data!$H$4-0.5,AVERAGE(AM262:AM266),AN263)</f>
        <v>8983.1999999999061</v>
      </c>
      <c r="AO264">
        <f t="shared" si="222"/>
        <v>7716.9999999999554</v>
      </c>
      <c r="AP264">
        <f t="shared" si="239"/>
        <v>8168.3333333331766</v>
      </c>
      <c r="AQ264">
        <f>IF($AK263+$AK$1&lt;=Data!$H$4-0.5,AVERAGE(AP262:AP266),AQ263)</f>
        <v>8168.3333333331757</v>
      </c>
      <c r="AR264">
        <f>IF($AK263+$AK$1&lt;=Data!$H$4-0.5,SLOPE($AN260:$AN268,$AK260:$AK268),AR263)</f>
        <v>-243.82222222224439</v>
      </c>
      <c r="AS264">
        <f>IF($AK263+$AK$1&lt;=Data!$H$4-0.5,SLOPE($AQ260:$AQ268,$AK260:$AK268),AS263)</f>
        <v>-403.45000000002187</v>
      </c>
      <c r="AT264">
        <f>IF(AND($AK264&gt;=Results!$G$13,$AK264&lt;=Results!$G$14),Curves!AR264,"")</f>
        <v>-243.82222222224439</v>
      </c>
      <c r="AU264">
        <f>IF(AND($AK264&gt;=Results!$G$13,$AK264&lt;=Results!$G$14),Curves!AS264,"")</f>
        <v>-403.45000000002187</v>
      </c>
      <c r="AV264" t="str">
        <f t="shared" si="223"/>
        <v/>
      </c>
      <c r="AW264" t="str">
        <f>IF(AND($AK264&lt;=Results!$I$21,$AK264&gt;=Results!$I$20,$AK264&lt;=Results!$F$4),$AN264,"")</f>
        <v/>
      </c>
      <c r="AX264" t="str">
        <f t="shared" si="223"/>
        <v/>
      </c>
      <c r="AY264" t="str">
        <f>IF(AND($AK264&lt;=Results!$I$23,$AK264&gt;=Results!$I$22,$AK264&gt;=Results!$F$4),$AN264,"")</f>
        <v/>
      </c>
      <c r="AZ264" t="str">
        <f t="shared" si="196"/>
        <v/>
      </c>
      <c r="BA264" t="str">
        <f>IF(AND($AK264&lt;=Results!$I$27,$AK264&gt;=Results!$I$26,$AK264&lt;=Results!$F$4),$AQ264,"")</f>
        <v/>
      </c>
      <c r="BB264" t="str">
        <f t="shared" si="197"/>
        <v/>
      </c>
      <c r="BC264" t="str">
        <f>IF(AND($AK264&lt;=Results!$I$29,$AK264&gt;=Results!$I$28,$AK264&gt;=Results!$F$4),$AQ264,"")</f>
        <v/>
      </c>
      <c r="BD264">
        <f t="shared" si="198"/>
        <v>9244.8879844737239</v>
      </c>
      <c r="BE264">
        <f t="shared" si="199"/>
        <v>1777.3250752882848</v>
      </c>
      <c r="BF264">
        <f t="shared" si="200"/>
        <v>9452.7770429771754</v>
      </c>
      <c r="BG264">
        <f t="shared" si="201"/>
        <v>1256.7809459047151</v>
      </c>
      <c r="BH264">
        <f t="shared" si="202"/>
        <v>0</v>
      </c>
      <c r="BI264">
        <f t="shared" si="203"/>
        <v>0.96495670841260273</v>
      </c>
      <c r="BJ264">
        <f t="shared" si="204"/>
        <v>0.84328400179414531</v>
      </c>
      <c r="BK264">
        <f t="shared" si="205"/>
        <v>-1.9432835651721769E-2</v>
      </c>
      <c r="BL264">
        <f t="shared" si="206"/>
        <v>-4.2488242624794066E-2</v>
      </c>
      <c r="BM264">
        <f t="shared" si="224"/>
        <v>120.00000000000055</v>
      </c>
      <c r="BN264">
        <f t="shared" si="225"/>
        <v>-119.99999999999829</v>
      </c>
      <c r="BO264">
        <f>Data!$H$2*(1-BI264)*(1-BI264/Data!$H$3)*BM264</f>
        <v>2.94727748467045E-7</v>
      </c>
      <c r="BP264">
        <f t="shared" si="207"/>
        <v>-115.79480500951286</v>
      </c>
      <c r="BQ264">
        <f>Data!$H$2*(1-BJ264)*(1-BJ264/Data!$H$3)*BN264</f>
        <v>-5.8943769824777041E-6</v>
      </c>
      <c r="BR264">
        <f t="shared" si="208"/>
        <v>101.194080215296</v>
      </c>
      <c r="BS264">
        <f t="shared" si="209"/>
        <v>0</v>
      </c>
      <c r="BT264">
        <f t="shared" si="210"/>
        <v>0</v>
      </c>
      <c r="BU264">
        <f t="shared" si="211"/>
        <v>0</v>
      </c>
      <c r="BV264">
        <f t="shared" si="212"/>
        <v>0</v>
      </c>
      <c r="BW264">
        <f t="shared" si="226"/>
        <v>0</v>
      </c>
      <c r="BX264" t="str">
        <f t="shared" si="227"/>
        <v/>
      </c>
      <c r="BY264" s="66" t="str">
        <f t="shared" si="213"/>
        <v/>
      </c>
      <c r="BZ264" t="str">
        <f t="shared" si="214"/>
        <v/>
      </c>
      <c r="CA264" s="67" t="str">
        <f t="shared" si="215"/>
        <v/>
      </c>
    </row>
    <row r="265" spans="4:79" x14ac:dyDescent="0.25">
      <c r="D265" s="3" t="e">
        <f t="shared" si="240"/>
        <v>#DIV/0!</v>
      </c>
      <c r="E265" s="3" t="e">
        <f t="shared" si="240"/>
        <v>#DIV/0!</v>
      </c>
      <c r="F265" t="str">
        <f>IF(A265&gt;0,IF(F264=1,1,IF(B265=Data!$H$4,1,0)),"")</f>
        <v/>
      </c>
      <c r="Q265" t="str">
        <f t="shared" si="216"/>
        <v/>
      </c>
      <c r="R265" s="4" t="str">
        <f t="shared" si="217"/>
        <v/>
      </c>
      <c r="S265" t="e">
        <f t="shared" si="228"/>
        <v>#DIV/0!</v>
      </c>
      <c r="T265" t="e">
        <f t="shared" si="241"/>
        <v>#DIV/0!</v>
      </c>
      <c r="U265" s="4">
        <f t="shared" si="218"/>
        <v>0</v>
      </c>
      <c r="V265" t="e">
        <f t="shared" si="229"/>
        <v>#DIV/0!</v>
      </c>
      <c r="W265" t="e">
        <f t="shared" si="230"/>
        <v>#DIV/0!</v>
      </c>
      <c r="X265" t="e">
        <f t="shared" si="231"/>
        <v>#VALUE!</v>
      </c>
      <c r="Y265" t="e">
        <f t="shared" si="232"/>
        <v>#VALUE!</v>
      </c>
      <c r="Z265" t="e">
        <f t="shared" si="233"/>
        <v>#VALUE!</v>
      </c>
      <c r="AA265" t="e">
        <f t="shared" si="219"/>
        <v>#VALUE!</v>
      </c>
      <c r="AB265" t="str">
        <f t="shared" si="234"/>
        <v/>
      </c>
      <c r="AC265" t="str">
        <f t="shared" si="235"/>
        <v/>
      </c>
      <c r="AD265" t="str">
        <f t="shared" si="236"/>
        <v/>
      </c>
      <c r="AE265" t="str">
        <f t="shared" si="237"/>
        <v/>
      </c>
      <c r="AK265" s="4">
        <f t="shared" si="238"/>
        <v>51.300000000000374</v>
      </c>
      <c r="AL265">
        <f t="shared" si="220"/>
        <v>3157.000000000045</v>
      </c>
      <c r="AM265">
        <f t="shared" si="221"/>
        <v>8957.6333333332386</v>
      </c>
      <c r="AN265">
        <f>IF($AK264+$AK$1&lt;=Data!$H$4-0.5,AVERAGE(AM263:AM267),AN264)</f>
        <v>8957.6333333332386</v>
      </c>
      <c r="AO265">
        <f t="shared" si="222"/>
        <v>7704.9999999999554</v>
      </c>
      <c r="AP265">
        <f t="shared" si="239"/>
        <v>8126.6666666665096</v>
      </c>
      <c r="AQ265">
        <f>IF($AK264+$AK$1&lt;=Data!$H$4-0.5,AVERAGE(AP263:AP267),AQ264)</f>
        <v>8126.6666666665087</v>
      </c>
      <c r="AR265">
        <f>IF($AK264+$AK$1&lt;=Data!$H$4-0.5,SLOPE($AN261:$AN269,$AK261:$AK269),AR264)</f>
        <v>-249.28888888890594</v>
      </c>
      <c r="AS265">
        <f>IF($AK264+$AK$1&lt;=Data!$H$4-0.5,SLOPE($AQ261:$AQ269,$AK261:$AK269),AS264)</f>
        <v>-409.55000000001399</v>
      </c>
      <c r="AT265">
        <f>IF(AND($AK265&gt;=Results!$G$13,$AK265&lt;=Results!$G$14),Curves!AR265,"")</f>
        <v>-249.28888888890594</v>
      </c>
      <c r="AU265">
        <f>IF(AND($AK265&gt;=Results!$G$13,$AK265&lt;=Results!$G$14),Curves!AS265,"")</f>
        <v>-409.55000000001399</v>
      </c>
      <c r="AV265" t="str">
        <f t="shared" si="223"/>
        <v/>
      </c>
      <c r="AW265" t="str">
        <f>IF(AND($AK265&lt;=Results!$I$21,$AK265&gt;=Results!$I$20,$AK265&lt;=Results!$F$4),$AN265,"")</f>
        <v/>
      </c>
      <c r="AX265" t="str">
        <f t="shared" si="223"/>
        <v/>
      </c>
      <c r="AY265" t="str">
        <f>IF(AND($AK265&lt;=Results!$I$23,$AK265&gt;=Results!$I$22,$AK265&gt;=Results!$F$4),$AN265,"")</f>
        <v/>
      </c>
      <c r="AZ265" t="str">
        <f t="shared" si="196"/>
        <v/>
      </c>
      <c r="BA265" t="str">
        <f>IF(AND($AK265&lt;=Results!$I$27,$AK265&gt;=Results!$I$26,$AK265&lt;=Results!$F$4),$AQ265,"")</f>
        <v/>
      </c>
      <c r="BB265" t="str">
        <f t="shared" si="197"/>
        <v/>
      </c>
      <c r="BC265" t="str">
        <f>IF(AND($AK265&lt;=Results!$I$29,$AK265&gt;=Results!$I$28,$AK265&gt;=Results!$F$4),$AQ265,"")</f>
        <v/>
      </c>
      <c r="BD265">
        <f t="shared" si="198"/>
        <v>9234.1177896758036</v>
      </c>
      <c r="BE265">
        <f t="shared" si="199"/>
        <v>1774.0092860389639</v>
      </c>
      <c r="BF265">
        <f t="shared" si="200"/>
        <v>9445.4870607442826</v>
      </c>
      <c r="BG265">
        <f t="shared" si="201"/>
        <v>1256.23014494519</v>
      </c>
      <c r="BH265">
        <f t="shared" si="202"/>
        <v>0</v>
      </c>
      <c r="BI265">
        <f t="shared" si="203"/>
        <v>0.96293827948912847</v>
      </c>
      <c r="BJ265">
        <f t="shared" si="204"/>
        <v>0.83895725733876481</v>
      </c>
      <c r="BK265">
        <f t="shared" si="205"/>
        <v>-2.0204478267492321E-2</v>
      </c>
      <c r="BL265">
        <f t="shared" si="206"/>
        <v>-4.330307993664511E-2</v>
      </c>
      <c r="BM265">
        <f t="shared" si="224"/>
        <v>120.00000000000055</v>
      </c>
      <c r="BN265">
        <f t="shared" si="225"/>
        <v>-120.00000000000284</v>
      </c>
      <c r="BO265">
        <f>Data!$H$2*(1-BI265)*(1-BI265/Data!$H$3)*BM265</f>
        <v>3.2965707053423089E-7</v>
      </c>
      <c r="BP265">
        <f t="shared" si="207"/>
        <v>-115.55259353869594</v>
      </c>
      <c r="BQ265">
        <f>Data!$H$2*(1-BJ265)*(1-BJ265/Data!$H$3)*BN265</f>
        <v>-6.2243435913248245E-6</v>
      </c>
      <c r="BR265">
        <f t="shared" si="208"/>
        <v>100.67487088065415</v>
      </c>
      <c r="BS265">
        <f t="shared" si="209"/>
        <v>0</v>
      </c>
      <c r="BT265">
        <f t="shared" si="210"/>
        <v>0</v>
      </c>
      <c r="BU265">
        <f t="shared" si="211"/>
        <v>0</v>
      </c>
      <c r="BV265">
        <f t="shared" si="212"/>
        <v>0</v>
      </c>
      <c r="BW265">
        <f t="shared" si="226"/>
        <v>0</v>
      </c>
      <c r="BX265" t="str">
        <f t="shared" si="227"/>
        <v/>
      </c>
      <c r="BY265" s="66" t="str">
        <f t="shared" si="213"/>
        <v/>
      </c>
      <c r="BZ265" t="str">
        <f t="shared" si="214"/>
        <v/>
      </c>
      <c r="CA265" s="67" t="str">
        <f t="shared" si="215"/>
        <v/>
      </c>
    </row>
    <row r="266" spans="4:79" x14ac:dyDescent="0.25">
      <c r="D266" s="3" t="e">
        <f t="shared" si="240"/>
        <v>#DIV/0!</v>
      </c>
      <c r="E266" s="3" t="e">
        <f t="shared" si="240"/>
        <v>#DIV/0!</v>
      </c>
      <c r="F266" t="str">
        <f>IF(A266&gt;0,IF(F265=1,1,IF(B266=Data!$H$4,1,0)),"")</f>
        <v/>
      </c>
      <c r="Q266" t="str">
        <f t="shared" si="216"/>
        <v/>
      </c>
      <c r="R266" s="4" t="str">
        <f t="shared" si="217"/>
        <v/>
      </c>
      <c r="S266" t="e">
        <f t="shared" si="228"/>
        <v>#DIV/0!</v>
      </c>
      <c r="T266" t="e">
        <f t="shared" si="241"/>
        <v>#DIV/0!</v>
      </c>
      <c r="U266" s="4">
        <f t="shared" si="218"/>
        <v>0</v>
      </c>
      <c r="V266" t="e">
        <f t="shared" si="229"/>
        <v>#DIV/0!</v>
      </c>
      <c r="W266" t="e">
        <f t="shared" si="230"/>
        <v>#DIV/0!</v>
      </c>
      <c r="X266" t="e">
        <f t="shared" si="231"/>
        <v>#VALUE!</v>
      </c>
      <c r="Y266" t="e">
        <f t="shared" si="232"/>
        <v>#VALUE!</v>
      </c>
      <c r="Z266" t="e">
        <f t="shared" si="233"/>
        <v>#VALUE!</v>
      </c>
      <c r="AA266" t="e">
        <f t="shared" si="219"/>
        <v>#VALUE!</v>
      </c>
      <c r="AB266" t="str">
        <f t="shared" si="234"/>
        <v/>
      </c>
      <c r="AC266" t="str">
        <f t="shared" si="235"/>
        <v/>
      </c>
      <c r="AD266" t="str">
        <f t="shared" si="236"/>
        <v/>
      </c>
      <c r="AE266" t="str">
        <f t="shared" si="237"/>
        <v/>
      </c>
      <c r="AK266" s="4">
        <f t="shared" si="238"/>
        <v>51.400000000000375</v>
      </c>
      <c r="AL266">
        <f t="shared" si="220"/>
        <v>3169.000000000045</v>
      </c>
      <c r="AM266">
        <f t="shared" si="221"/>
        <v>8932.0666666665711</v>
      </c>
      <c r="AN266">
        <f>IF($AK265+$AK$1&lt;=Data!$H$4-0.5,AVERAGE(AM264:AM268),AN265)</f>
        <v>8932.0666666665729</v>
      </c>
      <c r="AO266">
        <f t="shared" si="222"/>
        <v>7692.9999999999545</v>
      </c>
      <c r="AP266">
        <f t="shared" si="239"/>
        <v>8084.9999999998427</v>
      </c>
      <c r="AQ266">
        <f>IF($AK265+$AK$1&lt;=Data!$H$4-0.5,AVERAGE(AP264:AP268),AQ265)</f>
        <v>8084.9999999998427</v>
      </c>
      <c r="AR266">
        <f>IF($AK265+$AK$1&lt;=Data!$H$4-0.5,SLOPE($AN262:$AN270,$AK262:$AK270),AR265)</f>
        <v>-252.93333333335104</v>
      </c>
      <c r="AS266">
        <f>IF($AK265+$AK$1&lt;=Data!$H$4-0.5,SLOPE($AQ262:$AQ270,$AK262:$AK270),AS265)</f>
        <v>-413.61666666667838</v>
      </c>
      <c r="AT266">
        <f>IF(AND($AK266&gt;=Results!$G$13,$AK266&lt;=Results!$G$14),Curves!AR266,"")</f>
        <v>-252.93333333335104</v>
      </c>
      <c r="AU266">
        <f>IF(AND($AK266&gt;=Results!$G$13,$AK266&lt;=Results!$G$14),Curves!AS266,"")</f>
        <v>-413.61666666667838</v>
      </c>
      <c r="AV266" t="str">
        <f t="shared" si="223"/>
        <v/>
      </c>
      <c r="AW266" t="str">
        <f>IF(AND($AK266&lt;=Results!$I$21,$AK266&gt;=Results!$I$20,$AK266&lt;=Results!$F$4),$AN266,"")</f>
        <v/>
      </c>
      <c r="AX266" t="str">
        <f t="shared" si="223"/>
        <v/>
      </c>
      <c r="AY266" t="str">
        <f>IF(AND($AK266&lt;=Results!$I$23,$AK266&gt;=Results!$I$22,$AK266&gt;=Results!$F$4),$AN266,"")</f>
        <v/>
      </c>
      <c r="AZ266" t="str">
        <f t="shared" si="196"/>
        <v/>
      </c>
      <c r="BA266" t="str">
        <f>IF(AND($AK266&lt;=Results!$I$27,$AK266&gt;=Results!$I$26,$AK266&lt;=Results!$F$4),$AQ266,"")</f>
        <v/>
      </c>
      <c r="BB266" t="str">
        <f t="shared" si="197"/>
        <v/>
      </c>
      <c r="BC266" t="str">
        <f>IF(AND($AK266&lt;=Results!$I$29,$AK266&gt;=Results!$I$28,$AK266&gt;=Results!$F$4),$AQ266,"")</f>
        <v/>
      </c>
      <c r="BD266">
        <f t="shared" si="198"/>
        <v>9223.3475948778832</v>
      </c>
      <c r="BE266">
        <f t="shared" si="199"/>
        <v>1770.6934967896429</v>
      </c>
      <c r="BF266">
        <f t="shared" si="200"/>
        <v>9438.1970785113881</v>
      </c>
      <c r="BG266">
        <f t="shared" si="201"/>
        <v>1255.6793439856651</v>
      </c>
      <c r="BH266">
        <f t="shared" si="202"/>
        <v>0</v>
      </c>
      <c r="BI266">
        <f t="shared" si="203"/>
        <v>0.9609158127591042</v>
      </c>
      <c r="BJ266">
        <f t="shared" si="204"/>
        <v>0.83462338580681616</v>
      </c>
      <c r="BK266">
        <f t="shared" si="205"/>
        <v>-2.0244916974984917E-2</v>
      </c>
      <c r="BL266">
        <f t="shared" si="206"/>
        <v>-4.3374438823590641E-2</v>
      </c>
      <c r="BM266">
        <f t="shared" si="224"/>
        <v>119.99999999999829</v>
      </c>
      <c r="BN266">
        <f t="shared" si="225"/>
        <v>-120.00000000000281</v>
      </c>
      <c r="BO266">
        <f>Data!$H$2*(1-BI266)*(1-BI266/Data!$H$3)*BM266</f>
        <v>3.6661768614753118E-7</v>
      </c>
      <c r="BP266">
        <f t="shared" si="207"/>
        <v>-115.30989753109087</v>
      </c>
      <c r="BQ266">
        <f>Data!$H$2*(1-BJ266)*(1-BJ266/Data!$H$3)*BN266</f>
        <v>-6.5638618852804353E-6</v>
      </c>
      <c r="BR266">
        <f t="shared" si="208"/>
        <v>100.15480629682028</v>
      </c>
      <c r="BS266">
        <f t="shared" si="209"/>
        <v>0</v>
      </c>
      <c r="BT266">
        <f t="shared" si="210"/>
        <v>0</v>
      </c>
      <c r="BU266">
        <f t="shared" si="211"/>
        <v>0</v>
      </c>
      <c r="BV266">
        <f t="shared" si="212"/>
        <v>0</v>
      </c>
      <c r="BW266">
        <f t="shared" si="226"/>
        <v>0</v>
      </c>
      <c r="BX266" t="str">
        <f t="shared" si="227"/>
        <v/>
      </c>
      <c r="BY266" s="66" t="str">
        <f t="shared" si="213"/>
        <v/>
      </c>
      <c r="BZ266" t="str">
        <f t="shared" si="214"/>
        <v/>
      </c>
      <c r="CA266" s="67" t="str">
        <f t="shared" si="215"/>
        <v/>
      </c>
    </row>
    <row r="267" spans="4:79" x14ac:dyDescent="0.25">
      <c r="D267" s="3" t="e">
        <f t="shared" si="240"/>
        <v>#DIV/0!</v>
      </c>
      <c r="E267" s="3" t="e">
        <f t="shared" si="240"/>
        <v>#DIV/0!</v>
      </c>
      <c r="F267" t="str">
        <f>IF(A267&gt;0,IF(F266=1,1,IF(B267=Data!$H$4,1,0)),"")</f>
        <v/>
      </c>
      <c r="Q267" t="str">
        <f t="shared" si="216"/>
        <v/>
      </c>
      <c r="R267" s="4" t="str">
        <f t="shared" si="217"/>
        <v/>
      </c>
      <c r="S267" t="e">
        <f t="shared" si="228"/>
        <v>#DIV/0!</v>
      </c>
      <c r="T267" t="e">
        <f t="shared" si="241"/>
        <v>#DIV/0!</v>
      </c>
      <c r="U267" s="4">
        <f t="shared" si="218"/>
        <v>0</v>
      </c>
      <c r="V267" t="e">
        <f t="shared" si="229"/>
        <v>#DIV/0!</v>
      </c>
      <c r="W267" t="e">
        <f t="shared" si="230"/>
        <v>#DIV/0!</v>
      </c>
      <c r="X267" t="e">
        <f t="shared" si="231"/>
        <v>#VALUE!</v>
      </c>
      <c r="Y267" t="e">
        <f t="shared" si="232"/>
        <v>#VALUE!</v>
      </c>
      <c r="Z267" t="e">
        <f t="shared" si="233"/>
        <v>#VALUE!</v>
      </c>
      <c r="AA267" t="e">
        <f t="shared" si="219"/>
        <v>#VALUE!</v>
      </c>
      <c r="AB267" t="str">
        <f t="shared" si="234"/>
        <v/>
      </c>
      <c r="AC267" t="str">
        <f t="shared" si="235"/>
        <v/>
      </c>
      <c r="AD267" t="str">
        <f t="shared" si="236"/>
        <v/>
      </c>
      <c r="AE267" t="str">
        <f t="shared" si="237"/>
        <v/>
      </c>
      <c r="AK267" s="4">
        <f t="shared" si="238"/>
        <v>51.500000000000377</v>
      </c>
      <c r="AL267">
        <f t="shared" si="220"/>
        <v>3181.000000000045</v>
      </c>
      <c r="AM267">
        <f t="shared" si="221"/>
        <v>8906.4999999999036</v>
      </c>
      <c r="AN267">
        <f>IF($AK266+$AK$1&lt;=Data!$H$4-0.5,AVERAGE(AM265:AM269),AN266)</f>
        <v>8906.4999999999036</v>
      </c>
      <c r="AO267">
        <f t="shared" si="222"/>
        <v>7680.9999999999545</v>
      </c>
      <c r="AP267">
        <f t="shared" si="239"/>
        <v>8043.3333333331748</v>
      </c>
      <c r="AQ267">
        <f>IF($AK266+$AK$1&lt;=Data!$H$4-0.5,AVERAGE(AP265:AP269),AQ266)</f>
        <v>8043.3333333331757</v>
      </c>
      <c r="AR267">
        <f>IF($AK266+$AK$1&lt;=Data!$H$4-0.5,SLOPE($AN263:$AN271,$AK263:$AK271),AR266)</f>
        <v>-256.48000000002384</v>
      </c>
      <c r="AS267">
        <f>IF($AK266+$AK$1&lt;=Data!$H$4-0.5,SLOPE($AQ263:$AQ271,$AK263:$AK271),AS266)</f>
        <v>-416.8266666666787</v>
      </c>
      <c r="AT267">
        <f>IF(AND($AK267&gt;=Results!$G$13,$AK267&lt;=Results!$G$14),Curves!AR267,"")</f>
        <v>-256.48000000002384</v>
      </c>
      <c r="AU267">
        <f>IF(AND($AK267&gt;=Results!$G$13,$AK267&lt;=Results!$G$14),Curves!AS267,"")</f>
        <v>-416.8266666666787</v>
      </c>
      <c r="AV267" t="str">
        <f t="shared" si="223"/>
        <v/>
      </c>
      <c r="AW267" t="str">
        <f>IF(AND($AK267&lt;=Results!$I$21,$AK267&gt;=Results!$I$20,$AK267&lt;=Results!$F$4),$AN267,"")</f>
        <v/>
      </c>
      <c r="AX267" t="str">
        <f t="shared" si="223"/>
        <v/>
      </c>
      <c r="AY267" t="str">
        <f>IF(AND($AK267&lt;=Results!$I$23,$AK267&gt;=Results!$I$22,$AK267&gt;=Results!$F$4),$AN267,"")</f>
        <v/>
      </c>
      <c r="AZ267" t="str">
        <f t="shared" si="196"/>
        <v/>
      </c>
      <c r="BA267" t="str">
        <f>IF(AND($AK267&lt;=Results!$I$27,$AK267&gt;=Results!$I$26,$AK267&lt;=Results!$F$4),$AQ267,"")</f>
        <v/>
      </c>
      <c r="BB267" t="str">
        <f t="shared" si="197"/>
        <v/>
      </c>
      <c r="BC267" t="str">
        <f>IF(AND($AK267&lt;=Results!$I$29,$AK267&gt;=Results!$I$28,$AK267&gt;=Results!$F$4),$AQ267,"")</f>
        <v/>
      </c>
      <c r="BD267">
        <f t="shared" si="198"/>
        <v>9212.5774000799647</v>
      </c>
      <c r="BE267">
        <f t="shared" si="199"/>
        <v>1767.3777075403223</v>
      </c>
      <c r="BF267">
        <f t="shared" si="200"/>
        <v>9430.9070962784954</v>
      </c>
      <c r="BG267">
        <f t="shared" si="201"/>
        <v>1255.1285430261401</v>
      </c>
      <c r="BH267">
        <f t="shared" si="202"/>
        <v>0</v>
      </c>
      <c r="BI267">
        <f t="shared" si="203"/>
        <v>0.95888929609413143</v>
      </c>
      <c r="BJ267">
        <f t="shared" si="204"/>
        <v>0.83028236957404655</v>
      </c>
      <c r="BK267">
        <f t="shared" si="205"/>
        <v>-2.0285477209563682E-2</v>
      </c>
      <c r="BL267">
        <f t="shared" si="206"/>
        <v>-4.3445974243847482E-2</v>
      </c>
      <c r="BM267">
        <f t="shared" si="224"/>
        <v>120.00000000000055</v>
      </c>
      <c r="BN267">
        <f t="shared" si="225"/>
        <v>-119.99999999999829</v>
      </c>
      <c r="BO267">
        <f>Data!$H$2*(1-BI267)*(1-BI267/Data!$H$3)*BM267</f>
        <v>4.0562159415264123E-7</v>
      </c>
      <c r="BP267">
        <f t="shared" si="207"/>
        <v>-115.0667155312963</v>
      </c>
      <c r="BQ267">
        <f>Data!$H$2*(1-BJ267)*(1-BJ267/Data!$H$3)*BN267</f>
        <v>-6.9129777785760258E-6</v>
      </c>
      <c r="BR267">
        <f t="shared" si="208"/>
        <v>99.633884348884166</v>
      </c>
      <c r="BS267">
        <f t="shared" si="209"/>
        <v>0</v>
      </c>
      <c r="BT267">
        <f t="shared" si="210"/>
        <v>0</v>
      </c>
      <c r="BU267">
        <f t="shared" si="211"/>
        <v>0</v>
      </c>
      <c r="BV267">
        <f t="shared" si="212"/>
        <v>0</v>
      </c>
      <c r="BW267">
        <f t="shared" si="226"/>
        <v>0</v>
      </c>
      <c r="BX267" t="str">
        <f t="shared" si="227"/>
        <v/>
      </c>
      <c r="BY267" s="66" t="str">
        <f t="shared" si="213"/>
        <v/>
      </c>
      <c r="BZ267" t="str">
        <f t="shared" si="214"/>
        <v/>
      </c>
      <c r="CA267" s="67" t="str">
        <f t="shared" si="215"/>
        <v/>
      </c>
    </row>
    <row r="268" spans="4:79" x14ac:dyDescent="0.25">
      <c r="D268" s="3" t="e">
        <f t="shared" si="240"/>
        <v>#DIV/0!</v>
      </c>
      <c r="E268" s="3" t="e">
        <f t="shared" si="240"/>
        <v>#DIV/0!</v>
      </c>
      <c r="F268" t="str">
        <f>IF(A268&gt;0,IF(F267=1,1,IF(B268=Data!$H$4,1,0)),"")</f>
        <v/>
      </c>
      <c r="Q268" t="str">
        <f t="shared" si="216"/>
        <v/>
      </c>
      <c r="R268" s="4" t="str">
        <f t="shared" si="217"/>
        <v/>
      </c>
      <c r="S268" t="e">
        <f t="shared" si="228"/>
        <v>#DIV/0!</v>
      </c>
      <c r="T268" t="e">
        <f t="shared" si="241"/>
        <v>#DIV/0!</v>
      </c>
      <c r="U268" s="4">
        <f t="shared" si="218"/>
        <v>0</v>
      </c>
      <c r="V268" t="e">
        <f t="shared" si="229"/>
        <v>#DIV/0!</v>
      </c>
      <c r="W268" t="e">
        <f t="shared" si="230"/>
        <v>#DIV/0!</v>
      </c>
      <c r="X268" t="e">
        <f t="shared" si="231"/>
        <v>#VALUE!</v>
      </c>
      <c r="Y268" t="e">
        <f t="shared" si="232"/>
        <v>#VALUE!</v>
      </c>
      <c r="Z268" t="e">
        <f t="shared" si="233"/>
        <v>#VALUE!</v>
      </c>
      <c r="AA268" t="e">
        <f t="shared" si="219"/>
        <v>#VALUE!</v>
      </c>
      <c r="AB268" t="str">
        <f t="shared" si="234"/>
        <v/>
      </c>
      <c r="AC268" t="str">
        <f t="shared" si="235"/>
        <v/>
      </c>
      <c r="AD268" t="str">
        <f t="shared" si="236"/>
        <v/>
      </c>
      <c r="AE268" t="str">
        <f t="shared" si="237"/>
        <v/>
      </c>
      <c r="AK268" s="4">
        <f t="shared" si="238"/>
        <v>51.600000000000378</v>
      </c>
      <c r="AL268">
        <f t="shared" si="220"/>
        <v>3193.0000000000455</v>
      </c>
      <c r="AM268">
        <f t="shared" si="221"/>
        <v>8880.9333333332361</v>
      </c>
      <c r="AN268">
        <f>IF($AK267+$AK$1&lt;=Data!$H$4-0.5,AVERAGE(AM266:AM270),AN267)</f>
        <v>8880.9333333332361</v>
      </c>
      <c r="AO268">
        <f t="shared" si="222"/>
        <v>7668.9999999999545</v>
      </c>
      <c r="AP268">
        <f t="shared" si="239"/>
        <v>8001.6666666665078</v>
      </c>
      <c r="AQ268">
        <f>IF($AK267+$AK$1&lt;=Data!$H$4-0.5,AVERAGE(AP266:AP270),AQ267)</f>
        <v>8001.6666666665087</v>
      </c>
      <c r="AR268">
        <f>IF($AK267+$AK$1&lt;=Data!$H$4-0.5,SLOPE($AN264:$AN272,$AK264:$AK272),AR267)</f>
        <v>-261.45000000003273</v>
      </c>
      <c r="AS268">
        <f>IF($AK267+$AK$1&lt;=Data!$H$4-0.5,SLOPE($AQ264:$AQ272,$AK264:$AK272),AS267)</f>
        <v>-420.31666666668315</v>
      </c>
      <c r="AT268">
        <f>IF(AND($AK268&gt;=Results!$G$13,$AK268&lt;=Results!$G$14),Curves!AR268,"")</f>
        <v>-261.45000000003273</v>
      </c>
      <c r="AU268">
        <f>IF(AND($AK268&gt;=Results!$G$13,$AK268&lt;=Results!$G$14),Curves!AS268,"")</f>
        <v>-420.31666666668315</v>
      </c>
      <c r="AV268" t="str">
        <f t="shared" si="223"/>
        <v/>
      </c>
      <c r="AW268" t="str">
        <f>IF(AND($AK268&lt;=Results!$I$21,$AK268&gt;=Results!$I$20,$AK268&lt;=Results!$F$4),$AN268,"")</f>
        <v/>
      </c>
      <c r="AX268" t="str">
        <f t="shared" si="223"/>
        <v/>
      </c>
      <c r="AY268" t="str">
        <f>IF(AND($AK268&lt;=Results!$I$23,$AK268&gt;=Results!$I$22,$AK268&gt;=Results!$F$4),$AN268,"")</f>
        <v/>
      </c>
      <c r="AZ268" t="str">
        <f t="shared" si="196"/>
        <v/>
      </c>
      <c r="BA268" t="str">
        <f>IF(AND($AK268&lt;=Results!$I$27,$AK268&gt;=Results!$I$26,$AK268&lt;=Results!$F$4),$AQ268,"")</f>
        <v/>
      </c>
      <c r="BB268" t="str">
        <f t="shared" si="197"/>
        <v/>
      </c>
      <c r="BC268" t="str">
        <f>IF(AND($AK268&lt;=Results!$I$29,$AK268&gt;=Results!$I$28,$AK268&gt;=Results!$F$4),$AQ268,"")</f>
        <v/>
      </c>
      <c r="BD268">
        <f t="shared" si="198"/>
        <v>9201.8072052820444</v>
      </c>
      <c r="BE268">
        <f t="shared" si="199"/>
        <v>1764.0619182910013</v>
      </c>
      <c r="BF268">
        <f t="shared" si="200"/>
        <v>9423.6171140456026</v>
      </c>
      <c r="BG268">
        <f t="shared" si="201"/>
        <v>1254.577742066615</v>
      </c>
      <c r="BH268">
        <f t="shared" si="202"/>
        <v>0</v>
      </c>
      <c r="BI268">
        <f t="shared" si="203"/>
        <v>0.95685871731719141</v>
      </c>
      <c r="BJ268">
        <f t="shared" si="204"/>
        <v>0.82593419095804654</v>
      </c>
      <c r="BK268">
        <f t="shared" si="205"/>
        <v>-2.0326159458669821E-2</v>
      </c>
      <c r="BL268">
        <f t="shared" si="206"/>
        <v>-4.3517686780190565E-2</v>
      </c>
      <c r="BM268">
        <f t="shared" si="224"/>
        <v>120.00000000000055</v>
      </c>
      <c r="BN268">
        <f t="shared" si="225"/>
        <v>-119.99999999999829</v>
      </c>
      <c r="BO268">
        <f>Data!$H$2*(1-BI268)*(1-BI268/Data!$H$3)*BM268</f>
        <v>4.4668086516432216E-7</v>
      </c>
      <c r="BP268">
        <f t="shared" si="207"/>
        <v>-114.8230460780635</v>
      </c>
      <c r="BQ268">
        <f>Data!$H$2*(1-BJ268)*(1-BJ268/Data!$H$3)*BN268</f>
        <v>-7.2717374105830494E-6</v>
      </c>
      <c r="BR268">
        <f t="shared" si="208"/>
        <v>99.112102914964183</v>
      </c>
      <c r="BS268">
        <f t="shared" si="209"/>
        <v>0</v>
      </c>
      <c r="BT268">
        <f t="shared" si="210"/>
        <v>0</v>
      </c>
      <c r="BU268">
        <f t="shared" si="211"/>
        <v>0</v>
      </c>
      <c r="BV268">
        <f t="shared" si="212"/>
        <v>0</v>
      </c>
      <c r="BW268">
        <f t="shared" si="226"/>
        <v>0</v>
      </c>
      <c r="BX268" t="str">
        <f t="shared" si="227"/>
        <v/>
      </c>
      <c r="BY268" s="66" t="str">
        <f t="shared" si="213"/>
        <v/>
      </c>
      <c r="BZ268" t="str">
        <f t="shared" si="214"/>
        <v/>
      </c>
      <c r="CA268" s="67" t="str">
        <f t="shared" si="215"/>
        <v/>
      </c>
    </row>
    <row r="269" spans="4:79" x14ac:dyDescent="0.25">
      <c r="D269" s="3" t="e">
        <f t="shared" si="240"/>
        <v>#DIV/0!</v>
      </c>
      <c r="E269" s="3" t="e">
        <f t="shared" si="240"/>
        <v>#DIV/0!</v>
      </c>
      <c r="F269" t="str">
        <f>IF(A269&gt;0,IF(F268=1,1,IF(B269=Data!$H$4,1,0)),"")</f>
        <v/>
      </c>
      <c r="Q269" t="str">
        <f t="shared" si="216"/>
        <v/>
      </c>
      <c r="R269" s="4" t="str">
        <f t="shared" si="217"/>
        <v/>
      </c>
      <c r="S269" t="e">
        <f t="shared" si="228"/>
        <v>#DIV/0!</v>
      </c>
      <c r="T269" t="e">
        <f t="shared" si="241"/>
        <v>#DIV/0!</v>
      </c>
      <c r="U269" s="4">
        <f t="shared" si="218"/>
        <v>0</v>
      </c>
      <c r="V269" t="e">
        <f t="shared" si="229"/>
        <v>#DIV/0!</v>
      </c>
      <c r="W269" t="e">
        <f t="shared" si="230"/>
        <v>#DIV/0!</v>
      </c>
      <c r="X269" t="e">
        <f t="shared" si="231"/>
        <v>#VALUE!</v>
      </c>
      <c r="Y269" t="e">
        <f t="shared" si="232"/>
        <v>#VALUE!</v>
      </c>
      <c r="Z269" t="e">
        <f t="shared" si="233"/>
        <v>#VALUE!</v>
      </c>
      <c r="AA269" t="e">
        <f t="shared" si="219"/>
        <v>#VALUE!</v>
      </c>
      <c r="AB269" t="str">
        <f t="shared" si="234"/>
        <v/>
      </c>
      <c r="AC269" t="str">
        <f t="shared" si="235"/>
        <v/>
      </c>
      <c r="AD269" t="str">
        <f t="shared" si="236"/>
        <v/>
      </c>
      <c r="AE269" t="str">
        <f t="shared" si="237"/>
        <v/>
      </c>
      <c r="AK269" s="4">
        <f t="shared" si="238"/>
        <v>51.700000000000379</v>
      </c>
      <c r="AL269">
        <f t="shared" si="220"/>
        <v>3205.0000000000455</v>
      </c>
      <c r="AM269">
        <f t="shared" si="221"/>
        <v>8855.3666666665686</v>
      </c>
      <c r="AN269">
        <f>IF($AK268+$AK$1&lt;=Data!$H$4-0.5,AVERAGE(AM267:AM271),AN268)</f>
        <v>8855.3666666665686</v>
      </c>
      <c r="AO269">
        <f t="shared" si="222"/>
        <v>7656.9999999999545</v>
      </c>
      <c r="AP269">
        <f t="shared" si="239"/>
        <v>7959.9999999998408</v>
      </c>
      <c r="AQ269">
        <f>IF($AK268+$AK$1&lt;=Data!$H$4-0.5,AVERAGE(AP267:AP271),AQ268)</f>
        <v>7959.9999999998399</v>
      </c>
      <c r="AR269">
        <f>IF($AK268+$AK$1&lt;=Data!$H$4-0.5,SLOPE($AN265:$AN273,$AK265:$AK273),AR268)</f>
        <v>-269.16111111115833</v>
      </c>
      <c r="AS269">
        <f>IF($AK268+$AK$1&lt;=Data!$H$4-0.5,SLOPE($AQ265:$AQ273,$AK265:$AK273),AS268)</f>
        <v>-425.18333333335971</v>
      </c>
      <c r="AT269">
        <f>IF(AND($AK269&gt;=Results!$G$13,$AK269&lt;=Results!$G$14),Curves!AR269,"")</f>
        <v>-269.16111111115833</v>
      </c>
      <c r="AU269">
        <f>IF(AND($AK269&gt;=Results!$G$13,$AK269&lt;=Results!$G$14),Curves!AS269,"")</f>
        <v>-425.18333333335971</v>
      </c>
      <c r="AV269" t="str">
        <f t="shared" si="223"/>
        <v/>
      </c>
      <c r="AW269" t="str">
        <f>IF(AND($AK269&lt;=Results!$I$21,$AK269&gt;=Results!$I$20,$AK269&lt;=Results!$F$4),$AN269,"")</f>
        <v/>
      </c>
      <c r="AX269" t="str">
        <f t="shared" si="223"/>
        <v/>
      </c>
      <c r="AY269" t="str">
        <f>IF(AND($AK269&lt;=Results!$I$23,$AK269&gt;=Results!$I$22,$AK269&gt;=Results!$F$4),$AN269,"")</f>
        <v/>
      </c>
      <c r="AZ269" t="str">
        <f t="shared" si="196"/>
        <v/>
      </c>
      <c r="BA269" t="str">
        <f>IF(AND($AK269&lt;=Results!$I$27,$AK269&gt;=Results!$I$26,$AK269&lt;=Results!$F$4),$AQ269,"")</f>
        <v/>
      </c>
      <c r="BB269" t="str">
        <f t="shared" si="197"/>
        <v/>
      </c>
      <c r="BC269" t="str">
        <f>IF(AND($AK269&lt;=Results!$I$29,$AK269&gt;=Results!$I$28,$AK269&gt;=Results!$F$4),$AQ269,"")</f>
        <v/>
      </c>
      <c r="BD269">
        <f t="shared" si="198"/>
        <v>9191.037010484124</v>
      </c>
      <c r="BE269">
        <f t="shared" si="199"/>
        <v>1760.7461290416804</v>
      </c>
      <c r="BF269">
        <f t="shared" si="200"/>
        <v>9416.3271318127099</v>
      </c>
      <c r="BG269">
        <f t="shared" si="201"/>
        <v>1254.0269411070899</v>
      </c>
      <c r="BH269">
        <f t="shared" si="202"/>
        <v>0</v>
      </c>
      <c r="BI269">
        <f t="shared" si="203"/>
        <v>0.9548240642023974</v>
      </c>
      <c r="BJ269">
        <f t="shared" si="204"/>
        <v>0.82157883221800831</v>
      </c>
      <c r="BK269">
        <f t="shared" si="205"/>
        <v>-2.0366964212203673E-2</v>
      </c>
      <c r="BL269">
        <f t="shared" si="206"/>
        <v>-4.3589577017805678E-2</v>
      </c>
      <c r="BM269">
        <f t="shared" si="224"/>
        <v>119.99999999999829</v>
      </c>
      <c r="BN269">
        <f t="shared" si="225"/>
        <v>-119.99999999999829</v>
      </c>
      <c r="BO269">
        <f>Data!$H$2*(1-BI269)*(1-BI269/Data!$H$3)*BM269</f>
        <v>4.8980764204537983E-7</v>
      </c>
      <c r="BP269">
        <f t="shared" si="207"/>
        <v>-114.57888770428606</v>
      </c>
      <c r="BQ269">
        <f>Data!$H$2*(1-BJ269)*(1-BJ269/Data!$H$3)*BN269</f>
        <v>-7.640187147045402E-6</v>
      </c>
      <c r="BR269">
        <f t="shared" si="208"/>
        <v>98.589459866159601</v>
      </c>
      <c r="BS269">
        <f t="shared" si="209"/>
        <v>0</v>
      </c>
      <c r="BT269">
        <f t="shared" si="210"/>
        <v>0</v>
      </c>
      <c r="BU269">
        <f t="shared" si="211"/>
        <v>0</v>
      </c>
      <c r="BV269">
        <f t="shared" si="212"/>
        <v>0</v>
      </c>
      <c r="BW269">
        <f t="shared" si="226"/>
        <v>0</v>
      </c>
      <c r="BX269" t="str">
        <f t="shared" si="227"/>
        <v/>
      </c>
      <c r="BY269" s="66" t="str">
        <f t="shared" si="213"/>
        <v/>
      </c>
      <c r="BZ269" t="str">
        <f t="shared" si="214"/>
        <v/>
      </c>
      <c r="CA269" s="67" t="str">
        <f t="shared" si="215"/>
        <v/>
      </c>
    </row>
    <row r="270" spans="4:79" x14ac:dyDescent="0.25">
      <c r="D270" s="3" t="e">
        <f t="shared" si="240"/>
        <v>#DIV/0!</v>
      </c>
      <c r="E270" s="3" t="e">
        <f t="shared" si="240"/>
        <v>#DIV/0!</v>
      </c>
      <c r="F270" t="str">
        <f>IF(A270&gt;0,IF(F269=1,1,IF(B270=Data!$H$4,1,0)),"")</f>
        <v/>
      </c>
      <c r="Q270" t="str">
        <f t="shared" si="216"/>
        <v/>
      </c>
      <c r="R270" s="4" t="str">
        <f t="shared" si="217"/>
        <v/>
      </c>
      <c r="S270" t="e">
        <f t="shared" si="228"/>
        <v>#DIV/0!</v>
      </c>
      <c r="T270" t="e">
        <f t="shared" si="241"/>
        <v>#DIV/0!</v>
      </c>
      <c r="U270" s="4">
        <f t="shared" si="218"/>
        <v>0</v>
      </c>
      <c r="V270" t="e">
        <f t="shared" si="229"/>
        <v>#DIV/0!</v>
      </c>
      <c r="W270" t="e">
        <f t="shared" si="230"/>
        <v>#DIV/0!</v>
      </c>
      <c r="X270" t="e">
        <f t="shared" si="231"/>
        <v>#VALUE!</v>
      </c>
      <c r="Y270" t="e">
        <f t="shared" si="232"/>
        <v>#VALUE!</v>
      </c>
      <c r="Z270" t="e">
        <f t="shared" si="233"/>
        <v>#VALUE!</v>
      </c>
      <c r="AA270" t="e">
        <f t="shared" si="219"/>
        <v>#VALUE!</v>
      </c>
      <c r="AB270" t="str">
        <f t="shared" si="234"/>
        <v/>
      </c>
      <c r="AC270" t="str">
        <f t="shared" si="235"/>
        <v/>
      </c>
      <c r="AD270" t="str">
        <f t="shared" si="236"/>
        <v/>
      </c>
      <c r="AE270" t="str">
        <f t="shared" si="237"/>
        <v/>
      </c>
      <c r="AK270" s="4">
        <f t="shared" si="238"/>
        <v>51.800000000000381</v>
      </c>
      <c r="AL270">
        <f t="shared" si="220"/>
        <v>3217.0000000000455</v>
      </c>
      <c r="AM270">
        <f t="shared" si="221"/>
        <v>8829.799999999901</v>
      </c>
      <c r="AN270">
        <f>IF($AK269+$AK$1&lt;=Data!$H$4-0.5,AVERAGE(AM268:AM272),AN269)</f>
        <v>8829.799999999892</v>
      </c>
      <c r="AO270">
        <f t="shared" si="222"/>
        <v>7644.9999999999545</v>
      </c>
      <c r="AP270">
        <f t="shared" si="239"/>
        <v>7918.3333333331739</v>
      </c>
      <c r="AQ270">
        <f>IF($AK269+$AK$1&lt;=Data!$H$4-0.5,AVERAGE(AP268:AP272),AQ269)</f>
        <v>7918.3333333331684</v>
      </c>
      <c r="AR270">
        <f>IF($AK269+$AK$1&lt;=Data!$H$4-0.5,SLOPE($AN266:$AN274,$AK266:$AK274),AR269)</f>
        <v>-280.72777777784017</v>
      </c>
      <c r="AS270">
        <f>IF($AK269+$AK$1&lt;=Data!$H$4-0.5,SLOPE($AQ266:$AQ274,$AK266:$AK274),AS269)</f>
        <v>-432.48333333336899</v>
      </c>
      <c r="AT270">
        <f>IF(AND($AK270&gt;=Results!$G$13,$AK270&lt;=Results!$G$14),Curves!AR270,"")</f>
        <v>-280.72777777784017</v>
      </c>
      <c r="AU270">
        <f>IF(AND($AK270&gt;=Results!$G$13,$AK270&lt;=Results!$G$14),Curves!AS270,"")</f>
        <v>-432.48333333336899</v>
      </c>
      <c r="AV270" t="str">
        <f t="shared" si="223"/>
        <v/>
      </c>
      <c r="AW270" t="str">
        <f>IF(AND($AK270&lt;=Results!$I$21,$AK270&gt;=Results!$I$20,$AK270&lt;=Results!$F$4),$AN270,"")</f>
        <v/>
      </c>
      <c r="AX270" t="str">
        <f t="shared" si="223"/>
        <v/>
      </c>
      <c r="AY270" t="str">
        <f>IF(AND($AK270&lt;=Results!$I$23,$AK270&gt;=Results!$I$22,$AK270&gt;=Results!$F$4),$AN270,"")</f>
        <v/>
      </c>
      <c r="AZ270" t="str">
        <f t="shared" si="196"/>
        <v/>
      </c>
      <c r="BA270" t="str">
        <f>IF(AND($AK270&lt;=Results!$I$27,$AK270&gt;=Results!$I$26,$AK270&lt;=Results!$F$4),$AQ270,"")</f>
        <v/>
      </c>
      <c r="BB270" t="str">
        <f t="shared" si="197"/>
        <v/>
      </c>
      <c r="BC270" t="str">
        <f>IF(AND($AK270&lt;=Results!$I$29,$AK270&gt;=Results!$I$28,$AK270&gt;=Results!$F$4),$AQ270,"")</f>
        <v/>
      </c>
      <c r="BD270">
        <f t="shared" si="198"/>
        <v>9180.2668156862055</v>
      </c>
      <c r="BE270">
        <f t="shared" si="199"/>
        <v>1757.4303397923597</v>
      </c>
      <c r="BF270">
        <f t="shared" si="200"/>
        <v>9409.0371495798172</v>
      </c>
      <c r="BG270">
        <f t="shared" si="201"/>
        <v>1253.476140147565</v>
      </c>
      <c r="BH270">
        <f t="shared" si="202"/>
        <v>0</v>
      </c>
      <c r="BI270">
        <f t="shared" si="203"/>
        <v>0.95278532447475062</v>
      </c>
      <c r="BJ270">
        <f t="shared" si="204"/>
        <v>0.81721627555448528</v>
      </c>
      <c r="BK270">
        <f t="shared" si="205"/>
        <v>-2.1967712691487694E-2</v>
      </c>
      <c r="BL270">
        <f t="shared" si="206"/>
        <v>-4.4557480568537734E-2</v>
      </c>
      <c r="BM270">
        <f t="shared" si="224"/>
        <v>120.00000000000055</v>
      </c>
      <c r="BN270">
        <f t="shared" si="225"/>
        <v>-119.99999999999829</v>
      </c>
      <c r="BO270">
        <f>Data!$H$2*(1-BI270)*(1-BI270/Data!$H$3)*BM270</f>
        <v>5.3501414038910238E-7</v>
      </c>
      <c r="BP270">
        <f t="shared" si="207"/>
        <v>-114.33423893697061</v>
      </c>
      <c r="BQ270">
        <f>Data!$H$2*(1-BJ270)*(1-BJ270/Data!$H$3)*BN270</f>
        <v>-8.018373581321609E-6</v>
      </c>
      <c r="BR270">
        <f t="shared" si="208"/>
        <v>98.065953066536835</v>
      </c>
      <c r="BS270">
        <f t="shared" si="209"/>
        <v>0</v>
      </c>
      <c r="BT270">
        <f t="shared" si="210"/>
        <v>0</v>
      </c>
      <c r="BU270">
        <f t="shared" si="211"/>
        <v>0</v>
      </c>
      <c r="BV270">
        <f t="shared" si="212"/>
        <v>0</v>
      </c>
      <c r="BW270">
        <f t="shared" si="226"/>
        <v>0</v>
      </c>
      <c r="BX270" t="str">
        <f t="shared" si="227"/>
        <v/>
      </c>
      <c r="BY270" s="66" t="str">
        <f t="shared" si="213"/>
        <v/>
      </c>
      <c r="BZ270" t="str">
        <f t="shared" si="214"/>
        <v/>
      </c>
      <c r="CA270" s="67" t="str">
        <f t="shared" si="215"/>
        <v/>
      </c>
    </row>
    <row r="271" spans="4:79" x14ac:dyDescent="0.25">
      <c r="D271" s="3" t="e">
        <f t="shared" si="240"/>
        <v>#DIV/0!</v>
      </c>
      <c r="E271" s="3" t="e">
        <f t="shared" si="240"/>
        <v>#DIV/0!</v>
      </c>
      <c r="F271" t="str">
        <f>IF(A271&gt;0,IF(F270=1,1,IF(B271=Data!$H$4,1,0)),"")</f>
        <v/>
      </c>
      <c r="Q271" t="str">
        <f t="shared" si="216"/>
        <v/>
      </c>
      <c r="R271" s="4" t="str">
        <f t="shared" si="217"/>
        <v/>
      </c>
      <c r="S271" t="e">
        <f t="shared" si="228"/>
        <v>#DIV/0!</v>
      </c>
      <c r="T271" t="e">
        <f t="shared" si="241"/>
        <v>#DIV/0!</v>
      </c>
      <c r="U271" s="4">
        <f t="shared" si="218"/>
        <v>0</v>
      </c>
      <c r="V271" t="e">
        <f t="shared" si="229"/>
        <v>#DIV/0!</v>
      </c>
      <c r="W271" t="e">
        <f t="shared" si="230"/>
        <v>#DIV/0!</v>
      </c>
      <c r="X271" t="e">
        <f t="shared" si="231"/>
        <v>#VALUE!</v>
      </c>
      <c r="Y271" t="e">
        <f t="shared" si="232"/>
        <v>#VALUE!</v>
      </c>
      <c r="Z271" t="e">
        <f t="shared" si="233"/>
        <v>#VALUE!</v>
      </c>
      <c r="AA271" t="e">
        <f t="shared" si="219"/>
        <v>#VALUE!</v>
      </c>
      <c r="AB271" t="str">
        <f t="shared" si="234"/>
        <v/>
      </c>
      <c r="AC271" t="str">
        <f t="shared" si="235"/>
        <v/>
      </c>
      <c r="AD271" t="str">
        <f t="shared" si="236"/>
        <v/>
      </c>
      <c r="AE271" t="str">
        <f t="shared" si="237"/>
        <v/>
      </c>
      <c r="AK271" s="4">
        <f t="shared" si="238"/>
        <v>51.900000000000382</v>
      </c>
      <c r="AL271">
        <f t="shared" si="220"/>
        <v>3229.0000000000459</v>
      </c>
      <c r="AM271">
        <f t="shared" si="221"/>
        <v>8804.2333333332335</v>
      </c>
      <c r="AN271">
        <f>IF($AK270+$AK$1&lt;=Data!$H$4-0.5,AVERAGE(AM269:AM273),AN270)</f>
        <v>8801.9199999998837</v>
      </c>
      <c r="AO271">
        <f t="shared" si="222"/>
        <v>7632.9999999999545</v>
      </c>
      <c r="AP271">
        <f t="shared" si="239"/>
        <v>7876.6666666665069</v>
      </c>
      <c r="AQ271">
        <f>IF($AK270+$AK$1&lt;=Data!$H$4-0.5,AVERAGE(AP269:AP273),AQ270)</f>
        <v>7875.2066666664959</v>
      </c>
      <c r="AR271">
        <f>IF($AK270+$AK$1&lt;=Data!$H$4-0.5,SLOPE($AN267:$AN275,$AK267:$AK275),AR270)</f>
        <v>-296.15000000006813</v>
      </c>
      <c r="AS271">
        <f>IF($AK270+$AK$1&lt;=Data!$H$4-0.5,SLOPE($AQ267:$AQ275,$AK267:$AK275),AS270)</f>
        <v>-442.21666666670615</v>
      </c>
      <c r="AT271">
        <f>IF(AND($AK271&gt;=Results!$G$13,$AK271&lt;=Results!$G$14),Curves!AR271,"")</f>
        <v>-296.15000000006813</v>
      </c>
      <c r="AU271">
        <f>IF(AND($AK271&gt;=Results!$G$13,$AK271&lt;=Results!$G$14),Curves!AS271,"")</f>
        <v>-442.21666666670615</v>
      </c>
      <c r="AV271" t="str">
        <f t="shared" si="223"/>
        <v/>
      </c>
      <c r="AW271" t="str">
        <f>IF(AND($AK271&lt;=Results!$I$21,$AK271&gt;=Results!$I$20,$AK271&lt;=Results!$F$4),$AN271,"")</f>
        <v/>
      </c>
      <c r="AX271" t="str">
        <f t="shared" si="223"/>
        <v/>
      </c>
      <c r="AY271" t="str">
        <f>IF(AND($AK271&lt;=Results!$I$23,$AK271&gt;=Results!$I$22,$AK271&gt;=Results!$F$4),$AN271,"")</f>
        <v/>
      </c>
      <c r="AZ271" t="str">
        <f t="shared" si="196"/>
        <v/>
      </c>
      <c r="BA271" t="str">
        <f>IF(AND($AK271&lt;=Results!$I$27,$AK271&gt;=Results!$I$26,$AK271&lt;=Results!$F$4),$AQ271,"")</f>
        <v/>
      </c>
      <c r="BB271" t="str">
        <f t="shared" si="197"/>
        <v/>
      </c>
      <c r="BC271" t="str">
        <f>IF(AND($AK271&lt;=Results!$I$29,$AK271&gt;=Results!$I$28,$AK271&gt;=Results!$F$4),$AQ271,"")</f>
        <v/>
      </c>
      <c r="BD271">
        <f t="shared" si="198"/>
        <v>9169.4966208882852</v>
      </c>
      <c r="BE271">
        <f t="shared" si="199"/>
        <v>1754.1145505430388</v>
      </c>
      <c r="BF271">
        <f t="shared" si="200"/>
        <v>9401.7471673469227</v>
      </c>
      <c r="BG271">
        <f t="shared" si="201"/>
        <v>1252.92533918804</v>
      </c>
      <c r="BH271">
        <f t="shared" si="202"/>
        <v>0</v>
      </c>
      <c r="BI271">
        <f t="shared" si="203"/>
        <v>0.9504305216640998</v>
      </c>
      <c r="BJ271">
        <f t="shared" si="204"/>
        <v>0.81266733610430064</v>
      </c>
      <c r="BK271">
        <f t="shared" si="205"/>
        <v>-2.513311421282103E-2</v>
      </c>
      <c r="BL271">
        <f t="shared" si="206"/>
        <v>-4.6423622463593217E-2</v>
      </c>
      <c r="BM271">
        <f t="shared" si="224"/>
        <v>120.00000000000055</v>
      </c>
      <c r="BN271">
        <f t="shared" si="225"/>
        <v>-120.00000000000284</v>
      </c>
      <c r="BO271">
        <f>Data!$H$2*(1-BI271)*(1-BI271/Data!$H$3)*BM271</f>
        <v>5.8971196379838957E-7</v>
      </c>
      <c r="BP271">
        <f t="shared" si="207"/>
        <v>-114.05166259969251</v>
      </c>
      <c r="BQ271">
        <f>Data!$H$2*(1-BJ271)*(1-BJ271/Data!$H$3)*BN271</f>
        <v>-8.4224464709423735E-6</v>
      </c>
      <c r="BR271">
        <f t="shared" si="208"/>
        <v>97.52008033251839</v>
      </c>
      <c r="BS271">
        <f t="shared" si="209"/>
        <v>0</v>
      </c>
      <c r="BT271">
        <f t="shared" si="210"/>
        <v>0</v>
      </c>
      <c r="BU271">
        <f t="shared" si="211"/>
        <v>0</v>
      </c>
      <c r="BV271">
        <f t="shared" si="212"/>
        <v>0</v>
      </c>
      <c r="BW271">
        <f t="shared" si="226"/>
        <v>0</v>
      </c>
      <c r="BX271" t="str">
        <f t="shared" si="227"/>
        <v/>
      </c>
      <c r="BY271" s="66" t="str">
        <f t="shared" si="213"/>
        <v/>
      </c>
      <c r="BZ271" t="str">
        <f t="shared" si="214"/>
        <v/>
      </c>
      <c r="CA271" s="67" t="str">
        <f t="shared" si="215"/>
        <v/>
      </c>
    </row>
    <row r="272" spans="4:79" x14ac:dyDescent="0.25">
      <c r="D272" s="3" t="e">
        <f t="shared" si="240"/>
        <v>#DIV/0!</v>
      </c>
      <c r="E272" s="3" t="e">
        <f t="shared" si="240"/>
        <v>#DIV/0!</v>
      </c>
      <c r="F272" t="str">
        <f>IF(A272&gt;0,IF(F271=1,1,IF(B272=Data!$H$4,1,0)),"")</f>
        <v/>
      </c>
      <c r="Q272" t="str">
        <f t="shared" si="216"/>
        <v/>
      </c>
      <c r="R272" s="4" t="str">
        <f t="shared" si="217"/>
        <v/>
      </c>
      <c r="S272" t="e">
        <f t="shared" si="228"/>
        <v>#DIV/0!</v>
      </c>
      <c r="T272" t="e">
        <f t="shared" si="241"/>
        <v>#DIV/0!</v>
      </c>
      <c r="U272" s="4">
        <f t="shared" si="218"/>
        <v>0</v>
      </c>
      <c r="V272" t="e">
        <f t="shared" si="229"/>
        <v>#DIV/0!</v>
      </c>
      <c r="W272" t="e">
        <f t="shared" si="230"/>
        <v>#DIV/0!</v>
      </c>
      <c r="X272" t="e">
        <f t="shared" si="231"/>
        <v>#VALUE!</v>
      </c>
      <c r="Y272" t="e">
        <f t="shared" si="232"/>
        <v>#VALUE!</v>
      </c>
      <c r="Z272" t="e">
        <f t="shared" si="233"/>
        <v>#VALUE!</v>
      </c>
      <c r="AA272" t="e">
        <f t="shared" si="219"/>
        <v>#VALUE!</v>
      </c>
      <c r="AB272" t="str">
        <f t="shared" si="234"/>
        <v/>
      </c>
      <c r="AC272" t="str">
        <f t="shared" si="235"/>
        <v/>
      </c>
      <c r="AD272" t="str">
        <f t="shared" si="236"/>
        <v/>
      </c>
      <c r="AE272" t="str">
        <f t="shared" si="237"/>
        <v/>
      </c>
      <c r="AK272" s="4">
        <f t="shared" si="238"/>
        <v>52.000000000000384</v>
      </c>
      <c r="AL272">
        <f t="shared" si="220"/>
        <v>3241.0000000000459</v>
      </c>
      <c r="AM272">
        <f t="shared" si="221"/>
        <v>8778.6666666665224</v>
      </c>
      <c r="AN272">
        <f>IF($AK271+$AK$1&lt;=Data!$H$4-0.5,AVERAGE(AM270:AM274),AN271)</f>
        <v>8771.7266666665419</v>
      </c>
      <c r="AO272">
        <f t="shared" si="222"/>
        <v>7620.9999999999536</v>
      </c>
      <c r="AP272">
        <f t="shared" si="239"/>
        <v>7834.9999999998117</v>
      </c>
      <c r="AQ272">
        <f>IF($AK271+$AK$1&lt;=Data!$H$4-0.5,AVERAGE(AP270:AP274),AQ271)</f>
        <v>7830.6199999998225</v>
      </c>
      <c r="AR272">
        <f>IF($AK271+$AK$1&lt;=Data!$H$4-0.5,SLOPE($AN268:$AN276,$AK268:$AK276),AR271)</f>
        <v>-313.50000000006736</v>
      </c>
      <c r="AS272">
        <f>IF($AK271+$AK$1&lt;=Data!$H$4-0.5,SLOPE($AQ268:$AQ276,$AK268:$AK276),AS271)</f>
        <v>-453.16666666670534</v>
      </c>
      <c r="AT272">
        <f>IF(AND($AK272&gt;=Results!$G$13,$AK272&lt;=Results!$G$14),Curves!AR272,"")</f>
        <v>-313.50000000006736</v>
      </c>
      <c r="AU272">
        <f>IF(AND($AK272&gt;=Results!$G$13,$AK272&lt;=Results!$G$14),Curves!AS272,"")</f>
        <v>-453.16666666670534</v>
      </c>
      <c r="AV272" t="str">
        <f t="shared" si="223"/>
        <v/>
      </c>
      <c r="AW272" t="str">
        <f>IF(AND($AK272&lt;=Results!$I$21,$AK272&gt;=Results!$I$20,$AK272&lt;=Results!$F$4),$AN272,"")</f>
        <v/>
      </c>
      <c r="AX272" t="str">
        <f t="shared" si="223"/>
        <v/>
      </c>
      <c r="AY272" t="str">
        <f>IF(AND($AK272&lt;=Results!$I$23,$AK272&gt;=Results!$I$22,$AK272&gt;=Results!$F$4),$AN272,"")</f>
        <v/>
      </c>
      <c r="AZ272" t="str">
        <f t="shared" si="196"/>
        <v/>
      </c>
      <c r="BA272" t="str">
        <f>IF(AND($AK272&lt;=Results!$I$27,$AK272&gt;=Results!$I$26,$AK272&lt;=Results!$F$4),$AQ272,"")</f>
        <v/>
      </c>
      <c r="BB272" t="str">
        <f t="shared" si="197"/>
        <v/>
      </c>
      <c r="BC272" t="str">
        <f>IF(AND($AK272&lt;=Results!$I$29,$AK272&gt;=Results!$I$28,$AK272&gt;=Results!$F$4),$AQ272,"")</f>
        <v/>
      </c>
      <c r="BD272">
        <f t="shared" si="198"/>
        <v>9158.7264260903648</v>
      </c>
      <c r="BE272">
        <f t="shared" si="199"/>
        <v>1750.7987612937181</v>
      </c>
      <c r="BF272">
        <f t="shared" si="200"/>
        <v>9394.4571851140299</v>
      </c>
      <c r="BG272">
        <f t="shared" si="201"/>
        <v>1252.3745382285151</v>
      </c>
      <c r="BH272">
        <f t="shared" si="202"/>
        <v>0</v>
      </c>
      <c r="BI272">
        <f t="shared" si="203"/>
        <v>0.94775870163218634</v>
      </c>
      <c r="BJ272">
        <f t="shared" si="204"/>
        <v>0.80793155106176651</v>
      </c>
      <c r="BK272">
        <f t="shared" si="205"/>
        <v>-2.830807633857528E-2</v>
      </c>
      <c r="BL272">
        <f t="shared" si="206"/>
        <v>-4.8294400083131322E-2</v>
      </c>
      <c r="BM272">
        <f t="shared" si="224"/>
        <v>120.00000000000055</v>
      </c>
      <c r="BN272">
        <f t="shared" si="225"/>
        <v>-120.00000000000284</v>
      </c>
      <c r="BO272">
        <f>Data!$H$2*(1-BI272)*(1-BI272/Data!$H$3)*BM272</f>
        <v>6.5499678123718622E-7</v>
      </c>
      <c r="BP272">
        <f t="shared" si="207"/>
        <v>-113.73104419586289</v>
      </c>
      <c r="BQ272">
        <f>Data!$H$2*(1-BJ272)*(1-BJ272/Data!$H$3)*BN272</f>
        <v>-8.8536693786095242E-6</v>
      </c>
      <c r="BR272">
        <f t="shared" si="208"/>
        <v>96.95178612741428</v>
      </c>
      <c r="BS272">
        <f t="shared" si="209"/>
        <v>0</v>
      </c>
      <c r="BT272">
        <f t="shared" si="210"/>
        <v>0</v>
      </c>
      <c r="BU272">
        <f t="shared" si="211"/>
        <v>0</v>
      </c>
      <c r="BV272">
        <f t="shared" si="212"/>
        <v>0</v>
      </c>
      <c r="BW272">
        <f t="shared" si="226"/>
        <v>0</v>
      </c>
      <c r="BX272" t="str">
        <f t="shared" si="227"/>
        <v/>
      </c>
      <c r="BY272" s="66" t="str">
        <f t="shared" si="213"/>
        <v/>
      </c>
      <c r="BZ272" t="str">
        <f t="shared" si="214"/>
        <v/>
      </c>
      <c r="CA272" s="67" t="str">
        <f t="shared" si="215"/>
        <v/>
      </c>
    </row>
    <row r="273" spans="4:79" x14ac:dyDescent="0.25">
      <c r="D273" s="3" t="e">
        <f t="shared" si="240"/>
        <v>#DIV/0!</v>
      </c>
      <c r="E273" s="3" t="e">
        <f t="shared" si="240"/>
        <v>#DIV/0!</v>
      </c>
      <c r="F273" t="str">
        <f>IF(A273&gt;0,IF(F272=1,1,IF(B273=Data!$H$4,1,0)),"")</f>
        <v/>
      </c>
      <c r="Q273" t="str">
        <f t="shared" si="216"/>
        <v/>
      </c>
      <c r="R273" s="4" t="str">
        <f t="shared" si="217"/>
        <v/>
      </c>
      <c r="S273" t="e">
        <f t="shared" si="228"/>
        <v>#DIV/0!</v>
      </c>
      <c r="T273" t="e">
        <f t="shared" si="241"/>
        <v>#DIV/0!</v>
      </c>
      <c r="U273" s="4">
        <f t="shared" si="218"/>
        <v>0</v>
      </c>
      <c r="V273" t="e">
        <f t="shared" si="229"/>
        <v>#DIV/0!</v>
      </c>
      <c r="W273" t="e">
        <f t="shared" si="230"/>
        <v>#DIV/0!</v>
      </c>
      <c r="X273" t="e">
        <f t="shared" si="231"/>
        <v>#VALUE!</v>
      </c>
      <c r="Y273" t="e">
        <f t="shared" si="232"/>
        <v>#VALUE!</v>
      </c>
      <c r="Z273" t="e">
        <f t="shared" si="233"/>
        <v>#VALUE!</v>
      </c>
      <c r="AA273" t="e">
        <f t="shared" si="219"/>
        <v>#VALUE!</v>
      </c>
      <c r="AB273" t="str">
        <f t="shared" si="234"/>
        <v/>
      </c>
      <c r="AC273" t="str">
        <f t="shared" si="235"/>
        <v/>
      </c>
      <c r="AD273" t="str">
        <f t="shared" si="236"/>
        <v/>
      </c>
      <c r="AE273" t="str">
        <f t="shared" si="237"/>
        <v/>
      </c>
      <c r="AK273" s="4">
        <f t="shared" si="238"/>
        <v>52.100000000000385</v>
      </c>
      <c r="AL273">
        <f t="shared" si="220"/>
        <v>3253.0000000000464</v>
      </c>
      <c r="AM273">
        <f t="shared" si="221"/>
        <v>8741.5333333331891</v>
      </c>
      <c r="AN273">
        <f>IF($AK272+$AK$1&lt;=Data!$H$4-0.5,AVERAGE(AM271:AM275),AN272)</f>
        <v>8739.2199999998647</v>
      </c>
      <c r="AO273">
        <f t="shared" si="222"/>
        <v>7608.9999999999536</v>
      </c>
      <c r="AP273">
        <f t="shared" si="239"/>
        <v>7786.0333333331446</v>
      </c>
      <c r="AQ273">
        <f>IF($AK272+$AK$1&lt;=Data!$H$4-0.5,AVERAGE(AP271:AP275),AQ272)</f>
        <v>7784.57333333315</v>
      </c>
      <c r="AR273">
        <f>IF($AK272+$AK$1&lt;=Data!$H$4-0.5,SLOPE($AN269:$AN277,$AK269:$AK277),AR272)</f>
        <v>-330.85000000005903</v>
      </c>
      <c r="AS273">
        <f>IF($AK272+$AK$1&lt;=Data!$H$4-0.5,SLOPE($AQ269:$AQ277,$AK269:$AK277),AS272)</f>
        <v>-464.11666666669981</v>
      </c>
      <c r="AT273">
        <f>IF(AND($AK273&gt;=Results!$G$13,$AK273&lt;=Results!$G$14),Curves!AR273,"")</f>
        <v>-330.85000000005903</v>
      </c>
      <c r="AU273">
        <f>IF(AND($AK273&gt;=Results!$G$13,$AK273&lt;=Results!$G$14),Curves!AS273,"")</f>
        <v>-464.11666666669981</v>
      </c>
      <c r="AV273" t="str">
        <f t="shared" si="223"/>
        <v/>
      </c>
      <c r="AW273" t="str">
        <f>IF(AND($AK273&lt;=Results!$I$21,$AK273&gt;=Results!$I$20,$AK273&lt;=Results!$F$4),$AN273,"")</f>
        <v/>
      </c>
      <c r="AX273" t="str">
        <f t="shared" si="223"/>
        <v/>
      </c>
      <c r="AY273" t="str">
        <f>IF(AND($AK273&lt;=Results!$I$23,$AK273&gt;=Results!$I$22,$AK273&gt;=Results!$F$4),$AN273,"")</f>
        <v/>
      </c>
      <c r="AZ273" t="str">
        <f t="shared" si="196"/>
        <v/>
      </c>
      <c r="BA273" t="str">
        <f>IF(AND($AK273&lt;=Results!$I$27,$AK273&gt;=Results!$I$26,$AK273&lt;=Results!$F$4),$AQ273,"")</f>
        <v/>
      </c>
      <c r="BB273" t="str">
        <f t="shared" si="197"/>
        <v/>
      </c>
      <c r="BC273" t="str">
        <f>IF(AND($AK273&lt;=Results!$I$29,$AK273&gt;=Results!$I$28,$AK273&gt;=Results!$F$4),$AQ273,"")</f>
        <v/>
      </c>
      <c r="BD273">
        <f t="shared" si="198"/>
        <v>9147.9562312924463</v>
      </c>
      <c r="BE273">
        <f t="shared" si="199"/>
        <v>1747.4829720443972</v>
      </c>
      <c r="BF273">
        <f t="shared" si="200"/>
        <v>9387.1672028811372</v>
      </c>
      <c r="BG273">
        <f t="shared" si="201"/>
        <v>1251.82373726899</v>
      </c>
      <c r="BH273">
        <f t="shared" si="202"/>
        <v>0</v>
      </c>
      <c r="BI273">
        <f t="shared" si="203"/>
        <v>0.94476890639638467</v>
      </c>
      <c r="BJ273">
        <f t="shared" si="204"/>
        <v>0.80300845608767424</v>
      </c>
      <c r="BK273">
        <f t="shared" si="205"/>
        <v>-3.1492637609321743E-2</v>
      </c>
      <c r="BL273">
        <f t="shared" si="206"/>
        <v>-5.016982879415028E-2</v>
      </c>
      <c r="BM273">
        <f t="shared" si="224"/>
        <v>120.00000000000055</v>
      </c>
      <c r="BN273">
        <f t="shared" si="225"/>
        <v>-119.99999999999829</v>
      </c>
      <c r="BO273">
        <f>Data!$H$2*(1-BI273)*(1-BI273/Data!$H$3)*BM273</f>
        <v>7.3211368815631977E-7</v>
      </c>
      <c r="BP273">
        <f t="shared" si="207"/>
        <v>-113.37226876756668</v>
      </c>
      <c r="BQ273">
        <f>Data!$H$2*(1-BJ273)*(1-BJ273/Data!$H$3)*BN273</f>
        <v>-9.3133604095106909E-6</v>
      </c>
      <c r="BR273">
        <f t="shared" si="208"/>
        <v>96.361014730519543</v>
      </c>
      <c r="BS273">
        <f t="shared" si="209"/>
        <v>0</v>
      </c>
      <c r="BT273">
        <f t="shared" si="210"/>
        <v>0</v>
      </c>
      <c r="BU273">
        <f t="shared" si="211"/>
        <v>0</v>
      </c>
      <c r="BV273">
        <f t="shared" si="212"/>
        <v>0</v>
      </c>
      <c r="BW273">
        <f t="shared" si="226"/>
        <v>0</v>
      </c>
      <c r="BX273" t="str">
        <f t="shared" si="227"/>
        <v/>
      </c>
      <c r="BY273" s="66" t="str">
        <f t="shared" si="213"/>
        <v/>
      </c>
      <c r="BZ273" t="str">
        <f t="shared" si="214"/>
        <v/>
      </c>
      <c r="CA273" s="67" t="str">
        <f t="shared" si="215"/>
        <v/>
      </c>
    </row>
    <row r="274" spans="4:79" x14ac:dyDescent="0.25">
      <c r="D274" s="3" t="e">
        <f t="shared" si="240"/>
        <v>#DIV/0!</v>
      </c>
      <c r="E274" s="3" t="e">
        <f t="shared" si="240"/>
        <v>#DIV/0!</v>
      </c>
      <c r="F274" t="str">
        <f>IF(A274&gt;0,IF(F273=1,1,IF(B274=Data!$H$4,1,0)),"")</f>
        <v/>
      </c>
      <c r="Q274" t="str">
        <f t="shared" si="216"/>
        <v/>
      </c>
      <c r="R274" s="4" t="str">
        <f t="shared" si="217"/>
        <v/>
      </c>
      <c r="S274" t="e">
        <f t="shared" si="228"/>
        <v>#DIV/0!</v>
      </c>
      <c r="T274" t="e">
        <f t="shared" si="241"/>
        <v>#DIV/0!</v>
      </c>
      <c r="U274" s="4">
        <f t="shared" si="218"/>
        <v>0</v>
      </c>
      <c r="V274" t="e">
        <f t="shared" si="229"/>
        <v>#DIV/0!</v>
      </c>
      <c r="W274" t="e">
        <f t="shared" si="230"/>
        <v>#DIV/0!</v>
      </c>
      <c r="X274" t="e">
        <f t="shared" si="231"/>
        <v>#VALUE!</v>
      </c>
      <c r="Y274" t="e">
        <f t="shared" si="232"/>
        <v>#VALUE!</v>
      </c>
      <c r="Z274" t="e">
        <f t="shared" si="233"/>
        <v>#VALUE!</v>
      </c>
      <c r="AA274" t="e">
        <f t="shared" si="219"/>
        <v>#VALUE!</v>
      </c>
      <c r="AB274" t="str">
        <f t="shared" si="234"/>
        <v/>
      </c>
      <c r="AC274" t="str">
        <f t="shared" si="235"/>
        <v/>
      </c>
      <c r="AD274" t="str">
        <f t="shared" si="236"/>
        <v/>
      </c>
      <c r="AE274" t="str">
        <f t="shared" si="237"/>
        <v/>
      </c>
      <c r="AK274" s="4">
        <f t="shared" si="238"/>
        <v>52.200000000000387</v>
      </c>
      <c r="AL274">
        <f t="shared" si="220"/>
        <v>3265.0000000000464</v>
      </c>
      <c r="AM274">
        <f t="shared" si="221"/>
        <v>8704.3999999998541</v>
      </c>
      <c r="AN274">
        <f>IF($AK273+$AK$1&lt;=Data!$H$4-0.5,AVERAGE(AM272:AM276),AN273)</f>
        <v>8704.3999999998541</v>
      </c>
      <c r="AO274">
        <f t="shared" si="222"/>
        <v>7596.9999999999536</v>
      </c>
      <c r="AP274">
        <f t="shared" si="239"/>
        <v>7737.0666666664774</v>
      </c>
      <c r="AQ274">
        <f>IF($AK273+$AK$1&lt;=Data!$H$4-0.5,AVERAGE(AP272:AP276),AQ273)</f>
        <v>7737.0666666664783</v>
      </c>
      <c r="AR274">
        <f>IF($AK273+$AK$1&lt;=Data!$H$4-0.5,SLOPE($AN270:$AN278,$AK270:$AK278),AR273)</f>
        <v>-346.27222222226544</v>
      </c>
      <c r="AS274">
        <f>IF($AK273+$AK$1&lt;=Data!$H$4-0.5,SLOPE($AQ270:$AQ278,$AK270:$AK278),AS273)</f>
        <v>-473.85000000002452</v>
      </c>
      <c r="AT274">
        <f>IF(AND($AK274&gt;=Results!$G$13,$AK274&lt;=Results!$G$14),Curves!AR274,"")</f>
        <v>-346.27222222226544</v>
      </c>
      <c r="AU274">
        <f>IF(AND($AK274&gt;=Results!$G$13,$AK274&lt;=Results!$G$14),Curves!AS274,"")</f>
        <v>-473.85000000002452</v>
      </c>
      <c r="AV274" t="str">
        <f t="shared" si="223"/>
        <v/>
      </c>
      <c r="AW274" t="str">
        <f>IF(AND($AK274&lt;=Results!$I$21,$AK274&gt;=Results!$I$20,$AK274&lt;=Results!$F$4),$AN274,"")</f>
        <v/>
      </c>
      <c r="AX274" t="str">
        <f t="shared" si="223"/>
        <v/>
      </c>
      <c r="AY274" t="str">
        <f>IF(AND($AK274&lt;=Results!$I$23,$AK274&gt;=Results!$I$22,$AK274&gt;=Results!$F$4),$AN274,"")</f>
        <v/>
      </c>
      <c r="AZ274" t="str">
        <f t="shared" si="196"/>
        <v/>
      </c>
      <c r="BA274" t="str">
        <f>IF(AND($AK274&lt;=Results!$I$27,$AK274&gt;=Results!$I$26,$AK274&lt;=Results!$F$4),$AQ274,"")</f>
        <v/>
      </c>
      <c r="BB274" t="str">
        <f t="shared" si="197"/>
        <v/>
      </c>
      <c r="BC274" t="str">
        <f>IF(AND($AK274&lt;=Results!$I$29,$AK274&gt;=Results!$I$28,$AK274&gt;=Results!$F$4),$AQ274,"")</f>
        <v/>
      </c>
      <c r="BD274">
        <f t="shared" si="198"/>
        <v>9137.1860364945278</v>
      </c>
      <c r="BE274">
        <f t="shared" si="199"/>
        <v>1744.1671827950763</v>
      </c>
      <c r="BF274">
        <f t="shared" si="200"/>
        <v>9379.8772206482427</v>
      </c>
      <c r="BG274">
        <f t="shared" si="201"/>
        <v>1251.272936309465</v>
      </c>
      <c r="BH274">
        <f t="shared" si="202"/>
        <v>0</v>
      </c>
      <c r="BI274">
        <f t="shared" si="203"/>
        <v>0.9414601741103219</v>
      </c>
      <c r="BJ274">
        <f t="shared" si="204"/>
        <v>0.79789758530293631</v>
      </c>
      <c r="BK274">
        <f t="shared" si="205"/>
        <v>-3.4686836760025104E-2</v>
      </c>
      <c r="BL274">
        <f t="shared" si="206"/>
        <v>-5.2049924027382878E-2</v>
      </c>
      <c r="BM274">
        <f t="shared" si="224"/>
        <v>119.99999999999829</v>
      </c>
      <c r="BN274">
        <f t="shared" si="225"/>
        <v>-119.99999999999829</v>
      </c>
      <c r="BO274">
        <f>Data!$H$2*(1-BI274)*(1-BI274/Data!$H$3)*BM274</f>
        <v>8.2245869164650651E-7</v>
      </c>
      <c r="BP274">
        <f t="shared" si="207"/>
        <v>-112.97522089323702</v>
      </c>
      <c r="BQ274">
        <f>Data!$H$2*(1-BJ274)*(1-BJ274/Data!$H$3)*BN274</f>
        <v>-9.8028926463319975E-6</v>
      </c>
      <c r="BR274">
        <f t="shared" si="208"/>
        <v>95.747710236350997</v>
      </c>
      <c r="BS274">
        <f t="shared" si="209"/>
        <v>0</v>
      </c>
      <c r="BT274">
        <f t="shared" si="210"/>
        <v>0</v>
      </c>
      <c r="BU274">
        <f t="shared" si="211"/>
        <v>0</v>
      </c>
      <c r="BV274">
        <f t="shared" si="212"/>
        <v>0</v>
      </c>
      <c r="BW274">
        <f t="shared" si="226"/>
        <v>0</v>
      </c>
      <c r="BX274" t="str">
        <f t="shared" si="227"/>
        <v/>
      </c>
      <c r="BY274" s="66" t="str">
        <f t="shared" si="213"/>
        <v/>
      </c>
      <c r="BZ274" t="str">
        <f t="shared" si="214"/>
        <v/>
      </c>
      <c r="CA274" s="67" t="str">
        <f t="shared" si="215"/>
        <v/>
      </c>
    </row>
    <row r="275" spans="4:79" x14ac:dyDescent="0.25">
      <c r="D275" s="3" t="e">
        <f t="shared" si="240"/>
        <v>#DIV/0!</v>
      </c>
      <c r="E275" s="3" t="e">
        <f t="shared" si="240"/>
        <v>#DIV/0!</v>
      </c>
      <c r="F275" t="str">
        <f>IF(A275&gt;0,IF(F274=1,1,IF(B275=Data!$H$4,1,0)),"")</f>
        <v/>
      </c>
      <c r="Q275" t="str">
        <f t="shared" si="216"/>
        <v/>
      </c>
      <c r="R275" s="4" t="str">
        <f t="shared" si="217"/>
        <v/>
      </c>
      <c r="S275" t="e">
        <f t="shared" si="228"/>
        <v>#DIV/0!</v>
      </c>
      <c r="T275" t="e">
        <f t="shared" si="241"/>
        <v>#DIV/0!</v>
      </c>
      <c r="U275" s="4">
        <f t="shared" si="218"/>
        <v>0</v>
      </c>
      <c r="V275" t="e">
        <f t="shared" si="229"/>
        <v>#DIV/0!</v>
      </c>
      <c r="W275" t="e">
        <f t="shared" si="230"/>
        <v>#DIV/0!</v>
      </c>
      <c r="X275" t="e">
        <f t="shared" si="231"/>
        <v>#VALUE!</v>
      </c>
      <c r="Y275" t="e">
        <f t="shared" si="232"/>
        <v>#VALUE!</v>
      </c>
      <c r="Z275" t="e">
        <f t="shared" si="233"/>
        <v>#VALUE!</v>
      </c>
      <c r="AA275" t="e">
        <f t="shared" si="219"/>
        <v>#VALUE!</v>
      </c>
      <c r="AB275" t="str">
        <f t="shared" si="234"/>
        <v/>
      </c>
      <c r="AC275" t="str">
        <f t="shared" si="235"/>
        <v/>
      </c>
      <c r="AD275" t="str">
        <f t="shared" si="236"/>
        <v/>
      </c>
      <c r="AE275" t="str">
        <f t="shared" si="237"/>
        <v/>
      </c>
      <c r="AK275" s="4">
        <f t="shared" si="238"/>
        <v>52.300000000000388</v>
      </c>
      <c r="AL275">
        <f t="shared" si="220"/>
        <v>3277.0000000000464</v>
      </c>
      <c r="AM275">
        <f t="shared" si="221"/>
        <v>8667.2666666665209</v>
      </c>
      <c r="AN275">
        <f>IF($AK274+$AK$1&lt;=Data!$H$4-0.5,AVERAGE(AM273:AM277),AN274)</f>
        <v>8667.2666666665209</v>
      </c>
      <c r="AO275">
        <f t="shared" si="222"/>
        <v>7584.9999999999536</v>
      </c>
      <c r="AP275">
        <f t="shared" si="239"/>
        <v>7688.0999999998112</v>
      </c>
      <c r="AQ275">
        <f>IF($AK274+$AK$1&lt;=Data!$H$4-0.5,AVERAGE(AP273:AP277),AQ274)</f>
        <v>7688.0999999998112</v>
      </c>
      <c r="AR275">
        <f>IF($AK274+$AK$1&lt;=Data!$H$4-0.5,SLOPE($AN271:$AN279,$AK271:$AK279),AR274)</f>
        <v>-357.83888888891676</v>
      </c>
      <c r="AS275">
        <f>IF($AK274+$AK$1&lt;=Data!$H$4-0.5,SLOPE($AQ271:$AQ279,$AK271:$AK279),AS274)</f>
        <v>-481.15000000001521</v>
      </c>
      <c r="AT275">
        <f>IF(AND($AK275&gt;=Results!$G$13,$AK275&lt;=Results!$G$14),Curves!AR275,"")</f>
        <v>-357.83888888891676</v>
      </c>
      <c r="AU275">
        <f>IF(AND($AK275&gt;=Results!$G$13,$AK275&lt;=Results!$G$14),Curves!AS275,"")</f>
        <v>-481.15000000001521</v>
      </c>
      <c r="AV275" t="str">
        <f t="shared" si="223"/>
        <v/>
      </c>
      <c r="AW275" t="str">
        <f>IF(AND($AK275&lt;=Results!$I$21,$AK275&gt;=Results!$I$20,$AK275&lt;=Results!$F$4),$AN275,"")</f>
        <v/>
      </c>
      <c r="AX275" t="str">
        <f t="shared" si="223"/>
        <v/>
      </c>
      <c r="AY275" t="str">
        <f>IF(AND($AK275&lt;=Results!$I$23,$AK275&gt;=Results!$I$22,$AK275&gt;=Results!$F$4),$AN275,"")</f>
        <v/>
      </c>
      <c r="AZ275" t="str">
        <f t="shared" si="196"/>
        <v/>
      </c>
      <c r="BA275" t="str">
        <f>IF(AND($AK275&lt;=Results!$I$27,$AK275&gt;=Results!$I$26,$AK275&lt;=Results!$F$4),$AQ275,"")</f>
        <v/>
      </c>
      <c r="BB275" t="str">
        <f t="shared" si="197"/>
        <v/>
      </c>
      <c r="BC275" t="str">
        <f>IF(AND($AK275&lt;=Results!$I$29,$AK275&gt;=Results!$I$28,$AK275&gt;=Results!$F$4),$AQ275,"")</f>
        <v/>
      </c>
      <c r="BD275">
        <f t="shared" si="198"/>
        <v>9126.4158416966056</v>
      </c>
      <c r="BE275">
        <f t="shared" si="199"/>
        <v>1740.8513935457556</v>
      </c>
      <c r="BF275">
        <f t="shared" si="200"/>
        <v>9372.5872384153499</v>
      </c>
      <c r="BG275">
        <f t="shared" si="201"/>
        <v>1250.7221353499399</v>
      </c>
      <c r="BH275">
        <f t="shared" si="202"/>
        <v>0</v>
      </c>
      <c r="BI275">
        <f t="shared" si="203"/>
        <v>0.93783153904437955</v>
      </c>
      <c r="BJ275">
        <f t="shared" si="204"/>
        <v>0.79259847128219751</v>
      </c>
      <c r="BK275">
        <f t="shared" si="205"/>
        <v>-3.6323012239712384E-2</v>
      </c>
      <c r="BL275">
        <f t="shared" si="206"/>
        <v>-5.3035146536208694E-2</v>
      </c>
      <c r="BM275">
        <f t="shared" si="224"/>
        <v>120.00000000000055</v>
      </c>
      <c r="BN275">
        <f t="shared" si="225"/>
        <v>-119.99999999999829</v>
      </c>
      <c r="BO275">
        <f>Data!$H$2*(1-BI275)*(1-BI275/Data!$H$3)*BM275</f>
        <v>9.2758020902172535E-7</v>
      </c>
      <c r="BP275">
        <f t="shared" si="207"/>
        <v>-112.53978468532607</v>
      </c>
      <c r="BQ275">
        <f>Data!$H$2*(1-BJ275)*(1-BJ275/Data!$H$3)*BN275</f>
        <v>-1.0323694587475402E-5</v>
      </c>
      <c r="BR275">
        <f t="shared" si="208"/>
        <v>95.111816553862354</v>
      </c>
      <c r="BS275">
        <f t="shared" si="209"/>
        <v>0</v>
      </c>
      <c r="BT275">
        <f t="shared" si="210"/>
        <v>0</v>
      </c>
      <c r="BU275">
        <f t="shared" si="211"/>
        <v>0</v>
      </c>
      <c r="BV275">
        <f t="shared" si="212"/>
        <v>0</v>
      </c>
      <c r="BW275">
        <f t="shared" si="226"/>
        <v>0</v>
      </c>
      <c r="BX275" t="str">
        <f t="shared" si="227"/>
        <v/>
      </c>
      <c r="BY275" s="66" t="str">
        <f t="shared" si="213"/>
        <v/>
      </c>
      <c r="BZ275" t="str">
        <f t="shared" si="214"/>
        <v/>
      </c>
      <c r="CA275" s="67" t="str">
        <f t="shared" si="215"/>
        <v/>
      </c>
    </row>
    <row r="276" spans="4:79" x14ac:dyDescent="0.25">
      <c r="D276" s="3" t="e">
        <f t="shared" si="240"/>
        <v>#DIV/0!</v>
      </c>
      <c r="E276" s="3" t="e">
        <f t="shared" si="240"/>
        <v>#DIV/0!</v>
      </c>
      <c r="F276" t="str">
        <f>IF(A276&gt;0,IF(F275=1,1,IF(B276=Data!$H$4,1,0)),"")</f>
        <v/>
      </c>
      <c r="Q276" t="str">
        <f t="shared" si="216"/>
        <v/>
      </c>
      <c r="R276" s="4" t="str">
        <f t="shared" si="217"/>
        <v/>
      </c>
      <c r="S276" t="e">
        <f t="shared" si="228"/>
        <v>#DIV/0!</v>
      </c>
      <c r="T276" t="e">
        <f t="shared" si="241"/>
        <v>#DIV/0!</v>
      </c>
      <c r="U276" s="4">
        <f t="shared" si="218"/>
        <v>0</v>
      </c>
      <c r="V276" t="e">
        <f t="shared" si="229"/>
        <v>#DIV/0!</v>
      </c>
      <c r="W276" t="e">
        <f t="shared" si="230"/>
        <v>#DIV/0!</v>
      </c>
      <c r="X276" t="e">
        <f t="shared" si="231"/>
        <v>#VALUE!</v>
      </c>
      <c r="Y276" t="e">
        <f t="shared" si="232"/>
        <v>#VALUE!</v>
      </c>
      <c r="Z276" t="e">
        <f t="shared" si="233"/>
        <v>#VALUE!</v>
      </c>
      <c r="AA276" t="e">
        <f t="shared" si="219"/>
        <v>#VALUE!</v>
      </c>
      <c r="AB276" t="str">
        <f t="shared" si="234"/>
        <v/>
      </c>
      <c r="AC276" t="str">
        <f t="shared" si="235"/>
        <v/>
      </c>
      <c r="AD276" t="str">
        <f t="shared" si="236"/>
        <v/>
      </c>
      <c r="AE276" t="str">
        <f t="shared" si="237"/>
        <v/>
      </c>
      <c r="AK276" s="4">
        <f t="shared" si="238"/>
        <v>52.400000000000389</v>
      </c>
      <c r="AL276">
        <f t="shared" si="220"/>
        <v>3289.0000000000468</v>
      </c>
      <c r="AM276">
        <f t="shared" si="221"/>
        <v>8630.1333333331877</v>
      </c>
      <c r="AN276">
        <f>IF($AK275+$AK$1&lt;=Data!$H$4-0.5,AVERAGE(AM274:AM278),AN275)</f>
        <v>8630.1333333331877</v>
      </c>
      <c r="AO276">
        <f t="shared" si="222"/>
        <v>7572.9999999999536</v>
      </c>
      <c r="AP276">
        <f t="shared" si="239"/>
        <v>7639.133333333144</v>
      </c>
      <c r="AQ276">
        <f>IF($AK275+$AK$1&lt;=Data!$H$4-0.5,AVERAGE(AP274:AP278),AQ275)</f>
        <v>7639.133333333144</v>
      </c>
      <c r="AR276">
        <f>IF($AK275+$AK$1&lt;=Data!$H$4-0.5,SLOPE($AN272:$AN280,$AK272:$AK280),AR275)</f>
        <v>-365.55000000002036</v>
      </c>
      <c r="AS276">
        <f>IF($AK275+$AK$1&lt;=Data!$H$4-0.5,SLOPE($AQ272:$AQ280,$AK272:$AK280),AS275)</f>
        <v>-486.01666666667757</v>
      </c>
      <c r="AT276">
        <f>IF(AND($AK276&gt;=Results!$G$13,$AK276&lt;=Results!$G$14),Curves!AR276,"")</f>
        <v>-365.55000000002036</v>
      </c>
      <c r="AU276">
        <f>IF(AND($AK276&gt;=Results!$G$13,$AK276&lt;=Results!$G$14),Curves!AS276,"")</f>
        <v>-486.01666666667757</v>
      </c>
      <c r="AV276" t="str">
        <f t="shared" si="223"/>
        <v/>
      </c>
      <c r="AW276" t="str">
        <f>IF(AND($AK276&lt;=Results!$I$21,$AK276&gt;=Results!$I$20,$AK276&lt;=Results!$F$4),$AN276,"")</f>
        <v/>
      </c>
      <c r="AX276" t="str">
        <f t="shared" si="223"/>
        <v/>
      </c>
      <c r="AY276" t="str">
        <f>IF(AND($AK276&lt;=Results!$I$23,$AK276&gt;=Results!$I$22,$AK276&gt;=Results!$F$4),$AN276,"")</f>
        <v/>
      </c>
      <c r="AZ276" t="str">
        <f t="shared" si="196"/>
        <v/>
      </c>
      <c r="BA276" t="str">
        <f>IF(AND($AK276&lt;=Results!$I$27,$AK276&gt;=Results!$I$26,$AK276&lt;=Results!$F$4),$AQ276,"")</f>
        <v/>
      </c>
      <c r="BB276" t="str">
        <f t="shared" si="197"/>
        <v/>
      </c>
      <c r="BC276" t="str">
        <f>IF(AND($AK276&lt;=Results!$I$29,$AK276&gt;=Results!$I$28,$AK276&gt;=Results!$F$4),$AQ276,"")</f>
        <v/>
      </c>
      <c r="BD276">
        <f t="shared" si="198"/>
        <v>9115.6456468986871</v>
      </c>
      <c r="BE276">
        <f t="shared" si="199"/>
        <v>1737.5356042964347</v>
      </c>
      <c r="BF276">
        <f t="shared" si="200"/>
        <v>9365.2972561824572</v>
      </c>
      <c r="BG276">
        <f t="shared" si="201"/>
        <v>1250.171334390415</v>
      </c>
      <c r="BH276">
        <f t="shared" si="202"/>
        <v>0</v>
      </c>
      <c r="BI276">
        <f t="shared" si="203"/>
        <v>0.93419557166237932</v>
      </c>
      <c r="BJ276">
        <f t="shared" si="204"/>
        <v>0.78729055599569442</v>
      </c>
      <c r="BK276">
        <f t="shared" si="205"/>
        <v>-3.6396446634743874E-2</v>
      </c>
      <c r="BL276">
        <f t="shared" si="206"/>
        <v>-5.3123268919732312E-2</v>
      </c>
      <c r="BM276">
        <f t="shared" si="224"/>
        <v>120.00000000000055</v>
      </c>
      <c r="BN276">
        <f t="shared" si="225"/>
        <v>-120.00000000000284</v>
      </c>
      <c r="BO276">
        <f>Data!$H$2*(1-BI276)*(1-BI276/Data!$H$3)*BM276</f>
        <v>1.0392534693218581E-6</v>
      </c>
      <c r="BP276">
        <f t="shared" si="207"/>
        <v>-112.10346859948604</v>
      </c>
      <c r="BQ276">
        <f>Data!$H$2*(1-BJ276)*(1-BJ276/Data!$H$3)*BN276</f>
        <v>-1.0858873816469251E-5</v>
      </c>
      <c r="BR276">
        <f t="shared" si="208"/>
        <v>94.474866719485561</v>
      </c>
      <c r="BS276">
        <f t="shared" si="209"/>
        <v>0</v>
      </c>
      <c r="BT276">
        <f t="shared" si="210"/>
        <v>0</v>
      </c>
      <c r="BU276">
        <f t="shared" si="211"/>
        <v>0</v>
      </c>
      <c r="BV276">
        <f t="shared" si="212"/>
        <v>0</v>
      </c>
      <c r="BW276">
        <f t="shared" si="226"/>
        <v>0</v>
      </c>
      <c r="BX276" t="str">
        <f t="shared" si="227"/>
        <v/>
      </c>
      <c r="BY276" s="66" t="str">
        <f t="shared" si="213"/>
        <v/>
      </c>
      <c r="BZ276" t="str">
        <f t="shared" si="214"/>
        <v/>
      </c>
      <c r="CA276" s="67" t="str">
        <f t="shared" si="215"/>
        <v/>
      </c>
    </row>
    <row r="277" spans="4:79" x14ac:dyDescent="0.25">
      <c r="D277" s="3" t="e">
        <f t="shared" si="240"/>
        <v>#DIV/0!</v>
      </c>
      <c r="E277" s="3" t="e">
        <f t="shared" si="240"/>
        <v>#DIV/0!</v>
      </c>
      <c r="F277" t="str">
        <f>IF(A277&gt;0,IF(F276=1,1,IF(B277=Data!$H$4,1,0)),"")</f>
        <v/>
      </c>
      <c r="Q277" t="str">
        <f t="shared" si="216"/>
        <v/>
      </c>
      <c r="R277" s="4" t="str">
        <f t="shared" si="217"/>
        <v/>
      </c>
      <c r="S277" t="e">
        <f t="shared" si="228"/>
        <v>#DIV/0!</v>
      </c>
      <c r="T277" t="e">
        <f t="shared" si="241"/>
        <v>#DIV/0!</v>
      </c>
      <c r="U277" s="4">
        <f t="shared" si="218"/>
        <v>0</v>
      </c>
      <c r="V277" t="e">
        <f t="shared" si="229"/>
        <v>#DIV/0!</v>
      </c>
      <c r="W277" t="e">
        <f t="shared" si="230"/>
        <v>#DIV/0!</v>
      </c>
      <c r="X277" t="e">
        <f t="shared" si="231"/>
        <v>#VALUE!</v>
      </c>
      <c r="Y277" t="e">
        <f t="shared" si="232"/>
        <v>#VALUE!</v>
      </c>
      <c r="Z277" t="e">
        <f t="shared" si="233"/>
        <v>#VALUE!</v>
      </c>
      <c r="AA277" t="e">
        <f t="shared" si="219"/>
        <v>#VALUE!</v>
      </c>
      <c r="AB277" t="str">
        <f t="shared" si="234"/>
        <v/>
      </c>
      <c r="AC277" t="str">
        <f t="shared" si="235"/>
        <v/>
      </c>
      <c r="AD277" t="str">
        <f t="shared" si="236"/>
        <v/>
      </c>
      <c r="AE277" t="str">
        <f t="shared" si="237"/>
        <v/>
      </c>
      <c r="AK277" s="4">
        <f t="shared" si="238"/>
        <v>52.500000000000391</v>
      </c>
      <c r="AL277">
        <f t="shared" si="220"/>
        <v>3301.0000000000468</v>
      </c>
      <c r="AM277">
        <f t="shared" si="221"/>
        <v>8592.9999999998545</v>
      </c>
      <c r="AN277">
        <f>IF($AK276+$AK$1&lt;=Data!$H$4-0.5,AVERAGE(AM275:AM279),AN276)</f>
        <v>8592.9999999998545</v>
      </c>
      <c r="AO277">
        <f t="shared" si="222"/>
        <v>7560.9999999999527</v>
      </c>
      <c r="AP277">
        <f t="shared" si="239"/>
        <v>7590.1666666664769</v>
      </c>
      <c r="AQ277">
        <f>IF($AK276+$AK$1&lt;=Data!$H$4-0.5,AVERAGE(AP275:AP279),AQ276)</f>
        <v>7590.1666666664769</v>
      </c>
      <c r="AR277">
        <f>IF($AK276+$AK$1&lt;=Data!$H$4-0.5,SLOPE($AN273:$AN281,$AK273:$AK281),AR276)</f>
        <v>-371.3733333333526</v>
      </c>
      <c r="AS277">
        <f>IF($AK276+$AK$1&lt;=Data!$H$4-0.5,SLOPE($AQ273:$AQ281,$AK273:$AK281),AS276)</f>
        <v>-489.67555555556817</v>
      </c>
      <c r="AT277">
        <f>IF(AND($AK277&gt;=Results!$G$13,$AK277&lt;=Results!$G$14),Curves!AR277,"")</f>
        <v>-371.3733333333526</v>
      </c>
      <c r="AU277">
        <f>IF(AND($AK277&gt;=Results!$G$13,$AK277&lt;=Results!$G$14),Curves!AS277,"")</f>
        <v>-489.67555555556817</v>
      </c>
      <c r="AV277" t="str">
        <f t="shared" si="223"/>
        <v/>
      </c>
      <c r="AW277" t="str">
        <f>IF(AND($AK277&lt;=Results!$I$21,$AK277&gt;=Results!$I$20,$AK277&lt;=Results!$F$4),$AN277,"")</f>
        <v/>
      </c>
      <c r="AX277" t="str">
        <f t="shared" si="223"/>
        <v/>
      </c>
      <c r="AY277" t="str">
        <f>IF(AND($AK277&lt;=Results!$I$23,$AK277&gt;=Results!$I$22,$AK277&gt;=Results!$F$4),$AN277,"")</f>
        <v/>
      </c>
      <c r="AZ277" t="str">
        <f t="shared" si="196"/>
        <v/>
      </c>
      <c r="BA277" t="str">
        <f>IF(AND($AK277&lt;=Results!$I$27,$AK277&gt;=Results!$I$26,$AK277&lt;=Results!$F$4),$AQ277,"")</f>
        <v/>
      </c>
      <c r="BB277" t="str">
        <f t="shared" si="197"/>
        <v/>
      </c>
      <c r="BC277" t="str">
        <f>IF(AND($AK277&lt;=Results!$I$29,$AK277&gt;=Results!$I$28,$AK277&gt;=Results!$F$4),$AQ277,"")</f>
        <v/>
      </c>
      <c r="BD277">
        <f t="shared" si="198"/>
        <v>9104.8754521007686</v>
      </c>
      <c r="BE277">
        <f t="shared" si="199"/>
        <v>1734.219815047114</v>
      </c>
      <c r="BF277">
        <f t="shared" si="200"/>
        <v>9358.0072739495645</v>
      </c>
      <c r="BG277">
        <f t="shared" si="201"/>
        <v>1249.62053343089</v>
      </c>
      <c r="BH277">
        <f t="shared" si="202"/>
        <v>0</v>
      </c>
      <c r="BI277">
        <f t="shared" si="203"/>
        <v>0.93055224971743067</v>
      </c>
      <c r="BJ277">
        <f t="shared" si="204"/>
        <v>0.7819738174982509</v>
      </c>
      <c r="BK277">
        <f t="shared" si="205"/>
        <v>-3.6470103949129452E-2</v>
      </c>
      <c r="BL277">
        <f t="shared" si="206"/>
        <v>-5.3211611120111205E-2</v>
      </c>
      <c r="BM277">
        <f t="shared" si="224"/>
        <v>120.00000000000055</v>
      </c>
      <c r="BN277">
        <f t="shared" si="225"/>
        <v>-120.00000000000284</v>
      </c>
      <c r="BO277">
        <f>Data!$H$2*(1-BI277)*(1-BI277/Data!$H$3)*BM277</f>
        <v>1.1575176046344313E-6</v>
      </c>
      <c r="BP277">
        <f t="shared" si="207"/>
        <v>-111.6662699660922</v>
      </c>
      <c r="BQ277">
        <f>Data!$H$2*(1-BJ277)*(1-BJ277/Data!$H$3)*BN277</f>
        <v>-1.1408499901508912E-5</v>
      </c>
      <c r="BR277">
        <f t="shared" si="208"/>
        <v>93.836858099792337</v>
      </c>
      <c r="BS277">
        <f t="shared" si="209"/>
        <v>0</v>
      </c>
      <c r="BT277">
        <f t="shared" si="210"/>
        <v>0</v>
      </c>
      <c r="BU277">
        <f t="shared" si="211"/>
        <v>0</v>
      </c>
      <c r="BV277">
        <f t="shared" si="212"/>
        <v>0</v>
      </c>
      <c r="BW277">
        <f t="shared" si="226"/>
        <v>0</v>
      </c>
      <c r="BX277" t="str">
        <f t="shared" si="227"/>
        <v/>
      </c>
      <c r="BY277" s="66" t="str">
        <f t="shared" si="213"/>
        <v/>
      </c>
      <c r="BZ277" t="str">
        <f t="shared" si="214"/>
        <v/>
      </c>
      <c r="CA277" s="67" t="str">
        <f t="shared" si="215"/>
        <v/>
      </c>
    </row>
    <row r="278" spans="4:79" x14ac:dyDescent="0.25">
      <c r="D278" s="3" t="e">
        <f t="shared" si="240"/>
        <v>#DIV/0!</v>
      </c>
      <c r="E278" s="3" t="e">
        <f t="shared" si="240"/>
        <v>#DIV/0!</v>
      </c>
      <c r="F278" t="str">
        <f>IF(A278&gt;0,IF(F277=1,1,IF(B278=Data!$H$4,1,0)),"")</f>
        <v/>
      </c>
      <c r="Q278" t="str">
        <f t="shared" si="216"/>
        <v/>
      </c>
      <c r="R278" s="4" t="str">
        <f t="shared" si="217"/>
        <v/>
      </c>
      <c r="S278" t="e">
        <f t="shared" si="228"/>
        <v>#DIV/0!</v>
      </c>
      <c r="T278" t="e">
        <f t="shared" si="241"/>
        <v>#DIV/0!</v>
      </c>
      <c r="U278" s="4">
        <f t="shared" si="218"/>
        <v>0</v>
      </c>
      <c r="V278" t="e">
        <f t="shared" si="229"/>
        <v>#DIV/0!</v>
      </c>
      <c r="W278" t="e">
        <f t="shared" si="230"/>
        <v>#DIV/0!</v>
      </c>
      <c r="X278" t="e">
        <f t="shared" si="231"/>
        <v>#VALUE!</v>
      </c>
      <c r="Y278" t="e">
        <f t="shared" si="232"/>
        <v>#VALUE!</v>
      </c>
      <c r="Z278" t="e">
        <f t="shared" si="233"/>
        <v>#VALUE!</v>
      </c>
      <c r="AA278" t="e">
        <f t="shared" si="219"/>
        <v>#VALUE!</v>
      </c>
      <c r="AB278" t="str">
        <f t="shared" si="234"/>
        <v/>
      </c>
      <c r="AC278" t="str">
        <f t="shared" si="235"/>
        <v/>
      </c>
      <c r="AD278" t="str">
        <f t="shared" si="236"/>
        <v/>
      </c>
      <c r="AE278" t="str">
        <f t="shared" si="237"/>
        <v/>
      </c>
      <c r="AK278" s="4">
        <f t="shared" si="238"/>
        <v>52.600000000000392</v>
      </c>
      <c r="AL278">
        <f t="shared" si="220"/>
        <v>3313.0000000000473</v>
      </c>
      <c r="AM278">
        <f t="shared" si="221"/>
        <v>8555.8666666665213</v>
      </c>
      <c r="AN278">
        <f>IF($AK277+$AK$1&lt;=Data!$H$4-0.5,AVERAGE(AM276:AM280),AN277)</f>
        <v>8555.8666666665213</v>
      </c>
      <c r="AO278">
        <f t="shared" si="222"/>
        <v>7548.9999999999527</v>
      </c>
      <c r="AP278">
        <f t="shared" si="239"/>
        <v>7541.1999999998097</v>
      </c>
      <c r="AQ278">
        <f>IF($AK277+$AK$1&lt;=Data!$H$4-0.5,AVERAGE(AP276:AP280),AQ277)</f>
        <v>7541.1999999998097</v>
      </c>
      <c r="AR278">
        <f>IF($AK277+$AK$1&lt;=Data!$H$4-0.5,SLOPE($AN274:$AN282,$AK274:$AK282),AR277)</f>
        <v>-377.26666666669354</v>
      </c>
      <c r="AS278">
        <f>IF($AK277+$AK$1&lt;=Data!$H$4-0.5,SLOPE($AQ274:$AQ282,$AK274:$AK282),AS277)</f>
        <v>-493.35000000001787</v>
      </c>
      <c r="AT278">
        <f>IF(AND($AK278&gt;=Results!$G$13,$AK278&lt;=Results!$G$14),Curves!AR278,"")</f>
        <v>-377.26666666669354</v>
      </c>
      <c r="AU278">
        <f>IF(AND($AK278&gt;=Results!$G$13,$AK278&lt;=Results!$G$14),Curves!AS278,"")</f>
        <v>-493.35000000001787</v>
      </c>
      <c r="AV278" t="str">
        <f t="shared" si="223"/>
        <v/>
      </c>
      <c r="AW278" t="str">
        <f>IF(AND($AK278&lt;=Results!$I$21,$AK278&gt;=Results!$I$20,$AK278&lt;=Results!$F$4),$AN278,"")</f>
        <v/>
      </c>
      <c r="AX278" t="str">
        <f t="shared" si="223"/>
        <v/>
      </c>
      <c r="AY278" t="str">
        <f>IF(AND($AK278&lt;=Results!$I$23,$AK278&gt;=Results!$I$22,$AK278&gt;=Results!$F$4),$AN278,"")</f>
        <v/>
      </c>
      <c r="AZ278" t="str">
        <f t="shared" si="196"/>
        <v/>
      </c>
      <c r="BA278" t="str">
        <f>IF(AND($AK278&lt;=Results!$I$27,$AK278&gt;=Results!$I$26,$AK278&lt;=Results!$F$4),$AQ278,"")</f>
        <v/>
      </c>
      <c r="BB278" t="str">
        <f t="shared" si="197"/>
        <v/>
      </c>
      <c r="BC278" t="str">
        <f>IF(AND($AK278&lt;=Results!$I$29,$AK278&gt;=Results!$I$28,$AK278&gt;=Results!$F$4),$AQ278,"")</f>
        <v/>
      </c>
      <c r="BD278">
        <f t="shared" si="198"/>
        <v>9094.1052573028464</v>
      </c>
      <c r="BE278">
        <f t="shared" si="199"/>
        <v>1730.9040257977931</v>
      </c>
      <c r="BF278">
        <f t="shared" si="200"/>
        <v>9350.7172917166718</v>
      </c>
      <c r="BG278">
        <f t="shared" si="201"/>
        <v>1249.0697324713651</v>
      </c>
      <c r="BH278">
        <f t="shared" si="202"/>
        <v>0</v>
      </c>
      <c r="BI278">
        <f t="shared" si="203"/>
        <v>0.92690155087255333</v>
      </c>
      <c r="BJ278">
        <f t="shared" si="204"/>
        <v>0.77664823377167203</v>
      </c>
      <c r="BK278">
        <f t="shared" si="205"/>
        <v>-3.6543985086057197E-2</v>
      </c>
      <c r="BL278">
        <f t="shared" si="206"/>
        <v>-5.3300173869049526E-2</v>
      </c>
      <c r="BM278">
        <f t="shared" si="224"/>
        <v>120.00000000000055</v>
      </c>
      <c r="BN278">
        <f t="shared" si="225"/>
        <v>-119.99999999999829</v>
      </c>
      <c r="BO278">
        <f>Data!$H$2*(1-BI278)*(1-BI278/Data!$H$3)*BM278</f>
        <v>1.282411983561104E-6</v>
      </c>
      <c r="BP278">
        <f t="shared" si="207"/>
        <v>-111.22818610470691</v>
      </c>
      <c r="BQ278">
        <f>Data!$H$2*(1-BJ278)*(1-BJ278/Data!$H$3)*BN278</f>
        <v>-1.1972642754555111E-5</v>
      </c>
      <c r="BR278">
        <f t="shared" si="208"/>
        <v>93.197788052599321</v>
      </c>
      <c r="BS278">
        <f t="shared" si="209"/>
        <v>0</v>
      </c>
      <c r="BT278">
        <f t="shared" si="210"/>
        <v>0</v>
      </c>
      <c r="BU278">
        <f t="shared" si="211"/>
        <v>0</v>
      </c>
      <c r="BV278">
        <f t="shared" si="212"/>
        <v>0</v>
      </c>
      <c r="BW278">
        <f t="shared" si="226"/>
        <v>0</v>
      </c>
      <c r="BX278" t="str">
        <f t="shared" si="227"/>
        <v/>
      </c>
      <c r="BY278" s="66" t="str">
        <f t="shared" si="213"/>
        <v/>
      </c>
      <c r="BZ278" t="str">
        <f t="shared" si="214"/>
        <v/>
      </c>
      <c r="CA278" s="67" t="str">
        <f t="shared" si="215"/>
        <v/>
      </c>
    </row>
    <row r="279" spans="4:79" x14ac:dyDescent="0.25">
      <c r="D279" s="3" t="e">
        <f t="shared" si="240"/>
        <v>#DIV/0!</v>
      </c>
      <c r="E279" s="3" t="e">
        <f t="shared" si="240"/>
        <v>#DIV/0!</v>
      </c>
      <c r="F279" t="str">
        <f>IF(A279&gt;0,IF(F278=1,1,IF(B279=Data!$H$4,1,0)),"")</f>
        <v/>
      </c>
      <c r="Q279" t="str">
        <f t="shared" si="216"/>
        <v/>
      </c>
      <c r="R279" s="4" t="str">
        <f t="shared" si="217"/>
        <v/>
      </c>
      <c r="S279" t="e">
        <f t="shared" si="228"/>
        <v>#DIV/0!</v>
      </c>
      <c r="T279" t="e">
        <f t="shared" si="241"/>
        <v>#DIV/0!</v>
      </c>
      <c r="U279" s="4">
        <f t="shared" si="218"/>
        <v>0</v>
      </c>
      <c r="V279" t="e">
        <f t="shared" si="229"/>
        <v>#DIV/0!</v>
      </c>
      <c r="W279" t="e">
        <f t="shared" si="230"/>
        <v>#DIV/0!</v>
      </c>
      <c r="X279" t="e">
        <f t="shared" si="231"/>
        <v>#VALUE!</v>
      </c>
      <c r="Y279" t="e">
        <f t="shared" si="232"/>
        <v>#VALUE!</v>
      </c>
      <c r="Z279" t="e">
        <f t="shared" si="233"/>
        <v>#VALUE!</v>
      </c>
      <c r="AA279" t="e">
        <f t="shared" si="219"/>
        <v>#VALUE!</v>
      </c>
      <c r="AB279" t="str">
        <f t="shared" si="234"/>
        <v/>
      </c>
      <c r="AC279" t="str">
        <f t="shared" si="235"/>
        <v/>
      </c>
      <c r="AD279" t="str">
        <f t="shared" si="236"/>
        <v/>
      </c>
      <c r="AE279" t="str">
        <f t="shared" si="237"/>
        <v/>
      </c>
      <c r="AK279" s="4">
        <f t="shared" si="238"/>
        <v>52.700000000000394</v>
      </c>
      <c r="AL279">
        <f t="shared" si="220"/>
        <v>3325.0000000000473</v>
      </c>
      <c r="AM279">
        <f t="shared" si="221"/>
        <v>8518.7333333331881</v>
      </c>
      <c r="AN279">
        <f>IF($AK278+$AK$1&lt;=Data!$H$4-0.5,AVERAGE(AM277:AM281),AN278)</f>
        <v>8518.7333333331881</v>
      </c>
      <c r="AO279">
        <f t="shared" si="222"/>
        <v>7536.9999999999527</v>
      </c>
      <c r="AP279">
        <f t="shared" si="239"/>
        <v>7492.2333333331426</v>
      </c>
      <c r="AQ279">
        <f>IF($AK278+$AK$1&lt;=Data!$H$4-0.5,AVERAGE(AP277:AP281),AQ278)</f>
        <v>7492.2333333331426</v>
      </c>
      <c r="AR279">
        <f>IF($AK278+$AK$1&lt;=Data!$H$4-0.5,SLOPE($AN275:$AN283,$AK275:$AK283),AR278)</f>
        <v>-385.17777777782089</v>
      </c>
      <c r="AS279">
        <f>IF($AK278+$AK$1&lt;=Data!$H$4-0.5,SLOPE($AQ275:$AQ283,$AK275:$AK283),AS278)</f>
        <v>-498.26111111113926</v>
      </c>
      <c r="AT279">
        <f>IF(AND($AK279&gt;=Results!$G$13,$AK279&lt;=Results!$G$14),Curves!AR279,"")</f>
        <v>-385.17777777782089</v>
      </c>
      <c r="AU279">
        <f>IF(AND($AK279&gt;=Results!$G$13,$AK279&lt;=Results!$G$14),Curves!AS279,"")</f>
        <v>-498.26111111113926</v>
      </c>
      <c r="AV279" t="str">
        <f t="shared" si="223"/>
        <v/>
      </c>
      <c r="AW279" t="str">
        <f>IF(AND($AK279&lt;=Results!$I$21,$AK279&gt;=Results!$I$20,$AK279&lt;=Results!$F$4),$AN279,"")</f>
        <v/>
      </c>
      <c r="AX279" t="str">
        <f t="shared" si="223"/>
        <v/>
      </c>
      <c r="AY279" t="str">
        <f>IF(AND($AK279&lt;=Results!$I$23,$AK279&gt;=Results!$I$22,$AK279&gt;=Results!$F$4),$AN279,"")</f>
        <v/>
      </c>
      <c r="AZ279" t="str">
        <f t="shared" si="196"/>
        <v/>
      </c>
      <c r="BA279" t="str">
        <f>IF(AND($AK279&lt;=Results!$I$27,$AK279&gt;=Results!$I$26,$AK279&lt;=Results!$F$4),$AQ279,"")</f>
        <v/>
      </c>
      <c r="BB279" t="str">
        <f t="shared" si="197"/>
        <v/>
      </c>
      <c r="BC279" t="str">
        <f>IF(AND($AK279&lt;=Results!$I$29,$AK279&gt;=Results!$I$28,$AK279&gt;=Results!$F$4),$AQ279,"")</f>
        <v/>
      </c>
      <c r="BD279">
        <f t="shared" si="198"/>
        <v>9083.3350625049279</v>
      </c>
      <c r="BE279">
        <f t="shared" si="199"/>
        <v>1727.5882365484722</v>
      </c>
      <c r="BF279">
        <f t="shared" si="200"/>
        <v>9343.4273094837772</v>
      </c>
      <c r="BG279">
        <f t="shared" si="201"/>
        <v>1248.51893151184</v>
      </c>
      <c r="BH279">
        <f t="shared" si="202"/>
        <v>0</v>
      </c>
      <c r="BI279">
        <f t="shared" si="203"/>
        <v>0.92324345270021912</v>
      </c>
      <c r="BJ279">
        <f t="shared" si="204"/>
        <v>0.77131378272444084</v>
      </c>
      <c r="BK279">
        <f t="shared" si="205"/>
        <v>-3.6618090953293748E-2</v>
      </c>
      <c r="BL279">
        <f t="shared" si="206"/>
        <v>-5.3388957901303963E-2</v>
      </c>
      <c r="BM279">
        <f t="shared" si="224"/>
        <v>119.99999999999829</v>
      </c>
      <c r="BN279">
        <f t="shared" si="225"/>
        <v>-119.99999999999829</v>
      </c>
      <c r="BO279">
        <f>Data!$H$2*(1-BI279)*(1-BI279/Data!$H$3)*BM279</f>
        <v>1.4139762128120194E-6</v>
      </c>
      <c r="BP279">
        <f t="shared" si="207"/>
        <v>-110.78921432402473</v>
      </c>
      <c r="BQ279">
        <f>Data!$H$2*(1-BJ279)*(1-BJ279/Data!$H$3)*BN279</f>
        <v>-1.2551372633232843E-5</v>
      </c>
      <c r="BR279">
        <f t="shared" si="208"/>
        <v>92.557653926931593</v>
      </c>
      <c r="BS279">
        <f t="shared" si="209"/>
        <v>0</v>
      </c>
      <c r="BT279">
        <f t="shared" si="210"/>
        <v>0</v>
      </c>
      <c r="BU279">
        <f t="shared" si="211"/>
        <v>0</v>
      </c>
      <c r="BV279">
        <f t="shared" si="212"/>
        <v>0</v>
      </c>
      <c r="BW279">
        <f t="shared" si="226"/>
        <v>0</v>
      </c>
      <c r="BX279" t="str">
        <f t="shared" si="227"/>
        <v/>
      </c>
      <c r="BY279" s="66" t="str">
        <f t="shared" si="213"/>
        <v/>
      </c>
      <c r="BZ279" t="str">
        <f t="shared" si="214"/>
        <v/>
      </c>
      <c r="CA279" s="67" t="str">
        <f t="shared" si="215"/>
        <v/>
      </c>
    </row>
    <row r="280" spans="4:79" x14ac:dyDescent="0.25">
      <c r="D280" s="3" t="e">
        <f t="shared" si="240"/>
        <v>#DIV/0!</v>
      </c>
      <c r="E280" s="3" t="e">
        <f t="shared" si="240"/>
        <v>#DIV/0!</v>
      </c>
      <c r="F280" t="str">
        <f>IF(A280&gt;0,IF(F279=1,1,IF(B280=Data!$H$4,1,0)),"")</f>
        <v/>
      </c>
      <c r="Q280" t="str">
        <f t="shared" si="216"/>
        <v/>
      </c>
      <c r="R280" s="4" t="str">
        <f t="shared" si="217"/>
        <v/>
      </c>
      <c r="S280" t="e">
        <f t="shared" si="228"/>
        <v>#DIV/0!</v>
      </c>
      <c r="T280" t="e">
        <f t="shared" si="241"/>
        <v>#DIV/0!</v>
      </c>
      <c r="U280" s="4">
        <f t="shared" si="218"/>
        <v>0</v>
      </c>
      <c r="V280" t="e">
        <f t="shared" si="229"/>
        <v>#DIV/0!</v>
      </c>
      <c r="W280" t="e">
        <f t="shared" si="230"/>
        <v>#DIV/0!</v>
      </c>
      <c r="X280" t="e">
        <f t="shared" si="231"/>
        <v>#VALUE!</v>
      </c>
      <c r="Y280" t="e">
        <f t="shared" si="232"/>
        <v>#VALUE!</v>
      </c>
      <c r="Z280" t="e">
        <f t="shared" si="233"/>
        <v>#VALUE!</v>
      </c>
      <c r="AA280" t="e">
        <f t="shared" si="219"/>
        <v>#VALUE!</v>
      </c>
      <c r="AB280" t="str">
        <f t="shared" si="234"/>
        <v/>
      </c>
      <c r="AC280" t="str">
        <f t="shared" si="235"/>
        <v/>
      </c>
      <c r="AD280" t="str">
        <f t="shared" si="236"/>
        <v/>
      </c>
      <c r="AE280" t="str">
        <f t="shared" si="237"/>
        <v/>
      </c>
      <c r="AK280" s="4">
        <f t="shared" si="238"/>
        <v>52.800000000000395</v>
      </c>
      <c r="AL280">
        <f t="shared" si="220"/>
        <v>3337.0000000000473</v>
      </c>
      <c r="AM280">
        <f t="shared" si="221"/>
        <v>8481.5999999998548</v>
      </c>
      <c r="AN280">
        <f>IF($AK279+$AK$1&lt;=Data!$H$4-0.5,AVERAGE(AM278:AM282),AN279)</f>
        <v>8481.5999999998439</v>
      </c>
      <c r="AO280">
        <f t="shared" si="222"/>
        <v>7524.9999999999527</v>
      </c>
      <c r="AP280">
        <f t="shared" si="239"/>
        <v>7443.2666666664754</v>
      </c>
      <c r="AQ280">
        <f>IF($AK279+$AK$1&lt;=Data!$H$4-0.5,AVERAGE(AP278:AP282),AQ279)</f>
        <v>7443.2666666664691</v>
      </c>
      <c r="AR280">
        <f>IF($AK279+$AK$1&lt;=Data!$H$4-0.5,SLOPE($AN276:$AN284,$AK276:$AK284),AR279)</f>
        <v>-397.0444444445036</v>
      </c>
      <c r="AS280">
        <f>IF($AK279+$AK$1&lt;=Data!$H$4-0.5,SLOPE($AQ276:$AQ284,$AK276:$AK284),AS279)</f>
        <v>-505.62777777781588</v>
      </c>
      <c r="AT280">
        <f>IF(AND($AK280&gt;=Results!$G$13,$AK280&lt;=Results!$G$14),Curves!AR280,"")</f>
        <v>-397.0444444445036</v>
      </c>
      <c r="AU280">
        <f>IF(AND($AK280&gt;=Results!$G$13,$AK280&lt;=Results!$G$14),Curves!AS280,"")</f>
        <v>-505.62777777781588</v>
      </c>
      <c r="AV280" t="str">
        <f t="shared" si="223"/>
        <v/>
      </c>
      <c r="AW280" t="str">
        <f>IF(AND($AK280&lt;=Results!$I$21,$AK280&gt;=Results!$I$20,$AK280&lt;=Results!$F$4),$AN280,"")</f>
        <v/>
      </c>
      <c r="AX280" t="str">
        <f t="shared" si="223"/>
        <v/>
      </c>
      <c r="AY280" t="str">
        <f>IF(AND($AK280&lt;=Results!$I$23,$AK280&gt;=Results!$I$22,$AK280&gt;=Results!$F$4),$AN280,"")</f>
        <v/>
      </c>
      <c r="AZ280" t="str">
        <f t="shared" si="196"/>
        <v/>
      </c>
      <c r="BA280" t="str">
        <f>IF(AND($AK280&lt;=Results!$I$27,$AK280&gt;=Results!$I$26,$AK280&lt;=Results!$F$4),$AQ280,"")</f>
        <v/>
      </c>
      <c r="BB280" t="str">
        <f t="shared" si="197"/>
        <v/>
      </c>
      <c r="BC280" t="str">
        <f>IF(AND($AK280&lt;=Results!$I$29,$AK280&gt;=Results!$I$28,$AK280&gt;=Results!$F$4),$AQ280,"")</f>
        <v/>
      </c>
      <c r="BD280">
        <f t="shared" si="198"/>
        <v>9072.5648677070094</v>
      </c>
      <c r="BE280">
        <f t="shared" si="199"/>
        <v>1724.2724472991515</v>
      </c>
      <c r="BF280">
        <f t="shared" si="200"/>
        <v>9336.1373272508845</v>
      </c>
      <c r="BG280">
        <f t="shared" si="201"/>
        <v>1247.968130552315</v>
      </c>
      <c r="BH280">
        <f t="shared" si="202"/>
        <v>0</v>
      </c>
      <c r="BI280">
        <f t="shared" si="203"/>
        <v>0.91957793268189447</v>
      </c>
      <c r="BJ280">
        <f t="shared" si="204"/>
        <v>0.76597044219141108</v>
      </c>
      <c r="BK280">
        <f t="shared" si="205"/>
        <v>-3.8308949982614478E-2</v>
      </c>
      <c r="BL280">
        <f t="shared" si="206"/>
        <v>-5.4389518797404508E-2</v>
      </c>
      <c r="BM280">
        <f t="shared" si="224"/>
        <v>120.00000000000055</v>
      </c>
      <c r="BN280">
        <f t="shared" si="225"/>
        <v>-119.99999999999829</v>
      </c>
      <c r="BO280">
        <f>Data!$H$2*(1-BI280)*(1-BI280/Data!$H$3)*BM280</f>
        <v>1.5522501388123024E-6</v>
      </c>
      <c r="BP280">
        <f t="shared" si="207"/>
        <v>-110.34935192182785</v>
      </c>
      <c r="BQ280">
        <f>Data!$H$2*(1-BJ280)*(1-BJ280/Data!$H$3)*BN280</f>
        <v>-1.314476014273989E-5</v>
      </c>
      <c r="BR280">
        <f t="shared" si="208"/>
        <v>91.916453062968017</v>
      </c>
      <c r="BS280">
        <f t="shared" si="209"/>
        <v>0</v>
      </c>
      <c r="BT280">
        <f t="shared" si="210"/>
        <v>0</v>
      </c>
      <c r="BU280">
        <f t="shared" si="211"/>
        <v>0</v>
      </c>
      <c r="BV280">
        <f t="shared" si="212"/>
        <v>0</v>
      </c>
      <c r="BW280">
        <f t="shared" si="226"/>
        <v>0</v>
      </c>
      <c r="BX280" t="str">
        <f t="shared" si="227"/>
        <v/>
      </c>
      <c r="BY280" s="66" t="str">
        <f t="shared" si="213"/>
        <v/>
      </c>
      <c r="BZ280" t="str">
        <f t="shared" si="214"/>
        <v/>
      </c>
      <c r="CA280" s="67" t="str">
        <f t="shared" si="215"/>
        <v/>
      </c>
    </row>
    <row r="281" spans="4:79" x14ac:dyDescent="0.25">
      <c r="D281" s="3" t="e">
        <f t="shared" si="240"/>
        <v>#DIV/0!</v>
      </c>
      <c r="E281" s="3" t="e">
        <f t="shared" si="240"/>
        <v>#DIV/0!</v>
      </c>
      <c r="F281" t="str">
        <f>IF(A281&gt;0,IF(F280=1,1,IF(B281=Data!$H$4,1,0)),"")</f>
        <v/>
      </c>
      <c r="Q281" t="str">
        <f t="shared" si="216"/>
        <v/>
      </c>
      <c r="R281" s="4" t="str">
        <f t="shared" si="217"/>
        <v/>
      </c>
      <c r="S281" t="e">
        <f t="shared" si="228"/>
        <v>#DIV/0!</v>
      </c>
      <c r="T281" t="e">
        <f t="shared" si="241"/>
        <v>#DIV/0!</v>
      </c>
      <c r="U281" s="4">
        <f t="shared" si="218"/>
        <v>0</v>
      </c>
      <c r="V281" t="e">
        <f t="shared" si="229"/>
        <v>#DIV/0!</v>
      </c>
      <c r="W281" t="e">
        <f t="shared" si="230"/>
        <v>#DIV/0!</v>
      </c>
      <c r="X281" t="e">
        <f t="shared" si="231"/>
        <v>#VALUE!</v>
      </c>
      <c r="Y281" t="e">
        <f t="shared" si="232"/>
        <v>#VALUE!</v>
      </c>
      <c r="Z281" t="e">
        <f t="shared" si="233"/>
        <v>#VALUE!</v>
      </c>
      <c r="AA281" t="e">
        <f t="shared" si="219"/>
        <v>#VALUE!</v>
      </c>
      <c r="AB281" t="str">
        <f t="shared" si="234"/>
        <v/>
      </c>
      <c r="AC281" t="str">
        <f t="shared" si="235"/>
        <v/>
      </c>
      <c r="AD281" t="str">
        <f t="shared" si="236"/>
        <v/>
      </c>
      <c r="AE281" t="str">
        <f t="shared" si="237"/>
        <v/>
      </c>
      <c r="AK281" s="4">
        <f t="shared" si="238"/>
        <v>52.900000000000396</v>
      </c>
      <c r="AL281">
        <f t="shared" si="220"/>
        <v>3349.0000000000477</v>
      </c>
      <c r="AM281">
        <f t="shared" si="221"/>
        <v>8444.4666666665216</v>
      </c>
      <c r="AN281">
        <f>IF($AK280+$AK$1&lt;=Data!$H$4-0.5,AVERAGE(AM279:AM283),AN280)</f>
        <v>8442.0933333331686</v>
      </c>
      <c r="AO281">
        <f t="shared" si="222"/>
        <v>7512.9999999999527</v>
      </c>
      <c r="AP281">
        <f t="shared" si="239"/>
        <v>7394.2999999998083</v>
      </c>
      <c r="AQ281">
        <f>IF($AK280+$AK$1&lt;=Data!$H$4-0.5,AVERAGE(AP279:AP283),AQ280)</f>
        <v>7392.8266666664622</v>
      </c>
      <c r="AR281">
        <f>IF($AK280+$AK$1&lt;=Data!$H$4-0.5,SLOPE($AN277:$AN285,$AK277:$AK285),AR280)</f>
        <v>-412.86666666673364</v>
      </c>
      <c r="AS281">
        <f>IF($AK280+$AK$1&lt;=Data!$H$4-0.5,SLOPE($AQ277:$AQ285,$AK277:$AK285),AS280)</f>
        <v>-515.45000000004347</v>
      </c>
      <c r="AT281">
        <f>IF(AND($AK281&gt;=Results!$G$13,$AK281&lt;=Results!$G$14),Curves!AR281,"")</f>
        <v>-412.86666666673364</v>
      </c>
      <c r="AU281">
        <f>IF(AND($AK281&gt;=Results!$G$13,$AK281&lt;=Results!$G$14),Curves!AS281,"")</f>
        <v>-515.45000000004347</v>
      </c>
      <c r="AV281" t="str">
        <f t="shared" si="223"/>
        <v/>
      </c>
      <c r="AW281" t="str">
        <f>IF(AND($AK281&lt;=Results!$I$21,$AK281&gt;=Results!$I$20,$AK281&lt;=Results!$F$4),$AN281,"")</f>
        <v/>
      </c>
      <c r="AX281" t="str">
        <f t="shared" si="223"/>
        <v/>
      </c>
      <c r="AY281" t="str">
        <f>IF(AND($AK281&lt;=Results!$I$23,$AK281&gt;=Results!$I$22,$AK281&gt;=Results!$F$4),$AN281,"")</f>
        <v/>
      </c>
      <c r="AZ281" t="str">
        <f t="shared" si="196"/>
        <v/>
      </c>
      <c r="BA281" t="str">
        <f>IF(AND($AK281&lt;=Results!$I$27,$AK281&gt;=Results!$I$26,$AK281&lt;=Results!$F$4),$AQ281,"")</f>
        <v/>
      </c>
      <c r="BB281" t="str">
        <f t="shared" si="197"/>
        <v/>
      </c>
      <c r="BC281" t="str">
        <f>IF(AND($AK281&lt;=Results!$I$29,$AK281&gt;=Results!$I$28,$AK281&gt;=Results!$F$4),$AQ281,"")</f>
        <v/>
      </c>
      <c r="BD281">
        <f t="shared" si="198"/>
        <v>9061.7946729090872</v>
      </c>
      <c r="BE281">
        <f t="shared" si="199"/>
        <v>1720.9566580498306</v>
      </c>
      <c r="BF281">
        <f t="shared" si="200"/>
        <v>9328.8473450179918</v>
      </c>
      <c r="BG281">
        <f t="shared" si="201"/>
        <v>1247.4173295927899</v>
      </c>
      <c r="BH281">
        <f t="shared" si="202"/>
        <v>0</v>
      </c>
      <c r="BI281">
        <f t="shared" si="203"/>
        <v>0.91558166270369612</v>
      </c>
      <c r="BJ281">
        <f t="shared" si="204"/>
        <v>0.76043587896495979</v>
      </c>
      <c r="BK281">
        <f t="shared" si="205"/>
        <v>-4.1621492705652921E-2</v>
      </c>
      <c r="BL281">
        <f t="shared" si="206"/>
        <v>-5.6304139664255272E-2</v>
      </c>
      <c r="BM281">
        <f t="shared" si="224"/>
        <v>120.00000000000055</v>
      </c>
      <c r="BN281">
        <f t="shared" si="225"/>
        <v>-119.99999999999829</v>
      </c>
      <c r="BO281">
        <f>Data!$H$2*(1-BI281)*(1-BI281/Data!$H$3)*BM281</f>
        <v>1.7103493612494152E-6</v>
      </c>
      <c r="BP281">
        <f t="shared" si="207"/>
        <v>-109.86979952444405</v>
      </c>
      <c r="BQ281">
        <f>Data!$H$2*(1-BJ281)*(1-BJ281/Data!$H$3)*BN281</f>
        <v>-1.3773832340949739E-5</v>
      </c>
      <c r="BR281">
        <f t="shared" si="208"/>
        <v>91.252305475793875</v>
      </c>
      <c r="BS281">
        <f t="shared" si="209"/>
        <v>0</v>
      </c>
      <c r="BT281">
        <f t="shared" si="210"/>
        <v>0</v>
      </c>
      <c r="BU281">
        <f t="shared" si="211"/>
        <v>0</v>
      </c>
      <c r="BV281">
        <f t="shared" si="212"/>
        <v>0</v>
      </c>
      <c r="BW281">
        <f t="shared" si="226"/>
        <v>0</v>
      </c>
      <c r="BX281" t="str">
        <f t="shared" si="227"/>
        <v/>
      </c>
      <c r="BY281" s="66" t="str">
        <f t="shared" si="213"/>
        <v/>
      </c>
      <c r="BZ281" t="str">
        <f t="shared" si="214"/>
        <v/>
      </c>
      <c r="CA281" s="67" t="str">
        <f t="shared" si="215"/>
        <v/>
      </c>
    </row>
    <row r="282" spans="4:79" x14ac:dyDescent="0.25">
      <c r="D282" s="3" t="e">
        <f t="shared" si="240"/>
        <v>#DIV/0!</v>
      </c>
      <c r="E282" s="3" t="e">
        <f t="shared" si="240"/>
        <v>#DIV/0!</v>
      </c>
      <c r="F282" t="str">
        <f>IF(A282&gt;0,IF(F281=1,1,IF(B282=Data!$H$4,1,0)),"")</f>
        <v/>
      </c>
      <c r="Q282" t="str">
        <f t="shared" si="216"/>
        <v/>
      </c>
      <c r="R282" s="4" t="str">
        <f t="shared" si="217"/>
        <v/>
      </c>
      <c r="S282" t="e">
        <f t="shared" si="228"/>
        <v>#DIV/0!</v>
      </c>
      <c r="T282" t="e">
        <f t="shared" si="241"/>
        <v>#DIV/0!</v>
      </c>
      <c r="U282" s="4">
        <f t="shared" si="218"/>
        <v>0</v>
      </c>
      <c r="V282" t="e">
        <f t="shared" si="229"/>
        <v>#DIV/0!</v>
      </c>
      <c r="W282" t="e">
        <f t="shared" si="230"/>
        <v>#DIV/0!</v>
      </c>
      <c r="X282" t="e">
        <f t="shared" si="231"/>
        <v>#VALUE!</v>
      </c>
      <c r="Y282" t="e">
        <f t="shared" si="232"/>
        <v>#VALUE!</v>
      </c>
      <c r="Z282" t="e">
        <f t="shared" si="233"/>
        <v>#VALUE!</v>
      </c>
      <c r="AA282" t="e">
        <f t="shared" si="219"/>
        <v>#VALUE!</v>
      </c>
      <c r="AB282" t="str">
        <f t="shared" si="234"/>
        <v/>
      </c>
      <c r="AC282" t="str">
        <f t="shared" si="235"/>
        <v/>
      </c>
      <c r="AD282" t="str">
        <f t="shared" si="236"/>
        <v/>
      </c>
      <c r="AE282" t="str">
        <f t="shared" si="237"/>
        <v/>
      </c>
      <c r="AK282" s="4">
        <f t="shared" si="238"/>
        <v>53.000000000000398</v>
      </c>
      <c r="AL282">
        <f t="shared" si="220"/>
        <v>3361.0000000000477</v>
      </c>
      <c r="AM282">
        <f t="shared" si="221"/>
        <v>8407.3333333331411</v>
      </c>
      <c r="AN282">
        <f>IF($AK281+$AK$1&lt;=Data!$H$4-0.5,AVERAGE(AM280:AM284),AN281)</f>
        <v>8400.2133333331585</v>
      </c>
      <c r="AO282">
        <f t="shared" si="222"/>
        <v>7500.9999999999527</v>
      </c>
      <c r="AP282">
        <f t="shared" si="239"/>
        <v>7345.333333333112</v>
      </c>
      <c r="AQ282">
        <f>IF($AK281+$AK$1&lt;=Data!$H$4-0.5,AVERAGE(AP280:AP284),AQ281)</f>
        <v>7340.9133333331238</v>
      </c>
      <c r="AR282">
        <f>IF($AK281+$AK$1&lt;=Data!$H$4-0.5,SLOPE($AN278:$AN286,$AK278:$AK286),AR281)</f>
        <v>-430.66666666673331</v>
      </c>
      <c r="AS282">
        <f>IF($AK281+$AK$1&lt;=Data!$H$4-0.5,SLOPE($AQ278:$AQ286,$AK278:$AK286),AS281)</f>
        <v>-526.50000000004377</v>
      </c>
      <c r="AT282">
        <f>IF(AND($AK282&gt;=Results!$G$13,$AK282&lt;=Results!$G$14),Curves!AR282,"")</f>
        <v>-430.66666666673331</v>
      </c>
      <c r="AU282">
        <f>IF(AND($AK282&gt;=Results!$G$13,$AK282&lt;=Results!$G$14),Curves!AS282,"")</f>
        <v>-526.50000000004377</v>
      </c>
      <c r="AV282" t="str">
        <f t="shared" si="223"/>
        <v/>
      </c>
      <c r="AW282" t="str">
        <f>IF(AND($AK282&lt;=Results!$I$21,$AK282&gt;=Results!$I$20,$AK282&lt;=Results!$F$4),$AN282,"")</f>
        <v/>
      </c>
      <c r="AX282" t="str">
        <f t="shared" si="223"/>
        <v/>
      </c>
      <c r="AY282" t="str">
        <f>IF(AND($AK282&lt;=Results!$I$23,$AK282&gt;=Results!$I$22,$AK282&gt;=Results!$F$4),$AN282,"")</f>
        <v/>
      </c>
      <c r="AZ282" t="str">
        <f t="shared" si="196"/>
        <v/>
      </c>
      <c r="BA282" t="str">
        <f>IF(AND($AK282&lt;=Results!$I$27,$AK282&gt;=Results!$I$26,$AK282&lt;=Results!$F$4),$AQ282,"")</f>
        <v/>
      </c>
      <c r="BB282" t="str">
        <f t="shared" si="197"/>
        <v/>
      </c>
      <c r="BC282" t="str">
        <f>IF(AND($AK282&lt;=Results!$I$29,$AK282&gt;=Results!$I$28,$AK282&gt;=Results!$F$4),$AQ282,"")</f>
        <v/>
      </c>
      <c r="BD282">
        <f t="shared" si="198"/>
        <v>9051.0244781111687</v>
      </c>
      <c r="BE282">
        <f t="shared" si="199"/>
        <v>1717.6408688005099</v>
      </c>
      <c r="BF282">
        <f t="shared" si="200"/>
        <v>9321.5573627850972</v>
      </c>
      <c r="BG282">
        <f t="shared" si="201"/>
        <v>1246.866528633265</v>
      </c>
      <c r="BH282">
        <f t="shared" si="202"/>
        <v>0</v>
      </c>
      <c r="BI282">
        <f t="shared" si="203"/>
        <v>0.91125363414076377</v>
      </c>
      <c r="BJ282">
        <f t="shared" si="204"/>
        <v>0.75470961425855987</v>
      </c>
      <c r="BK282">
        <f t="shared" si="205"/>
        <v>-4.4944142203550613E-2</v>
      </c>
      <c r="BL282">
        <f t="shared" si="206"/>
        <v>-5.8223556395014815E-2</v>
      </c>
      <c r="BM282">
        <f t="shared" si="224"/>
        <v>119.99999999999829</v>
      </c>
      <c r="BN282">
        <f t="shared" si="225"/>
        <v>-120.00000000000284</v>
      </c>
      <c r="BO282">
        <f>Data!$H$2*(1-BI282)*(1-BI282/Data!$H$3)*BM282</f>
        <v>1.8902201887731116E-6</v>
      </c>
      <c r="BP282">
        <f t="shared" si="207"/>
        <v>-109.35043609689009</v>
      </c>
      <c r="BQ282">
        <f>Data!$H$2*(1-BJ282)*(1-BJ282/Data!$H$3)*BN282</f>
        <v>-1.444016960092462E-5</v>
      </c>
      <c r="BR282">
        <f t="shared" si="208"/>
        <v>90.565153711029325</v>
      </c>
      <c r="BS282">
        <f t="shared" si="209"/>
        <v>0</v>
      </c>
      <c r="BT282">
        <f t="shared" si="210"/>
        <v>0</v>
      </c>
      <c r="BU282">
        <f t="shared" si="211"/>
        <v>0</v>
      </c>
      <c r="BV282">
        <f t="shared" si="212"/>
        <v>0</v>
      </c>
      <c r="BW282">
        <f t="shared" si="226"/>
        <v>0</v>
      </c>
      <c r="BX282" t="str">
        <f t="shared" si="227"/>
        <v/>
      </c>
      <c r="BY282" s="66" t="str">
        <f t="shared" si="213"/>
        <v/>
      </c>
      <c r="BZ282" t="str">
        <f t="shared" si="214"/>
        <v/>
      </c>
      <c r="CA282" s="67" t="str">
        <f t="shared" si="215"/>
        <v/>
      </c>
    </row>
    <row r="283" spans="4:79" x14ac:dyDescent="0.25">
      <c r="D283" s="3" t="e">
        <f t="shared" si="240"/>
        <v>#DIV/0!</v>
      </c>
      <c r="E283" s="3" t="e">
        <f t="shared" si="240"/>
        <v>#DIV/0!</v>
      </c>
      <c r="F283" t="str">
        <f>IF(A283&gt;0,IF(F282=1,1,IF(B283=Data!$H$4,1,0)),"")</f>
        <v/>
      </c>
      <c r="Q283" t="str">
        <f t="shared" si="216"/>
        <v/>
      </c>
      <c r="R283" s="4" t="str">
        <f t="shared" si="217"/>
        <v/>
      </c>
      <c r="S283" t="e">
        <f t="shared" si="228"/>
        <v>#DIV/0!</v>
      </c>
      <c r="T283" t="e">
        <f t="shared" si="241"/>
        <v>#DIV/0!</v>
      </c>
      <c r="U283" s="4">
        <f t="shared" si="218"/>
        <v>0</v>
      </c>
      <c r="V283" t="e">
        <f t="shared" si="229"/>
        <v>#DIV/0!</v>
      </c>
      <c r="W283" t="e">
        <f t="shared" si="230"/>
        <v>#DIV/0!</v>
      </c>
      <c r="X283" t="e">
        <f t="shared" si="231"/>
        <v>#VALUE!</v>
      </c>
      <c r="Y283" t="e">
        <f t="shared" si="232"/>
        <v>#VALUE!</v>
      </c>
      <c r="Z283" t="e">
        <f t="shared" si="233"/>
        <v>#VALUE!</v>
      </c>
      <c r="AA283" t="e">
        <f t="shared" si="219"/>
        <v>#VALUE!</v>
      </c>
      <c r="AB283" t="str">
        <f t="shared" si="234"/>
        <v/>
      </c>
      <c r="AC283" t="str">
        <f t="shared" si="235"/>
        <v/>
      </c>
      <c r="AD283" t="str">
        <f t="shared" si="236"/>
        <v/>
      </c>
      <c r="AE283" t="str">
        <f t="shared" si="237"/>
        <v/>
      </c>
      <c r="AK283" s="4">
        <f t="shared" si="238"/>
        <v>53.100000000000399</v>
      </c>
      <c r="AL283">
        <f t="shared" si="220"/>
        <v>3373.0000000000477</v>
      </c>
      <c r="AM283">
        <f t="shared" si="221"/>
        <v>8358.3333333331393</v>
      </c>
      <c r="AN283">
        <f>IF($AK282+$AK$1&lt;=Data!$H$4-0.5,AVERAGE(AM281:AM285),AN282)</f>
        <v>8355.9599999998154</v>
      </c>
      <c r="AO283">
        <f t="shared" si="222"/>
        <v>7488.9999999999518</v>
      </c>
      <c r="AP283">
        <f t="shared" si="239"/>
        <v>7288.9999999997772</v>
      </c>
      <c r="AQ283">
        <f>IF($AK282+$AK$1&lt;=Data!$H$4-0.5,AVERAGE(AP281:AP285),AQ282)</f>
        <v>7287.5266666664493</v>
      </c>
      <c r="AR283">
        <f>IF($AK282+$AK$1&lt;=Data!$H$4-0.5,SLOPE($AN279:$AN287,$AK279:$AK287),AR282)</f>
        <v>-448.46666666672598</v>
      </c>
      <c r="AS283">
        <f>IF($AK282+$AK$1&lt;=Data!$H$4-0.5,SLOPE($AQ279:$AQ287,$AK279:$AK287),AS282)</f>
        <v>-537.55000000003906</v>
      </c>
      <c r="AT283">
        <f>IF(AND($AK283&gt;=Results!$G$13,$AK283&lt;=Results!$G$14),Curves!AR283,"")</f>
        <v>-448.46666666672598</v>
      </c>
      <c r="AU283">
        <f>IF(AND($AK283&gt;=Results!$G$13,$AK283&lt;=Results!$G$14),Curves!AS283,"")</f>
        <v>-537.55000000003906</v>
      </c>
      <c r="AV283" t="str">
        <f t="shared" si="223"/>
        <v/>
      </c>
      <c r="AW283" t="str">
        <f>IF(AND($AK283&lt;=Results!$I$21,$AK283&gt;=Results!$I$20,$AK283&lt;=Results!$F$4),$AN283,"")</f>
        <v/>
      </c>
      <c r="AX283" t="str">
        <f t="shared" si="223"/>
        <v/>
      </c>
      <c r="AY283" t="str">
        <f>IF(AND($AK283&lt;=Results!$I$23,$AK283&gt;=Results!$I$22,$AK283&gt;=Results!$F$4),$AN283,"")</f>
        <v/>
      </c>
      <c r="AZ283" t="str">
        <f t="shared" si="196"/>
        <v/>
      </c>
      <c r="BA283" t="str">
        <f>IF(AND($AK283&lt;=Results!$I$27,$AK283&gt;=Results!$I$26,$AK283&lt;=Results!$F$4),$AQ283,"")</f>
        <v/>
      </c>
      <c r="BB283" t="str">
        <f t="shared" si="197"/>
        <v/>
      </c>
      <c r="BC283" t="str">
        <f>IF(AND($AK283&lt;=Results!$I$29,$AK283&gt;=Results!$I$28,$AK283&gt;=Results!$F$4),$AQ283,"")</f>
        <v/>
      </c>
      <c r="BD283">
        <f t="shared" si="198"/>
        <v>9040.2542833132502</v>
      </c>
      <c r="BE283">
        <f t="shared" si="199"/>
        <v>1714.325079551189</v>
      </c>
      <c r="BF283">
        <f t="shared" si="200"/>
        <v>9314.2673805522045</v>
      </c>
      <c r="BG283">
        <f t="shared" si="201"/>
        <v>1246.31572767374</v>
      </c>
      <c r="BH283">
        <f t="shared" si="202"/>
        <v>0</v>
      </c>
      <c r="BI283">
        <f t="shared" si="203"/>
        <v>0.90659283426298587</v>
      </c>
      <c r="BJ283">
        <f t="shared" si="204"/>
        <v>0.74879116768595666</v>
      </c>
      <c r="BK283">
        <f t="shared" si="205"/>
        <v>-4.8276939633369743E-2</v>
      </c>
      <c r="BL283">
        <f t="shared" si="206"/>
        <v>-6.0147785020381581E-2</v>
      </c>
      <c r="BM283">
        <f t="shared" si="224"/>
        <v>120.00000000000055</v>
      </c>
      <c r="BN283">
        <f t="shared" si="225"/>
        <v>-120.00000000000284</v>
      </c>
      <c r="BO283">
        <f>Data!$H$2*(1-BI283)*(1-BI283/Data!$H$3)*BM283</f>
        <v>2.0939756666452958E-6</v>
      </c>
      <c r="BP283">
        <f t="shared" si="207"/>
        <v>-108.7911401115588</v>
      </c>
      <c r="BQ283">
        <f>Data!$H$2*(1-BJ283)*(1-BJ283/Data!$H$3)*BN283</f>
        <v>-1.5145410583820793E-5</v>
      </c>
      <c r="BR283">
        <f t="shared" si="208"/>
        <v>89.854940122316933</v>
      </c>
      <c r="BS283">
        <f t="shared" si="209"/>
        <v>0</v>
      </c>
      <c r="BT283">
        <f t="shared" si="210"/>
        <v>0</v>
      </c>
      <c r="BU283">
        <f t="shared" si="211"/>
        <v>0</v>
      </c>
      <c r="BV283">
        <f t="shared" si="212"/>
        <v>0</v>
      </c>
      <c r="BW283">
        <f t="shared" si="226"/>
        <v>0</v>
      </c>
      <c r="BX283" t="str">
        <f t="shared" si="227"/>
        <v/>
      </c>
      <c r="BY283" s="66" t="str">
        <f t="shared" si="213"/>
        <v/>
      </c>
      <c r="BZ283" t="str">
        <f t="shared" si="214"/>
        <v/>
      </c>
      <c r="CA283" s="67" t="str">
        <f t="shared" si="215"/>
        <v/>
      </c>
    </row>
    <row r="284" spans="4:79" x14ac:dyDescent="0.25">
      <c r="D284" s="3" t="e">
        <f t="shared" si="240"/>
        <v>#DIV/0!</v>
      </c>
      <c r="E284" s="3" t="e">
        <f t="shared" si="240"/>
        <v>#DIV/0!</v>
      </c>
      <c r="F284" t="str">
        <f>IF(A284&gt;0,IF(F283=1,1,IF(B284=Data!$H$4,1,0)),"")</f>
        <v/>
      </c>
      <c r="Q284" t="str">
        <f t="shared" si="216"/>
        <v/>
      </c>
      <c r="R284" s="4" t="str">
        <f t="shared" si="217"/>
        <v/>
      </c>
      <c r="S284" t="e">
        <f t="shared" si="228"/>
        <v>#DIV/0!</v>
      </c>
      <c r="T284" t="e">
        <f t="shared" si="241"/>
        <v>#DIV/0!</v>
      </c>
      <c r="U284" s="4">
        <f t="shared" si="218"/>
        <v>0</v>
      </c>
      <c r="V284" t="e">
        <f t="shared" si="229"/>
        <v>#DIV/0!</v>
      </c>
      <c r="W284" t="e">
        <f t="shared" si="230"/>
        <v>#DIV/0!</v>
      </c>
      <c r="X284" t="e">
        <f t="shared" si="231"/>
        <v>#VALUE!</v>
      </c>
      <c r="Y284" t="e">
        <f t="shared" si="232"/>
        <v>#VALUE!</v>
      </c>
      <c r="Z284" t="e">
        <f t="shared" si="233"/>
        <v>#VALUE!</v>
      </c>
      <c r="AA284" t="e">
        <f t="shared" si="219"/>
        <v>#VALUE!</v>
      </c>
      <c r="AB284" t="str">
        <f t="shared" si="234"/>
        <v/>
      </c>
      <c r="AC284" t="str">
        <f t="shared" si="235"/>
        <v/>
      </c>
      <c r="AD284" t="str">
        <f t="shared" si="236"/>
        <v/>
      </c>
      <c r="AE284" t="str">
        <f t="shared" si="237"/>
        <v/>
      </c>
      <c r="AK284" s="4">
        <f t="shared" si="238"/>
        <v>53.200000000000401</v>
      </c>
      <c r="AL284">
        <f t="shared" si="220"/>
        <v>3385.0000000000482</v>
      </c>
      <c r="AM284">
        <f t="shared" si="221"/>
        <v>8309.3333333331393</v>
      </c>
      <c r="AN284">
        <f>IF($AK283+$AK$1&lt;=Data!$H$4-0.5,AVERAGE(AM282:AM286),AN283)</f>
        <v>8309.3333333331393</v>
      </c>
      <c r="AO284">
        <f t="shared" si="222"/>
        <v>7476.9999999999518</v>
      </c>
      <c r="AP284">
        <f t="shared" si="239"/>
        <v>7232.6666666664432</v>
      </c>
      <c r="AQ284">
        <f>IF($AK283+$AK$1&lt;=Data!$H$4-0.5,AVERAGE(AP282:AP286),AQ283)</f>
        <v>7232.6666666664432</v>
      </c>
      <c r="AR284">
        <f>IF($AK283+$AK$1&lt;=Data!$H$4-0.5,SLOPE($AN280:$AN288,$AK280:$AK288),AR283)</f>
        <v>-464.288888888933</v>
      </c>
      <c r="AS284">
        <f>IF($AK283+$AK$1&lt;=Data!$H$4-0.5,SLOPE($AQ280:$AQ288,$AK280:$AK288),AS283)</f>
        <v>-547.37222222225193</v>
      </c>
      <c r="AT284">
        <f>IF(AND($AK284&gt;=Results!$G$13,$AK284&lt;=Results!$G$14),Curves!AR284,"")</f>
        <v>-464.288888888933</v>
      </c>
      <c r="AU284">
        <f>IF(AND($AK284&gt;=Results!$G$13,$AK284&lt;=Results!$G$14),Curves!AS284,"")</f>
        <v>-547.37222222225193</v>
      </c>
      <c r="AV284" t="str">
        <f t="shared" si="223"/>
        <v/>
      </c>
      <c r="AW284" t="str">
        <f>IF(AND($AK284&lt;=Results!$I$21,$AK284&gt;=Results!$I$20,$AK284&lt;=Results!$F$4),$AN284,"")</f>
        <v/>
      </c>
      <c r="AX284" t="str">
        <f t="shared" si="223"/>
        <v/>
      </c>
      <c r="AY284" t="str">
        <f>IF(AND($AK284&lt;=Results!$I$23,$AK284&gt;=Results!$I$22,$AK284&gt;=Results!$F$4),$AN284,"")</f>
        <v/>
      </c>
      <c r="AZ284" t="str">
        <f t="shared" si="196"/>
        <v/>
      </c>
      <c r="BA284" t="str">
        <f>IF(AND($AK284&lt;=Results!$I$27,$AK284&gt;=Results!$I$26,$AK284&lt;=Results!$F$4),$AQ284,"")</f>
        <v/>
      </c>
      <c r="BB284" t="str">
        <f t="shared" si="197"/>
        <v/>
      </c>
      <c r="BC284" t="str">
        <f>IF(AND($AK284&lt;=Results!$I$29,$AK284&gt;=Results!$I$28,$AK284&gt;=Results!$F$4),$AQ284,"")</f>
        <v/>
      </c>
      <c r="BD284">
        <f t="shared" si="198"/>
        <v>9029.4840885153299</v>
      </c>
      <c r="BE284">
        <f t="shared" si="199"/>
        <v>1711.0092903018681</v>
      </c>
      <c r="BF284">
        <f t="shared" si="200"/>
        <v>9306.9773983193118</v>
      </c>
      <c r="BG284">
        <f t="shared" si="201"/>
        <v>1245.7649267142151</v>
      </c>
      <c r="BH284">
        <f t="shared" si="202"/>
        <v>0</v>
      </c>
      <c r="BI284">
        <f t="shared" si="203"/>
        <v>0.90159824621408968</v>
      </c>
      <c r="BJ284">
        <f t="shared" si="204"/>
        <v>0.74268005725448338</v>
      </c>
      <c r="BK284">
        <f t="shared" si="205"/>
        <v>-5.161992636189365E-2</v>
      </c>
      <c r="BL284">
        <f t="shared" si="206"/>
        <v>-6.2076841638087028E-2</v>
      </c>
      <c r="BM284">
        <f t="shared" si="224"/>
        <v>120.00000000000055</v>
      </c>
      <c r="BN284">
        <f t="shared" si="225"/>
        <v>-119.99999999999829</v>
      </c>
      <c r="BO284">
        <f>Data!$H$2*(1-BI284)*(1-BI284/Data!$H$3)*BM284</f>
        <v>2.3238972355543104E-6</v>
      </c>
      <c r="BP284">
        <f t="shared" si="207"/>
        <v>-108.19178954569126</v>
      </c>
      <c r="BQ284">
        <f>Data!$H$2*(1-BJ284)*(1-BJ284/Data!$H$3)*BN284</f>
        <v>-1.5891252704293201E-5</v>
      </c>
      <c r="BR284">
        <f t="shared" si="208"/>
        <v>89.121606870536738</v>
      </c>
      <c r="BS284">
        <f t="shared" si="209"/>
        <v>0</v>
      </c>
      <c r="BT284">
        <f t="shared" si="210"/>
        <v>0</v>
      </c>
      <c r="BU284">
        <f t="shared" si="211"/>
        <v>0</v>
      </c>
      <c r="BV284">
        <f t="shared" si="212"/>
        <v>0</v>
      </c>
      <c r="BW284">
        <f t="shared" si="226"/>
        <v>0</v>
      </c>
      <c r="BX284" t="str">
        <f t="shared" si="227"/>
        <v/>
      </c>
      <c r="BY284" s="66" t="str">
        <f t="shared" si="213"/>
        <v/>
      </c>
      <c r="BZ284" t="str">
        <f t="shared" si="214"/>
        <v/>
      </c>
      <c r="CA284" s="67" t="str">
        <f t="shared" si="215"/>
        <v/>
      </c>
    </row>
    <row r="285" spans="4:79" x14ac:dyDescent="0.25">
      <c r="D285" s="3" t="e">
        <f t="shared" si="240"/>
        <v>#DIV/0!</v>
      </c>
      <c r="E285" s="3" t="e">
        <f t="shared" si="240"/>
        <v>#DIV/0!</v>
      </c>
      <c r="F285" t="str">
        <f>IF(A285&gt;0,IF(F284=1,1,IF(B285=Data!$H$4,1,0)),"")</f>
        <v/>
      </c>
      <c r="Q285" t="str">
        <f t="shared" si="216"/>
        <v/>
      </c>
      <c r="R285" s="4" t="str">
        <f t="shared" si="217"/>
        <v/>
      </c>
      <c r="S285" t="e">
        <f t="shared" si="228"/>
        <v>#DIV/0!</v>
      </c>
      <c r="T285" t="e">
        <f t="shared" si="241"/>
        <v>#DIV/0!</v>
      </c>
      <c r="U285" s="4">
        <f t="shared" si="218"/>
        <v>0</v>
      </c>
      <c r="V285" t="e">
        <f t="shared" si="229"/>
        <v>#DIV/0!</v>
      </c>
      <c r="W285" t="e">
        <f t="shared" si="230"/>
        <v>#DIV/0!</v>
      </c>
      <c r="X285" t="e">
        <f t="shared" si="231"/>
        <v>#VALUE!</v>
      </c>
      <c r="Y285" t="e">
        <f t="shared" si="232"/>
        <v>#VALUE!</v>
      </c>
      <c r="Z285" t="e">
        <f t="shared" si="233"/>
        <v>#VALUE!</v>
      </c>
      <c r="AA285" t="e">
        <f t="shared" si="219"/>
        <v>#VALUE!</v>
      </c>
      <c r="AB285" t="str">
        <f t="shared" si="234"/>
        <v/>
      </c>
      <c r="AC285" t="str">
        <f t="shared" si="235"/>
        <v/>
      </c>
      <c r="AD285" t="str">
        <f t="shared" si="236"/>
        <v/>
      </c>
      <c r="AE285" t="str">
        <f t="shared" si="237"/>
        <v/>
      </c>
      <c r="AK285" s="4">
        <f t="shared" si="238"/>
        <v>53.300000000000402</v>
      </c>
      <c r="AL285">
        <f t="shared" si="220"/>
        <v>3397.0000000000482</v>
      </c>
      <c r="AM285">
        <f t="shared" si="221"/>
        <v>8260.3333333331393</v>
      </c>
      <c r="AN285">
        <f>IF($AK284+$AK$1&lt;=Data!$H$4-0.5,AVERAGE(AM283:AM287),AN284)</f>
        <v>8260.3333333331393</v>
      </c>
      <c r="AO285">
        <f t="shared" si="222"/>
        <v>7464.9999999999518</v>
      </c>
      <c r="AP285">
        <f t="shared" si="239"/>
        <v>7176.3333333331084</v>
      </c>
      <c r="AQ285">
        <f>IF($AK284+$AK$1&lt;=Data!$H$4-0.5,AVERAGE(AP283:AP287),AQ284)</f>
        <v>7176.3333333331084</v>
      </c>
      <c r="AR285">
        <f>IF($AK284+$AK$1&lt;=Data!$H$4-0.5,SLOPE($AN281:$AN289,$AK281:$AK289),AR284)</f>
        <v>-476.15555555558484</v>
      </c>
      <c r="AS285">
        <f>IF($AK284+$AK$1&lt;=Data!$H$4-0.5,SLOPE($AQ281:$AQ289,$AK281:$AK289),AS284)</f>
        <v>-554.73888888890929</v>
      </c>
      <c r="AT285">
        <f>IF(AND($AK285&gt;=Results!$G$13,$AK285&lt;=Results!$G$14),Curves!AR285,"")</f>
        <v>-476.15555555558484</v>
      </c>
      <c r="AU285">
        <f>IF(AND($AK285&gt;=Results!$G$13,$AK285&lt;=Results!$G$14),Curves!AS285,"")</f>
        <v>-554.73888888890929</v>
      </c>
      <c r="AV285" t="str">
        <f t="shared" si="223"/>
        <v/>
      </c>
      <c r="AW285" t="str">
        <f>IF(AND($AK285&lt;=Results!$I$21,$AK285&gt;=Results!$I$20,$AK285&lt;=Results!$F$4),$AN285,"")</f>
        <v/>
      </c>
      <c r="AX285" t="str">
        <f t="shared" si="223"/>
        <v/>
      </c>
      <c r="AY285" t="str">
        <f>IF(AND($AK285&lt;=Results!$I$23,$AK285&gt;=Results!$I$22,$AK285&gt;=Results!$F$4),$AN285,"")</f>
        <v/>
      </c>
      <c r="AZ285" t="str">
        <f t="shared" si="196"/>
        <v/>
      </c>
      <c r="BA285" t="str">
        <f>IF(AND($AK285&lt;=Results!$I$27,$AK285&gt;=Results!$I$26,$AK285&lt;=Results!$F$4),$AQ285,"")</f>
        <v/>
      </c>
      <c r="BB285" t="str">
        <f t="shared" si="197"/>
        <v/>
      </c>
      <c r="BC285" t="str">
        <f>IF(AND($AK285&lt;=Results!$I$29,$AK285&gt;=Results!$I$28,$AK285&gt;=Results!$F$4),$AQ285,"")</f>
        <v/>
      </c>
      <c r="BD285">
        <f t="shared" si="198"/>
        <v>9018.7138937174095</v>
      </c>
      <c r="BE285">
        <f t="shared" si="199"/>
        <v>1707.6935010525474</v>
      </c>
      <c r="BF285">
        <f t="shared" si="200"/>
        <v>9299.687416086419</v>
      </c>
      <c r="BG285">
        <f t="shared" si="201"/>
        <v>1245.21412575469</v>
      </c>
      <c r="BH285">
        <f t="shared" si="202"/>
        <v>0</v>
      </c>
      <c r="BI285">
        <f t="shared" si="203"/>
        <v>0.89626884899060699</v>
      </c>
      <c r="BJ285">
        <f t="shared" si="204"/>
        <v>0.73637579935833908</v>
      </c>
      <c r="BK285">
        <f t="shared" si="205"/>
        <v>-5.3348366880269567E-2</v>
      </c>
      <c r="BL285">
        <f t="shared" si="206"/>
        <v>-6.3095370885454458E-2</v>
      </c>
      <c r="BM285">
        <f t="shared" si="224"/>
        <v>119.99999999999829</v>
      </c>
      <c r="BN285">
        <f t="shared" si="225"/>
        <v>-119.99999999999829</v>
      </c>
      <c r="BO285">
        <f>Data!$H$2*(1-BI285)*(1-BI285/Data!$H$3)*BM285</f>
        <v>2.5824364055360023E-6</v>
      </c>
      <c r="BP285">
        <f t="shared" si="207"/>
        <v>-107.55226187887131</v>
      </c>
      <c r="BQ285">
        <f>Data!$H$2*(1-BJ285)*(1-BJ285/Data!$H$3)*BN285</f>
        <v>-1.6679452599348889E-5</v>
      </c>
      <c r="BR285">
        <f t="shared" si="208"/>
        <v>88.36509592299943</v>
      </c>
      <c r="BS285">
        <f t="shared" si="209"/>
        <v>0</v>
      </c>
      <c r="BT285">
        <f t="shared" si="210"/>
        <v>0</v>
      </c>
      <c r="BU285">
        <f t="shared" si="211"/>
        <v>0</v>
      </c>
      <c r="BV285">
        <f t="shared" si="212"/>
        <v>0</v>
      </c>
      <c r="BW285">
        <f t="shared" si="226"/>
        <v>0</v>
      </c>
      <c r="BX285" t="str">
        <f t="shared" si="227"/>
        <v/>
      </c>
      <c r="BY285" s="66" t="str">
        <f t="shared" si="213"/>
        <v/>
      </c>
      <c r="BZ285" t="str">
        <f t="shared" si="214"/>
        <v/>
      </c>
      <c r="CA285" s="67" t="str">
        <f t="shared" si="215"/>
        <v/>
      </c>
    </row>
    <row r="286" spans="4:79" x14ac:dyDescent="0.25">
      <c r="D286" s="3" t="e">
        <f t="shared" si="240"/>
        <v>#DIV/0!</v>
      </c>
      <c r="E286" s="3" t="e">
        <f t="shared" si="240"/>
        <v>#DIV/0!</v>
      </c>
      <c r="F286" t="str">
        <f>IF(A286&gt;0,IF(F285=1,1,IF(B286=Data!$H$4,1,0)),"")</f>
        <v/>
      </c>
      <c r="Q286" t="str">
        <f t="shared" si="216"/>
        <v/>
      </c>
      <c r="R286" s="4" t="str">
        <f t="shared" si="217"/>
        <v/>
      </c>
      <c r="S286" t="e">
        <f t="shared" si="228"/>
        <v>#DIV/0!</v>
      </c>
      <c r="T286" t="e">
        <f t="shared" si="241"/>
        <v>#DIV/0!</v>
      </c>
      <c r="U286" s="4">
        <f t="shared" si="218"/>
        <v>0</v>
      </c>
      <c r="V286" t="e">
        <f t="shared" si="229"/>
        <v>#DIV/0!</v>
      </c>
      <c r="W286" t="e">
        <f t="shared" si="230"/>
        <v>#DIV/0!</v>
      </c>
      <c r="X286" t="e">
        <f t="shared" si="231"/>
        <v>#VALUE!</v>
      </c>
      <c r="Y286" t="e">
        <f t="shared" si="232"/>
        <v>#VALUE!</v>
      </c>
      <c r="Z286" t="e">
        <f t="shared" si="233"/>
        <v>#VALUE!</v>
      </c>
      <c r="AA286" t="e">
        <f t="shared" si="219"/>
        <v>#VALUE!</v>
      </c>
      <c r="AB286" t="str">
        <f t="shared" si="234"/>
        <v/>
      </c>
      <c r="AC286" t="str">
        <f t="shared" si="235"/>
        <v/>
      </c>
      <c r="AD286" t="str">
        <f t="shared" si="236"/>
        <v/>
      </c>
      <c r="AE286" t="str">
        <f t="shared" si="237"/>
        <v/>
      </c>
      <c r="AK286" s="4">
        <f t="shared" si="238"/>
        <v>53.400000000000404</v>
      </c>
      <c r="AL286">
        <f t="shared" si="220"/>
        <v>3409.0000000000482</v>
      </c>
      <c r="AM286">
        <f t="shared" si="221"/>
        <v>8211.3333333331375</v>
      </c>
      <c r="AN286">
        <f>IF($AK285+$AK$1&lt;=Data!$H$4-0.5,AVERAGE(AM284:AM288),AN285)</f>
        <v>8211.3333333331393</v>
      </c>
      <c r="AO286">
        <f t="shared" si="222"/>
        <v>7452.9999999999518</v>
      </c>
      <c r="AP286">
        <f t="shared" si="239"/>
        <v>7119.9999999997744</v>
      </c>
      <c r="AQ286">
        <f>IF($AK285+$AK$1&lt;=Data!$H$4-0.5,AVERAGE(AP284:AP288),AQ285)</f>
        <v>7119.9999999997744</v>
      </c>
      <c r="AR286">
        <f>IF($AK285+$AK$1&lt;=Data!$H$4-0.5,SLOPE($AN282:$AN290,$AK282:$AK290),AR285)</f>
        <v>-484.06666666668957</v>
      </c>
      <c r="AS286">
        <f>IF($AK285+$AK$1&lt;=Data!$H$4-0.5,SLOPE($AQ282:$AQ290,$AK282:$AK290),AS285)</f>
        <v>-559.65000000001623</v>
      </c>
      <c r="AT286">
        <f>IF(AND($AK286&gt;=Results!$G$13,$AK286&lt;=Results!$G$14),Curves!AR286,"")</f>
        <v>-484.06666666668957</v>
      </c>
      <c r="AU286">
        <f>IF(AND($AK286&gt;=Results!$G$13,$AK286&lt;=Results!$G$14),Curves!AS286,"")</f>
        <v>-559.65000000001623</v>
      </c>
      <c r="AV286" t="str">
        <f t="shared" si="223"/>
        <v/>
      </c>
      <c r="AW286" t="str">
        <f>IF(AND($AK286&lt;=Results!$I$21,$AK286&gt;=Results!$I$20,$AK286&lt;=Results!$F$4),$AN286,"")</f>
        <v/>
      </c>
      <c r="AX286" t="str">
        <f t="shared" si="223"/>
        <v/>
      </c>
      <c r="AY286" t="str">
        <f>IF(AND($AK286&lt;=Results!$I$23,$AK286&gt;=Results!$I$22,$AK286&gt;=Results!$F$4),$AN286,"")</f>
        <v/>
      </c>
      <c r="AZ286" t="str">
        <f t="shared" si="196"/>
        <v/>
      </c>
      <c r="BA286" t="str">
        <f>IF(AND($AK286&lt;=Results!$I$27,$AK286&gt;=Results!$I$26,$AK286&lt;=Results!$F$4),$AQ286,"")</f>
        <v/>
      </c>
      <c r="BB286" t="str">
        <f t="shared" si="197"/>
        <v/>
      </c>
      <c r="BC286" t="str">
        <f>IF(AND($AK286&lt;=Results!$I$29,$AK286&gt;=Results!$I$28,$AK286&gt;=Results!$F$4),$AQ286,"")</f>
        <v/>
      </c>
      <c r="BD286">
        <f t="shared" si="198"/>
        <v>9007.943698919491</v>
      </c>
      <c r="BE286">
        <f t="shared" si="199"/>
        <v>1704.3777118032265</v>
      </c>
      <c r="BF286">
        <f t="shared" si="200"/>
        <v>9292.3974338535263</v>
      </c>
      <c r="BG286">
        <f t="shared" si="201"/>
        <v>1244.663324795165</v>
      </c>
      <c r="BH286">
        <f t="shared" si="202"/>
        <v>0</v>
      </c>
      <c r="BI286">
        <f t="shared" si="203"/>
        <v>0.89092857283803562</v>
      </c>
      <c r="BJ286">
        <f t="shared" si="204"/>
        <v>0.73006098307739231</v>
      </c>
      <c r="BK286">
        <f t="shared" si="205"/>
        <v>-5.3457322895474682E-2</v>
      </c>
      <c r="BL286">
        <f t="shared" si="206"/>
        <v>-6.320108746867413E-2</v>
      </c>
      <c r="BM286">
        <f t="shared" si="224"/>
        <v>120.00000000000055</v>
      </c>
      <c r="BN286">
        <f t="shared" si="225"/>
        <v>-119.99999999999829</v>
      </c>
      <c r="BO286">
        <f>Data!$H$2*(1-BI286)*(1-BI286/Data!$H$3)*BM286</f>
        <v>2.8551782935554619E-6</v>
      </c>
      <c r="BP286">
        <f t="shared" si="207"/>
        <v>-106.91142874056477</v>
      </c>
      <c r="BQ286">
        <f>Data!$H$2*(1-BJ286)*(1-BJ286/Data!$H$3)*BN286</f>
        <v>-1.7488097485714284E-5</v>
      </c>
      <c r="BR286">
        <f t="shared" si="208"/>
        <v>87.60731796928583</v>
      </c>
      <c r="BS286">
        <f t="shared" si="209"/>
        <v>0</v>
      </c>
      <c r="BT286">
        <f t="shared" si="210"/>
        <v>0</v>
      </c>
      <c r="BU286">
        <f t="shared" si="211"/>
        <v>0</v>
      </c>
      <c r="BV286">
        <f t="shared" si="212"/>
        <v>0</v>
      </c>
      <c r="BW286">
        <f t="shared" si="226"/>
        <v>0</v>
      </c>
      <c r="BX286" t="str">
        <f t="shared" si="227"/>
        <v/>
      </c>
      <c r="BY286" s="66" t="str">
        <f t="shared" si="213"/>
        <v/>
      </c>
      <c r="BZ286" t="str">
        <f t="shared" si="214"/>
        <v/>
      </c>
      <c r="CA286" s="67" t="str">
        <f t="shared" si="215"/>
        <v/>
      </c>
    </row>
    <row r="287" spans="4:79" x14ac:dyDescent="0.25">
      <c r="D287" s="3" t="e">
        <f t="shared" si="240"/>
        <v>#DIV/0!</v>
      </c>
      <c r="E287" s="3" t="e">
        <f t="shared" si="240"/>
        <v>#DIV/0!</v>
      </c>
      <c r="F287" t="str">
        <f>IF(A287&gt;0,IF(F286=1,1,IF(B287=Data!$H$4,1,0)),"")</f>
        <v/>
      </c>
      <c r="Q287" t="str">
        <f t="shared" si="216"/>
        <v/>
      </c>
      <c r="R287" s="4" t="str">
        <f t="shared" si="217"/>
        <v/>
      </c>
      <c r="S287" t="e">
        <f t="shared" si="228"/>
        <v>#DIV/0!</v>
      </c>
      <c r="T287" t="e">
        <f t="shared" si="241"/>
        <v>#DIV/0!</v>
      </c>
      <c r="U287" s="4">
        <f t="shared" si="218"/>
        <v>0</v>
      </c>
      <c r="V287" t="e">
        <f t="shared" si="229"/>
        <v>#DIV/0!</v>
      </c>
      <c r="W287" t="e">
        <f t="shared" si="230"/>
        <v>#DIV/0!</v>
      </c>
      <c r="X287" t="e">
        <f t="shared" si="231"/>
        <v>#VALUE!</v>
      </c>
      <c r="Y287" t="e">
        <f t="shared" si="232"/>
        <v>#VALUE!</v>
      </c>
      <c r="Z287" t="e">
        <f t="shared" si="233"/>
        <v>#VALUE!</v>
      </c>
      <c r="AA287" t="e">
        <f t="shared" si="219"/>
        <v>#VALUE!</v>
      </c>
      <c r="AB287" t="str">
        <f t="shared" si="234"/>
        <v/>
      </c>
      <c r="AC287" t="str">
        <f t="shared" si="235"/>
        <v/>
      </c>
      <c r="AD287" t="str">
        <f t="shared" si="236"/>
        <v/>
      </c>
      <c r="AE287" t="str">
        <f t="shared" si="237"/>
        <v/>
      </c>
      <c r="AK287" s="4">
        <f t="shared" si="238"/>
        <v>53.500000000000405</v>
      </c>
      <c r="AL287">
        <f t="shared" si="220"/>
        <v>3421.0000000000487</v>
      </c>
      <c r="AM287">
        <f t="shared" si="221"/>
        <v>8162.3333333331375</v>
      </c>
      <c r="AN287">
        <f>IF($AK286+$AK$1&lt;=Data!$H$4-0.5,AVERAGE(AM285:AM289),AN286)</f>
        <v>8162.3333333331375</v>
      </c>
      <c r="AO287">
        <f t="shared" si="222"/>
        <v>7440.9999999999518</v>
      </c>
      <c r="AP287">
        <f t="shared" si="239"/>
        <v>7063.6666666664396</v>
      </c>
      <c r="AQ287">
        <f>IF($AK286+$AK$1&lt;=Data!$H$4-0.5,AVERAGE(AP285:AP289),AQ286)</f>
        <v>7063.6666666664405</v>
      </c>
      <c r="AR287">
        <f>IF($AK286+$AK$1&lt;=Data!$H$4-0.5,SLOPE($AN283:$AN291,$AK283:$AK291),AR286)</f>
        <v>-490.04888888891247</v>
      </c>
      <c r="AS287">
        <f>IF($AK286+$AK$1&lt;=Data!$H$4-0.5,SLOPE($AQ283:$AQ291,$AK283:$AK291),AS286)</f>
        <v>-563.2755555555724</v>
      </c>
      <c r="AT287">
        <f>IF(AND($AK287&gt;=Results!$G$13,$AK287&lt;=Results!$G$14),Curves!AR287,"")</f>
        <v>-490.04888888891247</v>
      </c>
      <c r="AU287">
        <f>IF(AND($AK287&gt;=Results!$G$13,$AK287&lt;=Results!$G$14),Curves!AS287,"")</f>
        <v>-563.2755555555724</v>
      </c>
      <c r="AV287" t="str">
        <f t="shared" si="223"/>
        <v/>
      </c>
      <c r="AW287" t="str">
        <f>IF(AND($AK287&lt;=Results!$I$21,$AK287&gt;=Results!$I$20,$AK287&lt;=Results!$F$4),$AN287,"")</f>
        <v/>
      </c>
      <c r="AX287" t="str">
        <f t="shared" si="223"/>
        <v/>
      </c>
      <c r="AY287" t="str">
        <f>IF(AND($AK287&lt;=Results!$I$23,$AK287&gt;=Results!$I$22,$AK287&gt;=Results!$F$4),$AN287,"")</f>
        <v/>
      </c>
      <c r="AZ287" t="str">
        <f t="shared" si="196"/>
        <v/>
      </c>
      <c r="BA287" t="str">
        <f>IF(AND($AK287&lt;=Results!$I$27,$AK287&gt;=Results!$I$26,$AK287&lt;=Results!$F$4),$AQ287,"")</f>
        <v/>
      </c>
      <c r="BB287" t="str">
        <f t="shared" si="197"/>
        <v/>
      </c>
      <c r="BC287" t="str">
        <f>IF(AND($AK287&lt;=Results!$I$29,$AK287&gt;=Results!$I$28,$AK287&gt;=Results!$F$4),$AQ287,"")</f>
        <v/>
      </c>
      <c r="BD287">
        <f t="shared" si="198"/>
        <v>8997.1735041215707</v>
      </c>
      <c r="BE287">
        <f t="shared" si="199"/>
        <v>1701.0619225539058</v>
      </c>
      <c r="BF287">
        <f t="shared" si="200"/>
        <v>9285.1074516206318</v>
      </c>
      <c r="BG287">
        <f t="shared" si="201"/>
        <v>1244.1125238356399</v>
      </c>
      <c r="BH287">
        <f t="shared" si="202"/>
        <v>0</v>
      </c>
      <c r="BI287">
        <f t="shared" si="203"/>
        <v>0.8855773844115119</v>
      </c>
      <c r="BJ287">
        <f t="shared" si="204"/>
        <v>0.72373558186460407</v>
      </c>
      <c r="BK287">
        <f t="shared" si="205"/>
        <v>-5.3566613041381224E-2</v>
      </c>
      <c r="BL287">
        <f t="shared" si="206"/>
        <v>-6.3307069967644333E-2</v>
      </c>
      <c r="BM287">
        <f t="shared" si="224"/>
        <v>120.00000000000055</v>
      </c>
      <c r="BN287">
        <f t="shared" si="225"/>
        <v>-120.00000000000284</v>
      </c>
      <c r="BO287">
        <f>Data!$H$2*(1-BI287)*(1-BI287/Data!$H$3)*BM287</f>
        <v>3.1422083899466347E-6</v>
      </c>
      <c r="BP287">
        <f t="shared" si="207"/>
        <v>-106.26928612938192</v>
      </c>
      <c r="BQ287">
        <f>Data!$H$2*(1-BJ287)*(1-BJ287/Data!$H$3)*BN287</f>
        <v>-1.8317286894645767E-5</v>
      </c>
      <c r="BR287">
        <f t="shared" si="208"/>
        <v>86.848269823754549</v>
      </c>
      <c r="BS287">
        <f t="shared" si="209"/>
        <v>0</v>
      </c>
      <c r="BT287">
        <f t="shared" si="210"/>
        <v>0</v>
      </c>
      <c r="BU287">
        <f t="shared" si="211"/>
        <v>0</v>
      </c>
      <c r="BV287">
        <f t="shared" si="212"/>
        <v>0</v>
      </c>
      <c r="BW287">
        <f t="shared" si="226"/>
        <v>0</v>
      </c>
      <c r="BX287" t="str">
        <f t="shared" si="227"/>
        <v/>
      </c>
      <c r="BY287" s="66" t="str">
        <f t="shared" si="213"/>
        <v/>
      </c>
      <c r="BZ287" t="str">
        <f t="shared" si="214"/>
        <v/>
      </c>
      <c r="CA287" s="67" t="str">
        <f t="shared" si="215"/>
        <v/>
      </c>
    </row>
    <row r="288" spans="4:79" x14ac:dyDescent="0.25">
      <c r="D288" s="3" t="e">
        <f t="shared" si="240"/>
        <v>#DIV/0!</v>
      </c>
      <c r="E288" s="3" t="e">
        <f t="shared" si="240"/>
        <v>#DIV/0!</v>
      </c>
      <c r="F288" t="str">
        <f>IF(A288&gt;0,IF(F287=1,1,IF(B288=Data!$H$4,1,0)),"")</f>
        <v/>
      </c>
      <c r="Q288" t="str">
        <f t="shared" si="216"/>
        <v/>
      </c>
      <c r="R288" s="4" t="str">
        <f t="shared" si="217"/>
        <v/>
      </c>
      <c r="S288" t="e">
        <f t="shared" si="228"/>
        <v>#DIV/0!</v>
      </c>
      <c r="T288" t="e">
        <f t="shared" si="241"/>
        <v>#DIV/0!</v>
      </c>
      <c r="U288" s="4">
        <f t="shared" si="218"/>
        <v>0</v>
      </c>
      <c r="V288" t="e">
        <f t="shared" si="229"/>
        <v>#DIV/0!</v>
      </c>
      <c r="W288" t="e">
        <f t="shared" si="230"/>
        <v>#DIV/0!</v>
      </c>
      <c r="X288" t="e">
        <f t="shared" si="231"/>
        <v>#VALUE!</v>
      </c>
      <c r="Y288" t="e">
        <f t="shared" si="232"/>
        <v>#VALUE!</v>
      </c>
      <c r="Z288" t="e">
        <f t="shared" si="233"/>
        <v>#VALUE!</v>
      </c>
      <c r="AA288" t="e">
        <f t="shared" si="219"/>
        <v>#VALUE!</v>
      </c>
      <c r="AB288" t="str">
        <f t="shared" si="234"/>
        <v/>
      </c>
      <c r="AC288" t="str">
        <f t="shared" si="235"/>
        <v/>
      </c>
      <c r="AD288" t="str">
        <f t="shared" si="236"/>
        <v/>
      </c>
      <c r="AE288" t="str">
        <f t="shared" si="237"/>
        <v/>
      </c>
      <c r="AK288" s="4">
        <f t="shared" si="238"/>
        <v>53.600000000000406</v>
      </c>
      <c r="AL288">
        <f t="shared" si="220"/>
        <v>3433.0000000000487</v>
      </c>
      <c r="AM288">
        <f t="shared" si="221"/>
        <v>8113.3333333331366</v>
      </c>
      <c r="AN288">
        <f>IF($AK287+$AK$1&lt;=Data!$H$4-0.5,AVERAGE(AM286:AM290),AN287)</f>
        <v>8113.3333333331366</v>
      </c>
      <c r="AO288">
        <f t="shared" si="222"/>
        <v>7428.9999999999509</v>
      </c>
      <c r="AP288">
        <f t="shared" si="239"/>
        <v>7007.3333333331057</v>
      </c>
      <c r="AQ288">
        <f>IF($AK287+$AK$1&lt;=Data!$H$4-0.5,AVERAGE(AP286:AP290),AQ287)</f>
        <v>7007.3333333331057</v>
      </c>
      <c r="AR288">
        <f>IF($AK287+$AK$1&lt;=Data!$H$4-0.5,SLOPE($AN284:$AN292,$AK284:$AK292),AR287)</f>
        <v>-496.11666666670021</v>
      </c>
      <c r="AS288">
        <f>IF($AK287+$AK$1&lt;=Data!$H$4-0.5,SLOPE($AQ284:$AQ292,$AK284:$AK292),AS287)</f>
        <v>-566.80000000002201</v>
      </c>
      <c r="AT288">
        <f>IF(AND($AK288&gt;=Results!$G$13,$AK288&lt;=Results!$G$14),Curves!AR288,"")</f>
        <v>-496.11666666670021</v>
      </c>
      <c r="AU288">
        <f>IF(AND($AK288&gt;=Results!$G$13,$AK288&lt;=Results!$G$14),Curves!AS288,"")</f>
        <v>-566.80000000002201</v>
      </c>
      <c r="AV288" t="str">
        <f t="shared" si="223"/>
        <v/>
      </c>
      <c r="AW288" t="str">
        <f>IF(AND($AK288&lt;=Results!$I$21,$AK288&gt;=Results!$I$20,$AK288&lt;=Results!$F$4),$AN288,"")</f>
        <v/>
      </c>
      <c r="AX288" t="str">
        <f t="shared" si="223"/>
        <v/>
      </c>
      <c r="AY288" t="str">
        <f>IF(AND($AK288&lt;=Results!$I$23,$AK288&gt;=Results!$I$22,$AK288&gt;=Results!$F$4),$AN288,"")</f>
        <v/>
      </c>
      <c r="AZ288" t="str">
        <f t="shared" si="196"/>
        <v/>
      </c>
      <c r="BA288" t="str">
        <f>IF(AND($AK288&lt;=Results!$I$27,$AK288&gt;=Results!$I$26,$AK288&lt;=Results!$F$4),$AQ288,"")</f>
        <v/>
      </c>
      <c r="BB288" t="str">
        <f t="shared" si="197"/>
        <v/>
      </c>
      <c r="BC288" t="str">
        <f>IF(AND($AK288&lt;=Results!$I$29,$AK288&gt;=Results!$I$28,$AK288&gt;=Results!$F$4),$AQ288,"")</f>
        <v/>
      </c>
      <c r="BD288">
        <f t="shared" si="198"/>
        <v>8986.4033093236503</v>
      </c>
      <c r="BE288">
        <f t="shared" si="199"/>
        <v>1697.7461333045849</v>
      </c>
      <c r="BF288">
        <f t="shared" si="200"/>
        <v>9277.817469387739</v>
      </c>
      <c r="BG288">
        <f t="shared" si="201"/>
        <v>1243.561722876115</v>
      </c>
      <c r="BH288">
        <f t="shared" si="202"/>
        <v>0</v>
      </c>
      <c r="BI288">
        <f t="shared" si="203"/>
        <v>0.88021525022975922</v>
      </c>
      <c r="BJ288">
        <f t="shared" si="204"/>
        <v>0.71739956908386326</v>
      </c>
      <c r="BK288">
        <f t="shared" si="205"/>
        <v>-5.3676238685608564E-2</v>
      </c>
      <c r="BL288">
        <f t="shared" si="206"/>
        <v>-6.341331927494552E-2</v>
      </c>
      <c r="BM288">
        <f t="shared" si="224"/>
        <v>120.00000000000055</v>
      </c>
      <c r="BN288">
        <f t="shared" si="225"/>
        <v>-120.00000000000284</v>
      </c>
      <c r="BO288">
        <f>Data!$H$2*(1-BI288)*(1-BI288/Data!$H$3)*BM288</f>
        <v>3.4436127066046236E-6</v>
      </c>
      <c r="BP288">
        <f t="shared" si="207"/>
        <v>-105.6258300275716</v>
      </c>
      <c r="BQ288">
        <f>Data!$H$2*(1-BJ288)*(1-BJ288/Data!$H$3)*BN288</f>
        <v>-1.9167120852957132E-5</v>
      </c>
      <c r="BR288">
        <f t="shared" si="208"/>
        <v>86.087948290065626</v>
      </c>
      <c r="BS288">
        <f t="shared" si="209"/>
        <v>0</v>
      </c>
      <c r="BT288">
        <f t="shared" si="210"/>
        <v>0</v>
      </c>
      <c r="BU288">
        <f t="shared" si="211"/>
        <v>0</v>
      </c>
      <c r="BV288">
        <f t="shared" si="212"/>
        <v>0</v>
      </c>
      <c r="BW288">
        <f t="shared" si="226"/>
        <v>0</v>
      </c>
      <c r="BX288" t="str">
        <f t="shared" si="227"/>
        <v/>
      </c>
      <c r="BY288" s="66" t="str">
        <f t="shared" si="213"/>
        <v/>
      </c>
      <c r="BZ288" t="str">
        <f t="shared" si="214"/>
        <v/>
      </c>
      <c r="CA288" s="67" t="str">
        <f t="shared" si="215"/>
        <v/>
      </c>
    </row>
    <row r="289" spans="4:79" x14ac:dyDescent="0.25">
      <c r="D289" s="3" t="e">
        <f t="shared" si="240"/>
        <v>#DIV/0!</v>
      </c>
      <c r="E289" s="3" t="e">
        <f t="shared" si="240"/>
        <v>#DIV/0!</v>
      </c>
      <c r="F289" t="str">
        <f>IF(A289&gt;0,IF(F288=1,1,IF(B289=Data!$H$4,1,0)),"")</f>
        <v/>
      </c>
      <c r="Q289" t="str">
        <f t="shared" si="216"/>
        <v/>
      </c>
      <c r="R289" s="4" t="str">
        <f t="shared" si="217"/>
        <v/>
      </c>
      <c r="S289" t="e">
        <f t="shared" si="228"/>
        <v>#DIV/0!</v>
      </c>
      <c r="T289" t="e">
        <f t="shared" si="241"/>
        <v>#DIV/0!</v>
      </c>
      <c r="U289" s="4">
        <f t="shared" si="218"/>
        <v>0</v>
      </c>
      <c r="V289" t="e">
        <f t="shared" si="229"/>
        <v>#DIV/0!</v>
      </c>
      <c r="W289" t="e">
        <f t="shared" si="230"/>
        <v>#DIV/0!</v>
      </c>
      <c r="X289" t="e">
        <f t="shared" si="231"/>
        <v>#VALUE!</v>
      </c>
      <c r="Y289" t="e">
        <f t="shared" si="232"/>
        <v>#VALUE!</v>
      </c>
      <c r="Z289" t="e">
        <f t="shared" si="233"/>
        <v>#VALUE!</v>
      </c>
      <c r="AA289" t="e">
        <f t="shared" si="219"/>
        <v>#VALUE!</v>
      </c>
      <c r="AB289" t="str">
        <f t="shared" si="234"/>
        <v/>
      </c>
      <c r="AC289" t="str">
        <f t="shared" si="235"/>
        <v/>
      </c>
      <c r="AD289" t="str">
        <f t="shared" si="236"/>
        <v/>
      </c>
      <c r="AE289" t="str">
        <f t="shared" si="237"/>
        <v/>
      </c>
      <c r="AK289" s="4">
        <f t="shared" si="238"/>
        <v>53.700000000000408</v>
      </c>
      <c r="AL289">
        <f t="shared" si="220"/>
        <v>3445.0000000000491</v>
      </c>
      <c r="AM289">
        <f t="shared" si="221"/>
        <v>8064.3333333331357</v>
      </c>
      <c r="AN289">
        <f>IF($AK288+$AK$1&lt;=Data!$H$4-0.5,AVERAGE(AM287:AM291),AN288)</f>
        <v>8064.3333333331366</v>
      </c>
      <c r="AO289">
        <f t="shared" si="222"/>
        <v>7416.9999999999509</v>
      </c>
      <c r="AP289">
        <f t="shared" si="239"/>
        <v>6950.9999999997708</v>
      </c>
      <c r="AQ289">
        <f>IF($AK288+$AK$1&lt;=Data!$H$4-0.5,AVERAGE(AP287:AP291),AQ288)</f>
        <v>6950.9999999997717</v>
      </c>
      <c r="AR289">
        <f>IF($AK288+$AK$1&lt;=Data!$H$4-0.5,SLOPE($AN285:$AN293,$AK285:$AK293),AR288)</f>
        <v>-504.27222222227323</v>
      </c>
      <c r="AS289">
        <f>IF($AK288+$AK$1&lt;=Data!$H$4-0.5,SLOPE($AQ285:$AQ293,$AK285:$AK293),AS288)</f>
        <v>-571.42222222225291</v>
      </c>
      <c r="AT289">
        <f>IF(AND($AK289&gt;=Results!$G$13,$AK289&lt;=Results!$G$14),Curves!AR289,"")</f>
        <v>-504.27222222227323</v>
      </c>
      <c r="AU289">
        <f>IF(AND($AK289&gt;=Results!$G$13,$AK289&lt;=Results!$G$14),Curves!AS289,"")</f>
        <v>-571.42222222225291</v>
      </c>
      <c r="AV289" t="str">
        <f t="shared" si="223"/>
        <v/>
      </c>
      <c r="AW289" t="str">
        <f>IF(AND($AK289&lt;=Results!$I$21,$AK289&gt;=Results!$I$20,$AK289&lt;=Results!$F$4),$AN289,"")</f>
        <v/>
      </c>
      <c r="AX289" t="str">
        <f t="shared" si="223"/>
        <v/>
      </c>
      <c r="AY289" t="str">
        <f>IF(AND($AK289&lt;=Results!$I$23,$AK289&gt;=Results!$I$22,$AK289&gt;=Results!$F$4),$AN289,"")</f>
        <v/>
      </c>
      <c r="AZ289" t="str">
        <f t="shared" si="196"/>
        <v/>
      </c>
      <c r="BA289" t="str">
        <f>IF(AND($AK289&lt;=Results!$I$27,$AK289&gt;=Results!$I$26,$AK289&lt;=Results!$F$4),$AQ289,"")</f>
        <v/>
      </c>
      <c r="BB289" t="str">
        <f t="shared" si="197"/>
        <v/>
      </c>
      <c r="BC289" t="str">
        <f>IF(AND($AK289&lt;=Results!$I$29,$AK289&gt;=Results!$I$28,$AK289&gt;=Results!$F$4),$AQ289,"")</f>
        <v/>
      </c>
      <c r="BD289">
        <f t="shared" si="198"/>
        <v>8975.6331145257318</v>
      </c>
      <c r="BE289">
        <f t="shared" si="199"/>
        <v>1694.430344055264</v>
      </c>
      <c r="BF289">
        <f t="shared" si="200"/>
        <v>9270.5274871548463</v>
      </c>
      <c r="BG289">
        <f t="shared" si="201"/>
        <v>1243.01092191659</v>
      </c>
      <c r="BH289">
        <f t="shared" si="202"/>
        <v>0</v>
      </c>
      <c r="BI289">
        <f t="shared" si="203"/>
        <v>0.87484213667439004</v>
      </c>
      <c r="BJ289">
        <f t="shared" si="204"/>
        <v>0.71105291800961479</v>
      </c>
      <c r="BK289">
        <f t="shared" si="205"/>
        <v>-5.3786201202783789E-2</v>
      </c>
      <c r="BL289">
        <f t="shared" si="206"/>
        <v>-6.3519836286908479E-2</v>
      </c>
      <c r="BM289">
        <f t="shared" si="224"/>
        <v>120.00000000000055</v>
      </c>
      <c r="BN289">
        <f t="shared" si="225"/>
        <v>-119.99999999999829</v>
      </c>
      <c r="BO289">
        <f>Data!$H$2*(1-BI289)*(1-BI289/Data!$H$3)*BM289</f>
        <v>3.7594777805357128E-6</v>
      </c>
      <c r="BP289">
        <f t="shared" si="207"/>
        <v>-104.98105640092729</v>
      </c>
      <c r="BQ289">
        <f>Data!$H$2*(1-BJ289)*(1-BJ289/Data!$H$3)*BN289</f>
        <v>-2.0037699885781727E-5</v>
      </c>
      <c r="BR289">
        <f t="shared" si="208"/>
        <v>85.326350161152561</v>
      </c>
      <c r="BS289">
        <f t="shared" si="209"/>
        <v>0</v>
      </c>
      <c r="BT289">
        <f t="shared" si="210"/>
        <v>0</v>
      </c>
      <c r="BU289">
        <f t="shared" si="211"/>
        <v>0</v>
      </c>
      <c r="BV289">
        <f t="shared" si="212"/>
        <v>0</v>
      </c>
      <c r="BW289">
        <f t="shared" si="226"/>
        <v>0</v>
      </c>
      <c r="BX289" t="str">
        <f t="shared" si="227"/>
        <v/>
      </c>
      <c r="BY289" s="66" t="str">
        <f t="shared" si="213"/>
        <v/>
      </c>
      <c r="BZ289" t="str">
        <f t="shared" si="214"/>
        <v/>
      </c>
      <c r="CA289" s="67" t="str">
        <f t="shared" si="215"/>
        <v/>
      </c>
    </row>
    <row r="290" spans="4:79" x14ac:dyDescent="0.25">
      <c r="D290" s="3" t="e">
        <f t="shared" si="240"/>
        <v>#DIV/0!</v>
      </c>
      <c r="E290" s="3" t="e">
        <f t="shared" si="240"/>
        <v>#DIV/0!</v>
      </c>
      <c r="F290" t="str">
        <f>IF(A290&gt;0,IF(F289=1,1,IF(B290=Data!$H$4,1,0)),"")</f>
        <v/>
      </c>
      <c r="Q290" t="str">
        <f t="shared" si="216"/>
        <v/>
      </c>
      <c r="R290" s="4" t="str">
        <f t="shared" si="217"/>
        <v/>
      </c>
      <c r="S290" t="e">
        <f t="shared" si="228"/>
        <v>#DIV/0!</v>
      </c>
      <c r="T290" t="e">
        <f t="shared" si="241"/>
        <v>#DIV/0!</v>
      </c>
      <c r="U290" s="4">
        <f t="shared" si="218"/>
        <v>0</v>
      </c>
      <c r="V290" t="e">
        <f t="shared" si="229"/>
        <v>#DIV/0!</v>
      </c>
      <c r="W290" t="e">
        <f t="shared" si="230"/>
        <v>#DIV/0!</v>
      </c>
      <c r="X290" t="e">
        <f t="shared" si="231"/>
        <v>#VALUE!</v>
      </c>
      <c r="Y290" t="e">
        <f t="shared" si="232"/>
        <v>#VALUE!</v>
      </c>
      <c r="Z290" t="e">
        <f t="shared" si="233"/>
        <v>#VALUE!</v>
      </c>
      <c r="AA290" t="e">
        <f t="shared" si="219"/>
        <v>#VALUE!</v>
      </c>
      <c r="AB290" t="str">
        <f t="shared" si="234"/>
        <v/>
      </c>
      <c r="AC290" t="str">
        <f t="shared" si="235"/>
        <v/>
      </c>
      <c r="AD290" t="str">
        <f t="shared" si="236"/>
        <v/>
      </c>
      <c r="AE290" t="str">
        <f t="shared" si="237"/>
        <v/>
      </c>
      <c r="AK290" s="4">
        <f t="shared" si="238"/>
        <v>53.800000000000409</v>
      </c>
      <c r="AL290">
        <f t="shared" si="220"/>
        <v>3457.0000000000491</v>
      </c>
      <c r="AM290">
        <f t="shared" si="221"/>
        <v>8015.3333333331357</v>
      </c>
      <c r="AN290">
        <f>IF($AK289+$AK$1&lt;=Data!$H$4-0.5,AVERAGE(AM288:AM292),AN289)</f>
        <v>8015.3333333331248</v>
      </c>
      <c r="AO290">
        <f t="shared" si="222"/>
        <v>7404.9999999999509</v>
      </c>
      <c r="AP290">
        <f t="shared" si="239"/>
        <v>6894.6666666664369</v>
      </c>
      <c r="AQ290">
        <f>IF($AK289+$AK$1&lt;=Data!$H$4-0.5,AVERAGE(AP288:AP292),AQ289)</f>
        <v>6894.6666666664314</v>
      </c>
      <c r="AR290">
        <f>IF($AK289+$AK$1&lt;=Data!$H$4-0.5,SLOPE($AN286:$AN294,$AK286:$AK294),AR289)</f>
        <v>-516.50555555562426</v>
      </c>
      <c r="AS290">
        <f>IF($AK289+$AK$1&lt;=Data!$H$4-0.5,SLOPE($AQ286:$AQ294,$AK286:$AK294),AS289)</f>
        <v>-578.3555555555954</v>
      </c>
      <c r="AT290">
        <f>IF(AND($AK290&gt;=Results!$G$13,$AK290&lt;=Results!$G$14),Curves!AR290,"")</f>
        <v>-516.50555555562426</v>
      </c>
      <c r="AU290">
        <f>IF(AND($AK290&gt;=Results!$G$13,$AK290&lt;=Results!$G$14),Curves!AS290,"")</f>
        <v>-578.3555555555954</v>
      </c>
      <c r="AV290" t="str">
        <f t="shared" si="223"/>
        <v/>
      </c>
      <c r="AW290" t="str">
        <f>IF(AND($AK290&lt;=Results!$I$21,$AK290&gt;=Results!$I$20,$AK290&lt;=Results!$F$4),$AN290,"")</f>
        <v/>
      </c>
      <c r="AX290" t="str">
        <f t="shared" si="223"/>
        <v/>
      </c>
      <c r="AY290" t="str">
        <f>IF(AND($AK290&lt;=Results!$I$23,$AK290&gt;=Results!$I$22,$AK290&gt;=Results!$F$4),$AN290,"")</f>
        <v/>
      </c>
      <c r="AZ290" t="str">
        <f t="shared" si="196"/>
        <v/>
      </c>
      <c r="BA290" t="str">
        <f>IF(AND($AK290&lt;=Results!$I$27,$AK290&gt;=Results!$I$26,$AK290&lt;=Results!$F$4),$AQ290,"")</f>
        <v/>
      </c>
      <c r="BB290" t="str">
        <f t="shared" si="197"/>
        <v/>
      </c>
      <c r="BC290" t="str">
        <f>IF(AND($AK290&lt;=Results!$I$29,$AK290&gt;=Results!$I$28,$AK290&gt;=Results!$F$4),$AQ290,"")</f>
        <v/>
      </c>
      <c r="BD290">
        <f t="shared" si="198"/>
        <v>8964.8629197278115</v>
      </c>
      <c r="BE290">
        <f t="shared" si="199"/>
        <v>1691.1145548059433</v>
      </c>
      <c r="BF290">
        <f t="shared" si="200"/>
        <v>9263.2375049219518</v>
      </c>
      <c r="BG290">
        <f t="shared" si="201"/>
        <v>1242.4601209570649</v>
      </c>
      <c r="BH290">
        <f t="shared" si="202"/>
        <v>0</v>
      </c>
      <c r="BI290">
        <f t="shared" si="203"/>
        <v>0.86945800998920231</v>
      </c>
      <c r="BJ290">
        <f t="shared" si="204"/>
        <v>0.70469560182648139</v>
      </c>
      <c r="BK290">
        <f t="shared" si="205"/>
        <v>-5.5580074563527961E-2</v>
      </c>
      <c r="BL290">
        <f t="shared" si="206"/>
        <v>-6.449177042900342E-2</v>
      </c>
      <c r="BM290">
        <f t="shared" si="224"/>
        <v>119.99999999999829</v>
      </c>
      <c r="BN290">
        <f t="shared" si="225"/>
        <v>-119.99999999999829</v>
      </c>
      <c r="BO290">
        <f>Data!$H$2*(1-BI290)*(1-BI290/Data!$H$3)*BM290</f>
        <v>4.089890677434951E-6</v>
      </c>
      <c r="BP290">
        <f t="shared" si="207"/>
        <v>-104.3349611987028</v>
      </c>
      <c r="BQ290">
        <f>Data!$H$2*(1-BJ290)*(1-BJ290/Data!$H$3)*BN290</f>
        <v>-2.0929125019349469E-5</v>
      </c>
      <c r="BR290">
        <f t="shared" si="208"/>
        <v>84.56347221917656</v>
      </c>
      <c r="BS290">
        <f t="shared" si="209"/>
        <v>0</v>
      </c>
      <c r="BT290">
        <f t="shared" si="210"/>
        <v>0</v>
      </c>
      <c r="BU290">
        <f t="shared" si="211"/>
        <v>0</v>
      </c>
      <c r="BV290">
        <f t="shared" si="212"/>
        <v>0</v>
      </c>
      <c r="BW290">
        <f t="shared" si="226"/>
        <v>0</v>
      </c>
      <c r="BX290" t="str">
        <f t="shared" si="227"/>
        <v/>
      </c>
      <c r="BY290" s="66" t="str">
        <f t="shared" si="213"/>
        <v/>
      </c>
      <c r="BZ290" t="str">
        <f t="shared" si="214"/>
        <v/>
      </c>
      <c r="CA290" s="67" t="str">
        <f t="shared" si="215"/>
        <v/>
      </c>
    </row>
    <row r="291" spans="4:79" x14ac:dyDescent="0.25">
      <c r="D291" s="3" t="e">
        <f t="shared" si="240"/>
        <v>#DIV/0!</v>
      </c>
      <c r="E291" s="3" t="e">
        <f t="shared" si="240"/>
        <v>#DIV/0!</v>
      </c>
      <c r="F291" t="str">
        <f>IF(A291&gt;0,IF(F290=1,1,IF(B291=Data!$H$4,1,0)),"")</f>
        <v/>
      </c>
      <c r="Q291" t="str">
        <f t="shared" si="216"/>
        <v/>
      </c>
      <c r="R291" s="4" t="str">
        <f t="shared" si="217"/>
        <v/>
      </c>
      <c r="S291" t="e">
        <f t="shared" si="228"/>
        <v>#DIV/0!</v>
      </c>
      <c r="T291" t="e">
        <f t="shared" si="241"/>
        <v>#DIV/0!</v>
      </c>
      <c r="U291" s="4">
        <f t="shared" si="218"/>
        <v>0</v>
      </c>
      <c r="V291" t="e">
        <f t="shared" si="229"/>
        <v>#DIV/0!</v>
      </c>
      <c r="W291" t="e">
        <f t="shared" si="230"/>
        <v>#DIV/0!</v>
      </c>
      <c r="X291" t="e">
        <f t="shared" si="231"/>
        <v>#VALUE!</v>
      </c>
      <c r="Y291" t="e">
        <f t="shared" si="232"/>
        <v>#VALUE!</v>
      </c>
      <c r="Z291" t="e">
        <f t="shared" si="233"/>
        <v>#VALUE!</v>
      </c>
      <c r="AA291" t="e">
        <f t="shared" si="219"/>
        <v>#VALUE!</v>
      </c>
      <c r="AB291" t="str">
        <f t="shared" si="234"/>
        <v/>
      </c>
      <c r="AC291" t="str">
        <f t="shared" si="235"/>
        <v/>
      </c>
      <c r="AD291" t="str">
        <f t="shared" si="236"/>
        <v/>
      </c>
      <c r="AE291" t="str">
        <f t="shared" si="237"/>
        <v/>
      </c>
      <c r="AK291" s="4">
        <f t="shared" si="238"/>
        <v>53.900000000000411</v>
      </c>
      <c r="AL291">
        <f t="shared" si="220"/>
        <v>3469.0000000000491</v>
      </c>
      <c r="AM291">
        <f t="shared" si="221"/>
        <v>7966.3333333331348</v>
      </c>
      <c r="AN291">
        <f>IF($AK290+$AK$1&lt;=Data!$H$4-0.5,AVERAGE(AM289:AM293),AN290)</f>
        <v>7963.8866666664489</v>
      </c>
      <c r="AO291">
        <f t="shared" si="222"/>
        <v>7392.9999999999509</v>
      </c>
      <c r="AP291">
        <f t="shared" si="239"/>
        <v>6838.333333333102</v>
      </c>
      <c r="AQ291">
        <f>IF($AK290+$AK$1&lt;=Data!$H$4-0.5,AVERAGE(AP289:AP293),AQ290)</f>
        <v>6836.946666666423</v>
      </c>
      <c r="AR291">
        <f>IF($AK290+$AK$1&lt;=Data!$H$4-0.5,SLOPE($AN287:$AN295,$AK287:$AK295),AR290)</f>
        <v>-532.81666666674266</v>
      </c>
      <c r="AS291">
        <f>IF($AK290+$AK$1&lt;=Data!$H$4-0.5,SLOPE($AQ287:$AQ295,$AK287:$AK295),AS290)</f>
        <v>-587.60000000004368</v>
      </c>
      <c r="AT291">
        <f>IF(AND($AK291&gt;=Results!$G$13,$AK291&lt;=Results!$G$14),Curves!AR291,"")</f>
        <v>-532.81666666674266</v>
      </c>
      <c r="AU291">
        <f>IF(AND($AK291&gt;=Results!$G$13,$AK291&lt;=Results!$G$14),Curves!AS291,"")</f>
        <v>-587.60000000004368</v>
      </c>
      <c r="AV291" t="str">
        <f t="shared" si="223"/>
        <v/>
      </c>
      <c r="AW291" t="str">
        <f>IF(AND($AK291&lt;=Results!$I$21,$AK291&gt;=Results!$I$20,$AK291&lt;=Results!$F$4),$AN291,"")</f>
        <v/>
      </c>
      <c r="AX291" t="str">
        <f t="shared" si="223"/>
        <v/>
      </c>
      <c r="AY291" t="str">
        <f>IF(AND($AK291&lt;=Results!$I$23,$AK291&gt;=Results!$I$22,$AK291&gt;=Results!$F$4),$AN291,"")</f>
        <v/>
      </c>
      <c r="AZ291" t="str">
        <f t="shared" si="196"/>
        <v/>
      </c>
      <c r="BA291" t="str">
        <f>IF(AND($AK291&lt;=Results!$I$27,$AK291&gt;=Results!$I$26,$AK291&lt;=Results!$F$4),$AQ291,"")</f>
        <v/>
      </c>
      <c r="BB291" t="str">
        <f t="shared" si="197"/>
        <v/>
      </c>
      <c r="BC291" t="str">
        <f>IF(AND($AK291&lt;=Results!$I$29,$AK291&gt;=Results!$I$28,$AK291&gt;=Results!$F$4),$AQ291,"")</f>
        <v/>
      </c>
      <c r="BD291">
        <f t="shared" si="198"/>
        <v>8954.0927249298911</v>
      </c>
      <c r="BE291">
        <f t="shared" si="199"/>
        <v>1687.7987655566224</v>
      </c>
      <c r="BF291">
        <f t="shared" si="200"/>
        <v>9255.947522689059</v>
      </c>
      <c r="BG291">
        <f t="shared" si="201"/>
        <v>1241.90931999754</v>
      </c>
      <c r="BH291">
        <f t="shared" si="202"/>
        <v>0</v>
      </c>
      <c r="BI291">
        <f t="shared" si="203"/>
        <v>0.86372612176168428</v>
      </c>
      <c r="BJ291">
        <f t="shared" si="204"/>
        <v>0.69815456392381392</v>
      </c>
      <c r="BK291">
        <f t="shared" si="205"/>
        <v>-5.9063046949649756E-2</v>
      </c>
      <c r="BL291">
        <f t="shared" si="206"/>
        <v>-6.6331307009382001E-2</v>
      </c>
      <c r="BM291">
        <f t="shared" si="224"/>
        <v>120.00000000000055</v>
      </c>
      <c r="BN291">
        <f t="shared" si="225"/>
        <v>-119.99999999999829</v>
      </c>
      <c r="BO291">
        <f>Data!$H$2*(1-BI291)*(1-BI291/Data!$H$3)*BM291</f>
        <v>4.4569367736267315E-6</v>
      </c>
      <c r="BP291">
        <f t="shared" si="207"/>
        <v>-103.64713461140259</v>
      </c>
      <c r="BQ291">
        <f>Data!$H$2*(1-BJ291)*(1-BJ291/Data!$H$3)*BN291</f>
        <v>-2.1866560147205191E-5</v>
      </c>
      <c r="BR291">
        <f t="shared" si="208"/>
        <v>83.778547670856483</v>
      </c>
      <c r="BS291">
        <f t="shared" si="209"/>
        <v>0</v>
      </c>
      <c r="BT291">
        <f t="shared" si="210"/>
        <v>0</v>
      </c>
      <c r="BU291">
        <f t="shared" si="211"/>
        <v>0</v>
      </c>
      <c r="BV291">
        <f t="shared" si="212"/>
        <v>0</v>
      </c>
      <c r="BW291">
        <f t="shared" si="226"/>
        <v>0</v>
      </c>
      <c r="BX291" t="str">
        <f t="shared" si="227"/>
        <v/>
      </c>
      <c r="BY291" s="66" t="str">
        <f t="shared" si="213"/>
        <v/>
      </c>
      <c r="BZ291" t="str">
        <f t="shared" si="214"/>
        <v/>
      </c>
      <c r="CA291" s="67" t="str">
        <f t="shared" si="215"/>
        <v/>
      </c>
    </row>
    <row r="292" spans="4:79" x14ac:dyDescent="0.25">
      <c r="D292" s="3" t="e">
        <f t="shared" si="240"/>
        <v>#DIV/0!</v>
      </c>
      <c r="E292" s="3" t="e">
        <f t="shared" si="240"/>
        <v>#DIV/0!</v>
      </c>
      <c r="F292" t="str">
        <f>IF(A292&gt;0,IF(F291=1,1,IF(B292=Data!$H$4,1,0)),"")</f>
        <v/>
      </c>
      <c r="Q292" t="str">
        <f t="shared" si="216"/>
        <v/>
      </c>
      <c r="R292" s="4" t="str">
        <f t="shared" si="217"/>
        <v/>
      </c>
      <c r="S292" t="e">
        <f t="shared" si="228"/>
        <v>#DIV/0!</v>
      </c>
      <c r="T292" t="e">
        <f t="shared" si="241"/>
        <v>#DIV/0!</v>
      </c>
      <c r="U292" s="4">
        <f t="shared" si="218"/>
        <v>0</v>
      </c>
      <c r="V292" t="e">
        <f t="shared" si="229"/>
        <v>#DIV/0!</v>
      </c>
      <c r="W292" t="e">
        <f t="shared" si="230"/>
        <v>#DIV/0!</v>
      </c>
      <c r="X292" t="e">
        <f t="shared" si="231"/>
        <v>#VALUE!</v>
      </c>
      <c r="Y292" t="e">
        <f t="shared" si="232"/>
        <v>#VALUE!</v>
      </c>
      <c r="Z292" t="e">
        <f t="shared" si="233"/>
        <v>#VALUE!</v>
      </c>
      <c r="AA292" t="e">
        <f t="shared" si="219"/>
        <v>#VALUE!</v>
      </c>
      <c r="AB292" t="str">
        <f t="shared" si="234"/>
        <v/>
      </c>
      <c r="AC292" t="str">
        <f t="shared" si="235"/>
        <v/>
      </c>
      <c r="AD292" t="str">
        <f t="shared" si="236"/>
        <v/>
      </c>
      <c r="AE292" t="str">
        <f t="shared" si="237"/>
        <v/>
      </c>
      <c r="AK292" s="4">
        <f t="shared" si="238"/>
        <v>54.000000000000412</v>
      </c>
      <c r="AL292">
        <f t="shared" si="220"/>
        <v>3481.0000000000496</v>
      </c>
      <c r="AM292">
        <f t="shared" si="221"/>
        <v>7917.3333333330838</v>
      </c>
      <c r="AN292">
        <f>IF($AK291+$AK$1&lt;=Data!$H$4-0.5,AVERAGE(AM290:AM294),AN291)</f>
        <v>7909.9933333331037</v>
      </c>
      <c r="AO292">
        <f t="shared" si="222"/>
        <v>7380.9999999999509</v>
      </c>
      <c r="AP292">
        <f t="shared" si="239"/>
        <v>6781.999999999739</v>
      </c>
      <c r="AQ292">
        <f>IF($AK291+$AK$1&lt;=Data!$H$4-0.5,AVERAGE(AP290:AP294),AQ291)</f>
        <v>6777.8399999997509</v>
      </c>
      <c r="AR292">
        <f>IF($AK291+$AK$1&lt;=Data!$H$4-0.5,SLOPE($AN288:$AN296,$AK288:$AK296),AR291)</f>
        <v>-551.16666666674257</v>
      </c>
      <c r="AS292">
        <f>IF($AK291+$AK$1&lt;=Data!$H$4-0.5,SLOPE($AQ288:$AQ296,$AK288:$AK296),AS291)</f>
        <v>-598.00000000004286</v>
      </c>
      <c r="AT292">
        <f>IF(AND($AK292&gt;=Results!$G$13,$AK292&lt;=Results!$G$14),Curves!AR292,"")</f>
        <v>-551.16666666674257</v>
      </c>
      <c r="AU292">
        <f>IF(AND($AK292&gt;=Results!$G$13,$AK292&lt;=Results!$G$14),Curves!AS292,"")</f>
        <v>-598.00000000004286</v>
      </c>
      <c r="AV292" t="str">
        <f t="shared" si="223"/>
        <v/>
      </c>
      <c r="AW292" t="str">
        <f>IF(AND($AK292&lt;=Results!$I$21,$AK292&gt;=Results!$I$20,$AK292&lt;=Results!$F$4),$AN292,"")</f>
        <v/>
      </c>
      <c r="AX292" t="str">
        <f t="shared" si="223"/>
        <v/>
      </c>
      <c r="AY292" t="str">
        <f>IF(AND($AK292&lt;=Results!$I$23,$AK292&gt;=Results!$I$22,$AK292&gt;=Results!$F$4),$AN292,"")</f>
        <v/>
      </c>
      <c r="AZ292" t="str">
        <f t="shared" si="196"/>
        <v/>
      </c>
      <c r="BA292" t="str">
        <f>IF(AND($AK292&lt;=Results!$I$27,$AK292&gt;=Results!$I$26,$AK292&lt;=Results!$F$4),$AQ292,"")</f>
        <v/>
      </c>
      <c r="BB292" t="str">
        <f t="shared" si="197"/>
        <v/>
      </c>
      <c r="BC292" t="str">
        <f>IF(AND($AK292&lt;=Results!$I$29,$AK292&gt;=Results!$I$28,$AK292&gt;=Results!$F$4),$AQ292,"")</f>
        <v/>
      </c>
      <c r="BD292">
        <f t="shared" si="198"/>
        <v>8943.3225301319726</v>
      </c>
      <c r="BE292">
        <f t="shared" si="199"/>
        <v>1684.4829763073017</v>
      </c>
      <c r="BF292">
        <f t="shared" si="200"/>
        <v>9248.6575404561663</v>
      </c>
      <c r="BG292">
        <f t="shared" si="201"/>
        <v>1241.3585190380149</v>
      </c>
      <c r="BH292">
        <f t="shared" si="202"/>
        <v>0</v>
      </c>
      <c r="BI292">
        <f t="shared" si="203"/>
        <v>0.85764540059927219</v>
      </c>
      <c r="BJ292">
        <f t="shared" si="204"/>
        <v>0.6914293404246048</v>
      </c>
      <c r="BK292">
        <f t="shared" si="205"/>
        <v>-6.2556755289176147E-2</v>
      </c>
      <c r="BL292">
        <f t="shared" si="206"/>
        <v>-6.8175490174674086E-2</v>
      </c>
      <c r="BM292">
        <f t="shared" si="224"/>
        <v>120.00000000000055</v>
      </c>
      <c r="BN292">
        <f t="shared" si="225"/>
        <v>-120.00000000000284</v>
      </c>
      <c r="BO292">
        <f>Data!$H$2*(1-BI292)*(1-BI292/Data!$H$3)*BM292</f>
        <v>4.8635596729300283E-6</v>
      </c>
      <c r="BP292">
        <f t="shared" si="207"/>
        <v>-102.91744807191314</v>
      </c>
      <c r="BQ292">
        <f>Data!$H$2*(1-BJ292)*(1-BJ292/Data!$H$3)*BN292</f>
        <v>-2.2851804468191205E-5</v>
      </c>
      <c r="BR292">
        <f t="shared" si="208"/>
        <v>82.971520850954548</v>
      </c>
      <c r="BS292">
        <f t="shared" si="209"/>
        <v>0</v>
      </c>
      <c r="BT292">
        <f t="shared" si="210"/>
        <v>0</v>
      </c>
      <c r="BU292">
        <f t="shared" si="211"/>
        <v>0</v>
      </c>
      <c r="BV292">
        <f t="shared" si="212"/>
        <v>0</v>
      </c>
      <c r="BW292">
        <f t="shared" si="226"/>
        <v>0</v>
      </c>
      <c r="BX292" t="str">
        <f t="shared" si="227"/>
        <v/>
      </c>
      <c r="BY292" s="66" t="str">
        <f t="shared" si="213"/>
        <v/>
      </c>
      <c r="BZ292" t="str">
        <f t="shared" si="214"/>
        <v/>
      </c>
      <c r="CA292" s="67" t="str">
        <f t="shared" si="215"/>
        <v/>
      </c>
    </row>
    <row r="293" spans="4:79" x14ac:dyDescent="0.25">
      <c r="D293" s="3" t="e">
        <f t="shared" si="240"/>
        <v>#DIV/0!</v>
      </c>
      <c r="E293" s="3" t="e">
        <f t="shared" si="240"/>
        <v>#DIV/0!</v>
      </c>
      <c r="F293" t="str">
        <f>IF(A293&gt;0,IF(F292=1,1,IF(B293=Data!$H$4,1,0)),"")</f>
        <v/>
      </c>
      <c r="Q293" t="str">
        <f t="shared" si="216"/>
        <v/>
      </c>
      <c r="R293" s="4" t="str">
        <f t="shared" si="217"/>
        <v/>
      </c>
      <c r="S293" t="e">
        <f t="shared" si="228"/>
        <v>#DIV/0!</v>
      </c>
      <c r="T293" t="e">
        <f t="shared" si="241"/>
        <v>#DIV/0!</v>
      </c>
      <c r="U293" s="4">
        <f t="shared" si="218"/>
        <v>0</v>
      </c>
      <c r="V293" t="e">
        <f t="shared" si="229"/>
        <v>#DIV/0!</v>
      </c>
      <c r="W293" t="e">
        <f t="shared" si="230"/>
        <v>#DIV/0!</v>
      </c>
      <c r="X293" t="e">
        <f t="shared" si="231"/>
        <v>#VALUE!</v>
      </c>
      <c r="Y293" t="e">
        <f t="shared" si="232"/>
        <v>#VALUE!</v>
      </c>
      <c r="Z293" t="e">
        <f t="shared" si="233"/>
        <v>#VALUE!</v>
      </c>
      <c r="AA293" t="e">
        <f t="shared" si="219"/>
        <v>#VALUE!</v>
      </c>
      <c r="AB293" t="str">
        <f t="shared" si="234"/>
        <v/>
      </c>
      <c r="AC293" t="str">
        <f t="shared" si="235"/>
        <v/>
      </c>
      <c r="AD293" t="str">
        <f t="shared" si="236"/>
        <v/>
      </c>
      <c r="AE293" t="str">
        <f t="shared" si="237"/>
        <v/>
      </c>
      <c r="AK293" s="4">
        <f t="shared" si="238"/>
        <v>54.100000000000414</v>
      </c>
      <c r="AL293">
        <f t="shared" si="220"/>
        <v>3493.0000000000496</v>
      </c>
      <c r="AM293">
        <f t="shared" si="221"/>
        <v>7856.0999999997493</v>
      </c>
      <c r="AN293">
        <f>IF($AK292+$AK$1&lt;=Data!$H$4-0.5,AVERAGE(AM291:AM295),AN292)</f>
        <v>7853.6533333330926</v>
      </c>
      <c r="AO293">
        <f t="shared" si="222"/>
        <v>7368.99999999995</v>
      </c>
      <c r="AP293">
        <f t="shared" si="239"/>
        <v>6718.7333333330716</v>
      </c>
      <c r="AQ293">
        <f>IF($AK292+$AK$1&lt;=Data!$H$4-0.5,AVERAGE(AP291:AP295),AQ292)</f>
        <v>6717.3466666664117</v>
      </c>
      <c r="AR293">
        <f>IF($AK292+$AK$1&lt;=Data!$H$4-0.5,SLOPE($AN289:$AN297,$AK289:$AK297),AR292)</f>
        <v>-569.51666666673452</v>
      </c>
      <c r="AS293">
        <f>IF($AK292+$AK$1&lt;=Data!$H$4-0.5,SLOPE($AQ289:$AQ297,$AK289:$AK297),AS292)</f>
        <v>-608.40000000003772</v>
      </c>
      <c r="AT293">
        <f>IF(AND($AK293&gt;=Results!$G$13,$AK293&lt;=Results!$G$14),Curves!AR293,"")</f>
        <v>-569.51666666673452</v>
      </c>
      <c r="AU293">
        <f>IF(AND($AK293&gt;=Results!$G$13,$AK293&lt;=Results!$G$14),Curves!AS293,"")</f>
        <v>-608.40000000003772</v>
      </c>
      <c r="AV293" t="str">
        <f t="shared" si="223"/>
        <v/>
      </c>
      <c r="AW293" t="str">
        <f>IF(AND($AK293&lt;=Results!$I$21,$AK293&gt;=Results!$I$20,$AK293&lt;=Results!$F$4),$AN293,"")</f>
        <v/>
      </c>
      <c r="AX293" t="str">
        <f t="shared" si="223"/>
        <v/>
      </c>
      <c r="AY293" t="str">
        <f>IF(AND($AK293&lt;=Results!$I$23,$AK293&gt;=Results!$I$22,$AK293&gt;=Results!$F$4),$AN293,"")</f>
        <v/>
      </c>
      <c r="AZ293" t="str">
        <f t="shared" si="196"/>
        <v/>
      </c>
      <c r="BA293" t="str">
        <f>IF(AND($AK293&lt;=Results!$I$27,$AK293&gt;=Results!$I$26,$AK293&lt;=Results!$F$4),$AQ293,"")</f>
        <v/>
      </c>
      <c r="BB293" t="str">
        <f t="shared" si="197"/>
        <v/>
      </c>
      <c r="BC293" t="str">
        <f>IF(AND($AK293&lt;=Results!$I$29,$AK293&gt;=Results!$I$28,$AK293&gt;=Results!$F$4),$AQ293,"")</f>
        <v/>
      </c>
      <c r="BD293">
        <f t="shared" si="198"/>
        <v>8932.5523353340523</v>
      </c>
      <c r="BE293">
        <f t="shared" si="199"/>
        <v>1681.1671870579808</v>
      </c>
      <c r="BF293">
        <f t="shared" si="200"/>
        <v>9241.3675582232736</v>
      </c>
      <c r="BG293">
        <f t="shared" si="201"/>
        <v>1240.8077180784899</v>
      </c>
      <c r="BH293">
        <f t="shared" si="202"/>
        <v>0</v>
      </c>
      <c r="BI293">
        <f t="shared" si="203"/>
        <v>0.85121477070384888</v>
      </c>
      <c r="BJ293">
        <f t="shared" si="204"/>
        <v>0.68451946588887891</v>
      </c>
      <c r="BK293">
        <f t="shared" si="205"/>
        <v>-6.6061243750995702E-2</v>
      </c>
      <c r="BL293">
        <f t="shared" si="206"/>
        <v>-7.0024335587487552E-2</v>
      </c>
      <c r="BM293">
        <f t="shared" si="224"/>
        <v>120.00000000000055</v>
      </c>
      <c r="BN293">
        <f t="shared" si="225"/>
        <v>-120.00000000000284</v>
      </c>
      <c r="BO293">
        <f>Data!$H$2*(1-BI293)*(1-BI293/Data!$H$3)*BM293</f>
        <v>5.3128906696100081E-6</v>
      </c>
      <c r="BP293">
        <f t="shared" si="207"/>
        <v>-102.14577248446234</v>
      </c>
      <c r="BQ293">
        <f>Data!$H$2*(1-BJ293)*(1-BJ293/Data!$H$3)*BN293</f>
        <v>-2.3886712176729744E-5</v>
      </c>
      <c r="BR293">
        <f t="shared" si="208"/>
        <v>82.142335906667412</v>
      </c>
      <c r="BS293">
        <f t="shared" si="209"/>
        <v>0</v>
      </c>
      <c r="BT293">
        <f t="shared" si="210"/>
        <v>0</v>
      </c>
      <c r="BU293">
        <f t="shared" si="211"/>
        <v>0</v>
      </c>
      <c r="BV293">
        <f t="shared" si="212"/>
        <v>0</v>
      </c>
      <c r="BW293">
        <f t="shared" si="226"/>
        <v>0</v>
      </c>
      <c r="BX293" t="str">
        <f t="shared" si="227"/>
        <v/>
      </c>
      <c r="BY293" s="66" t="str">
        <f t="shared" si="213"/>
        <v/>
      </c>
      <c r="BZ293" t="str">
        <f t="shared" si="214"/>
        <v/>
      </c>
      <c r="CA293" s="67" t="str">
        <f t="shared" si="215"/>
        <v/>
      </c>
    </row>
    <row r="294" spans="4:79" x14ac:dyDescent="0.25">
      <c r="D294" s="3" t="e">
        <f t="shared" si="240"/>
        <v>#DIV/0!</v>
      </c>
      <c r="E294" s="3" t="e">
        <f t="shared" si="240"/>
        <v>#DIV/0!</v>
      </c>
      <c r="F294" t="str">
        <f>IF(A294&gt;0,IF(F293=1,1,IF(B294=Data!$H$4,1,0)),"")</f>
        <v/>
      </c>
      <c r="Q294" t="str">
        <f t="shared" si="216"/>
        <v/>
      </c>
      <c r="R294" s="4" t="str">
        <f t="shared" si="217"/>
        <v/>
      </c>
      <c r="S294" t="e">
        <f t="shared" si="228"/>
        <v>#DIV/0!</v>
      </c>
      <c r="T294" t="e">
        <f t="shared" si="241"/>
        <v>#DIV/0!</v>
      </c>
      <c r="U294" s="4">
        <f t="shared" si="218"/>
        <v>0</v>
      </c>
      <c r="V294" t="e">
        <f t="shared" si="229"/>
        <v>#DIV/0!</v>
      </c>
      <c r="W294" t="e">
        <f t="shared" si="230"/>
        <v>#DIV/0!</v>
      </c>
      <c r="X294" t="e">
        <f t="shared" si="231"/>
        <v>#VALUE!</v>
      </c>
      <c r="Y294" t="e">
        <f t="shared" si="232"/>
        <v>#VALUE!</v>
      </c>
      <c r="Z294" t="e">
        <f t="shared" si="233"/>
        <v>#VALUE!</v>
      </c>
      <c r="AA294" t="e">
        <f t="shared" si="219"/>
        <v>#VALUE!</v>
      </c>
      <c r="AB294" t="str">
        <f t="shared" si="234"/>
        <v/>
      </c>
      <c r="AC294" t="str">
        <f t="shared" si="235"/>
        <v/>
      </c>
      <c r="AD294" t="str">
        <f t="shared" si="236"/>
        <v/>
      </c>
      <c r="AE294" t="str">
        <f t="shared" si="237"/>
        <v/>
      </c>
      <c r="AK294" s="4">
        <f t="shared" si="238"/>
        <v>54.200000000000415</v>
      </c>
      <c r="AL294">
        <f t="shared" si="220"/>
        <v>3505.00000000005</v>
      </c>
      <c r="AM294">
        <f t="shared" si="221"/>
        <v>7794.8666666664149</v>
      </c>
      <c r="AN294">
        <f>IF($AK293+$AK$1&lt;=Data!$H$4-0.5,AVERAGE(AM292:AM296),AN293)</f>
        <v>7794.8666666664139</v>
      </c>
      <c r="AO294">
        <f t="shared" si="222"/>
        <v>7356.99999999995</v>
      </c>
      <c r="AP294">
        <f t="shared" si="239"/>
        <v>6655.4666666664043</v>
      </c>
      <c r="AQ294">
        <f>IF($AK293+$AK$1&lt;=Data!$H$4-0.5,AVERAGE(AP292:AP296),AQ293)</f>
        <v>6655.4666666664052</v>
      </c>
      <c r="AR294">
        <f>IF($AK293+$AK$1&lt;=Data!$H$4-0.5,SLOPE($AN290:$AN298,$AK290:$AK298),AR293)</f>
        <v>-585.8277777778294</v>
      </c>
      <c r="AS294">
        <f>IF($AK293+$AK$1&lt;=Data!$H$4-0.5,SLOPE($AQ290:$AQ298,$AK290:$AK298),AS293)</f>
        <v>-617.6444444444719</v>
      </c>
      <c r="AT294">
        <f>IF(AND($AK294&gt;=Results!$G$13,$AK294&lt;=Results!$G$14),Curves!AR294,"")</f>
        <v>-585.8277777778294</v>
      </c>
      <c r="AU294">
        <f>IF(AND($AK294&gt;=Results!$G$13,$AK294&lt;=Results!$G$14),Curves!AS294,"")</f>
        <v>-617.6444444444719</v>
      </c>
      <c r="AV294" t="str">
        <f t="shared" si="223"/>
        <v/>
      </c>
      <c r="AW294" t="str">
        <f>IF(AND($AK294&lt;=Results!$I$21,$AK294&gt;=Results!$I$20,$AK294&lt;=Results!$F$4),$AN294,"")</f>
        <v/>
      </c>
      <c r="AX294" t="str">
        <f t="shared" si="223"/>
        <v/>
      </c>
      <c r="AY294" t="str">
        <f>IF(AND($AK294&lt;=Results!$I$23,$AK294&gt;=Results!$I$22,$AK294&gt;=Results!$F$4),$AN294,"")</f>
        <v/>
      </c>
      <c r="AZ294" t="str">
        <f t="shared" si="196"/>
        <v/>
      </c>
      <c r="BA294" t="str">
        <f>IF(AND($AK294&lt;=Results!$I$27,$AK294&gt;=Results!$I$26,$AK294&lt;=Results!$F$4),$AQ294,"")</f>
        <v/>
      </c>
      <c r="BB294" t="str">
        <f t="shared" si="197"/>
        <v/>
      </c>
      <c r="BC294" t="str">
        <f>IF(AND($AK294&lt;=Results!$I$29,$AK294&gt;=Results!$I$28,$AK294&gt;=Results!$F$4),$AQ294,"")</f>
        <v/>
      </c>
      <c r="BD294">
        <f t="shared" si="198"/>
        <v>8921.7821405361319</v>
      </c>
      <c r="BE294">
        <f t="shared" si="199"/>
        <v>1677.8513978086598</v>
      </c>
      <c r="BF294">
        <f t="shared" si="200"/>
        <v>9234.0775759903809</v>
      </c>
      <c r="BG294">
        <f t="shared" si="201"/>
        <v>1240.256917118965</v>
      </c>
      <c r="BH294">
        <f t="shared" si="202"/>
        <v>0</v>
      </c>
      <c r="BI294">
        <f t="shared" si="203"/>
        <v>0.84443315184907286</v>
      </c>
      <c r="BJ294">
        <f t="shared" si="204"/>
        <v>0.67742447330710709</v>
      </c>
      <c r="BK294">
        <f t="shared" si="205"/>
        <v>-6.9576556731377873E-2</v>
      </c>
      <c r="BL294">
        <f t="shared" si="206"/>
        <v>-7.1877858976469672E-2</v>
      </c>
      <c r="BM294">
        <f t="shared" si="224"/>
        <v>120.00000000000055</v>
      </c>
      <c r="BN294">
        <f t="shared" si="225"/>
        <v>-119.99999999999829</v>
      </c>
      <c r="BO294">
        <f>Data!$H$2*(1-BI294)*(1-BI294/Data!$H$3)*BM294</f>
        <v>5.8082506184672955E-6</v>
      </c>
      <c r="BP294">
        <f t="shared" si="207"/>
        <v>-101.33197822188922</v>
      </c>
      <c r="BQ294">
        <f>Data!$H$2*(1-BJ294)*(1-BJ294/Data!$H$3)*BN294</f>
        <v>-2.497319290108699E-5</v>
      </c>
      <c r="BR294">
        <f t="shared" si="208"/>
        <v>81.290936796851696</v>
      </c>
      <c r="BS294">
        <f t="shared" si="209"/>
        <v>0</v>
      </c>
      <c r="BT294">
        <f t="shared" si="210"/>
        <v>0</v>
      </c>
      <c r="BU294">
        <f t="shared" si="211"/>
        <v>0</v>
      </c>
      <c r="BV294">
        <f t="shared" si="212"/>
        <v>0</v>
      </c>
      <c r="BW294">
        <f t="shared" si="226"/>
        <v>0</v>
      </c>
      <c r="BX294" t="str">
        <f t="shared" si="227"/>
        <v/>
      </c>
      <c r="BY294" s="66" t="str">
        <f t="shared" si="213"/>
        <v/>
      </c>
      <c r="BZ294" t="str">
        <f t="shared" si="214"/>
        <v/>
      </c>
      <c r="CA294" s="67" t="str">
        <f t="shared" si="215"/>
        <v/>
      </c>
    </row>
    <row r="295" spans="4:79" x14ac:dyDescent="0.25">
      <c r="D295" s="3" t="e">
        <f t="shared" si="240"/>
        <v>#DIV/0!</v>
      </c>
      <c r="E295" s="3" t="e">
        <f t="shared" si="240"/>
        <v>#DIV/0!</v>
      </c>
      <c r="F295" t="str">
        <f>IF(A295&gt;0,IF(F294=1,1,IF(B295=Data!$H$4,1,0)),"")</f>
        <v/>
      </c>
      <c r="Q295" t="str">
        <f t="shared" si="216"/>
        <v/>
      </c>
      <c r="R295" s="4" t="str">
        <f t="shared" si="217"/>
        <v/>
      </c>
      <c r="S295" t="e">
        <f t="shared" si="228"/>
        <v>#DIV/0!</v>
      </c>
      <c r="T295" t="e">
        <f t="shared" si="241"/>
        <v>#DIV/0!</v>
      </c>
      <c r="U295" s="4">
        <f t="shared" si="218"/>
        <v>0</v>
      </c>
      <c r="V295" t="e">
        <f t="shared" si="229"/>
        <v>#DIV/0!</v>
      </c>
      <c r="W295" t="e">
        <f t="shared" si="230"/>
        <v>#DIV/0!</v>
      </c>
      <c r="X295" t="e">
        <f t="shared" si="231"/>
        <v>#VALUE!</v>
      </c>
      <c r="Y295" t="e">
        <f t="shared" si="232"/>
        <v>#VALUE!</v>
      </c>
      <c r="Z295" t="e">
        <f t="shared" si="233"/>
        <v>#VALUE!</v>
      </c>
      <c r="AA295" t="e">
        <f t="shared" si="219"/>
        <v>#VALUE!</v>
      </c>
      <c r="AB295" t="str">
        <f t="shared" si="234"/>
        <v/>
      </c>
      <c r="AC295" t="str">
        <f t="shared" si="235"/>
        <v/>
      </c>
      <c r="AD295" t="str">
        <f t="shared" si="236"/>
        <v/>
      </c>
      <c r="AE295" t="str">
        <f t="shared" si="237"/>
        <v/>
      </c>
      <c r="AK295" s="4">
        <f t="shared" si="238"/>
        <v>54.300000000000416</v>
      </c>
      <c r="AL295">
        <f t="shared" si="220"/>
        <v>3517.00000000005</v>
      </c>
      <c r="AM295">
        <f t="shared" si="221"/>
        <v>7733.6333333330804</v>
      </c>
      <c r="AN295">
        <f>IF($AK294+$AK$1&lt;=Data!$H$4-0.5,AVERAGE(AM293:AM297),AN294)</f>
        <v>7733.6333333330813</v>
      </c>
      <c r="AO295">
        <f t="shared" si="222"/>
        <v>7344.99999999995</v>
      </c>
      <c r="AP295">
        <f t="shared" si="239"/>
        <v>6592.199999999737</v>
      </c>
      <c r="AQ295">
        <f>IF($AK294+$AK$1&lt;=Data!$H$4-0.5,AVERAGE(AP293:AP297),AQ294)</f>
        <v>6592.1999999997379</v>
      </c>
      <c r="AR295">
        <f>IF($AK294+$AK$1&lt;=Data!$H$4-0.5,SLOPE($AN291:$AN299,$AK291:$AK299),AR294)</f>
        <v>-598.06111111114694</v>
      </c>
      <c r="AS295">
        <f>IF($AK294+$AK$1&lt;=Data!$H$4-0.5,SLOPE($AQ291:$AQ299,$AK291:$AK299),AS294)</f>
        <v>-624.57777777779484</v>
      </c>
      <c r="AT295">
        <f>IF(AND($AK295&gt;=Results!$G$13,$AK295&lt;=Results!$G$14),Curves!AR295,"")</f>
        <v>-598.06111111114694</v>
      </c>
      <c r="AU295">
        <f>IF(AND($AK295&gt;=Results!$G$13,$AK295&lt;=Results!$G$14),Curves!AS295,"")</f>
        <v>-624.57777777779484</v>
      </c>
      <c r="AV295" t="str">
        <f t="shared" si="223"/>
        <v/>
      </c>
      <c r="AW295" t="str">
        <f>IF(AND($AK295&lt;=Results!$I$21,$AK295&gt;=Results!$I$20,$AK295&lt;=Results!$F$4),$AN295,"")</f>
        <v/>
      </c>
      <c r="AX295" t="str">
        <f t="shared" si="223"/>
        <v/>
      </c>
      <c r="AY295" t="str">
        <f>IF(AND($AK295&lt;=Results!$I$23,$AK295&gt;=Results!$I$22,$AK295&gt;=Results!$F$4),$AN295,"")</f>
        <v/>
      </c>
      <c r="AZ295" t="str">
        <f t="shared" si="196"/>
        <v/>
      </c>
      <c r="BA295" t="str">
        <f>IF(AND($AK295&lt;=Results!$I$27,$AK295&gt;=Results!$I$26,$AK295&lt;=Results!$F$4),$AQ295,"")</f>
        <v/>
      </c>
      <c r="BB295" t="str">
        <f t="shared" si="197"/>
        <v/>
      </c>
      <c r="BC295" t="str">
        <f>IF(AND($AK295&lt;=Results!$I$29,$AK295&gt;=Results!$I$28,$AK295&gt;=Results!$F$4),$AQ295,"")</f>
        <v/>
      </c>
      <c r="BD295">
        <f t="shared" si="198"/>
        <v>8911.0119457382134</v>
      </c>
      <c r="BE295">
        <f t="shared" si="199"/>
        <v>1674.5356085593392</v>
      </c>
      <c r="BF295">
        <f t="shared" si="200"/>
        <v>9226.7875937574863</v>
      </c>
      <c r="BG295">
        <f t="shared" si="201"/>
        <v>1239.7061161594399</v>
      </c>
      <c r="BH295">
        <f t="shared" si="202"/>
        <v>0</v>
      </c>
      <c r="BI295">
        <f t="shared" si="203"/>
        <v>0.83729945935757311</v>
      </c>
      <c r="BJ295">
        <f t="shared" si="204"/>
        <v>0.67014389409358477</v>
      </c>
      <c r="BK295">
        <f t="shared" si="205"/>
        <v>-7.1410485954641709E-2</v>
      </c>
      <c r="BL295">
        <f t="shared" si="206"/>
        <v>-7.2867274639698623E-2</v>
      </c>
      <c r="BM295">
        <f t="shared" si="224"/>
        <v>119.99999999999829</v>
      </c>
      <c r="BN295">
        <f t="shared" si="225"/>
        <v>-119.99999999999829</v>
      </c>
      <c r="BO295">
        <f>Data!$H$2*(1-BI295)*(1-BI295/Data!$H$3)*BM295</f>
        <v>6.3531518220810309E-6</v>
      </c>
      <c r="BP295">
        <f t="shared" si="207"/>
        <v>-100.47593512290734</v>
      </c>
      <c r="BQ295">
        <f>Data!$H$2*(1-BJ295)*(1-BJ295/Data!$H$3)*BN295</f>
        <v>-2.6113212144898242E-5</v>
      </c>
      <c r="BR295">
        <f t="shared" si="208"/>
        <v>80.417267291229024</v>
      </c>
      <c r="BS295">
        <f t="shared" si="209"/>
        <v>0</v>
      </c>
      <c r="BT295">
        <f t="shared" si="210"/>
        <v>0</v>
      </c>
      <c r="BU295">
        <f t="shared" si="211"/>
        <v>0</v>
      </c>
      <c r="BV295">
        <f t="shared" si="212"/>
        <v>0</v>
      </c>
      <c r="BW295">
        <f t="shared" si="226"/>
        <v>0</v>
      </c>
      <c r="BX295" t="str">
        <f t="shared" si="227"/>
        <v/>
      </c>
      <c r="BY295" s="66" t="str">
        <f t="shared" si="213"/>
        <v/>
      </c>
      <c r="BZ295" t="str">
        <f t="shared" si="214"/>
        <v/>
      </c>
      <c r="CA295" s="67" t="str">
        <f t="shared" si="215"/>
        <v/>
      </c>
    </row>
    <row r="296" spans="4:79" x14ac:dyDescent="0.25">
      <c r="D296" s="3" t="e">
        <f t="shared" si="240"/>
        <v>#DIV/0!</v>
      </c>
      <c r="E296" s="3" t="e">
        <f t="shared" si="240"/>
        <v>#DIV/0!</v>
      </c>
      <c r="F296" t="str">
        <f>IF(A296&gt;0,IF(F295=1,1,IF(B296=Data!$H$4,1,0)),"")</f>
        <v/>
      </c>
      <c r="Q296" t="str">
        <f t="shared" si="216"/>
        <v/>
      </c>
      <c r="R296" s="4" t="str">
        <f t="shared" si="217"/>
        <v/>
      </c>
      <c r="S296" t="e">
        <f t="shared" si="228"/>
        <v>#DIV/0!</v>
      </c>
      <c r="T296" t="e">
        <f t="shared" si="241"/>
        <v>#DIV/0!</v>
      </c>
      <c r="U296" s="4">
        <f t="shared" si="218"/>
        <v>0</v>
      </c>
      <c r="V296" t="e">
        <f t="shared" si="229"/>
        <v>#DIV/0!</v>
      </c>
      <c r="W296" t="e">
        <f t="shared" si="230"/>
        <v>#DIV/0!</v>
      </c>
      <c r="X296" t="e">
        <f t="shared" si="231"/>
        <v>#VALUE!</v>
      </c>
      <c r="Y296" t="e">
        <f t="shared" si="232"/>
        <v>#VALUE!</v>
      </c>
      <c r="Z296" t="e">
        <f t="shared" si="233"/>
        <v>#VALUE!</v>
      </c>
      <c r="AA296" t="e">
        <f t="shared" si="219"/>
        <v>#VALUE!</v>
      </c>
      <c r="AB296" t="str">
        <f t="shared" si="234"/>
        <v/>
      </c>
      <c r="AC296" t="str">
        <f t="shared" si="235"/>
        <v/>
      </c>
      <c r="AD296" t="str">
        <f t="shared" si="236"/>
        <v/>
      </c>
      <c r="AE296" t="str">
        <f t="shared" si="237"/>
        <v/>
      </c>
      <c r="AK296" s="4">
        <f t="shared" si="238"/>
        <v>54.400000000000418</v>
      </c>
      <c r="AL296">
        <f t="shared" si="220"/>
        <v>3529.00000000005</v>
      </c>
      <c r="AM296">
        <f t="shared" si="221"/>
        <v>7672.3999999997459</v>
      </c>
      <c r="AN296">
        <f>IF($AK295+$AK$1&lt;=Data!$H$4-0.5,AVERAGE(AM294:AM298),AN295)</f>
        <v>7672.3999999997468</v>
      </c>
      <c r="AO296">
        <f t="shared" si="222"/>
        <v>7332.99999999995</v>
      </c>
      <c r="AP296">
        <f t="shared" si="239"/>
        <v>6528.9333333330696</v>
      </c>
      <c r="AQ296">
        <f>IF($AK295+$AK$1&lt;=Data!$H$4-0.5,AVERAGE(AP294:AP298),AQ295)</f>
        <v>6528.9333333330696</v>
      </c>
      <c r="AR296">
        <f>IF($AK295+$AK$1&lt;=Data!$H$4-0.5,SLOPE($AN292:$AN300,$AK292:$AK300),AR295)</f>
        <v>-606.21666666668796</v>
      </c>
      <c r="AS296">
        <f>IF($AK295+$AK$1&lt;=Data!$H$4-0.5,SLOPE($AQ292:$AQ300,$AK292:$AK300),AS295)</f>
        <v>-629.20000000001187</v>
      </c>
      <c r="AT296">
        <f>IF(AND($AK296&gt;=Results!$G$13,$AK296&lt;=Results!$G$14),Curves!AR296,"")</f>
        <v>-606.21666666668796</v>
      </c>
      <c r="AU296">
        <f>IF(AND($AK296&gt;=Results!$G$13,$AK296&lt;=Results!$G$14),Curves!AS296,"")</f>
        <v>-629.20000000001187</v>
      </c>
      <c r="AV296" t="str">
        <f t="shared" si="223"/>
        <v/>
      </c>
      <c r="AW296" t="str">
        <f>IF(AND($AK296&lt;=Results!$I$21,$AK296&gt;=Results!$I$20,$AK296&lt;=Results!$F$4),$AN296,"")</f>
        <v/>
      </c>
      <c r="AX296" t="str">
        <f t="shared" si="223"/>
        <v/>
      </c>
      <c r="AY296" t="str">
        <f>IF(AND($AK296&lt;=Results!$I$23,$AK296&gt;=Results!$I$22,$AK296&gt;=Results!$F$4),$AN296,"")</f>
        <v/>
      </c>
      <c r="AZ296" t="str">
        <f t="shared" si="196"/>
        <v/>
      </c>
      <c r="BA296" t="str">
        <f>IF(AND($AK296&lt;=Results!$I$27,$AK296&gt;=Results!$I$26,$AK296&lt;=Results!$F$4),$AQ296,"")</f>
        <v/>
      </c>
      <c r="BB296" t="str">
        <f t="shared" si="197"/>
        <v/>
      </c>
      <c r="BC296" t="str">
        <f>IF(AND($AK296&lt;=Results!$I$29,$AK296&gt;=Results!$I$28,$AK296&gt;=Results!$F$4),$AQ296,"")</f>
        <v/>
      </c>
      <c r="BD296">
        <f t="shared" si="198"/>
        <v>8900.2417509402931</v>
      </c>
      <c r="BE296">
        <f t="shared" si="199"/>
        <v>1671.2198193100182</v>
      </c>
      <c r="BF296">
        <f t="shared" si="200"/>
        <v>9219.4976115245936</v>
      </c>
      <c r="BG296">
        <f t="shared" si="201"/>
        <v>1239.1553151999149</v>
      </c>
      <c r="BH296">
        <f t="shared" si="202"/>
        <v>0</v>
      </c>
      <c r="BI296">
        <f t="shared" si="203"/>
        <v>0.83015105465814432</v>
      </c>
      <c r="BJ296">
        <f t="shared" si="204"/>
        <v>0.66285101837916716</v>
      </c>
      <c r="BK296">
        <f t="shared" si="205"/>
        <v>-7.1557835832322753E-2</v>
      </c>
      <c r="BL296">
        <f t="shared" si="206"/>
        <v>-7.2990395541188205E-2</v>
      </c>
      <c r="BM296">
        <f t="shared" si="224"/>
        <v>120.00000000000055</v>
      </c>
      <c r="BN296">
        <f t="shared" si="225"/>
        <v>-119.99999999999829</v>
      </c>
      <c r="BO296">
        <f>Data!$H$2*(1-BI296)*(1-BI296/Data!$H$3)*BM296</f>
        <v>6.9236794160977952E-6</v>
      </c>
      <c r="BP296">
        <f t="shared" si="207"/>
        <v>-99.618126558977778</v>
      </c>
      <c r="BQ296">
        <f>Data!$H$2*(1-BJ296)*(1-BJ296/Data!$H$3)*BN296</f>
        <v>-2.7280664593911137E-5</v>
      </c>
      <c r="BR296">
        <f t="shared" si="208"/>
        <v>79.542122205498927</v>
      </c>
      <c r="BS296">
        <f t="shared" si="209"/>
        <v>0</v>
      </c>
      <c r="BT296">
        <f t="shared" si="210"/>
        <v>0</v>
      </c>
      <c r="BU296">
        <f t="shared" si="211"/>
        <v>0</v>
      </c>
      <c r="BV296">
        <f t="shared" si="212"/>
        <v>0</v>
      </c>
      <c r="BW296">
        <f t="shared" si="226"/>
        <v>0</v>
      </c>
      <c r="BX296" t="str">
        <f t="shared" si="227"/>
        <v/>
      </c>
      <c r="BY296" s="66" t="str">
        <f t="shared" si="213"/>
        <v/>
      </c>
      <c r="BZ296" t="str">
        <f t="shared" si="214"/>
        <v/>
      </c>
      <c r="CA296" s="67" t="str">
        <f t="shared" si="215"/>
        <v/>
      </c>
    </row>
    <row r="297" spans="4:79" x14ac:dyDescent="0.25">
      <c r="D297" s="3" t="e">
        <f t="shared" si="240"/>
        <v>#DIV/0!</v>
      </c>
      <c r="E297" s="3" t="e">
        <f t="shared" si="240"/>
        <v>#DIV/0!</v>
      </c>
      <c r="F297" t="str">
        <f>IF(A297&gt;0,IF(F296=1,1,IF(B297=Data!$H$4,1,0)),"")</f>
        <v/>
      </c>
      <c r="Q297" t="str">
        <f t="shared" si="216"/>
        <v/>
      </c>
      <c r="R297" s="4" t="str">
        <f t="shared" si="217"/>
        <v/>
      </c>
      <c r="S297" t="e">
        <f t="shared" si="228"/>
        <v>#DIV/0!</v>
      </c>
      <c r="T297" t="e">
        <f t="shared" si="241"/>
        <v>#DIV/0!</v>
      </c>
      <c r="U297" s="4">
        <f t="shared" si="218"/>
        <v>0</v>
      </c>
      <c r="V297" t="e">
        <f t="shared" si="229"/>
        <v>#DIV/0!</v>
      </c>
      <c r="W297" t="e">
        <f t="shared" si="230"/>
        <v>#DIV/0!</v>
      </c>
      <c r="X297" t="e">
        <f t="shared" si="231"/>
        <v>#VALUE!</v>
      </c>
      <c r="Y297" t="e">
        <f t="shared" si="232"/>
        <v>#VALUE!</v>
      </c>
      <c r="Z297" t="e">
        <f t="shared" si="233"/>
        <v>#VALUE!</v>
      </c>
      <c r="AA297" t="e">
        <f t="shared" si="219"/>
        <v>#VALUE!</v>
      </c>
      <c r="AB297" t="str">
        <f t="shared" si="234"/>
        <v/>
      </c>
      <c r="AC297" t="str">
        <f t="shared" si="235"/>
        <v/>
      </c>
      <c r="AD297" t="str">
        <f t="shared" si="236"/>
        <v/>
      </c>
      <c r="AE297" t="str">
        <f t="shared" si="237"/>
        <v/>
      </c>
      <c r="AK297" s="4">
        <f t="shared" si="238"/>
        <v>54.500000000000419</v>
      </c>
      <c r="AL297">
        <f t="shared" si="220"/>
        <v>3541.0000000000505</v>
      </c>
      <c r="AM297">
        <f t="shared" si="221"/>
        <v>7611.1666666664114</v>
      </c>
      <c r="AN297">
        <f>IF($AK296+$AK$1&lt;=Data!$H$4-0.5,AVERAGE(AM295:AM299),AN296)</f>
        <v>7611.1666666664123</v>
      </c>
      <c r="AO297">
        <f t="shared" si="222"/>
        <v>7320.99999999995</v>
      </c>
      <c r="AP297">
        <f t="shared" si="239"/>
        <v>6465.6666666664023</v>
      </c>
      <c r="AQ297">
        <f>IF($AK296+$AK$1&lt;=Data!$H$4-0.5,AVERAGE(AP295:AP299),AQ296)</f>
        <v>6465.6666666664023</v>
      </c>
      <c r="AR297">
        <f>IF($AK296+$AK$1&lt;=Data!$H$4-0.5,SLOPE($AN293:$AN301,$AK293:$AK301),AR296)</f>
        <v>-611.02888888890232</v>
      </c>
      <c r="AS297">
        <f>IF($AK296+$AK$1&lt;=Data!$H$4-0.5,SLOPE($AQ293:$AQ301,$AK293:$AK301),AS296)</f>
        <v>-632.34222222223161</v>
      </c>
      <c r="AT297">
        <f>IF(AND($AK297&gt;=Results!$G$13,$AK297&lt;=Results!$G$14),Curves!AR297,"")</f>
        <v>-611.02888888890232</v>
      </c>
      <c r="AU297">
        <f>IF(AND($AK297&gt;=Results!$G$13,$AK297&lt;=Results!$G$14),Curves!AS297,"")</f>
        <v>-632.34222222223161</v>
      </c>
      <c r="AV297" t="str">
        <f t="shared" si="223"/>
        <v/>
      </c>
      <c r="AW297" t="str">
        <f>IF(AND($AK297&lt;=Results!$I$21,$AK297&gt;=Results!$I$20,$AK297&lt;=Results!$F$4),$AN297,"")</f>
        <v/>
      </c>
      <c r="AX297" t="str">
        <f t="shared" si="223"/>
        <v/>
      </c>
      <c r="AY297" t="str">
        <f>IF(AND($AK297&lt;=Results!$I$23,$AK297&gt;=Results!$I$22,$AK297&gt;=Results!$F$4),$AN297,"")</f>
        <v/>
      </c>
      <c r="AZ297" t="str">
        <f t="shared" si="196"/>
        <v/>
      </c>
      <c r="BA297" t="str">
        <f>IF(AND($AK297&lt;=Results!$I$27,$AK297&gt;=Results!$I$26,$AK297&lt;=Results!$F$4),$AQ297,"")</f>
        <v/>
      </c>
      <c r="BB297" t="str">
        <f t="shared" si="197"/>
        <v/>
      </c>
      <c r="BC297" t="str">
        <f>IF(AND($AK297&lt;=Results!$I$29,$AK297&gt;=Results!$I$28,$AK297&gt;=Results!$F$4),$AQ297,"")</f>
        <v/>
      </c>
      <c r="BD297">
        <f t="shared" si="198"/>
        <v>8889.4715561423727</v>
      </c>
      <c r="BE297">
        <f t="shared" si="199"/>
        <v>1667.9040300606976</v>
      </c>
      <c r="BF297">
        <f t="shared" si="200"/>
        <v>9212.2076292917009</v>
      </c>
      <c r="BG297">
        <f t="shared" si="201"/>
        <v>1238.60451424039</v>
      </c>
      <c r="BH297">
        <f t="shared" si="202"/>
        <v>0</v>
      </c>
      <c r="BI297">
        <f t="shared" si="203"/>
        <v>0.82298789219110835</v>
      </c>
      <c r="BJ297">
        <f t="shared" si="204"/>
        <v>0.65554581498534692</v>
      </c>
      <c r="BK297">
        <f t="shared" si="205"/>
        <v>-7.1705642248332632E-2</v>
      </c>
      <c r="BL297">
        <f t="shared" si="206"/>
        <v>-7.3113828755231383E-2</v>
      </c>
      <c r="BM297">
        <f t="shared" si="224"/>
        <v>120.00000000000055</v>
      </c>
      <c r="BN297">
        <f t="shared" si="225"/>
        <v>-120.00000000000284</v>
      </c>
      <c r="BO297">
        <f>Data!$H$2*(1-BI297)*(1-BI297/Data!$H$3)*BM297</f>
        <v>7.5199887146272384E-6</v>
      </c>
      <c r="BP297">
        <f t="shared" si="207"/>
        <v>-98.758547062933459</v>
      </c>
      <c r="BQ297">
        <f>Data!$H$2*(1-BJ297)*(1-BJ297/Data!$H$3)*BN297</f>
        <v>-2.8475684537786797E-5</v>
      </c>
      <c r="BR297">
        <f t="shared" si="208"/>
        <v>78.665497798243493</v>
      </c>
      <c r="BS297">
        <f t="shared" si="209"/>
        <v>0</v>
      </c>
      <c r="BT297">
        <f t="shared" si="210"/>
        <v>0</v>
      </c>
      <c r="BU297">
        <f t="shared" si="211"/>
        <v>0</v>
      </c>
      <c r="BV297">
        <f t="shared" si="212"/>
        <v>0</v>
      </c>
      <c r="BW297">
        <f t="shared" si="226"/>
        <v>0</v>
      </c>
      <c r="BX297" t="str">
        <f t="shared" si="227"/>
        <v/>
      </c>
      <c r="BY297" s="66" t="str">
        <f t="shared" si="213"/>
        <v/>
      </c>
      <c r="BZ297" t="str">
        <f t="shared" si="214"/>
        <v/>
      </c>
      <c r="CA297" s="67" t="str">
        <f t="shared" si="215"/>
        <v/>
      </c>
    </row>
    <row r="298" spans="4:79" x14ac:dyDescent="0.25">
      <c r="D298" s="3" t="e">
        <f t="shared" si="240"/>
        <v>#DIV/0!</v>
      </c>
      <c r="E298" s="3" t="e">
        <f t="shared" si="240"/>
        <v>#DIV/0!</v>
      </c>
      <c r="F298" t="str">
        <f>IF(A298&gt;0,IF(F297=1,1,IF(B298=Data!$H$4,1,0)),"")</f>
        <v/>
      </c>
      <c r="Q298" t="str">
        <f t="shared" si="216"/>
        <v/>
      </c>
      <c r="R298" s="4" t="str">
        <f t="shared" si="217"/>
        <v/>
      </c>
      <c r="S298" t="e">
        <f t="shared" si="228"/>
        <v>#DIV/0!</v>
      </c>
      <c r="T298" t="e">
        <f t="shared" si="241"/>
        <v>#DIV/0!</v>
      </c>
      <c r="U298" s="4">
        <f t="shared" si="218"/>
        <v>0</v>
      </c>
      <c r="V298" t="e">
        <f t="shared" si="229"/>
        <v>#DIV/0!</v>
      </c>
      <c r="W298" t="e">
        <f t="shared" si="230"/>
        <v>#DIV/0!</v>
      </c>
      <c r="X298" t="e">
        <f t="shared" si="231"/>
        <v>#VALUE!</v>
      </c>
      <c r="Y298" t="e">
        <f t="shared" si="232"/>
        <v>#VALUE!</v>
      </c>
      <c r="Z298" t="e">
        <f t="shared" si="233"/>
        <v>#VALUE!</v>
      </c>
      <c r="AA298" t="e">
        <f t="shared" si="219"/>
        <v>#VALUE!</v>
      </c>
      <c r="AB298" t="str">
        <f t="shared" si="234"/>
        <v/>
      </c>
      <c r="AC298" t="str">
        <f t="shared" si="235"/>
        <v/>
      </c>
      <c r="AD298" t="str">
        <f t="shared" si="236"/>
        <v/>
      </c>
      <c r="AE298" t="str">
        <f t="shared" si="237"/>
        <v/>
      </c>
      <c r="AK298" s="4">
        <f t="shared" si="238"/>
        <v>54.600000000000421</v>
      </c>
      <c r="AL298">
        <f t="shared" si="220"/>
        <v>3553.0000000000505</v>
      </c>
      <c r="AM298">
        <f t="shared" si="221"/>
        <v>7549.9333333330769</v>
      </c>
      <c r="AN298">
        <f>IF($AK297+$AK$1&lt;=Data!$H$4-0.5,AVERAGE(AM296:AM300),AN297)</f>
        <v>7549.9333333330769</v>
      </c>
      <c r="AO298">
        <f t="shared" si="222"/>
        <v>7308.9999999999491</v>
      </c>
      <c r="AP298">
        <f t="shared" si="239"/>
        <v>6402.399999999735</v>
      </c>
      <c r="AQ298">
        <f>IF($AK297+$AK$1&lt;=Data!$H$4-0.5,AVERAGE(AP296:AP300),AQ297)</f>
        <v>6402.399999999735</v>
      </c>
      <c r="AR298">
        <f>IF($AK297+$AK$1&lt;=Data!$H$4-0.5,SLOPE($AN294:$AN302,$AK294:$AK302),AR297)</f>
        <v>-613.55833333334385</v>
      </c>
      <c r="AS298">
        <f>IF($AK297+$AK$1&lt;=Data!$H$4-0.5,SLOPE($AQ294:$AQ302,$AK294:$AK302),AS297)</f>
        <v>-634.91666666667777</v>
      </c>
      <c r="AT298">
        <f>IF(AND($AK298&gt;=Results!$G$13,$AK298&lt;=Results!$G$14),Curves!AR298,"")</f>
        <v>-613.55833333334385</v>
      </c>
      <c r="AU298">
        <f>IF(AND($AK298&gt;=Results!$G$13,$AK298&lt;=Results!$G$14),Curves!AS298,"")</f>
        <v>-634.91666666667777</v>
      </c>
      <c r="AV298" t="str">
        <f t="shared" si="223"/>
        <v/>
      </c>
      <c r="AW298" t="str">
        <f>IF(AND($AK298&lt;=Results!$I$21,$AK298&gt;=Results!$I$20,$AK298&lt;=Results!$F$4),$AN298,"")</f>
        <v/>
      </c>
      <c r="AX298" t="str">
        <f t="shared" si="223"/>
        <v/>
      </c>
      <c r="AY298" t="str">
        <f>IF(AND($AK298&lt;=Results!$I$23,$AK298&gt;=Results!$I$22,$AK298&gt;=Results!$F$4),$AN298,"")</f>
        <v/>
      </c>
      <c r="AZ298" t="str">
        <f t="shared" si="196"/>
        <v/>
      </c>
      <c r="BA298" t="str">
        <f>IF(AND($AK298&lt;=Results!$I$27,$AK298&gt;=Results!$I$26,$AK298&lt;=Results!$F$4),$AQ298,"")</f>
        <v/>
      </c>
      <c r="BB298" t="str">
        <f t="shared" si="197"/>
        <v/>
      </c>
      <c r="BC298" t="str">
        <f>IF(AND($AK298&lt;=Results!$I$29,$AK298&gt;=Results!$I$28,$AK298&gt;=Results!$F$4),$AQ298,"")</f>
        <v/>
      </c>
      <c r="BD298">
        <f t="shared" si="198"/>
        <v>8878.7013613444542</v>
      </c>
      <c r="BE298">
        <f t="shared" si="199"/>
        <v>1664.5882408113766</v>
      </c>
      <c r="BF298">
        <f t="shared" si="200"/>
        <v>9204.9176470588063</v>
      </c>
      <c r="BG298">
        <f t="shared" si="201"/>
        <v>1238.0537132808649</v>
      </c>
      <c r="BH298">
        <f t="shared" si="202"/>
        <v>0</v>
      </c>
      <c r="BI298">
        <f t="shared" si="203"/>
        <v>0.81580992620847759</v>
      </c>
      <c r="BJ298">
        <f t="shared" si="204"/>
        <v>0.64822825262812067</v>
      </c>
      <c r="BK298">
        <f t="shared" si="205"/>
        <v>-7.1853907090626085E-2</v>
      </c>
      <c r="BL298">
        <f t="shared" si="206"/>
        <v>-7.3237575339023031E-2</v>
      </c>
      <c r="BM298">
        <f t="shared" si="224"/>
        <v>119.99999999999829</v>
      </c>
      <c r="BN298">
        <f t="shared" si="225"/>
        <v>-120.00000000000284</v>
      </c>
      <c r="BO298">
        <f>Data!$H$2*(1-BI298)*(1-BI298/Data!$H$3)*BM298</f>
        <v>8.1422359879982376E-6</v>
      </c>
      <c r="BP298">
        <f t="shared" si="207"/>
        <v>-97.897191145015924</v>
      </c>
      <c r="BQ298">
        <f>Data!$H$2*(1-BJ298)*(1-BJ298/Data!$H$3)*BN298</f>
        <v>-2.9698406939776373E-5</v>
      </c>
      <c r="BR298">
        <f t="shared" si="208"/>
        <v>77.787390315376328</v>
      </c>
      <c r="BS298">
        <f t="shared" si="209"/>
        <v>0</v>
      </c>
      <c r="BT298">
        <f t="shared" si="210"/>
        <v>0</v>
      </c>
      <c r="BU298">
        <f t="shared" si="211"/>
        <v>0</v>
      </c>
      <c r="BV298">
        <f t="shared" si="212"/>
        <v>0</v>
      </c>
      <c r="BW298">
        <f t="shared" si="226"/>
        <v>0</v>
      </c>
      <c r="BX298" t="str">
        <f t="shared" si="227"/>
        <v/>
      </c>
      <c r="BY298" s="66" t="str">
        <f t="shared" si="213"/>
        <v/>
      </c>
      <c r="BZ298" t="str">
        <f t="shared" si="214"/>
        <v/>
      </c>
      <c r="CA298" s="67" t="str">
        <f t="shared" si="215"/>
        <v/>
      </c>
    </row>
    <row r="299" spans="4:79" x14ac:dyDescent="0.25">
      <c r="D299" s="3" t="e">
        <f t="shared" si="240"/>
        <v>#DIV/0!</v>
      </c>
      <c r="E299" s="3" t="e">
        <f t="shared" si="240"/>
        <v>#DIV/0!</v>
      </c>
      <c r="F299" t="str">
        <f>IF(A299&gt;0,IF(F298=1,1,IF(B299=Data!$H$4,1,0)),"")</f>
        <v/>
      </c>
      <c r="Q299" t="str">
        <f t="shared" si="216"/>
        <v/>
      </c>
      <c r="R299" s="4" t="str">
        <f t="shared" si="217"/>
        <v/>
      </c>
      <c r="S299" t="e">
        <f t="shared" si="228"/>
        <v>#DIV/0!</v>
      </c>
      <c r="T299" t="e">
        <f t="shared" si="241"/>
        <v>#DIV/0!</v>
      </c>
      <c r="U299" s="4">
        <f t="shared" si="218"/>
        <v>0</v>
      </c>
      <c r="V299" t="e">
        <f t="shared" si="229"/>
        <v>#DIV/0!</v>
      </c>
      <c r="W299" t="e">
        <f t="shared" si="230"/>
        <v>#DIV/0!</v>
      </c>
      <c r="X299" t="e">
        <f t="shared" si="231"/>
        <v>#VALUE!</v>
      </c>
      <c r="Y299" t="e">
        <f t="shared" si="232"/>
        <v>#VALUE!</v>
      </c>
      <c r="Z299" t="e">
        <f t="shared" si="233"/>
        <v>#VALUE!</v>
      </c>
      <c r="AA299" t="e">
        <f t="shared" si="219"/>
        <v>#VALUE!</v>
      </c>
      <c r="AB299" t="str">
        <f t="shared" si="234"/>
        <v/>
      </c>
      <c r="AC299" t="str">
        <f t="shared" si="235"/>
        <v/>
      </c>
      <c r="AD299" t="str">
        <f t="shared" si="236"/>
        <v/>
      </c>
      <c r="AE299" t="str">
        <f t="shared" si="237"/>
        <v/>
      </c>
      <c r="AK299" s="4">
        <f t="shared" si="238"/>
        <v>54.700000000000422</v>
      </c>
      <c r="AL299">
        <f t="shared" si="220"/>
        <v>3565.0000000000505</v>
      </c>
      <c r="AM299">
        <f t="shared" si="221"/>
        <v>7488.6999999997424</v>
      </c>
      <c r="AN299">
        <f>IF($AK298+$AK$1&lt;=Data!$H$4-0.5,AVERAGE(AM297:AM301),AN298)</f>
        <v>7488.6999999997424</v>
      </c>
      <c r="AO299">
        <f t="shared" si="222"/>
        <v>7296.9999999999491</v>
      </c>
      <c r="AP299">
        <f t="shared" si="239"/>
        <v>6339.1333333330676</v>
      </c>
      <c r="AQ299">
        <f>IF($AK298+$AK$1&lt;=Data!$H$4-0.5,AVERAGE(AP297:AP301),AQ298)</f>
        <v>6339.1333333330676</v>
      </c>
      <c r="AR299">
        <f>IF($AK298+$AK$1&lt;=Data!$H$4-0.5,SLOPE($AN295:$AN303,$AK295:$AK303),AR298)</f>
        <v>-615.19166666668173</v>
      </c>
      <c r="AS299">
        <f>IF($AK298+$AK$1&lt;=Data!$H$4-0.5,SLOPE($AQ295:$AQ303,$AK295:$AK303),AS298)</f>
        <v>-637.91666666668436</v>
      </c>
      <c r="AT299">
        <f>IF(AND($AK299&gt;=Results!$G$13,$AK299&lt;=Results!$G$14),Curves!AR299,"")</f>
        <v>-615.19166666668173</v>
      </c>
      <c r="AU299">
        <f>IF(AND($AK299&gt;=Results!$G$13,$AK299&lt;=Results!$G$14),Curves!AS299,"")</f>
        <v>-637.91666666668436</v>
      </c>
      <c r="AV299" t="str">
        <f t="shared" si="223"/>
        <v/>
      </c>
      <c r="AW299" t="str">
        <f>IF(AND($AK299&lt;=Results!$I$21,$AK299&gt;=Results!$I$20,$AK299&lt;=Results!$F$4),$AN299,"")</f>
        <v/>
      </c>
      <c r="AX299" t="str">
        <f t="shared" si="223"/>
        <v/>
      </c>
      <c r="AY299" t="str">
        <f>IF(AND($AK299&lt;=Results!$I$23,$AK299&gt;=Results!$I$22,$AK299&gt;=Results!$F$4),$AN299,"")</f>
        <v/>
      </c>
      <c r="AZ299" t="str">
        <f t="shared" si="196"/>
        <v/>
      </c>
      <c r="BA299" t="str">
        <f>IF(AND($AK299&lt;=Results!$I$27,$AK299&gt;=Results!$I$26,$AK299&lt;=Results!$F$4),$AQ299,"")</f>
        <v/>
      </c>
      <c r="BB299" t="str">
        <f t="shared" si="197"/>
        <v/>
      </c>
      <c r="BC299" t="str">
        <f>IF(AND($AK299&lt;=Results!$I$29,$AK299&gt;=Results!$I$28,$AK299&gt;=Results!$F$4),$AQ299,"")</f>
        <v/>
      </c>
      <c r="BD299">
        <f t="shared" si="198"/>
        <v>8867.9311665465339</v>
      </c>
      <c r="BE299">
        <f t="shared" si="199"/>
        <v>1661.2724515620557</v>
      </c>
      <c r="BF299">
        <f t="shared" si="200"/>
        <v>9197.6276648259154</v>
      </c>
      <c r="BG299">
        <f t="shared" si="201"/>
        <v>1237.5029123213399</v>
      </c>
      <c r="BH299">
        <f t="shared" si="202"/>
        <v>0</v>
      </c>
      <c r="BI299">
        <f t="shared" si="203"/>
        <v>0.80861711077298293</v>
      </c>
      <c r="BJ299">
        <f t="shared" si="204"/>
        <v>0.6408982999175421</v>
      </c>
      <c r="BK299">
        <f t="shared" si="205"/>
        <v>-7.2002632256930682E-2</v>
      </c>
      <c r="BL299">
        <f t="shared" si="206"/>
        <v>-7.3361636354230056E-2</v>
      </c>
      <c r="BM299">
        <f t="shared" si="224"/>
        <v>120.00000000000055</v>
      </c>
      <c r="BN299">
        <f t="shared" si="225"/>
        <v>-119.99999999999829</v>
      </c>
      <c r="BO299">
        <f>Data!$H$2*(1-BI299)*(1-BI299/Data!$H$3)*BM299</f>
        <v>8.7905784693314049E-6</v>
      </c>
      <c r="BP299">
        <f t="shared" si="207"/>
        <v>-97.034053292758401</v>
      </c>
      <c r="BQ299">
        <f>Data!$H$2*(1-BJ299)*(1-BJ299/Data!$H$3)*BN299</f>
        <v>-3.0948967440506329E-5</v>
      </c>
      <c r="BR299">
        <f t="shared" si="208"/>
        <v>76.907795990103963</v>
      </c>
      <c r="BS299">
        <f t="shared" si="209"/>
        <v>0</v>
      </c>
      <c r="BT299">
        <f t="shared" si="210"/>
        <v>0</v>
      </c>
      <c r="BU299">
        <f t="shared" si="211"/>
        <v>0</v>
      </c>
      <c r="BV299">
        <f t="shared" si="212"/>
        <v>0</v>
      </c>
      <c r="BW299">
        <f t="shared" si="226"/>
        <v>0</v>
      </c>
      <c r="BX299" t="str">
        <f t="shared" si="227"/>
        <v/>
      </c>
      <c r="BY299" s="66" t="str">
        <f t="shared" si="213"/>
        <v/>
      </c>
      <c r="BZ299" t="str">
        <f t="shared" si="214"/>
        <v/>
      </c>
      <c r="CA299" s="67" t="str">
        <f t="shared" si="215"/>
        <v/>
      </c>
    </row>
    <row r="300" spans="4:79" x14ac:dyDescent="0.25">
      <c r="D300" s="3" t="e">
        <f t="shared" si="240"/>
        <v>#DIV/0!</v>
      </c>
      <c r="E300" s="3" t="e">
        <f t="shared" si="240"/>
        <v>#DIV/0!</v>
      </c>
      <c r="F300" t="str">
        <f>IF(A300&gt;0,IF(F299=1,1,IF(B300=Data!$H$4,1,0)),"")</f>
        <v/>
      </c>
      <c r="Q300" t="str">
        <f t="shared" si="216"/>
        <v/>
      </c>
      <c r="R300" s="4" t="str">
        <f t="shared" si="217"/>
        <v/>
      </c>
      <c r="S300" t="e">
        <f t="shared" si="228"/>
        <v>#DIV/0!</v>
      </c>
      <c r="T300" t="e">
        <f t="shared" si="241"/>
        <v>#DIV/0!</v>
      </c>
      <c r="U300" s="4">
        <f t="shared" si="218"/>
        <v>0</v>
      </c>
      <c r="V300" t="e">
        <f t="shared" si="229"/>
        <v>#DIV/0!</v>
      </c>
      <c r="W300" t="e">
        <f t="shared" si="230"/>
        <v>#DIV/0!</v>
      </c>
      <c r="X300" t="e">
        <f t="shared" si="231"/>
        <v>#VALUE!</v>
      </c>
      <c r="Y300" t="e">
        <f t="shared" si="232"/>
        <v>#VALUE!</v>
      </c>
      <c r="Z300" t="e">
        <f t="shared" si="233"/>
        <v>#VALUE!</v>
      </c>
      <c r="AA300" t="e">
        <f t="shared" si="219"/>
        <v>#VALUE!</v>
      </c>
      <c r="AB300" t="str">
        <f t="shared" si="234"/>
        <v/>
      </c>
      <c r="AC300" t="str">
        <f t="shared" si="235"/>
        <v/>
      </c>
      <c r="AD300" t="str">
        <f t="shared" si="236"/>
        <v/>
      </c>
      <c r="AE300" t="str">
        <f t="shared" si="237"/>
        <v/>
      </c>
      <c r="AK300" s="4">
        <f t="shared" si="238"/>
        <v>54.800000000000423</v>
      </c>
      <c r="AL300">
        <f t="shared" si="220"/>
        <v>3577.0000000000509</v>
      </c>
      <c r="AM300">
        <f t="shared" si="221"/>
        <v>7427.4666666664079</v>
      </c>
      <c r="AN300">
        <f>IF($AK299+$AK$1&lt;=Data!$H$4-0.5,AVERAGE(AM298:AM302),AN299)</f>
        <v>7427.466666666407</v>
      </c>
      <c r="AO300">
        <f t="shared" si="222"/>
        <v>7284.9999999999491</v>
      </c>
      <c r="AP300">
        <f t="shared" si="239"/>
        <v>6275.8666666664003</v>
      </c>
      <c r="AQ300">
        <f>IF($AK299+$AK$1&lt;=Data!$H$4-0.5,AVERAGE(AP298:AP302),AQ299)</f>
        <v>6275.8666666663967</v>
      </c>
      <c r="AR300">
        <f>IF($AK299+$AK$1&lt;=Data!$H$4-0.5,SLOPE($AN296:$AN304,$AK296:$AK304),AR299)</f>
        <v>-617.64166666668484</v>
      </c>
      <c r="AS300">
        <f>IF($AK299+$AK$1&lt;=Data!$H$4-0.5,SLOPE($AQ296:$AQ304,$AK296:$AK304),AS299)</f>
        <v>-642.41666666669107</v>
      </c>
      <c r="AT300">
        <f>IF(AND($AK300&gt;=Results!$G$13,$AK300&lt;=Results!$G$14),Curves!AR300,"")</f>
        <v>-617.64166666668484</v>
      </c>
      <c r="AU300">
        <f>IF(AND($AK300&gt;=Results!$G$13,$AK300&lt;=Results!$G$14),Curves!AS300,"")</f>
        <v>-642.41666666669107</v>
      </c>
      <c r="AV300" t="str">
        <f t="shared" si="223"/>
        <v/>
      </c>
      <c r="AW300" t="str">
        <f>IF(AND($AK300&lt;=Results!$I$21,$AK300&gt;=Results!$I$20,$AK300&lt;=Results!$F$4),$AN300,"")</f>
        <v/>
      </c>
      <c r="AX300" t="str">
        <f t="shared" si="223"/>
        <v/>
      </c>
      <c r="AY300" t="str">
        <f>IF(AND($AK300&lt;=Results!$I$23,$AK300&gt;=Results!$I$22,$AK300&gt;=Results!$F$4),$AN300,"")</f>
        <v/>
      </c>
      <c r="AZ300" t="str">
        <f t="shared" si="196"/>
        <v/>
      </c>
      <c r="BA300" t="str">
        <f>IF(AND($AK300&lt;=Results!$I$27,$AK300&gt;=Results!$I$26,$AK300&lt;=Results!$F$4),$AQ300,"")</f>
        <v/>
      </c>
      <c r="BB300" t="str">
        <f t="shared" si="197"/>
        <v/>
      </c>
      <c r="BC300" t="str">
        <f>IF(AND($AK300&lt;=Results!$I$29,$AK300&gt;=Results!$I$28,$AK300&gt;=Results!$F$4),$AQ300,"")</f>
        <v/>
      </c>
      <c r="BD300">
        <f t="shared" si="198"/>
        <v>8857.1609717486135</v>
      </c>
      <c r="BE300">
        <f t="shared" si="199"/>
        <v>1657.956662312735</v>
      </c>
      <c r="BF300">
        <f t="shared" si="200"/>
        <v>9190.3376825930209</v>
      </c>
      <c r="BG300">
        <f t="shared" si="201"/>
        <v>1236.952111361815</v>
      </c>
      <c r="BH300">
        <f t="shared" si="202"/>
        <v>0</v>
      </c>
      <c r="BI300">
        <f t="shared" si="203"/>
        <v>0.80140939975709125</v>
      </c>
      <c r="BJ300">
        <f t="shared" si="204"/>
        <v>0.63355592535727445</v>
      </c>
      <c r="BK300">
        <f t="shared" si="205"/>
        <v>-7.2492487786036189E-2</v>
      </c>
      <c r="BL300">
        <f t="shared" si="206"/>
        <v>-7.4052289479712485E-2</v>
      </c>
      <c r="BM300">
        <f t="shared" si="224"/>
        <v>120.00000000000055</v>
      </c>
      <c r="BN300">
        <f t="shared" si="225"/>
        <v>-119.99999999999829</v>
      </c>
      <c r="BO300">
        <f>Data!$H$2*(1-BI300)*(1-BI300/Data!$H$3)*BM300</f>
        <v>9.4651743611613531E-6</v>
      </c>
      <c r="BP300">
        <f t="shared" si="207"/>
        <v>-96.169127970851392</v>
      </c>
      <c r="BQ300">
        <f>Data!$H$2*(1-BJ300)*(1-BJ300/Data!$H$3)*BN300</f>
        <v>-3.2227502361782762E-5</v>
      </c>
      <c r="BR300">
        <f t="shared" si="208"/>
        <v>76.026711042871852</v>
      </c>
      <c r="BS300">
        <f t="shared" si="209"/>
        <v>0</v>
      </c>
      <c r="BT300">
        <f t="shared" si="210"/>
        <v>0</v>
      </c>
      <c r="BU300">
        <f t="shared" si="211"/>
        <v>0</v>
      </c>
      <c r="BV300">
        <f t="shared" si="212"/>
        <v>0</v>
      </c>
      <c r="BW300">
        <f t="shared" si="226"/>
        <v>0</v>
      </c>
      <c r="BX300" t="str">
        <f t="shared" si="227"/>
        <v/>
      </c>
      <c r="BY300" s="66" t="str">
        <f t="shared" si="213"/>
        <v/>
      </c>
      <c r="BZ300" t="str">
        <f t="shared" si="214"/>
        <v/>
      </c>
      <c r="CA300" s="67" t="str">
        <f t="shared" si="215"/>
        <v/>
      </c>
    </row>
    <row r="301" spans="4:79" x14ac:dyDescent="0.25">
      <c r="D301" s="3" t="e">
        <f t="shared" si="240"/>
        <v>#DIV/0!</v>
      </c>
      <c r="E301" s="3" t="e">
        <f t="shared" si="240"/>
        <v>#DIV/0!</v>
      </c>
      <c r="F301" t="str">
        <f>IF(A301&gt;0,IF(F300=1,1,IF(B301=Data!$H$4,1,0)),"")</f>
        <v/>
      </c>
      <c r="Q301" t="str">
        <f t="shared" si="216"/>
        <v/>
      </c>
      <c r="R301" s="4" t="str">
        <f t="shared" si="217"/>
        <v/>
      </c>
      <c r="S301" t="e">
        <f t="shared" si="228"/>
        <v>#DIV/0!</v>
      </c>
      <c r="T301" t="e">
        <f t="shared" si="241"/>
        <v>#DIV/0!</v>
      </c>
      <c r="U301" s="4">
        <f t="shared" si="218"/>
        <v>0</v>
      </c>
      <c r="V301" t="e">
        <f t="shared" si="229"/>
        <v>#DIV/0!</v>
      </c>
      <c r="W301" t="e">
        <f t="shared" si="230"/>
        <v>#DIV/0!</v>
      </c>
      <c r="X301" t="e">
        <f t="shared" si="231"/>
        <v>#VALUE!</v>
      </c>
      <c r="Y301" t="e">
        <f t="shared" si="232"/>
        <v>#VALUE!</v>
      </c>
      <c r="Z301" t="e">
        <f t="shared" si="233"/>
        <v>#VALUE!</v>
      </c>
      <c r="AA301" t="e">
        <f t="shared" si="219"/>
        <v>#VALUE!</v>
      </c>
      <c r="AB301" t="str">
        <f t="shared" si="234"/>
        <v/>
      </c>
      <c r="AC301" t="str">
        <f t="shared" si="235"/>
        <v/>
      </c>
      <c r="AD301" t="str">
        <f t="shared" si="236"/>
        <v/>
      </c>
      <c r="AE301" t="str">
        <f t="shared" si="237"/>
        <v/>
      </c>
      <c r="AK301" s="4">
        <f t="shared" si="238"/>
        <v>54.900000000000425</v>
      </c>
      <c r="AL301">
        <f t="shared" si="220"/>
        <v>3589.0000000000509</v>
      </c>
      <c r="AM301">
        <f t="shared" si="221"/>
        <v>7366.2333333330735</v>
      </c>
      <c r="AN301">
        <f>IF($AK300+$AK$1&lt;=Data!$H$4-0.5,AVERAGE(AM299:AM303),AN300)</f>
        <v>7365.7433333330682</v>
      </c>
      <c r="AO301">
        <f t="shared" si="222"/>
        <v>7272.9999999999491</v>
      </c>
      <c r="AP301">
        <f t="shared" si="239"/>
        <v>6212.599999999733</v>
      </c>
      <c r="AQ301">
        <f>IF($AK300+$AK$1&lt;=Data!$H$4-0.5,AVERAGE(AP299:AP303),AQ300)</f>
        <v>6211.6999999997261</v>
      </c>
      <c r="AR301">
        <f>IF($AK300+$AK$1&lt;=Data!$H$4-0.5,SLOPE($AN297:$AN305,$AK297:$AK305),AR300)</f>
        <v>-620.90833333335263</v>
      </c>
      <c r="AS301">
        <f>IF($AK300+$AK$1&lt;=Data!$H$4-0.5,SLOPE($AQ297:$AQ305,$AK297:$AK305),AS300)</f>
        <v>-648.41666666669528</v>
      </c>
      <c r="AT301">
        <f>IF(AND($AK301&gt;=Results!$G$13,$AK301&lt;=Results!$G$14),Curves!AR301,"")</f>
        <v>-620.90833333335263</v>
      </c>
      <c r="AU301">
        <f>IF(AND($AK301&gt;=Results!$G$13,$AK301&lt;=Results!$G$14),Curves!AS301,"")</f>
        <v>-648.41666666669528</v>
      </c>
      <c r="AV301" t="str">
        <f t="shared" si="223"/>
        <v/>
      </c>
      <c r="AW301" t="str">
        <f>IF(AND($AK301&lt;=Results!$I$21,$AK301&gt;=Results!$I$20,$AK301&lt;=Results!$F$4),$AN301,"")</f>
        <v/>
      </c>
      <c r="AX301" t="str">
        <f t="shared" si="223"/>
        <v/>
      </c>
      <c r="AY301" t="str">
        <f>IF(AND($AK301&lt;=Results!$I$23,$AK301&gt;=Results!$I$22,$AK301&gt;=Results!$F$4),$AN301,"")</f>
        <v/>
      </c>
      <c r="AZ301" t="str">
        <f t="shared" si="196"/>
        <v/>
      </c>
      <c r="BA301" t="str">
        <f>IF(AND($AK301&lt;=Results!$I$27,$AK301&gt;=Results!$I$26,$AK301&lt;=Results!$F$4),$AQ301,"")</f>
        <v/>
      </c>
      <c r="BB301" t="str">
        <f t="shared" si="197"/>
        <v/>
      </c>
      <c r="BC301" t="str">
        <f>IF(AND($AK301&lt;=Results!$I$29,$AK301&gt;=Results!$I$28,$AK301&gt;=Results!$F$4),$AQ301,"")</f>
        <v/>
      </c>
      <c r="BD301">
        <f t="shared" si="198"/>
        <v>8846.390776950695</v>
      </c>
      <c r="BE301">
        <f t="shared" si="199"/>
        <v>1654.6408730634141</v>
      </c>
      <c r="BF301">
        <f t="shared" si="200"/>
        <v>9183.0477003601281</v>
      </c>
      <c r="BG301">
        <f t="shared" si="201"/>
        <v>1236.4013104022899</v>
      </c>
      <c r="BH301">
        <f t="shared" si="202"/>
        <v>0</v>
      </c>
      <c r="BI301">
        <f t="shared" si="203"/>
        <v>0.79411861321577548</v>
      </c>
      <c r="BJ301">
        <f t="shared" si="204"/>
        <v>0.62608784202159939</v>
      </c>
      <c r="BK301">
        <f t="shared" si="205"/>
        <v>-7.3324536024372902E-2</v>
      </c>
      <c r="BL301">
        <f t="shared" si="206"/>
        <v>-7.5310977707576707E-2</v>
      </c>
      <c r="BM301">
        <f t="shared" si="224"/>
        <v>119.99999999999829</v>
      </c>
      <c r="BN301">
        <f t="shared" si="225"/>
        <v>-119.99999999999829</v>
      </c>
      <c r="BO301">
        <f>Data!$H$2*(1-BI301)*(1-BI301/Data!$H$3)*BM301</f>
        <v>1.0172914901806765E-5</v>
      </c>
      <c r="BP301">
        <f t="shared" si="207"/>
        <v>-95.294233585891703</v>
      </c>
      <c r="BQ301">
        <f>Data!$H$2*(1-BJ301)*(1-BJ301/Data!$H$3)*BN301</f>
        <v>-3.3554472452174975E-5</v>
      </c>
      <c r="BR301">
        <f t="shared" si="208"/>
        <v>75.130541042590863</v>
      </c>
      <c r="BS301">
        <f t="shared" si="209"/>
        <v>0</v>
      </c>
      <c r="BT301">
        <f t="shared" si="210"/>
        <v>0</v>
      </c>
      <c r="BU301">
        <f t="shared" si="211"/>
        <v>0</v>
      </c>
      <c r="BV301">
        <f t="shared" si="212"/>
        <v>0</v>
      </c>
      <c r="BW301">
        <f t="shared" si="226"/>
        <v>0</v>
      </c>
      <c r="BX301" t="str">
        <f t="shared" si="227"/>
        <v/>
      </c>
      <c r="BY301" s="66" t="str">
        <f t="shared" si="213"/>
        <v/>
      </c>
      <c r="BZ301" t="str">
        <f t="shared" si="214"/>
        <v/>
      </c>
      <c r="CA301" s="67" t="str">
        <f t="shared" si="215"/>
        <v/>
      </c>
    </row>
    <row r="302" spans="4:79" x14ac:dyDescent="0.25">
      <c r="D302" s="3" t="e">
        <f t="shared" si="240"/>
        <v>#DIV/0!</v>
      </c>
      <c r="E302" s="3" t="e">
        <f t="shared" si="240"/>
        <v>#DIV/0!</v>
      </c>
      <c r="F302" t="str">
        <f>IF(A302&gt;0,IF(F301=1,1,IF(B302=Data!$H$4,1,0)),"")</f>
        <v/>
      </c>
      <c r="Y302" s="4"/>
      <c r="Z302" s="4"/>
      <c r="AA302" s="4" t="str">
        <f t="shared" ref="AA302:AA365" si="242">Y3</f>
        <v/>
      </c>
      <c r="AE302" s="4" t="str">
        <f t="shared" ref="AE302:AE365" si="243">AC3</f>
        <v/>
      </c>
      <c r="AK302" s="4">
        <f t="shared" si="238"/>
        <v>55.000000000000426</v>
      </c>
      <c r="AL302">
        <f t="shared" si="220"/>
        <v>3601.0000000000509</v>
      </c>
      <c r="AM302">
        <f t="shared" si="221"/>
        <v>7304.9999999997281</v>
      </c>
      <c r="AN302">
        <f>IF($AK301+$AK$1&lt;=Data!$H$4-0.5,AVERAGE(AM300:AM304),AN301)</f>
        <v>7303.5299999997324</v>
      </c>
      <c r="AO302">
        <f t="shared" si="222"/>
        <v>7260.9999999999491</v>
      </c>
      <c r="AP302">
        <f t="shared" si="239"/>
        <v>6149.3333333330465</v>
      </c>
      <c r="AQ302">
        <f>IF($AK301+$AK$1&lt;=Data!$H$4-0.5,AVERAGE(AP300:AP304),AQ301)</f>
        <v>6146.633333333054</v>
      </c>
      <c r="AR302">
        <f>IF($AK301+$AK$1&lt;=Data!$H$4-0.5,SLOPE($AN298:$AN306,$AK298:$AK306),AR301)</f>
        <v>-624.58333333335167</v>
      </c>
      <c r="AS302">
        <f>IF($AK301+$AK$1&lt;=Data!$H$4-0.5,SLOPE($AQ298:$AQ306,$AK298:$AK306),AS301)</f>
        <v>-655.1666666666963</v>
      </c>
      <c r="AT302">
        <f>IF(AND($AK302&gt;=Results!$G$13,$AK302&lt;=Results!$G$14),Curves!AR302,"")</f>
        <v>-624.58333333335167</v>
      </c>
      <c r="AU302">
        <f>IF(AND($AK302&gt;=Results!$G$13,$AK302&lt;=Results!$G$14),Curves!AS302,"")</f>
        <v>-655.1666666666963</v>
      </c>
      <c r="AV302" t="str">
        <f t="shared" si="223"/>
        <v/>
      </c>
      <c r="AW302" t="str">
        <f>IF(AND($AK302&lt;=Results!$I$21,$AK302&gt;=Results!$I$20,$AK302&lt;=Results!$F$4),$AN302,"")</f>
        <v/>
      </c>
      <c r="AX302" t="str">
        <f t="shared" si="223"/>
        <v/>
      </c>
      <c r="AY302" t="str">
        <f>IF(AND($AK302&lt;=Results!$I$23,$AK302&gt;=Results!$I$22,$AK302&gt;=Results!$F$4),$AN302,"")</f>
        <v/>
      </c>
      <c r="AZ302" t="str">
        <f t="shared" si="196"/>
        <v/>
      </c>
      <c r="BA302" t="str">
        <f>IF(AND($AK302&lt;=Results!$I$27,$AK302&gt;=Results!$I$26,$AK302&lt;=Results!$F$4),$AQ302,"")</f>
        <v/>
      </c>
      <c r="BB302" t="str">
        <f t="shared" si="197"/>
        <v/>
      </c>
      <c r="BC302" t="str">
        <f>IF(AND($AK302&lt;=Results!$I$29,$AK302&gt;=Results!$I$28,$AK302&gt;=Results!$F$4),$AQ302,"")</f>
        <v/>
      </c>
      <c r="BD302">
        <f t="shared" si="198"/>
        <v>8835.6205821527747</v>
      </c>
      <c r="BE302">
        <f t="shared" si="199"/>
        <v>1651.3250838140934</v>
      </c>
      <c r="BF302">
        <f t="shared" si="200"/>
        <v>9175.7577181272354</v>
      </c>
      <c r="BG302">
        <f t="shared" si="201"/>
        <v>1235.8505094427649</v>
      </c>
      <c r="BH302">
        <f t="shared" si="202"/>
        <v>0</v>
      </c>
      <c r="BI302">
        <f t="shared" si="203"/>
        <v>0.78674449255221646</v>
      </c>
      <c r="BJ302">
        <f t="shared" si="204"/>
        <v>0.6184937298157589</v>
      </c>
      <c r="BK302">
        <f t="shared" si="205"/>
        <v>-7.4159175602872038E-2</v>
      </c>
      <c r="BL302">
        <f t="shared" si="206"/>
        <v>-7.6572872321392663E-2</v>
      </c>
      <c r="BM302">
        <f t="shared" si="224"/>
        <v>120.00000000000055</v>
      </c>
      <c r="BN302">
        <f t="shared" si="225"/>
        <v>-119.99999999999829</v>
      </c>
      <c r="BO302">
        <f>Data!$H$2*(1-BI302)*(1-BI302/Data!$H$3)*BM302</f>
        <v>1.091469874963485E-5</v>
      </c>
      <c r="BP302">
        <f t="shared" si="207"/>
        <v>-94.409339106266415</v>
      </c>
      <c r="BQ302">
        <f>Data!$H$2*(1-BJ302)*(1-BJ302/Data!$H$3)*BN302</f>
        <v>-3.4931288205573388E-5</v>
      </c>
      <c r="BR302">
        <f t="shared" si="208"/>
        <v>74.219247577890016</v>
      </c>
      <c r="BS302">
        <f t="shared" si="209"/>
        <v>0</v>
      </c>
      <c r="BT302">
        <f t="shared" si="210"/>
        <v>0</v>
      </c>
      <c r="BU302">
        <f t="shared" si="211"/>
        <v>0</v>
      </c>
      <c r="BV302">
        <f>IF(BS302&lt;=0,0,LN(BS302))</f>
        <v>0</v>
      </c>
      <c r="BW302">
        <f t="shared" si="226"/>
        <v>0</v>
      </c>
      <c r="BX302" t="str">
        <f t="shared" si="227"/>
        <v/>
      </c>
      <c r="BY302" s="66" t="str">
        <f t="shared" si="213"/>
        <v/>
      </c>
      <c r="BZ302" t="str">
        <f t="shared" si="214"/>
        <v/>
      </c>
      <c r="CA302" s="67" t="str">
        <f>IF(BU302=0,"",BW302)</f>
        <v/>
      </c>
    </row>
    <row r="303" spans="4:79" x14ac:dyDescent="0.25">
      <c r="D303" s="3" t="e">
        <f t="shared" si="240"/>
        <v>#DIV/0!</v>
      </c>
      <c r="E303" s="3" t="e">
        <f t="shared" si="240"/>
        <v>#DIV/0!</v>
      </c>
      <c r="F303" t="str">
        <f>IF(A303&gt;0,IF(F302=1,1,IF(B303=Data!$H$4,1,0)),"")</f>
        <v/>
      </c>
      <c r="Y303" s="4"/>
      <c r="Z303" s="4"/>
      <c r="AA303" s="4" t="str">
        <f t="shared" si="242"/>
        <v/>
      </c>
      <c r="AE303" s="4" t="str">
        <f t="shared" si="243"/>
        <v/>
      </c>
      <c r="AK303" s="4">
        <f t="shared" si="238"/>
        <v>55.100000000000428</v>
      </c>
      <c r="AL303">
        <f t="shared" si="220"/>
        <v>3613.0000000000514</v>
      </c>
      <c r="AM303">
        <f t="shared" si="221"/>
        <v>7241.3166666663938</v>
      </c>
      <c r="AN303">
        <f>IF($AK302+$AK$1&lt;=Data!$H$4-0.5,AVERAGE(AM301:AM305),AN302)</f>
        <v>7240.8266666663958</v>
      </c>
      <c r="AO303">
        <f t="shared" si="222"/>
        <v>7248.9999999999491</v>
      </c>
      <c r="AP303">
        <f t="shared" si="239"/>
        <v>6081.5666666663783</v>
      </c>
      <c r="AQ303">
        <f>IF($AK302+$AK$1&lt;=Data!$H$4-0.5,AVERAGE(AP301:AP305),AQ302)</f>
        <v>6080.6666666663823</v>
      </c>
      <c r="AR303">
        <f>IF($AK302+$AK$1&lt;=Data!$H$4-0.5,SLOPE($AN299:$AN307,$AK299:$AK307),AR302)</f>
        <v>-628.25833333334947</v>
      </c>
      <c r="AS303">
        <f>IF($AK302+$AK$1&lt;=Data!$H$4-0.5,SLOPE($AQ299:$AQ307,$AK299:$AK307),AS302)</f>
        <v>-661.91666666669425</v>
      </c>
      <c r="AT303">
        <f>IF(AND($AK303&gt;=Results!$G$13,$AK303&lt;=Results!$G$14),Curves!AR303,"")</f>
        <v>-628.25833333334947</v>
      </c>
      <c r="AU303">
        <f>IF(AND($AK303&gt;=Results!$G$13,$AK303&lt;=Results!$G$14),Curves!AS303,"")</f>
        <v>-661.91666666669425</v>
      </c>
      <c r="AV303" t="str">
        <f t="shared" si="223"/>
        <v/>
      </c>
      <c r="AW303" t="str">
        <f>IF(AND($AK303&lt;=Results!$I$21,$AK303&gt;=Results!$I$20,$AK303&lt;=Results!$F$4),$AN303,"")</f>
        <v/>
      </c>
      <c r="AX303" t="str">
        <f t="shared" si="223"/>
        <v/>
      </c>
      <c r="AY303" t="str">
        <f>IF(AND($AK303&lt;=Results!$I$23,$AK303&gt;=Results!$I$22,$AK303&gt;=Results!$F$4),$AN303,"")</f>
        <v/>
      </c>
      <c r="AZ303" t="str">
        <f t="shared" si="196"/>
        <v/>
      </c>
      <c r="BA303" t="str">
        <f>IF(AND($AK303&lt;=Results!$I$27,$AK303&gt;=Results!$I$26,$AK303&lt;=Results!$F$4),$AQ303,"")</f>
        <v/>
      </c>
      <c r="BB303" t="str">
        <f t="shared" si="197"/>
        <v/>
      </c>
      <c r="BC303" t="str">
        <f>IF(AND($AK303&lt;=Results!$I$29,$AK303&gt;=Results!$I$28,$AK303&gt;=Results!$F$4),$AQ303,"")</f>
        <v/>
      </c>
      <c r="BD303">
        <f t="shared" si="198"/>
        <v>8824.8503873548543</v>
      </c>
      <c r="BE303">
        <f t="shared" si="199"/>
        <v>1648.0092945647725</v>
      </c>
      <c r="BF303">
        <f t="shared" si="200"/>
        <v>9168.4677358943409</v>
      </c>
      <c r="BG303">
        <f t="shared" si="201"/>
        <v>1235.29970848324</v>
      </c>
      <c r="BH303">
        <f t="shared" si="202"/>
        <v>0</v>
      </c>
      <c r="BI303">
        <f t="shared" si="203"/>
        <v>0.77928677809520086</v>
      </c>
      <c r="BJ303">
        <f t="shared" si="204"/>
        <v>0.61077326755732064</v>
      </c>
      <c r="BK303">
        <f t="shared" si="205"/>
        <v>-7.4996417293390391E-2</v>
      </c>
      <c r="BL303">
        <f t="shared" si="206"/>
        <v>-7.7837984221026391E-2</v>
      </c>
      <c r="BM303">
        <f t="shared" si="224"/>
        <v>120.00000000000055</v>
      </c>
      <c r="BN303">
        <f t="shared" si="225"/>
        <v>-120.00000000000284</v>
      </c>
      <c r="BO303">
        <f>Data!$H$2*(1-BI303)*(1-BI303/Data!$H$3)*BM303</f>
        <v>1.1691438317663358E-5</v>
      </c>
      <c r="BP303">
        <f t="shared" si="207"/>
        <v>-93.514413371424538</v>
      </c>
      <c r="BQ303">
        <f>Data!$H$2*(1-BJ303)*(1-BJ303/Data!$H$3)*BN303</f>
        <v>-3.6359387819522084E-5</v>
      </c>
      <c r="BR303">
        <f t="shared" si="208"/>
        <v>73.292792106880214</v>
      </c>
      <c r="BS303">
        <f t="shared" si="209"/>
        <v>0</v>
      </c>
      <c r="BT303">
        <f t="shared" si="210"/>
        <v>0</v>
      </c>
      <c r="BU303">
        <f t="shared" si="211"/>
        <v>0</v>
      </c>
      <c r="BV303">
        <f t="shared" ref="BV303:BV366" si="244">IF(BS303&lt;=0,0,LN(BS303))</f>
        <v>0</v>
      </c>
      <c r="BW303">
        <f t="shared" si="226"/>
        <v>0</v>
      </c>
      <c r="BX303" t="str">
        <f t="shared" si="227"/>
        <v/>
      </c>
      <c r="BY303" s="66" t="str">
        <f t="shared" si="213"/>
        <v/>
      </c>
      <c r="BZ303" t="str">
        <f t="shared" si="214"/>
        <v/>
      </c>
      <c r="CA303" s="67" t="str">
        <f t="shared" ref="CA303:CA366" si="245">IF(BU303=0,"",BW303)</f>
        <v/>
      </c>
    </row>
    <row r="304" spans="4:79" x14ac:dyDescent="0.25">
      <c r="D304" s="3" t="e">
        <f t="shared" si="240"/>
        <v>#DIV/0!</v>
      </c>
      <c r="E304" s="3" t="e">
        <f t="shared" si="240"/>
        <v>#DIV/0!</v>
      </c>
      <c r="F304" t="str">
        <f>IF(A304&gt;0,IF(F303=1,1,IF(B304=Data!$H$4,1,0)),"")</f>
        <v/>
      </c>
      <c r="Y304" s="4"/>
      <c r="Z304" s="4"/>
      <c r="AA304" s="4" t="str">
        <f t="shared" si="242"/>
        <v/>
      </c>
      <c r="AE304" s="4" t="str">
        <f t="shared" si="243"/>
        <v/>
      </c>
      <c r="AK304" s="4">
        <f t="shared" si="238"/>
        <v>55.200000000000429</v>
      </c>
      <c r="AL304">
        <f t="shared" si="220"/>
        <v>3625.0000000000514</v>
      </c>
      <c r="AM304">
        <f t="shared" si="221"/>
        <v>7177.6333333330595</v>
      </c>
      <c r="AN304">
        <f>IF($AK303+$AK$1&lt;=Data!$H$4-0.5,AVERAGE(AM302:AM306),AN303)</f>
        <v>7177.6333333330595</v>
      </c>
      <c r="AO304">
        <f t="shared" si="222"/>
        <v>7236.9999999999482</v>
      </c>
      <c r="AP304">
        <f t="shared" si="239"/>
        <v>6013.799999999711</v>
      </c>
      <c r="AQ304">
        <f>IF($AK303+$AK$1&lt;=Data!$H$4-0.5,AVERAGE(AP302:AP306),AQ303)</f>
        <v>6013.7999999997101</v>
      </c>
      <c r="AR304">
        <f>IF($AK303+$AK$1&lt;=Data!$H$4-0.5,SLOPE($AN300:$AN308,$AK300:$AK308),AR303)</f>
        <v>-631.52500000001362</v>
      </c>
      <c r="AS304">
        <f>IF($AK303+$AK$1&lt;=Data!$H$4-0.5,SLOPE($AQ300:$AQ308,$AK300:$AK308),AS303)</f>
        <v>-667.91666666668948</v>
      </c>
      <c r="AT304">
        <f>IF(AND($AK304&gt;=Results!$G$13,$AK304&lt;=Results!$G$14),Curves!AR304,"")</f>
        <v>-631.52500000001362</v>
      </c>
      <c r="AU304">
        <f>IF(AND($AK304&gt;=Results!$G$13,$AK304&lt;=Results!$G$14),Curves!AS304,"")</f>
        <v>-667.91666666668948</v>
      </c>
      <c r="AV304" t="str">
        <f t="shared" si="223"/>
        <v/>
      </c>
      <c r="AW304" t="str">
        <f>IF(AND($AK304&lt;=Results!$I$21,$AK304&gt;=Results!$I$20,$AK304&lt;=Results!$F$4),$AN304,"")</f>
        <v/>
      </c>
      <c r="AX304" t="str">
        <f t="shared" si="223"/>
        <v/>
      </c>
      <c r="AY304" t="str">
        <f>IF(AND($AK304&lt;=Results!$I$23,$AK304&gt;=Results!$I$22,$AK304&gt;=Results!$F$4),$AN304,"")</f>
        <v/>
      </c>
      <c r="AZ304" t="str">
        <f t="shared" si="196"/>
        <v/>
      </c>
      <c r="BA304" t="str">
        <f>IF(AND($AK304&lt;=Results!$I$27,$AK304&gt;=Results!$I$26,$AK304&lt;=Results!$F$4),$AQ304,"")</f>
        <v/>
      </c>
      <c r="BB304" t="str">
        <f t="shared" si="197"/>
        <v/>
      </c>
      <c r="BC304" t="str">
        <f>IF(AND($AK304&lt;=Results!$I$29,$AK304&gt;=Results!$I$28,$AK304&gt;=Results!$F$4),$AQ304,"")</f>
        <v/>
      </c>
      <c r="BD304">
        <f t="shared" si="198"/>
        <v>8814.0801925569358</v>
      </c>
      <c r="BE304">
        <f t="shared" si="199"/>
        <v>1644.6935053154516</v>
      </c>
      <c r="BF304">
        <f t="shared" si="200"/>
        <v>9161.1777536614482</v>
      </c>
      <c r="BG304">
        <f t="shared" si="201"/>
        <v>1234.7489075237149</v>
      </c>
      <c r="BH304">
        <f t="shared" si="202"/>
        <v>0</v>
      </c>
      <c r="BI304">
        <f t="shared" si="203"/>
        <v>0.77174520909353816</v>
      </c>
      <c r="BJ304">
        <f t="shared" si="204"/>
        <v>0.6029261329715534</v>
      </c>
      <c r="BK304">
        <f t="shared" si="205"/>
        <v>-7.5836271923801518E-2</v>
      </c>
      <c r="BL304">
        <f t="shared" si="206"/>
        <v>-7.9106324352699015E-2</v>
      </c>
      <c r="BM304">
        <f t="shared" si="224"/>
        <v>120.00000000000055</v>
      </c>
      <c r="BN304">
        <f t="shared" si="225"/>
        <v>-120.00000000000284</v>
      </c>
      <c r="BO304">
        <f>Data!$H$2*(1-BI304)*(1-BI304/Data!$H$3)*BM304</f>
        <v>1.2504059897220683E-5</v>
      </c>
      <c r="BP304">
        <f t="shared" si="207"/>
        <v>-92.609425091225006</v>
      </c>
      <c r="BQ304">
        <f>Data!$H$2*(1-BJ304)*(1-BJ304/Data!$H$3)*BN304</f>
        <v>-3.784023741046278E-5</v>
      </c>
      <c r="BR304">
        <f t="shared" si="208"/>
        <v>72.351135956588124</v>
      </c>
      <c r="BS304">
        <f t="shared" si="209"/>
        <v>0</v>
      </c>
      <c r="BT304">
        <f t="shared" si="210"/>
        <v>0</v>
      </c>
      <c r="BU304">
        <f t="shared" si="211"/>
        <v>0</v>
      </c>
      <c r="BV304">
        <f t="shared" si="244"/>
        <v>0</v>
      </c>
      <c r="BW304">
        <f t="shared" si="226"/>
        <v>0</v>
      </c>
      <c r="BX304" t="str">
        <f t="shared" si="227"/>
        <v/>
      </c>
      <c r="BY304" s="66" t="str">
        <f t="shared" si="213"/>
        <v/>
      </c>
      <c r="BZ304" t="str">
        <f t="shared" si="214"/>
        <v/>
      </c>
      <c r="CA304" s="67" t="str">
        <f t="shared" si="245"/>
        <v/>
      </c>
    </row>
    <row r="305" spans="4:79" x14ac:dyDescent="0.25">
      <c r="D305" s="3" t="e">
        <f t="shared" si="240"/>
        <v>#DIV/0!</v>
      </c>
      <c r="E305" s="3" t="e">
        <f t="shared" si="240"/>
        <v>#DIV/0!</v>
      </c>
      <c r="F305" t="str">
        <f>IF(A305&gt;0,IF(F304=1,1,IF(B305=Data!$H$4,1,0)),"")</f>
        <v/>
      </c>
      <c r="Y305" s="4"/>
      <c r="Z305" s="4"/>
      <c r="AA305" s="4" t="str">
        <f t="shared" si="242"/>
        <v/>
      </c>
      <c r="AE305" s="4" t="str">
        <f t="shared" si="243"/>
        <v/>
      </c>
      <c r="AK305" s="4">
        <f t="shared" si="238"/>
        <v>55.300000000000431</v>
      </c>
      <c r="AL305">
        <f t="shared" si="220"/>
        <v>3637.0000000000518</v>
      </c>
      <c r="AM305">
        <f t="shared" si="221"/>
        <v>7113.9499999997252</v>
      </c>
      <c r="AN305">
        <f>IF($AK304+$AK$1&lt;=Data!$H$4-0.5,AVERAGE(AM303:AM307),AN304)</f>
        <v>7113.9499999997252</v>
      </c>
      <c r="AO305">
        <f t="shared" si="222"/>
        <v>7224.9999999999482</v>
      </c>
      <c r="AP305">
        <f t="shared" si="239"/>
        <v>5946.0333333330427</v>
      </c>
      <c r="AQ305">
        <f>IF($AK304+$AK$1&lt;=Data!$H$4-0.5,AVERAGE(AP303:AP307),AQ304)</f>
        <v>5946.0333333330427</v>
      </c>
      <c r="AR305">
        <f>IF($AK304+$AK$1&lt;=Data!$H$4-0.5,SLOPE($AN301:$AN309,$AK301:$AK309),AR304)</f>
        <v>-633.97500000000946</v>
      </c>
      <c r="AS305">
        <f>IF($AK304+$AK$1&lt;=Data!$H$4-0.5,SLOPE($AQ301:$AQ309,$AK301:$AK309),AS304)</f>
        <v>-672.41666666668323</v>
      </c>
      <c r="AT305">
        <f>IF(AND($AK305&gt;=Results!$G$13,$AK305&lt;=Results!$G$14),Curves!AR305,"")</f>
        <v>-633.97500000000946</v>
      </c>
      <c r="AU305">
        <f>IF(AND($AK305&gt;=Results!$G$13,$AK305&lt;=Results!$G$14),Curves!AS305,"")</f>
        <v>-672.41666666668323</v>
      </c>
      <c r="AV305" t="str">
        <f t="shared" si="223"/>
        <v/>
      </c>
      <c r="AW305" t="str">
        <f>IF(AND($AK305&lt;=Results!$I$21,$AK305&gt;=Results!$I$20,$AK305&lt;=Results!$F$4),$AN305,"")</f>
        <v/>
      </c>
      <c r="AX305" t="str">
        <f t="shared" si="223"/>
        <v/>
      </c>
      <c r="AY305" t="str">
        <f>IF(AND($AK305&lt;=Results!$I$23,$AK305&gt;=Results!$I$22,$AK305&gt;=Results!$F$4),$AN305,"")</f>
        <v/>
      </c>
      <c r="AZ305" t="str">
        <f t="shared" si="196"/>
        <v/>
      </c>
      <c r="BA305" t="str">
        <f>IF(AND($AK305&lt;=Results!$I$27,$AK305&gt;=Results!$I$26,$AK305&lt;=Results!$F$4),$AQ305,"")</f>
        <v/>
      </c>
      <c r="BB305" t="str">
        <f t="shared" si="197"/>
        <v/>
      </c>
      <c r="BC305" t="str">
        <f>IF(AND($AK305&lt;=Results!$I$29,$AK305&gt;=Results!$I$28,$AK305&gt;=Results!$F$4),$AQ305,"")</f>
        <v/>
      </c>
      <c r="BD305">
        <f t="shared" si="198"/>
        <v>8803.3099977590155</v>
      </c>
      <c r="BE305">
        <f t="shared" si="199"/>
        <v>1641.3777160661309</v>
      </c>
      <c r="BF305">
        <f t="shared" si="200"/>
        <v>9153.8877714285554</v>
      </c>
      <c r="BG305">
        <f t="shared" si="201"/>
        <v>1234.1981065641899</v>
      </c>
      <c r="BH305">
        <f t="shared" si="202"/>
        <v>0</v>
      </c>
      <c r="BI305">
        <f t="shared" si="203"/>
        <v>0.76411952371044034</v>
      </c>
      <c r="BJ305">
        <f t="shared" si="204"/>
        <v>0.59495200268678061</v>
      </c>
      <c r="BK305">
        <f t="shared" si="205"/>
        <v>-7.6336307499596537E-2</v>
      </c>
      <c r="BL305">
        <f t="shared" si="206"/>
        <v>-7.9809215707282694E-2</v>
      </c>
      <c r="BM305">
        <f t="shared" si="224"/>
        <v>120.00000000000055</v>
      </c>
      <c r="BN305">
        <f t="shared" si="225"/>
        <v>-119.99999999999829</v>
      </c>
      <c r="BO305">
        <f>Data!$H$2*(1-BI305)*(1-BI305/Data!$H$3)*BM305</f>
        <v>1.3353503782701545E-5</v>
      </c>
      <c r="BP305">
        <f t="shared" si="207"/>
        <v>-91.69434284525326</v>
      </c>
      <c r="BQ305">
        <f>Data!$H$2*(1-BJ305)*(1-BJ305/Data!$H$3)*BN305</f>
        <v>-3.937533123058738E-5</v>
      </c>
      <c r="BR305">
        <f t="shared" si="208"/>
        <v>71.394240322412656</v>
      </c>
      <c r="BS305">
        <f t="shared" si="209"/>
        <v>0</v>
      </c>
      <c r="BT305">
        <f t="shared" si="210"/>
        <v>0</v>
      </c>
      <c r="BU305">
        <f t="shared" si="211"/>
        <v>0</v>
      </c>
      <c r="BV305">
        <f t="shared" si="244"/>
        <v>0</v>
      </c>
      <c r="BW305">
        <f t="shared" si="226"/>
        <v>0</v>
      </c>
      <c r="BX305" t="str">
        <f t="shared" si="227"/>
        <v/>
      </c>
      <c r="BY305" s="66" t="str">
        <f t="shared" si="213"/>
        <v/>
      </c>
      <c r="BZ305" t="str">
        <f t="shared" si="214"/>
        <v/>
      </c>
      <c r="CA305" s="67" t="str">
        <f t="shared" si="245"/>
        <v/>
      </c>
    </row>
    <row r="306" spans="4:79" x14ac:dyDescent="0.25">
      <c r="D306" s="3" t="e">
        <f t="shared" si="240"/>
        <v>#DIV/0!</v>
      </c>
      <c r="E306" s="3" t="e">
        <f t="shared" si="240"/>
        <v>#DIV/0!</v>
      </c>
      <c r="F306" t="str">
        <f>IF(A306&gt;0,IF(F305=1,1,IF(B306=Data!$H$4,1,0)),"")</f>
        <v/>
      </c>
      <c r="Y306" s="4"/>
      <c r="Z306" s="4"/>
      <c r="AA306" s="4" t="str">
        <f t="shared" si="242"/>
        <v/>
      </c>
      <c r="AE306" s="4" t="str">
        <f t="shared" si="243"/>
        <v/>
      </c>
      <c r="AK306" s="4">
        <f t="shared" si="238"/>
        <v>55.400000000000432</v>
      </c>
      <c r="AL306">
        <f t="shared" si="220"/>
        <v>3649.0000000000518</v>
      </c>
      <c r="AM306">
        <f t="shared" si="221"/>
        <v>7050.2666666663908</v>
      </c>
      <c r="AN306">
        <f>IF($AK305+$AK$1&lt;=Data!$H$4-0.5,AVERAGE(AM304:AM308),AN305)</f>
        <v>7050.2666666663908</v>
      </c>
      <c r="AO306">
        <f t="shared" si="222"/>
        <v>7212.9999999999482</v>
      </c>
      <c r="AP306">
        <f t="shared" si="239"/>
        <v>5878.2666666663745</v>
      </c>
      <c r="AQ306">
        <f>IF($AK305+$AK$1&lt;=Data!$H$4-0.5,AVERAGE(AP304:AP308),AQ305)</f>
        <v>5878.2666666663745</v>
      </c>
      <c r="AR306">
        <f>IF($AK305+$AK$1&lt;=Data!$H$4-0.5,SLOPE($AN302:$AN310,$AK302:$AK310),AR305)</f>
        <v>-635.60833333334244</v>
      </c>
      <c r="AS306">
        <f>IF($AK305+$AK$1&lt;=Data!$H$4-0.5,SLOPE($AQ302:$AQ310,$AK302:$AK310),AS305)</f>
        <v>-675.41666666667913</v>
      </c>
      <c r="AT306">
        <f>IF(AND($AK306&gt;=Results!$G$13,$AK306&lt;=Results!$G$14),Curves!AR306,"")</f>
        <v>-635.60833333334244</v>
      </c>
      <c r="AU306">
        <f>IF(AND($AK306&gt;=Results!$G$13,$AK306&lt;=Results!$G$14),Curves!AS306,"")</f>
        <v>-675.41666666667913</v>
      </c>
      <c r="AV306" t="str">
        <f t="shared" si="223"/>
        <v/>
      </c>
      <c r="AW306" t="str">
        <f>IF(AND($AK306&lt;=Results!$I$21,$AK306&gt;=Results!$I$20,$AK306&lt;=Results!$F$4),$AN306,"")</f>
        <v/>
      </c>
      <c r="AX306" t="str">
        <f t="shared" si="223"/>
        <v/>
      </c>
      <c r="AY306" t="str">
        <f>IF(AND($AK306&lt;=Results!$I$23,$AK306&gt;=Results!$I$22,$AK306&gt;=Results!$F$4),$AN306,"")</f>
        <v/>
      </c>
      <c r="AZ306" t="str">
        <f t="shared" si="196"/>
        <v/>
      </c>
      <c r="BA306" t="str">
        <f>IF(AND($AK306&lt;=Results!$I$27,$AK306&gt;=Results!$I$26,$AK306&lt;=Results!$F$4),$AQ306,"")</f>
        <v/>
      </c>
      <c r="BB306" t="str">
        <f t="shared" si="197"/>
        <v/>
      </c>
      <c r="BC306" t="str">
        <f>IF(AND($AK306&lt;=Results!$I$29,$AK306&gt;=Results!$I$28,$AK306&gt;=Results!$F$4),$AQ306,"")</f>
        <v/>
      </c>
      <c r="BD306">
        <f t="shared" si="198"/>
        <v>8792.5398029610951</v>
      </c>
      <c r="BE306">
        <f t="shared" si="199"/>
        <v>1638.06192681681</v>
      </c>
      <c r="BF306">
        <f t="shared" si="200"/>
        <v>9146.5977891956627</v>
      </c>
      <c r="BG306">
        <f t="shared" si="201"/>
        <v>1233.647305604665</v>
      </c>
      <c r="BH306">
        <f t="shared" si="202"/>
        <v>0</v>
      </c>
      <c r="BI306">
        <f t="shared" si="203"/>
        <v>0.75647794759361864</v>
      </c>
      <c r="BJ306">
        <f t="shared" si="204"/>
        <v>0.58696428983009663</v>
      </c>
      <c r="BK306">
        <f t="shared" si="205"/>
        <v>-7.6495463449368667E-2</v>
      </c>
      <c r="BL306">
        <f t="shared" si="206"/>
        <v>-7.9945215091272143E-2</v>
      </c>
      <c r="BM306">
        <f t="shared" si="224"/>
        <v>119.99999999999829</v>
      </c>
      <c r="BN306">
        <f t="shared" si="225"/>
        <v>-119.99999999999829</v>
      </c>
      <c r="BO306">
        <f>Data!$H$2*(1-BI306)*(1-BI306/Data!$H$3)*BM306</f>
        <v>1.4232717601971721E-5</v>
      </c>
      <c r="BP306">
        <f t="shared" si="207"/>
        <v>-90.777353711232948</v>
      </c>
      <c r="BQ306">
        <f>Data!$H$2*(1-BJ306)*(1-BJ306/Data!$H$3)*BN306</f>
        <v>-4.0943639490132957E-5</v>
      </c>
      <c r="BR306">
        <f t="shared" si="208"/>
        <v>70.435714779610592</v>
      </c>
      <c r="BS306">
        <f t="shared" si="209"/>
        <v>0</v>
      </c>
      <c r="BT306">
        <f t="shared" si="210"/>
        <v>0</v>
      </c>
      <c r="BU306">
        <f t="shared" si="211"/>
        <v>0</v>
      </c>
      <c r="BV306">
        <f t="shared" si="244"/>
        <v>0</v>
      </c>
      <c r="BW306">
        <f t="shared" si="226"/>
        <v>0</v>
      </c>
      <c r="BX306" t="str">
        <f t="shared" si="227"/>
        <v/>
      </c>
      <c r="BY306" s="66" t="str">
        <f t="shared" si="213"/>
        <v/>
      </c>
      <c r="BZ306" t="str">
        <f t="shared" si="214"/>
        <v/>
      </c>
      <c r="CA306" s="67" t="str">
        <f t="shared" si="245"/>
        <v/>
      </c>
    </row>
    <row r="307" spans="4:79" x14ac:dyDescent="0.25">
      <c r="D307" s="3" t="e">
        <f t="shared" si="240"/>
        <v>#DIV/0!</v>
      </c>
      <c r="E307" s="3" t="e">
        <f t="shared" si="240"/>
        <v>#DIV/0!</v>
      </c>
      <c r="F307" t="str">
        <f>IF(A307&gt;0,IF(F306=1,1,IF(B307=Data!$H$4,1,0)),"")</f>
        <v/>
      </c>
      <c r="Y307" s="4"/>
      <c r="Z307" s="4"/>
      <c r="AA307" s="4" t="str">
        <f t="shared" si="242"/>
        <v/>
      </c>
      <c r="AE307" s="4" t="str">
        <f t="shared" si="243"/>
        <v/>
      </c>
      <c r="AK307" s="4">
        <f t="shared" si="238"/>
        <v>55.500000000000433</v>
      </c>
      <c r="AL307">
        <f t="shared" si="220"/>
        <v>3661.0000000000518</v>
      </c>
      <c r="AM307">
        <f t="shared" si="221"/>
        <v>6986.5833333330556</v>
      </c>
      <c r="AN307">
        <f>IF($AK306+$AK$1&lt;=Data!$H$4-0.5,AVERAGE(AM305:AM309),AN306)</f>
        <v>6986.5833333330565</v>
      </c>
      <c r="AO307">
        <f t="shared" si="222"/>
        <v>7200.9999999999482</v>
      </c>
      <c r="AP307">
        <f t="shared" si="239"/>
        <v>5810.4999999997062</v>
      </c>
      <c r="AQ307">
        <f>IF($AK306+$AK$1&lt;=Data!$H$4-0.5,AVERAGE(AP305:AP309),AQ306)</f>
        <v>5810.4999999997062</v>
      </c>
      <c r="AR307">
        <f>IF($AK306+$AK$1&lt;=Data!$H$4-0.5,SLOPE($AN303:$AN311,$AK303:$AK311),AR306)</f>
        <v>-637.07111111112147</v>
      </c>
      <c r="AS307">
        <f>IF($AK306+$AK$1&lt;=Data!$H$4-0.5,SLOPE($AQ303:$AQ311,$AK303:$AK311),AS306)</f>
        <v>-677.38666666667768</v>
      </c>
      <c r="AT307">
        <f>IF(AND($AK307&gt;=Results!$G$13,$AK307&lt;=Results!$G$14),Curves!AR307,"")</f>
        <v>-637.07111111112147</v>
      </c>
      <c r="AU307">
        <f>IF(AND($AK307&gt;=Results!$G$13,$AK307&lt;=Results!$G$14),Curves!AS307,"")</f>
        <v>-677.38666666667768</v>
      </c>
      <c r="AV307" t="str">
        <f t="shared" si="223"/>
        <v/>
      </c>
      <c r="AW307" t="str">
        <f>IF(AND($AK307&lt;=Results!$I$21,$AK307&gt;=Results!$I$20,$AK307&lt;=Results!$F$4),$AN307,"")</f>
        <v/>
      </c>
      <c r="AX307" t="str">
        <f t="shared" si="223"/>
        <v/>
      </c>
      <c r="AY307" t="str">
        <f>IF(AND($AK307&lt;=Results!$I$23,$AK307&gt;=Results!$I$22,$AK307&gt;=Results!$F$4),$AN307,"")</f>
        <v/>
      </c>
      <c r="AZ307" t="str">
        <f t="shared" si="196"/>
        <v/>
      </c>
      <c r="BA307" t="str">
        <f>IF(AND($AK307&lt;=Results!$I$27,$AK307&gt;=Results!$I$26,$AK307&lt;=Results!$F$4),$AQ307,"")</f>
        <v/>
      </c>
      <c r="BB307" t="str">
        <f t="shared" si="197"/>
        <v/>
      </c>
      <c r="BC307" t="str">
        <f>IF(AND($AK307&lt;=Results!$I$29,$AK307&gt;=Results!$I$28,$AK307&gt;=Results!$F$4),$AQ307,"")</f>
        <v/>
      </c>
      <c r="BD307">
        <f t="shared" si="198"/>
        <v>8781.7696081631766</v>
      </c>
      <c r="BE307">
        <f t="shared" si="199"/>
        <v>1634.7461375674893</v>
      </c>
      <c r="BF307">
        <f t="shared" si="200"/>
        <v>9139.30780696277</v>
      </c>
      <c r="BG307">
        <f t="shared" si="201"/>
        <v>1233.0965046451399</v>
      </c>
      <c r="BH307">
        <f t="shared" si="202"/>
        <v>0</v>
      </c>
      <c r="BI307">
        <f t="shared" si="203"/>
        <v>0.74882043102056639</v>
      </c>
      <c r="BJ307">
        <f t="shared" si="204"/>
        <v>0.57896295966852596</v>
      </c>
      <c r="BK307">
        <f t="shared" si="205"/>
        <v>-7.6655117662508557E-2</v>
      </c>
      <c r="BL307">
        <f t="shared" si="206"/>
        <v>-8.0081562397641373E-2</v>
      </c>
      <c r="BM307">
        <f t="shared" si="224"/>
        <v>120.00000000000055</v>
      </c>
      <c r="BN307">
        <f t="shared" si="225"/>
        <v>-119.99999999999829</v>
      </c>
      <c r="BO307">
        <f>Data!$H$2*(1-BI307)*(1-BI307/Data!$H$3)*BM307</f>
        <v>1.514188220944664E-5</v>
      </c>
      <c r="BP307">
        <f t="shared" si="207"/>
        <v>-89.858451722468388</v>
      </c>
      <c r="BQ307">
        <f>Data!$H$2*(1-BJ307)*(1-BJ307/Data!$H$3)*BN307</f>
        <v>-4.2545325439460347E-5</v>
      </c>
      <c r="BR307">
        <f t="shared" si="208"/>
        <v>69.475555160222129</v>
      </c>
      <c r="BS307">
        <f t="shared" si="209"/>
        <v>0</v>
      </c>
      <c r="BT307">
        <f t="shared" si="210"/>
        <v>0</v>
      </c>
      <c r="BU307">
        <f t="shared" si="211"/>
        <v>0</v>
      </c>
      <c r="BV307">
        <f t="shared" si="244"/>
        <v>0</v>
      </c>
      <c r="BW307">
        <f t="shared" si="226"/>
        <v>0</v>
      </c>
      <c r="BX307" t="str">
        <f t="shared" si="227"/>
        <v/>
      </c>
      <c r="BY307" s="66" t="str">
        <f t="shared" si="213"/>
        <v/>
      </c>
      <c r="BZ307" t="str">
        <f t="shared" si="214"/>
        <v/>
      </c>
      <c r="CA307" s="67" t="str">
        <f t="shared" si="245"/>
        <v/>
      </c>
    </row>
    <row r="308" spans="4:79" x14ac:dyDescent="0.25">
      <c r="D308" s="3" t="e">
        <f t="shared" si="240"/>
        <v>#DIV/0!</v>
      </c>
      <c r="E308" s="3" t="e">
        <f t="shared" si="240"/>
        <v>#DIV/0!</v>
      </c>
      <c r="F308" t="str">
        <f>IF(A308&gt;0,IF(F307=1,1,IF(B308=Data!$H$4,1,0)),"")</f>
        <v/>
      </c>
      <c r="Y308" s="4"/>
      <c r="Z308" s="4"/>
      <c r="AA308" s="4" t="str">
        <f t="shared" si="242"/>
        <v/>
      </c>
      <c r="AE308" s="4" t="str">
        <f t="shared" si="243"/>
        <v/>
      </c>
      <c r="AK308" s="4">
        <f t="shared" si="238"/>
        <v>55.600000000000435</v>
      </c>
      <c r="AL308">
        <f t="shared" si="220"/>
        <v>3673.0000000000523</v>
      </c>
      <c r="AM308">
        <f t="shared" si="221"/>
        <v>6922.8999999997213</v>
      </c>
      <c r="AN308">
        <f>IF($AK307+$AK$1&lt;=Data!$H$4-0.5,AVERAGE(AM306:AM310),AN307)</f>
        <v>6922.8999999997204</v>
      </c>
      <c r="AO308">
        <f t="shared" si="222"/>
        <v>7188.9999999999482</v>
      </c>
      <c r="AP308">
        <f t="shared" si="239"/>
        <v>5742.733333333038</v>
      </c>
      <c r="AQ308">
        <f>IF($AK307+$AK$1&lt;=Data!$H$4-0.5,AVERAGE(AP306:AP310),AQ307)</f>
        <v>5742.733333333038</v>
      </c>
      <c r="AR308">
        <f>IF($AK307+$AK$1&lt;=Data!$H$4-0.5,SLOPE($AN304:$AN312,$AK304:$AK312),AR307)</f>
        <v>-638.95000000001482</v>
      </c>
      <c r="AS308">
        <f>IF($AK307+$AK$1&lt;=Data!$H$4-0.5,SLOPE($AQ304:$AQ312,$AK304:$AK312),AS307)</f>
        <v>-678.86666666667793</v>
      </c>
      <c r="AT308">
        <f>IF(AND($AK308&gt;=Results!$G$13,$AK308&lt;=Results!$G$14),Curves!AR308,"")</f>
        <v>-638.95000000001482</v>
      </c>
      <c r="AU308">
        <f>IF(AND($AK308&gt;=Results!$G$13,$AK308&lt;=Results!$G$14),Curves!AS308,"")</f>
        <v>-678.86666666667793</v>
      </c>
      <c r="AV308" t="str">
        <f t="shared" si="223"/>
        <v/>
      </c>
      <c r="AW308" t="str">
        <f>IF(AND($AK308&lt;=Results!$I$21,$AK308&gt;=Results!$I$20,$AK308&lt;=Results!$F$4),$AN308,"")</f>
        <v/>
      </c>
      <c r="AX308" t="str">
        <f t="shared" si="223"/>
        <v/>
      </c>
      <c r="AY308" t="str">
        <f>IF(AND($AK308&lt;=Results!$I$23,$AK308&gt;=Results!$I$22,$AK308&gt;=Results!$F$4),$AN308,"")</f>
        <v/>
      </c>
      <c r="AZ308" t="str">
        <f t="shared" si="196"/>
        <v/>
      </c>
      <c r="BA308" t="str">
        <f>IF(AND($AK308&lt;=Results!$I$27,$AK308&gt;=Results!$I$26,$AK308&lt;=Results!$F$4),$AQ308,"")</f>
        <v/>
      </c>
      <c r="BB308" t="str">
        <f t="shared" si="197"/>
        <v/>
      </c>
      <c r="BC308" t="str">
        <f>IF(AND($AK308&lt;=Results!$I$29,$AK308&gt;=Results!$I$28,$AK308&gt;=Results!$F$4),$AQ308,"")</f>
        <v/>
      </c>
      <c r="BD308">
        <f t="shared" si="198"/>
        <v>8770.9994133652563</v>
      </c>
      <c r="BE308">
        <f t="shared" si="199"/>
        <v>1631.4303483181684</v>
      </c>
      <c r="BF308">
        <f t="shared" si="200"/>
        <v>9132.0178247298754</v>
      </c>
      <c r="BG308">
        <f t="shared" si="201"/>
        <v>1232.5457036856149</v>
      </c>
      <c r="BH308">
        <f t="shared" si="202"/>
        <v>0</v>
      </c>
      <c r="BI308">
        <f t="shared" si="203"/>
        <v>0.74114692406111671</v>
      </c>
      <c r="BJ308">
        <f t="shared" si="204"/>
        <v>0.57094797735056813</v>
      </c>
      <c r="BK308">
        <f t="shared" si="205"/>
        <v>-7.6815272221045797E-2</v>
      </c>
      <c r="BL308">
        <f t="shared" si="206"/>
        <v>-8.0218258814173618E-2</v>
      </c>
      <c r="BM308">
        <f t="shared" si="224"/>
        <v>120.00000000000055</v>
      </c>
      <c r="BN308">
        <f t="shared" si="225"/>
        <v>-120.00000000000284</v>
      </c>
      <c r="BO308">
        <f>Data!$H$2*(1-BI308)*(1-BI308/Data!$H$3)*BM308</f>
        <v>1.6081179581525181E-5</v>
      </c>
      <c r="BP308">
        <f t="shared" si="207"/>
        <v>-88.937630887334421</v>
      </c>
      <c r="BQ308">
        <f>Data!$H$2*(1-BJ308)*(1-BJ308/Data!$H$3)*BN308</f>
        <v>-4.4180553153497508E-5</v>
      </c>
      <c r="BR308">
        <f t="shared" si="208"/>
        <v>68.513757282069804</v>
      </c>
      <c r="BS308">
        <f t="shared" si="209"/>
        <v>0</v>
      </c>
      <c r="BT308">
        <f t="shared" si="210"/>
        <v>0</v>
      </c>
      <c r="BU308">
        <f t="shared" si="211"/>
        <v>0</v>
      </c>
      <c r="BV308">
        <f t="shared" si="244"/>
        <v>0</v>
      </c>
      <c r="BW308">
        <f t="shared" si="226"/>
        <v>0</v>
      </c>
      <c r="BX308" t="str">
        <f t="shared" si="227"/>
        <v/>
      </c>
      <c r="BY308" s="66" t="str">
        <f t="shared" si="213"/>
        <v/>
      </c>
      <c r="BZ308" t="str">
        <f t="shared" si="214"/>
        <v/>
      </c>
      <c r="CA308" s="67" t="str">
        <f t="shared" si="245"/>
        <v/>
      </c>
    </row>
    <row r="309" spans="4:79" x14ac:dyDescent="0.25">
      <c r="D309" s="3" t="e">
        <f t="shared" si="240"/>
        <v>#DIV/0!</v>
      </c>
      <c r="E309" s="3" t="e">
        <f t="shared" si="240"/>
        <v>#DIV/0!</v>
      </c>
      <c r="F309" t="str">
        <f>IF(A309&gt;0,IF(F308=1,1,IF(B309=Data!$H$4,1,0)),"")</f>
        <v/>
      </c>
      <c r="Y309" s="4"/>
      <c r="Z309" s="4"/>
      <c r="AA309" s="4" t="str">
        <f t="shared" si="242"/>
        <v/>
      </c>
      <c r="AE309" s="4" t="str">
        <f t="shared" si="243"/>
        <v/>
      </c>
      <c r="AK309" s="4">
        <f t="shared" si="238"/>
        <v>55.700000000000436</v>
      </c>
      <c r="AL309">
        <f t="shared" si="220"/>
        <v>3685.0000000000523</v>
      </c>
      <c r="AM309">
        <f t="shared" si="221"/>
        <v>6859.216666666387</v>
      </c>
      <c r="AN309">
        <f>IF($AK308+$AK$1&lt;=Data!$H$4-0.5,AVERAGE(AM307:AM311),AN308)</f>
        <v>6859.2166666663861</v>
      </c>
      <c r="AO309">
        <f t="shared" si="222"/>
        <v>7176.9999999999472</v>
      </c>
      <c r="AP309">
        <f t="shared" si="239"/>
        <v>5674.9666666663697</v>
      </c>
      <c r="AQ309">
        <f>IF($AK308+$AK$1&lt;=Data!$H$4-0.5,AVERAGE(AP307:AP311),AQ308)</f>
        <v>5674.9666666663707</v>
      </c>
      <c r="AR309">
        <f>IF($AK308+$AK$1&lt;=Data!$H$4-0.5,SLOPE($AN305:$AN313,$AK305:$AK313),AR308)</f>
        <v>-641.77222222224248</v>
      </c>
      <c r="AS309">
        <f>IF($AK308+$AK$1&lt;=Data!$H$4-0.5,SLOPE($AQ305:$AQ313,$AK305:$AK313),AS308)</f>
        <v>-680.46666666668182</v>
      </c>
      <c r="AT309">
        <f>IF(AND($AK309&gt;=Results!$G$13,$AK309&lt;=Results!$G$14),Curves!AR309,"")</f>
        <v>-641.77222222224248</v>
      </c>
      <c r="AU309">
        <f>IF(AND($AK309&gt;=Results!$G$13,$AK309&lt;=Results!$G$14),Curves!AS309,"")</f>
        <v>-680.46666666668182</v>
      </c>
      <c r="AV309" t="str">
        <f t="shared" si="223"/>
        <v/>
      </c>
      <c r="AW309" t="str">
        <f>IF(AND($AK309&lt;=Results!$I$21,$AK309&gt;=Results!$I$20,$AK309&lt;=Results!$F$4),$AN309,"")</f>
        <v/>
      </c>
      <c r="AX309" t="str">
        <f t="shared" si="223"/>
        <v/>
      </c>
      <c r="AY309" t="str">
        <f>IF(AND($AK309&lt;=Results!$I$23,$AK309&gt;=Results!$I$22,$AK309&gt;=Results!$F$4),$AN309,"")</f>
        <v/>
      </c>
      <c r="AZ309" t="str">
        <f t="shared" si="196"/>
        <v/>
      </c>
      <c r="BA309" t="str">
        <f>IF(AND($AK309&lt;=Results!$I$27,$AK309&gt;=Results!$I$26,$AK309&lt;=Results!$F$4),$AQ309,"")</f>
        <v/>
      </c>
      <c r="BB309" t="str">
        <f t="shared" si="197"/>
        <v/>
      </c>
      <c r="BC309" t="str">
        <f>IF(AND($AK309&lt;=Results!$I$29,$AK309&gt;=Results!$I$28,$AK309&gt;=Results!$F$4),$AQ309,"")</f>
        <v/>
      </c>
      <c r="BD309">
        <f t="shared" si="198"/>
        <v>8760.2292185673359</v>
      </c>
      <c r="BE309">
        <f t="shared" si="199"/>
        <v>1628.1145590688475</v>
      </c>
      <c r="BF309">
        <f t="shared" si="200"/>
        <v>9124.7278424969827</v>
      </c>
      <c r="BG309">
        <f t="shared" si="201"/>
        <v>1231.99490272609</v>
      </c>
      <c r="BH309">
        <f t="shared" si="202"/>
        <v>0</v>
      </c>
      <c r="BI309">
        <f t="shared" si="203"/>
        <v>0.73345737657635701</v>
      </c>
      <c r="BJ309">
        <f t="shared" si="204"/>
        <v>0.562919307905691</v>
      </c>
      <c r="BK309">
        <f t="shared" si="205"/>
        <v>-7.6975929217903985E-2</v>
      </c>
      <c r="BL309">
        <f t="shared" si="206"/>
        <v>-8.0355305533729132E-2</v>
      </c>
      <c r="BM309">
        <f t="shared" si="224"/>
        <v>120.00000000000055</v>
      </c>
      <c r="BN309">
        <f t="shared" si="225"/>
        <v>-120.00000000000281</v>
      </c>
      <c r="BO309">
        <f>Data!$H$2*(1-BI309)*(1-BI309/Data!$H$3)*BM309</f>
        <v>1.705079282437399E-5</v>
      </c>
      <c r="BP309">
        <f t="shared" si="207"/>
        <v>-88.014885189163252</v>
      </c>
      <c r="BQ309">
        <f>Data!$H$2*(1-BJ309)*(1-BJ309/Data!$H$3)*BN309</f>
        <v>-4.5849487536394706E-5</v>
      </c>
      <c r="BR309">
        <f t="shared" si="208"/>
        <v>67.550316948684511</v>
      </c>
      <c r="BS309">
        <f t="shared" si="209"/>
        <v>0</v>
      </c>
      <c r="BT309">
        <f t="shared" si="210"/>
        <v>0</v>
      </c>
      <c r="BU309">
        <f t="shared" si="211"/>
        <v>0</v>
      </c>
      <c r="BV309">
        <f t="shared" si="244"/>
        <v>0</v>
      </c>
      <c r="BW309">
        <f t="shared" si="226"/>
        <v>0</v>
      </c>
      <c r="BX309" t="str">
        <f t="shared" si="227"/>
        <v/>
      </c>
      <c r="BY309" s="66" t="str">
        <f t="shared" si="213"/>
        <v/>
      </c>
      <c r="BZ309" t="str">
        <f t="shared" si="214"/>
        <v/>
      </c>
      <c r="CA309" s="67" t="str">
        <f t="shared" si="245"/>
        <v/>
      </c>
    </row>
    <row r="310" spans="4:79" x14ac:dyDescent="0.25">
      <c r="D310" s="3" t="e">
        <f t="shared" si="240"/>
        <v>#DIV/0!</v>
      </c>
      <c r="E310" s="3" t="e">
        <f t="shared" si="240"/>
        <v>#DIV/0!</v>
      </c>
      <c r="F310" t="str">
        <f>IF(A310&gt;0,IF(F309=1,1,IF(B310=Data!$H$4,1,0)),"")</f>
        <v/>
      </c>
      <c r="Y310" s="4"/>
      <c r="Z310" s="4"/>
      <c r="AA310" s="4" t="str">
        <f t="shared" si="242"/>
        <v/>
      </c>
      <c r="AE310" s="4" t="str">
        <f t="shared" si="243"/>
        <v/>
      </c>
      <c r="AK310" s="4">
        <f t="shared" si="238"/>
        <v>55.800000000000438</v>
      </c>
      <c r="AL310">
        <f t="shared" si="220"/>
        <v>3697.0000000000528</v>
      </c>
      <c r="AM310">
        <f t="shared" si="221"/>
        <v>6795.5333333330527</v>
      </c>
      <c r="AN310">
        <f>IF($AK309+$AK$1&lt;=Data!$H$4-0.5,AVERAGE(AM308:AM312),AN309)</f>
        <v>6795.5333333330491</v>
      </c>
      <c r="AO310">
        <f t="shared" si="222"/>
        <v>7164.9999999999472</v>
      </c>
      <c r="AP310">
        <f t="shared" si="239"/>
        <v>5607.1999999997024</v>
      </c>
      <c r="AQ310">
        <f>IF($AK309+$AK$1&lt;=Data!$H$4-0.5,AVERAGE(AP308:AP312),AQ309)</f>
        <v>5607.1999999996997</v>
      </c>
      <c r="AR310">
        <f>IF($AK309+$AK$1&lt;=Data!$H$4-0.5,SLOPE($AN306:$AN314,$AK306:$AK314),AR309)</f>
        <v>-646.0055555555814</v>
      </c>
      <c r="AS310">
        <f>IF($AK309+$AK$1&lt;=Data!$H$4-0.5,SLOPE($AQ306:$AQ314,$AK306:$AK314),AS309)</f>
        <v>-682.86666666668452</v>
      </c>
      <c r="AT310">
        <f>IF(AND($AK310&gt;=Results!$G$13,$AK310&lt;=Results!$G$14),Curves!AR310,"")</f>
        <v>-646.0055555555814</v>
      </c>
      <c r="AU310">
        <f>IF(AND($AK310&gt;=Results!$G$13,$AK310&lt;=Results!$G$14),Curves!AS310,"")</f>
        <v>-682.86666666668452</v>
      </c>
      <c r="AV310" t="str">
        <f t="shared" si="223"/>
        <v/>
      </c>
      <c r="AW310" t="str">
        <f>IF(AND($AK310&lt;=Results!$I$21,$AK310&gt;=Results!$I$20,$AK310&lt;=Results!$F$4),$AN310,"")</f>
        <v/>
      </c>
      <c r="AX310" t="str">
        <f t="shared" si="223"/>
        <v/>
      </c>
      <c r="AY310" t="str">
        <f>IF(AND($AK310&lt;=Results!$I$23,$AK310&gt;=Results!$I$22,$AK310&gt;=Results!$F$4),$AN310,"")</f>
        <v/>
      </c>
      <c r="AZ310" t="str">
        <f t="shared" si="196"/>
        <v/>
      </c>
      <c r="BA310" t="str">
        <f>IF(AND($AK310&lt;=Results!$I$27,$AK310&gt;=Results!$I$26,$AK310&lt;=Results!$F$4),$AQ310,"")</f>
        <v/>
      </c>
      <c r="BB310" t="str">
        <f t="shared" si="197"/>
        <v/>
      </c>
      <c r="BC310" t="str">
        <f>IF(AND($AK310&lt;=Results!$I$29,$AK310&gt;=Results!$I$28,$AK310&gt;=Results!$F$4),$AQ310,"")</f>
        <v/>
      </c>
      <c r="BD310">
        <f t="shared" si="198"/>
        <v>8749.4590237694174</v>
      </c>
      <c r="BE310">
        <f t="shared" si="199"/>
        <v>1624.7987698195268</v>
      </c>
      <c r="BF310">
        <f t="shared" si="200"/>
        <v>9117.43786026409</v>
      </c>
      <c r="BG310">
        <f t="shared" si="201"/>
        <v>1231.4441017665649</v>
      </c>
      <c r="BH310">
        <f t="shared" si="202"/>
        <v>0</v>
      </c>
      <c r="BI310">
        <f t="shared" si="203"/>
        <v>0.72575173821753569</v>
      </c>
      <c r="BJ310">
        <f t="shared" si="204"/>
        <v>0.55487691624382207</v>
      </c>
      <c r="BK310">
        <f t="shared" si="205"/>
        <v>-7.7731893467948288E-2</v>
      </c>
      <c r="BL310">
        <f t="shared" si="206"/>
        <v>-8.079730109611101E-2</v>
      </c>
      <c r="BM310">
        <f t="shared" si="224"/>
        <v>120.00000000000055</v>
      </c>
      <c r="BN310">
        <f t="shared" si="225"/>
        <v>-119.99999999999829</v>
      </c>
      <c r="BO310">
        <f>Data!$H$2*(1-BI310)*(1-BI310/Data!$H$3)*BM310</f>
        <v>1.8050906181768822E-5</v>
      </c>
      <c r="BP310">
        <f t="shared" si="207"/>
        <v>-87.09020858610468</v>
      </c>
      <c r="BQ310">
        <f>Data!$H$2*(1-BJ310)*(1-BJ310/Data!$H$3)*BN310</f>
        <v>-4.7552294326225577E-5</v>
      </c>
      <c r="BR310">
        <f t="shared" si="208"/>
        <v>66.585229949257709</v>
      </c>
      <c r="BS310">
        <f t="shared" si="209"/>
        <v>0</v>
      </c>
      <c r="BT310">
        <f t="shared" si="210"/>
        <v>0</v>
      </c>
      <c r="BU310">
        <f t="shared" si="211"/>
        <v>0</v>
      </c>
      <c r="BV310">
        <f t="shared" si="244"/>
        <v>0</v>
      </c>
      <c r="BW310">
        <f t="shared" si="226"/>
        <v>0</v>
      </c>
      <c r="BX310" t="str">
        <f t="shared" si="227"/>
        <v/>
      </c>
      <c r="BY310" s="66" t="str">
        <f t="shared" si="213"/>
        <v/>
      </c>
      <c r="BZ310" t="str">
        <f t="shared" si="214"/>
        <v/>
      </c>
      <c r="CA310" s="67" t="str">
        <f t="shared" si="245"/>
        <v/>
      </c>
    </row>
    <row r="311" spans="4:79" x14ac:dyDescent="0.25">
      <c r="D311" s="3" t="e">
        <f t="shared" si="240"/>
        <v>#DIV/0!</v>
      </c>
      <c r="E311" s="3" t="e">
        <f t="shared" si="240"/>
        <v>#DIV/0!</v>
      </c>
      <c r="F311" t="str">
        <f>IF(A311&gt;0,IF(F310=1,1,IF(B311=Data!$H$4,1,0)),"")</f>
        <v/>
      </c>
      <c r="Y311" s="4"/>
      <c r="Z311" s="4"/>
      <c r="AA311" s="4" t="str">
        <f t="shared" si="242"/>
        <v/>
      </c>
      <c r="AE311" s="4" t="str">
        <f t="shared" si="243"/>
        <v/>
      </c>
      <c r="AK311" s="4">
        <f t="shared" si="238"/>
        <v>55.900000000000439</v>
      </c>
      <c r="AL311">
        <f t="shared" si="220"/>
        <v>3709.0000000000528</v>
      </c>
      <c r="AM311">
        <f t="shared" si="221"/>
        <v>6731.8499999997184</v>
      </c>
      <c r="AN311">
        <f>IF($AK310+$AK$1&lt;=Data!$H$4-0.5,AVERAGE(AM309:AM313),AN310)</f>
        <v>6731.0033333330448</v>
      </c>
      <c r="AO311">
        <f t="shared" si="222"/>
        <v>7152.9999999999472</v>
      </c>
      <c r="AP311">
        <f t="shared" si="239"/>
        <v>5539.4333333330342</v>
      </c>
      <c r="AQ311">
        <f>IF($AK310+$AK$1&lt;=Data!$H$4-0.5,AVERAGE(AP309:AP313),AQ310)</f>
        <v>5538.9533333330291</v>
      </c>
      <c r="AR311">
        <f>IF($AK310+$AK$1&lt;=Data!$H$4-0.5,SLOPE($AN307:$AN315,$AK307:$AK315),AR310)</f>
        <v>-651.65000000002772</v>
      </c>
      <c r="AS311">
        <f>IF($AK310+$AK$1&lt;=Data!$H$4-0.5,SLOPE($AQ307:$AQ315,$AK307:$AK315),AS310)</f>
        <v>-686.06666666668468</v>
      </c>
      <c r="AT311">
        <f>IF(AND($AK311&gt;=Results!$G$13,$AK311&lt;=Results!$G$14),Curves!AR311,"")</f>
        <v>-651.65000000002772</v>
      </c>
      <c r="AU311">
        <f>IF(AND($AK311&gt;=Results!$G$13,$AK311&lt;=Results!$G$14),Curves!AS311,"")</f>
        <v>-686.06666666668468</v>
      </c>
      <c r="AV311" t="str">
        <f t="shared" si="223"/>
        <v/>
      </c>
      <c r="AW311" t="str">
        <f>IF(AND($AK311&lt;=Results!$I$21,$AK311&gt;=Results!$I$20,$AK311&lt;=Results!$F$4),$AN311,"")</f>
        <v/>
      </c>
      <c r="AX311" t="str">
        <f t="shared" si="223"/>
        <v/>
      </c>
      <c r="AY311" t="str">
        <f>IF(AND($AK311&lt;=Results!$I$23,$AK311&gt;=Results!$I$22,$AK311&gt;=Results!$F$4),$AN311,"")</f>
        <v/>
      </c>
      <c r="AZ311" t="str">
        <f t="shared" si="196"/>
        <v/>
      </c>
      <c r="BA311" t="str">
        <f>IF(AND($AK311&lt;=Results!$I$27,$AK311&gt;=Results!$I$26,$AK311&lt;=Results!$F$4),$AQ311,"")</f>
        <v/>
      </c>
      <c r="BB311" t="str">
        <f t="shared" si="197"/>
        <v/>
      </c>
      <c r="BC311" t="str">
        <f>IF(AND($AK311&lt;=Results!$I$29,$AK311&gt;=Results!$I$28,$AK311&gt;=Results!$F$4),$AQ311,"")</f>
        <v/>
      </c>
      <c r="BD311">
        <f t="shared" si="198"/>
        <v>8738.6888289714989</v>
      </c>
      <c r="BE311">
        <f t="shared" si="199"/>
        <v>1621.4829805702059</v>
      </c>
      <c r="BF311">
        <f t="shared" si="200"/>
        <v>9110.1478780311954</v>
      </c>
      <c r="BG311">
        <f t="shared" si="201"/>
        <v>1230.8933008070399</v>
      </c>
      <c r="BH311">
        <f t="shared" si="202"/>
        <v>0</v>
      </c>
      <c r="BI311">
        <f t="shared" si="203"/>
        <v>0.71791099788276713</v>
      </c>
      <c r="BJ311">
        <f t="shared" si="204"/>
        <v>0.54675984768646857</v>
      </c>
      <c r="BK311">
        <f t="shared" si="205"/>
        <v>-7.9085037995620375E-2</v>
      </c>
      <c r="BL311">
        <f t="shared" si="206"/>
        <v>-8.1545028946133871E-2</v>
      </c>
      <c r="BM311">
        <f t="shared" si="224"/>
        <v>119.99999999999829</v>
      </c>
      <c r="BN311">
        <f t="shared" si="225"/>
        <v>-119.99999999999829</v>
      </c>
      <c r="BO311">
        <f>Data!$H$2*(1-BI311)*(1-BI311/Data!$H$3)*BM311</f>
        <v>1.9097809227718814E-5</v>
      </c>
      <c r="BP311">
        <f t="shared" si="207"/>
        <v>-86.149319745930825</v>
      </c>
      <c r="BQ311">
        <f>Data!$H$2*(1-BJ311)*(1-BJ311/Data!$H$3)*BN311</f>
        <v>-4.9302392560605655E-5</v>
      </c>
      <c r="BR311">
        <f t="shared" si="208"/>
        <v>65.611181722375292</v>
      </c>
      <c r="BS311">
        <f t="shared" si="209"/>
        <v>0</v>
      </c>
      <c r="BT311">
        <f t="shared" si="210"/>
        <v>0</v>
      </c>
      <c r="BU311">
        <f t="shared" si="211"/>
        <v>0</v>
      </c>
      <c r="BV311">
        <f t="shared" si="244"/>
        <v>0</v>
      </c>
      <c r="BW311">
        <f t="shared" si="226"/>
        <v>0</v>
      </c>
      <c r="BX311" t="str">
        <f t="shared" si="227"/>
        <v/>
      </c>
      <c r="BY311" s="66" t="str">
        <f t="shared" si="213"/>
        <v/>
      </c>
      <c r="BZ311" t="str">
        <f t="shared" si="214"/>
        <v/>
      </c>
      <c r="CA311" s="67" t="str">
        <f t="shared" si="245"/>
        <v/>
      </c>
    </row>
    <row r="312" spans="4:79" x14ac:dyDescent="0.25">
      <c r="D312" s="3" t="e">
        <f t="shared" si="240"/>
        <v>#DIV/0!</v>
      </c>
      <c r="E312" s="3" t="e">
        <f t="shared" si="240"/>
        <v>#DIV/0!</v>
      </c>
      <c r="F312" t="str">
        <f>IF(A312&gt;0,IF(F311=1,1,IF(B312=Data!$H$4,1,0)),"")</f>
        <v/>
      </c>
      <c r="Y312" s="4"/>
      <c r="Z312" s="4"/>
      <c r="AA312" s="4" t="str">
        <f t="shared" si="242"/>
        <v/>
      </c>
      <c r="AE312" s="4" t="str">
        <f t="shared" si="243"/>
        <v/>
      </c>
      <c r="AK312" s="4">
        <f t="shared" si="238"/>
        <v>56.000000000000441</v>
      </c>
      <c r="AL312">
        <f t="shared" si="220"/>
        <v>3721.0000000000528</v>
      </c>
      <c r="AM312">
        <f t="shared" si="221"/>
        <v>6668.166666666365</v>
      </c>
      <c r="AN312">
        <f>IF($AK311+$AK$1&lt;=Data!$H$4-0.5,AVERAGE(AM310:AM314),AN311)</f>
        <v>6665.6266666663723</v>
      </c>
      <c r="AO312">
        <f t="shared" si="222"/>
        <v>7140.9999999999472</v>
      </c>
      <c r="AP312">
        <f t="shared" si="239"/>
        <v>5471.666666666355</v>
      </c>
      <c r="AQ312">
        <f>IF($AK311+$AK$1&lt;=Data!$H$4-0.5,AVERAGE(AP310:AP314),AQ311)</f>
        <v>5470.22666666636</v>
      </c>
      <c r="AR312">
        <f>IF($AK311+$AK$1&lt;=Data!$H$4-0.5,SLOPE($AN308:$AN316,$AK308:$AK316),AR311)</f>
        <v>-658.00000000002728</v>
      </c>
      <c r="AS312">
        <f>IF($AK311+$AK$1&lt;=Data!$H$4-0.5,SLOPE($AQ308:$AQ316,$AK308:$AK316),AS311)</f>
        <v>-689.66666666668391</v>
      </c>
      <c r="AT312">
        <f>IF(AND($AK312&gt;=Results!$G$13,$AK312&lt;=Results!$G$14),Curves!AR312,"")</f>
        <v>-658.00000000002728</v>
      </c>
      <c r="AU312">
        <f>IF(AND($AK312&gt;=Results!$G$13,$AK312&lt;=Results!$G$14),Curves!AS312,"")</f>
        <v>-689.66666666668391</v>
      </c>
      <c r="AV312" t="str">
        <f t="shared" si="223"/>
        <v/>
      </c>
      <c r="AW312" t="str">
        <f>IF(AND($AK312&lt;=Results!$I$21,$AK312&gt;=Results!$I$20,$AK312&lt;=Results!$F$4),$AN312,"")</f>
        <v/>
      </c>
      <c r="AX312" t="str">
        <f t="shared" si="223"/>
        <v/>
      </c>
      <c r="AY312" t="str">
        <f>IF(AND($AK312&lt;=Results!$I$23,$AK312&gt;=Results!$I$22,$AK312&gt;=Results!$F$4),$AN312,"")</f>
        <v/>
      </c>
      <c r="AZ312" t="str">
        <f t="shared" si="196"/>
        <v/>
      </c>
      <c r="BA312" t="str">
        <f>IF(AND($AK312&lt;=Results!$I$27,$AK312&gt;=Results!$I$26,$AK312&lt;=Results!$F$4),$AQ312,"")</f>
        <v/>
      </c>
      <c r="BB312" t="str">
        <f t="shared" si="197"/>
        <v/>
      </c>
      <c r="BC312" t="str">
        <f>IF(AND($AK312&lt;=Results!$I$29,$AK312&gt;=Results!$I$28,$AK312&gt;=Results!$F$4),$AQ312,"")</f>
        <v/>
      </c>
      <c r="BD312">
        <f t="shared" si="198"/>
        <v>8727.9186341735767</v>
      </c>
      <c r="BE312">
        <f t="shared" si="199"/>
        <v>1618.1671913208852</v>
      </c>
      <c r="BF312">
        <f t="shared" si="200"/>
        <v>9102.8578957983027</v>
      </c>
      <c r="BG312">
        <f t="shared" si="201"/>
        <v>1230.342499847515</v>
      </c>
      <c r="BH312">
        <f t="shared" si="202"/>
        <v>0</v>
      </c>
      <c r="BI312">
        <f t="shared" si="203"/>
        <v>0.70993473061841139</v>
      </c>
      <c r="BJ312">
        <f t="shared" si="204"/>
        <v>0.53856791045459507</v>
      </c>
      <c r="BK312">
        <f t="shared" si="205"/>
        <v>-8.0442440980125166E-2</v>
      </c>
      <c r="BL312">
        <f t="shared" si="206"/>
        <v>-8.2294677872730093E-2</v>
      </c>
      <c r="BM312">
        <f t="shared" si="224"/>
        <v>120.00000000000055</v>
      </c>
      <c r="BN312">
        <f t="shared" si="225"/>
        <v>-119.99999999999829</v>
      </c>
      <c r="BO312">
        <f>Data!$H$2*(1-BI312)*(1-BI312/Data!$H$3)*BM312</f>
        <v>2.0193086520339346E-5</v>
      </c>
      <c r="BP312">
        <f t="shared" si="207"/>
        <v>-85.192167674209756</v>
      </c>
      <c r="BQ312">
        <f>Data!$H$2*(1-BJ312)*(1-BJ312/Data!$H$3)*BN312</f>
        <v>-5.1100697582936533E-5</v>
      </c>
      <c r="BR312">
        <f t="shared" si="208"/>
        <v>64.628149254550493</v>
      </c>
      <c r="BS312">
        <f t="shared" si="209"/>
        <v>0</v>
      </c>
      <c r="BT312">
        <f t="shared" si="210"/>
        <v>0</v>
      </c>
      <c r="BU312">
        <f t="shared" si="211"/>
        <v>0</v>
      </c>
      <c r="BV312">
        <f t="shared" si="244"/>
        <v>0</v>
      </c>
      <c r="BW312">
        <f t="shared" si="226"/>
        <v>0</v>
      </c>
      <c r="BX312" t="str">
        <f t="shared" si="227"/>
        <v/>
      </c>
      <c r="BY312" s="66" t="str">
        <f t="shared" si="213"/>
        <v/>
      </c>
      <c r="BZ312" t="str">
        <f t="shared" si="214"/>
        <v/>
      </c>
      <c r="CA312" s="67" t="str">
        <f t="shared" si="245"/>
        <v/>
      </c>
    </row>
    <row r="313" spans="4:79" x14ac:dyDescent="0.25">
      <c r="D313" s="3" t="e">
        <f t="shared" si="240"/>
        <v>#DIV/0!</v>
      </c>
      <c r="E313" s="3" t="e">
        <f t="shared" si="240"/>
        <v>#DIV/0!</v>
      </c>
      <c r="F313" t="str">
        <f>IF(A313&gt;0,IF(F312=1,1,IF(B313=Data!$H$4,1,0)),"")</f>
        <v/>
      </c>
      <c r="Y313" s="4"/>
      <c r="Z313" s="4"/>
      <c r="AA313" s="4" t="str">
        <f t="shared" si="242"/>
        <v/>
      </c>
      <c r="AE313" s="4" t="str">
        <f t="shared" si="243"/>
        <v/>
      </c>
      <c r="AK313" s="4">
        <f t="shared" si="238"/>
        <v>56.100000000000442</v>
      </c>
      <c r="AL313">
        <f t="shared" si="220"/>
        <v>3733.0000000000532</v>
      </c>
      <c r="AM313">
        <f t="shared" si="221"/>
        <v>6600.249999999698</v>
      </c>
      <c r="AN313">
        <f>IF($AK312+$AK$1&lt;=Data!$H$4-0.5,AVERAGE(AM311:AM315),AN312)</f>
        <v>6599.4033333330353</v>
      </c>
      <c r="AO313">
        <f t="shared" si="222"/>
        <v>7128.9999999999472</v>
      </c>
      <c r="AP313">
        <f t="shared" si="239"/>
        <v>5401.499999999688</v>
      </c>
      <c r="AQ313">
        <f>IF($AK312+$AK$1&lt;=Data!$H$4-0.5,AVERAGE(AP311:AP315),AQ312)</f>
        <v>5401.0199999996894</v>
      </c>
      <c r="AR313">
        <f>IF($AK312+$AK$1&lt;=Data!$H$4-0.5,SLOPE($AN309:$AN317,$AK309:$AK317),AR312)</f>
        <v>-664.3500000000239</v>
      </c>
      <c r="AS313">
        <f>IF($AK312+$AK$1&lt;=Data!$H$4-0.5,SLOPE($AQ309:$AQ317,$AK309:$AK317),AS312)</f>
        <v>-693.26666666668086</v>
      </c>
      <c r="AT313">
        <f>IF(AND($AK313&gt;=Results!$G$13,$AK313&lt;=Results!$G$14),Curves!AR313,"")</f>
        <v>-664.3500000000239</v>
      </c>
      <c r="AU313">
        <f>IF(AND($AK313&gt;=Results!$G$13,$AK313&lt;=Results!$G$14),Curves!AS313,"")</f>
        <v>-693.26666666668086</v>
      </c>
      <c r="AV313" t="str">
        <f t="shared" si="223"/>
        <v/>
      </c>
      <c r="AW313" t="str">
        <f>IF(AND($AK313&lt;=Results!$I$21,$AK313&gt;=Results!$I$20,$AK313&lt;=Results!$F$4),$AN313,"")</f>
        <v/>
      </c>
      <c r="AX313" t="str">
        <f t="shared" si="223"/>
        <v/>
      </c>
      <c r="AY313" t="str">
        <f>IF(AND($AK313&lt;=Results!$I$23,$AK313&gt;=Results!$I$22,$AK313&gt;=Results!$F$4),$AN313,"")</f>
        <v/>
      </c>
      <c r="AZ313" t="str">
        <f t="shared" si="196"/>
        <v/>
      </c>
      <c r="BA313" t="str">
        <f>IF(AND($AK313&lt;=Results!$I$27,$AK313&gt;=Results!$I$26,$AK313&lt;=Results!$F$4),$AQ313,"")</f>
        <v/>
      </c>
      <c r="BB313" t="str">
        <f t="shared" si="197"/>
        <v/>
      </c>
      <c r="BC313" t="str">
        <f>IF(AND($AK313&lt;=Results!$I$29,$AK313&gt;=Results!$I$28,$AK313&gt;=Results!$F$4),$AQ313,"")</f>
        <v/>
      </c>
      <c r="BD313">
        <f t="shared" si="198"/>
        <v>8717.1484393756582</v>
      </c>
      <c r="BE313">
        <f t="shared" si="199"/>
        <v>1614.8514020715643</v>
      </c>
      <c r="BF313">
        <f t="shared" si="200"/>
        <v>9095.56791356541</v>
      </c>
      <c r="BG313">
        <f t="shared" si="201"/>
        <v>1229.7916988879899</v>
      </c>
      <c r="BH313">
        <f t="shared" si="202"/>
        <v>0</v>
      </c>
      <c r="BI313">
        <f t="shared" si="203"/>
        <v>0.70182250968674187</v>
      </c>
      <c r="BJ313">
        <f t="shared" si="204"/>
        <v>0.53030091211192232</v>
      </c>
      <c r="BK313">
        <f t="shared" si="205"/>
        <v>-8.1804120309183437E-2</v>
      </c>
      <c r="BL313">
        <f t="shared" si="206"/>
        <v>-8.3046254462426569E-2</v>
      </c>
      <c r="BM313">
        <f t="shared" si="224"/>
        <v>120.00000000000055</v>
      </c>
      <c r="BN313">
        <f t="shared" si="225"/>
        <v>-119.99999999999829</v>
      </c>
      <c r="BO313">
        <f>Data!$H$2*(1-BI313)*(1-BI313/Data!$H$3)*BM313</f>
        <v>2.1338355775083254E-5</v>
      </c>
      <c r="BP313">
        <f t="shared" si="207"/>
        <v>-84.218701162409417</v>
      </c>
      <c r="BQ313">
        <f>Data!$H$2*(1-BJ313)*(1-BJ313/Data!$H$3)*BN313</f>
        <v>-5.2948135959093358E-5</v>
      </c>
      <c r="BR313">
        <f t="shared" si="208"/>
        <v>63.636109453429775</v>
      </c>
      <c r="BS313">
        <f t="shared" si="209"/>
        <v>0</v>
      </c>
      <c r="BT313">
        <f t="shared" si="210"/>
        <v>0</v>
      </c>
      <c r="BU313">
        <f t="shared" si="211"/>
        <v>0</v>
      </c>
      <c r="BV313">
        <f t="shared" si="244"/>
        <v>0</v>
      </c>
      <c r="BW313">
        <f t="shared" si="226"/>
        <v>0</v>
      </c>
      <c r="BX313" t="str">
        <f t="shared" si="227"/>
        <v/>
      </c>
      <c r="BY313" s="66" t="str">
        <f t="shared" si="213"/>
        <v/>
      </c>
      <c r="BZ313" t="str">
        <f t="shared" si="214"/>
        <v/>
      </c>
      <c r="CA313" s="67" t="str">
        <f t="shared" si="245"/>
        <v/>
      </c>
    </row>
    <row r="314" spans="4:79" x14ac:dyDescent="0.25">
      <c r="D314" s="3" t="e">
        <f t="shared" si="240"/>
        <v>#DIV/0!</v>
      </c>
      <c r="E314" s="3" t="e">
        <f t="shared" si="240"/>
        <v>#DIV/0!</v>
      </c>
      <c r="F314" t="str">
        <f>IF(A314&gt;0,IF(F313=1,1,IF(B314=Data!$H$4,1,0)),"")</f>
        <v/>
      </c>
      <c r="Y314" s="4"/>
      <c r="Z314" s="4"/>
      <c r="AA314" s="4" t="str">
        <f t="shared" si="242"/>
        <v/>
      </c>
      <c r="AE314" s="4" t="str">
        <f t="shared" si="243"/>
        <v/>
      </c>
      <c r="AK314" s="4">
        <f t="shared" si="238"/>
        <v>56.200000000000443</v>
      </c>
      <c r="AL314">
        <f t="shared" si="220"/>
        <v>3745.0000000000532</v>
      </c>
      <c r="AM314">
        <f t="shared" si="221"/>
        <v>6532.3333333330302</v>
      </c>
      <c r="AN314">
        <f>IF($AK313+$AK$1&lt;=Data!$H$4-0.5,AVERAGE(AM312:AM316),AN313)</f>
        <v>6532.3333333330302</v>
      </c>
      <c r="AO314">
        <f t="shared" si="222"/>
        <v>7116.9999999999472</v>
      </c>
      <c r="AP314">
        <f t="shared" si="239"/>
        <v>5331.3333333330202</v>
      </c>
      <c r="AQ314">
        <f>IF($AK313+$AK$1&lt;=Data!$H$4-0.5,AVERAGE(AP312:AP316),AQ313)</f>
        <v>5331.3333333330202</v>
      </c>
      <c r="AR314">
        <f>IF($AK313+$AK$1&lt;=Data!$H$4-0.5,SLOPE($AN310:$AN318,$AK310:$AK318),AR313)</f>
        <v>-669.99444444446237</v>
      </c>
      <c r="AS314">
        <f>IF($AK313+$AK$1&lt;=Data!$H$4-0.5,SLOPE($AQ310:$AQ318,$AK310:$AK318),AS313)</f>
        <v>-696.46666666667579</v>
      </c>
      <c r="AT314">
        <f>IF(AND($AK314&gt;=Results!$G$13,$AK314&lt;=Results!$G$14),Curves!AR314,"")</f>
        <v>-669.99444444446237</v>
      </c>
      <c r="AU314">
        <f>IF(AND($AK314&gt;=Results!$G$13,$AK314&lt;=Results!$G$14),Curves!AS314,"")</f>
        <v>-696.46666666667579</v>
      </c>
      <c r="AV314" t="str">
        <f t="shared" si="223"/>
        <v/>
      </c>
      <c r="AW314" t="str">
        <f>IF(AND($AK314&lt;=Results!$I$21,$AK314&gt;=Results!$I$20,$AK314&lt;=Results!$F$4),$AN314,"")</f>
        <v/>
      </c>
      <c r="AX314" t="str">
        <f t="shared" si="223"/>
        <v/>
      </c>
      <c r="AY314" t="str">
        <f>IF(AND($AK314&lt;=Results!$I$23,$AK314&gt;=Results!$I$22,$AK314&gt;=Results!$F$4),$AN314,"")</f>
        <v/>
      </c>
      <c r="AZ314" t="str">
        <f t="shared" si="196"/>
        <v/>
      </c>
      <c r="BA314" t="str">
        <f>IF(AND($AK314&lt;=Results!$I$27,$AK314&gt;=Results!$I$26,$AK314&lt;=Results!$F$4),$AQ314,"")</f>
        <v/>
      </c>
      <c r="BB314" t="str">
        <f t="shared" si="197"/>
        <v/>
      </c>
      <c r="BC314" t="str">
        <f>IF(AND($AK314&lt;=Results!$I$29,$AK314&gt;=Results!$I$28,$AK314&gt;=Results!$F$4),$AQ314,"")</f>
        <v/>
      </c>
      <c r="BD314">
        <f t="shared" si="198"/>
        <v>8706.3782445777397</v>
      </c>
      <c r="BE314">
        <f t="shared" si="199"/>
        <v>1611.5356128222434</v>
      </c>
      <c r="BF314">
        <f t="shared" si="200"/>
        <v>9088.2779313325154</v>
      </c>
      <c r="BG314">
        <f t="shared" si="201"/>
        <v>1229.2408979284648</v>
      </c>
      <c r="BH314">
        <f t="shared" si="202"/>
        <v>0</v>
      </c>
      <c r="BI314">
        <f t="shared" si="203"/>
        <v>0.69357390655657447</v>
      </c>
      <c r="BJ314">
        <f t="shared" si="204"/>
        <v>0.52195865956210952</v>
      </c>
      <c r="BK314">
        <f t="shared" si="205"/>
        <v>-8.3170093964530151E-2</v>
      </c>
      <c r="BL314">
        <f t="shared" si="206"/>
        <v>-8.3799765330007575E-2</v>
      </c>
      <c r="BM314">
        <f t="shared" si="224"/>
        <v>119.99999999999829</v>
      </c>
      <c r="BN314">
        <f t="shared" si="225"/>
        <v>-120.00000000000284</v>
      </c>
      <c r="BO314">
        <f>Data!$H$2*(1-BI314)*(1-BI314/Data!$H$3)*BM314</f>
        <v>2.2535268178319426E-5</v>
      </c>
      <c r="BP314">
        <f t="shared" si="207"/>
        <v>-83.228868786787757</v>
      </c>
      <c r="BQ314">
        <f>Data!$H$2*(1-BJ314)*(1-BJ314/Data!$H$3)*BN314</f>
        <v>-5.484564556023852E-5</v>
      </c>
      <c r="BR314">
        <f t="shared" si="208"/>
        <v>62.635039147454627</v>
      </c>
      <c r="BS314">
        <f t="shared" si="209"/>
        <v>0</v>
      </c>
      <c r="BT314">
        <f t="shared" si="210"/>
        <v>0</v>
      </c>
      <c r="BU314">
        <f t="shared" si="211"/>
        <v>0</v>
      </c>
      <c r="BV314">
        <f t="shared" si="244"/>
        <v>0</v>
      </c>
      <c r="BW314">
        <f t="shared" si="226"/>
        <v>0</v>
      </c>
      <c r="BX314" t="str">
        <f t="shared" si="227"/>
        <v/>
      </c>
      <c r="BY314" s="66" t="str">
        <f t="shared" si="213"/>
        <v/>
      </c>
      <c r="BZ314" t="str">
        <f t="shared" si="214"/>
        <v/>
      </c>
      <c r="CA314" s="67" t="str">
        <f t="shared" si="245"/>
        <v/>
      </c>
    </row>
    <row r="315" spans="4:79" x14ac:dyDescent="0.25">
      <c r="D315" s="3" t="e">
        <f t="shared" si="240"/>
        <v>#DIV/0!</v>
      </c>
      <c r="E315" s="3" t="e">
        <f t="shared" si="240"/>
        <v>#DIV/0!</v>
      </c>
      <c r="F315" t="str">
        <f>IF(A315&gt;0,IF(F314=1,1,IF(B315=Data!$H$4,1,0)),"")</f>
        <v/>
      </c>
      <c r="Y315" s="4"/>
      <c r="Z315" s="4"/>
      <c r="AA315" s="4" t="str">
        <f t="shared" si="242"/>
        <v/>
      </c>
      <c r="AE315" s="4" t="str">
        <f t="shared" si="243"/>
        <v/>
      </c>
      <c r="AK315" s="4">
        <f t="shared" si="238"/>
        <v>56.300000000000445</v>
      </c>
      <c r="AL315">
        <f t="shared" si="220"/>
        <v>3757.0000000000532</v>
      </c>
      <c r="AM315">
        <f t="shared" si="221"/>
        <v>6464.4166666663632</v>
      </c>
      <c r="AN315">
        <f>IF($AK314+$AK$1&lt;=Data!$H$4-0.5,AVERAGE(AM313:AM317),AN314)</f>
        <v>6464.4166666663632</v>
      </c>
      <c r="AO315">
        <f t="shared" si="222"/>
        <v>7104.9999999999463</v>
      </c>
      <c r="AP315">
        <f t="shared" si="239"/>
        <v>5261.1666666663532</v>
      </c>
      <c r="AQ315">
        <f>IF($AK314+$AK$1&lt;=Data!$H$4-0.5,AVERAGE(AP313:AP317),AQ314)</f>
        <v>5261.1666666663532</v>
      </c>
      <c r="AR315">
        <f>IF($AK314+$AK$1&lt;=Data!$H$4-0.5,SLOPE($AN311:$AN319,$AK311:$AK319),AR314)</f>
        <v>-674.22777777778879</v>
      </c>
      <c r="AS315">
        <f>IF($AK314+$AK$1&lt;=Data!$H$4-0.5,SLOPE($AQ311:$AQ319,$AK311:$AK319),AS314)</f>
        <v>-698.86666666667145</v>
      </c>
      <c r="AT315">
        <f>IF(AND($AK315&gt;=Results!$G$13,$AK315&lt;=Results!$G$14),Curves!AR315,"")</f>
        <v>-674.22777777778879</v>
      </c>
      <c r="AU315">
        <f>IF(AND($AK315&gt;=Results!$G$13,$AK315&lt;=Results!$G$14),Curves!AS315,"")</f>
        <v>-698.86666666667145</v>
      </c>
      <c r="AV315" t="str">
        <f t="shared" si="223"/>
        <v/>
      </c>
      <c r="AW315" t="str">
        <f>IF(AND($AK315&lt;=Results!$I$21,$AK315&gt;=Results!$I$20,$AK315&lt;=Results!$F$4),$AN315,"")</f>
        <v/>
      </c>
      <c r="AX315" t="str">
        <f t="shared" si="223"/>
        <v/>
      </c>
      <c r="AY315" t="str">
        <f>IF(AND($AK315&lt;=Results!$I$23,$AK315&gt;=Results!$I$22,$AK315&gt;=Results!$F$4),$AN315,"")</f>
        <v/>
      </c>
      <c r="AZ315" t="str">
        <f t="shared" si="196"/>
        <v/>
      </c>
      <c r="BA315" t="str">
        <f>IF(AND($AK315&lt;=Results!$I$27,$AK315&gt;=Results!$I$26,$AK315&lt;=Results!$F$4),$AQ315,"")</f>
        <v/>
      </c>
      <c r="BB315" t="str">
        <f t="shared" si="197"/>
        <v/>
      </c>
      <c r="BC315" t="str">
        <f>IF(AND($AK315&lt;=Results!$I$29,$AK315&gt;=Results!$I$28,$AK315&gt;=Results!$F$4),$AQ315,"")</f>
        <v/>
      </c>
      <c r="BD315">
        <f t="shared" si="198"/>
        <v>8695.6080497798175</v>
      </c>
      <c r="BE315">
        <f t="shared" si="199"/>
        <v>1608.2198235729227</v>
      </c>
      <c r="BF315">
        <f t="shared" si="200"/>
        <v>9080.9879490996245</v>
      </c>
      <c r="BG315">
        <f t="shared" si="201"/>
        <v>1228.69009696894</v>
      </c>
      <c r="BH315">
        <f t="shared" si="202"/>
        <v>0</v>
      </c>
      <c r="BI315">
        <f t="shared" si="203"/>
        <v>0.6851884908938356</v>
      </c>
      <c r="BJ315">
        <f t="shared" si="204"/>
        <v>0.51354095904592056</v>
      </c>
      <c r="BK315">
        <f t="shared" si="205"/>
        <v>-8.394244599650981E-2</v>
      </c>
      <c r="BL315">
        <f t="shared" si="206"/>
        <v>-8.4249311561040902E-2</v>
      </c>
      <c r="BM315">
        <f t="shared" si="224"/>
        <v>120.00000000000055</v>
      </c>
      <c r="BN315">
        <f t="shared" si="225"/>
        <v>-120.00000000000284</v>
      </c>
      <c r="BO315">
        <f>Data!$H$2*(1-BI315)*(1-BI315/Data!$H$3)*BM315</f>
        <v>2.3785508703768261E-5</v>
      </c>
      <c r="BP315">
        <f t="shared" si="207"/>
        <v>-82.222618907260653</v>
      </c>
      <c r="BQ315">
        <f>Data!$H$2*(1-BJ315)*(1-BJ315/Data!$H$3)*BN315</f>
        <v>-5.6794175646232394E-5</v>
      </c>
      <c r="BR315">
        <f t="shared" si="208"/>
        <v>61.62491508551193</v>
      </c>
      <c r="BS315">
        <f t="shared" si="209"/>
        <v>0</v>
      </c>
      <c r="BT315">
        <f t="shared" si="210"/>
        <v>0</v>
      </c>
      <c r="BU315">
        <f t="shared" si="211"/>
        <v>0</v>
      </c>
      <c r="BV315">
        <f t="shared" si="244"/>
        <v>0</v>
      </c>
      <c r="BW315">
        <f t="shared" si="226"/>
        <v>0</v>
      </c>
      <c r="BX315" t="str">
        <f t="shared" si="227"/>
        <v/>
      </c>
      <c r="BY315" s="66" t="str">
        <f t="shared" si="213"/>
        <v/>
      </c>
      <c r="BZ315" t="str">
        <f t="shared" si="214"/>
        <v/>
      </c>
      <c r="CA315" s="67" t="str">
        <f t="shared" si="245"/>
        <v/>
      </c>
    </row>
    <row r="316" spans="4:79" x14ac:dyDescent="0.25">
      <c r="D316" s="3" t="e">
        <f t="shared" si="240"/>
        <v>#DIV/0!</v>
      </c>
      <c r="E316" s="3" t="e">
        <f t="shared" si="240"/>
        <v>#DIV/0!</v>
      </c>
      <c r="F316" t="str">
        <f>IF(A316&gt;0,IF(F315=1,1,IF(B316=Data!$H$4,1,0)),"")</f>
        <v/>
      </c>
      <c r="Y316" s="4"/>
      <c r="Z316" s="4"/>
      <c r="AA316" s="4" t="str">
        <f t="shared" si="242"/>
        <v/>
      </c>
      <c r="AE316" s="4" t="str">
        <f t="shared" si="243"/>
        <v/>
      </c>
      <c r="AK316" s="4">
        <f t="shared" si="238"/>
        <v>56.400000000000446</v>
      </c>
      <c r="AL316">
        <f t="shared" si="220"/>
        <v>3769.0000000000537</v>
      </c>
      <c r="AM316">
        <f t="shared" si="221"/>
        <v>6396.4999999996953</v>
      </c>
      <c r="AN316">
        <f>IF($AK315+$AK$1&lt;=Data!$H$4-0.5,AVERAGE(AM314:AM318),AN315)</f>
        <v>6396.4999999996944</v>
      </c>
      <c r="AO316">
        <f t="shared" si="222"/>
        <v>7092.9999999999463</v>
      </c>
      <c r="AP316">
        <f t="shared" si="239"/>
        <v>5190.9999999996853</v>
      </c>
      <c r="AQ316">
        <f>IF($AK315+$AK$1&lt;=Data!$H$4-0.5,AVERAGE(AP314:AP318),AQ315)</f>
        <v>5190.9999999996853</v>
      </c>
      <c r="AR316">
        <f>IF($AK315+$AK$1&lt;=Data!$H$4-0.5,SLOPE($AN312:$AN320,$AK312:$AK320),AR315)</f>
        <v>-677.05000000000541</v>
      </c>
      <c r="AS316">
        <f>IF($AK315+$AK$1&lt;=Data!$H$4-0.5,SLOPE($AQ312:$AQ320,$AK312:$AK320),AS315)</f>
        <v>-700.46666666666772</v>
      </c>
      <c r="AT316">
        <f>IF(AND($AK316&gt;=Results!$G$13,$AK316&lt;=Results!$G$14),Curves!AR316,"")</f>
        <v>-677.05000000000541</v>
      </c>
      <c r="AU316">
        <f>IF(AND($AK316&gt;=Results!$G$13,$AK316&lt;=Results!$G$14),Curves!AS316,"")</f>
        <v>-700.46666666666772</v>
      </c>
      <c r="AV316" t="str">
        <f t="shared" si="223"/>
        <v/>
      </c>
      <c r="AW316" t="str">
        <f>IF(AND($AK316&lt;=Results!$I$21,$AK316&gt;=Results!$I$20,$AK316&lt;=Results!$F$4),$AN316,"")</f>
        <v/>
      </c>
      <c r="AX316" t="str">
        <f t="shared" si="223"/>
        <v/>
      </c>
      <c r="AY316" t="str">
        <f>IF(AND($AK316&lt;=Results!$I$23,$AK316&gt;=Results!$I$22,$AK316&gt;=Results!$F$4),$AN316,"")</f>
        <v/>
      </c>
      <c r="AZ316" t="str">
        <f t="shared" si="196"/>
        <v/>
      </c>
      <c r="BA316" t="str">
        <f>IF(AND($AK316&lt;=Results!$I$27,$AK316&gt;=Results!$I$26,$AK316&lt;=Results!$F$4),$AQ316,"")</f>
        <v/>
      </c>
      <c r="BB316" t="str">
        <f t="shared" si="197"/>
        <v/>
      </c>
      <c r="BC316" t="str">
        <f>IF(AND($AK316&lt;=Results!$I$29,$AK316&gt;=Results!$I$28,$AK316&gt;=Results!$F$4),$AQ316,"")</f>
        <v/>
      </c>
      <c r="BD316">
        <f t="shared" si="198"/>
        <v>8684.837854981899</v>
      </c>
      <c r="BE316">
        <f t="shared" si="199"/>
        <v>1604.9040343236018</v>
      </c>
      <c r="BF316">
        <f t="shared" si="200"/>
        <v>9073.69796686673</v>
      </c>
      <c r="BG316">
        <f t="shared" si="201"/>
        <v>1228.1392960094149</v>
      </c>
      <c r="BH316">
        <f t="shared" si="202"/>
        <v>56.46048304328432</v>
      </c>
      <c r="BI316">
        <f t="shared" si="203"/>
        <v>0.67678541735727227</v>
      </c>
      <c r="BJ316">
        <f t="shared" si="204"/>
        <v>0.5051087972499011</v>
      </c>
      <c r="BK316">
        <f t="shared" si="205"/>
        <v>-8.4119303906194293E-2</v>
      </c>
      <c r="BL316">
        <f t="shared" si="206"/>
        <v>-8.4394110848880946E-2</v>
      </c>
      <c r="BM316">
        <f t="shared" si="224"/>
        <v>120.00000000000055</v>
      </c>
      <c r="BN316">
        <f t="shared" si="225"/>
        <v>-119.99999999999829</v>
      </c>
      <c r="BO316">
        <f>Data!$H$2*(1-BI316)*(1-BI316/Data!$H$3)*BM316</f>
        <v>2.5072239943899154E-5</v>
      </c>
      <c r="BP316">
        <f t="shared" si="207"/>
        <v>-81.21425008287305</v>
      </c>
      <c r="BQ316">
        <f>Data!$H$2*(1-BJ316)*(1-BJ316/Data!$H$3)*BN316</f>
        <v>-5.878015261426464E-5</v>
      </c>
      <c r="BR316">
        <f t="shared" si="208"/>
        <v>60.613055669987268</v>
      </c>
      <c r="BS316">
        <f t="shared" si="209"/>
        <v>0</v>
      </c>
      <c r="BT316">
        <f t="shared" si="210"/>
        <v>0</v>
      </c>
      <c r="BU316">
        <f t="shared" si="211"/>
        <v>0</v>
      </c>
      <c r="BV316">
        <f t="shared" si="244"/>
        <v>0</v>
      </c>
      <c r="BW316">
        <f t="shared" si="226"/>
        <v>0</v>
      </c>
      <c r="BX316" t="str">
        <f t="shared" si="227"/>
        <v/>
      </c>
      <c r="BY316" s="66" t="str">
        <f t="shared" si="213"/>
        <v/>
      </c>
      <c r="BZ316" t="str">
        <f t="shared" si="214"/>
        <v/>
      </c>
      <c r="CA316" s="67" t="str">
        <f t="shared" si="245"/>
        <v/>
      </c>
    </row>
    <row r="317" spans="4:79" x14ac:dyDescent="0.25">
      <c r="D317" s="3" t="e">
        <f t="shared" si="240"/>
        <v>#DIV/0!</v>
      </c>
      <c r="E317" s="3" t="e">
        <f t="shared" si="240"/>
        <v>#DIV/0!</v>
      </c>
      <c r="F317" t="str">
        <f>IF(A317&gt;0,IF(F316=1,1,IF(B317=Data!$H$4,1,0)),"")</f>
        <v/>
      </c>
      <c r="Y317" s="4"/>
      <c r="Z317" s="4"/>
      <c r="AA317" s="4" t="str">
        <f t="shared" si="242"/>
        <v/>
      </c>
      <c r="AE317" s="4" t="str">
        <f t="shared" si="243"/>
        <v/>
      </c>
      <c r="AK317" s="4">
        <f t="shared" si="238"/>
        <v>56.500000000000448</v>
      </c>
      <c r="AL317">
        <f t="shared" si="220"/>
        <v>3781.0000000000537</v>
      </c>
      <c r="AM317">
        <f t="shared" si="221"/>
        <v>6328.5833333330283</v>
      </c>
      <c r="AN317">
        <f>IF($AK316+$AK$1&lt;=Data!$H$4-0.5,AVERAGE(AM315:AM319),AN316)</f>
        <v>6328.5833333330283</v>
      </c>
      <c r="AO317">
        <f t="shared" si="222"/>
        <v>7080.9999999999463</v>
      </c>
      <c r="AP317">
        <f t="shared" si="239"/>
        <v>5120.8333333330183</v>
      </c>
      <c r="AQ317">
        <f>IF($AK316+$AK$1&lt;=Data!$H$4-0.5,AVERAGE(AP315:AP319),AQ316)</f>
        <v>5120.8333333330183</v>
      </c>
      <c r="AR317">
        <f>IF($AK316+$AK$1&lt;=Data!$H$4-0.5,SLOPE($AN313:$AN321,$AK313:$AK321),AR316)</f>
        <v>-678.68222222222414</v>
      </c>
      <c r="AS317">
        <f>IF($AK316+$AK$1&lt;=Data!$H$4-0.5,SLOPE($AQ313:$AQ321,$AK313:$AK321),AS316)</f>
        <v>-701.23999999999762</v>
      </c>
      <c r="AT317">
        <f>IF(AND($AK317&gt;=Results!$G$13,$AK317&lt;=Results!$G$14),Curves!AR317,"")</f>
        <v>-678.68222222222414</v>
      </c>
      <c r="AU317">
        <f>IF(AND($AK317&gt;=Results!$G$13,$AK317&lt;=Results!$G$14),Curves!AS317,"")</f>
        <v>-701.23999999999762</v>
      </c>
      <c r="AV317" t="str">
        <f t="shared" si="223"/>
        <v/>
      </c>
      <c r="AW317" t="str">
        <f>IF(AND($AK317&lt;=Results!$I$21,$AK317&gt;=Results!$I$20,$AK317&lt;=Results!$F$4),$AN317,"")</f>
        <v/>
      </c>
      <c r="AX317" t="str">
        <f t="shared" si="223"/>
        <v/>
      </c>
      <c r="AY317" t="str">
        <f>IF(AND($AK317&lt;=Results!$I$23,$AK317&gt;=Results!$I$22,$AK317&gt;=Results!$F$4),$AN317,"")</f>
        <v/>
      </c>
      <c r="AZ317" t="str">
        <f t="shared" si="196"/>
        <v/>
      </c>
      <c r="BA317" t="str">
        <f>IF(AND($AK317&lt;=Results!$I$27,$AK317&gt;=Results!$I$26,$AK317&lt;=Results!$F$4),$AQ317,"")</f>
        <v/>
      </c>
      <c r="BB317" t="str">
        <f t="shared" si="197"/>
        <v/>
      </c>
      <c r="BC317" t="str">
        <f>IF(AND($AK317&lt;=Results!$I$29,$AK317&gt;=Results!$I$28,$AK317&gt;=Results!$F$4),$AQ317,"")</f>
        <v/>
      </c>
      <c r="BD317">
        <f t="shared" si="198"/>
        <v>8674.0676601839805</v>
      </c>
      <c r="BE317">
        <f t="shared" si="199"/>
        <v>1601.5882450742808</v>
      </c>
      <c r="BF317">
        <f t="shared" si="200"/>
        <v>9066.4079846338373</v>
      </c>
      <c r="BG317">
        <f t="shared" si="201"/>
        <v>1227.5884950498898</v>
      </c>
      <c r="BH317">
        <f t="shared" si="202"/>
        <v>0</v>
      </c>
      <c r="BI317">
        <f t="shared" si="203"/>
        <v>0.6683646301125965</v>
      </c>
      <c r="BJ317">
        <f t="shared" si="204"/>
        <v>0.49666213687614413</v>
      </c>
      <c r="BK317">
        <f t="shared" si="205"/>
        <v>-8.4296721336993743E-2</v>
      </c>
      <c r="BL317">
        <f t="shared" si="206"/>
        <v>-8.4539283757656306E-2</v>
      </c>
      <c r="BM317">
        <f t="shared" si="224"/>
        <v>119.99999999999829</v>
      </c>
      <c r="BN317">
        <f t="shared" si="225"/>
        <v>-119.99999999999829</v>
      </c>
      <c r="BO317">
        <f>Data!$H$2*(1-BI317)*(1-BI317/Data!$H$3)*BM317</f>
        <v>2.639568445448481E-5</v>
      </c>
      <c r="BP317">
        <f t="shared" si="207"/>
        <v>-80.203755613510438</v>
      </c>
      <c r="BQ317">
        <f>Data!$H$2*(1-BJ317)*(1-BJ317/Data!$H$3)*BN317</f>
        <v>-6.0803761068980604E-5</v>
      </c>
      <c r="BR317">
        <f t="shared" si="208"/>
        <v>59.599456425136452</v>
      </c>
      <c r="BS317">
        <f t="shared" si="209"/>
        <v>0</v>
      </c>
      <c r="BT317">
        <f t="shared" si="210"/>
        <v>0</v>
      </c>
      <c r="BU317">
        <f t="shared" si="211"/>
        <v>0</v>
      </c>
      <c r="BV317">
        <f t="shared" si="244"/>
        <v>0</v>
      </c>
      <c r="BW317">
        <f t="shared" si="226"/>
        <v>0</v>
      </c>
      <c r="BX317" t="str">
        <f t="shared" si="227"/>
        <v/>
      </c>
      <c r="BY317" s="66" t="str">
        <f t="shared" si="213"/>
        <v/>
      </c>
      <c r="BZ317" t="str">
        <f t="shared" si="214"/>
        <v/>
      </c>
      <c r="CA317" s="67" t="str">
        <f t="shared" si="245"/>
        <v/>
      </c>
    </row>
    <row r="318" spans="4:79" x14ac:dyDescent="0.25">
      <c r="D318" s="3" t="e">
        <f t="shared" si="240"/>
        <v>#DIV/0!</v>
      </c>
      <c r="E318" s="3" t="e">
        <f t="shared" si="240"/>
        <v>#DIV/0!</v>
      </c>
      <c r="F318" t="str">
        <f>IF(A318&gt;0,IF(F317=1,1,IF(B318=Data!$H$4,1,0)),"")</f>
        <v/>
      </c>
      <c r="Y318" s="4"/>
      <c r="Z318" s="4"/>
      <c r="AA318" s="4" t="str">
        <f t="shared" si="242"/>
        <v/>
      </c>
      <c r="AE318" s="4" t="str">
        <f t="shared" si="243"/>
        <v/>
      </c>
      <c r="AK318" s="4">
        <f t="shared" si="238"/>
        <v>56.600000000000449</v>
      </c>
      <c r="AL318">
        <f t="shared" si="220"/>
        <v>3793.0000000000537</v>
      </c>
      <c r="AM318">
        <f t="shared" si="221"/>
        <v>6260.6666666663605</v>
      </c>
      <c r="AN318">
        <f>IF($AK317+$AK$1&lt;=Data!$H$4-0.5,AVERAGE(AM316:AM320),AN317)</f>
        <v>6260.6666666663605</v>
      </c>
      <c r="AO318">
        <f t="shared" si="222"/>
        <v>7068.9999999999463</v>
      </c>
      <c r="AP318">
        <f t="shared" si="239"/>
        <v>5050.6666666663505</v>
      </c>
      <c r="AQ318">
        <f>IF($AK317+$AK$1&lt;=Data!$H$4-0.5,AVERAGE(AP316:AP320),AQ317)</f>
        <v>5050.6666666663505</v>
      </c>
      <c r="AR318">
        <f>IF($AK317+$AK$1&lt;=Data!$H$4-0.5,SLOPE($AN314:$AN322,$AK314:$AK322),AR317)</f>
        <v>-679.46666666666636</v>
      </c>
      <c r="AS318">
        <f>IF($AK317+$AK$1&lt;=Data!$H$4-0.5,SLOPE($AQ314:$AQ322,$AK314:$AK322),AS317)</f>
        <v>-701.26666666666199</v>
      </c>
      <c r="AT318">
        <f>IF(AND($AK318&gt;=Results!$G$13,$AK318&lt;=Results!$G$14),Curves!AR318,"")</f>
        <v>-679.46666666666636</v>
      </c>
      <c r="AU318">
        <f>IF(AND($AK318&gt;=Results!$G$13,$AK318&lt;=Results!$G$14),Curves!AS318,"")</f>
        <v>-701.26666666666199</v>
      </c>
      <c r="AV318" t="str">
        <f t="shared" si="223"/>
        <v/>
      </c>
      <c r="AW318" t="str">
        <f>IF(AND($AK318&lt;=Results!$I$21,$AK318&gt;=Results!$I$20,$AK318&lt;=Results!$F$4),$AN318,"")</f>
        <v/>
      </c>
      <c r="AX318" t="str">
        <f t="shared" si="223"/>
        <v/>
      </c>
      <c r="AY318" t="str">
        <f>IF(AND($AK318&lt;=Results!$I$23,$AK318&gt;=Results!$I$22,$AK318&gt;=Results!$F$4),$AN318,"")</f>
        <v/>
      </c>
      <c r="AZ318" t="str">
        <f t="shared" si="196"/>
        <v/>
      </c>
      <c r="BA318" t="str">
        <f>IF(AND($AK318&lt;=Results!$I$27,$AK318&gt;=Results!$I$26,$AK318&lt;=Results!$F$4),$AQ318,"")</f>
        <v/>
      </c>
      <c r="BB318" t="str">
        <f t="shared" si="197"/>
        <v/>
      </c>
      <c r="BC318" t="str">
        <f>IF(AND($AK318&lt;=Results!$I$29,$AK318&gt;=Results!$I$28,$AK318&gt;=Results!$F$4),$AQ318,"")</f>
        <v/>
      </c>
      <c r="BD318">
        <f t="shared" si="198"/>
        <v>8663.2974653860583</v>
      </c>
      <c r="BE318">
        <f t="shared" si="199"/>
        <v>1598.2724558249602</v>
      </c>
      <c r="BF318">
        <f t="shared" si="200"/>
        <v>9059.1180024009445</v>
      </c>
      <c r="BG318">
        <f t="shared" si="201"/>
        <v>1227.0376940903648</v>
      </c>
      <c r="BH318">
        <f t="shared" si="202"/>
        <v>0</v>
      </c>
      <c r="BI318">
        <f t="shared" si="203"/>
        <v>0.65992607308987328</v>
      </c>
      <c r="BJ318">
        <f t="shared" si="204"/>
        <v>0.4882009404983696</v>
      </c>
      <c r="BK318">
        <f t="shared" si="205"/>
        <v>-8.4474700651596582E-2</v>
      </c>
      <c r="BL318">
        <f t="shared" si="206"/>
        <v>-8.46848315738601E-2</v>
      </c>
      <c r="BM318">
        <f t="shared" si="224"/>
        <v>120.00000000000055</v>
      </c>
      <c r="BN318">
        <f t="shared" si="225"/>
        <v>-119.99999999999829</v>
      </c>
      <c r="BO318">
        <f>Data!$H$2*(1-BI318)*(1-BI318/Data!$H$3)*BM318</f>
        <v>2.7756066183377934E-5</v>
      </c>
      <c r="BP318">
        <f t="shared" si="207"/>
        <v>-79.191128770785156</v>
      </c>
      <c r="BQ318">
        <f>Data!$H$2*(1-BJ318)*(1-BJ318/Data!$H$3)*BN318</f>
        <v>-6.2865186553619912E-5</v>
      </c>
      <c r="BR318">
        <f t="shared" si="208"/>
        <v>58.584112859803518</v>
      </c>
      <c r="BS318">
        <f t="shared" si="209"/>
        <v>0</v>
      </c>
      <c r="BT318">
        <f t="shared" si="210"/>
        <v>0</v>
      </c>
      <c r="BU318">
        <f t="shared" si="211"/>
        <v>0</v>
      </c>
      <c r="BV318">
        <f t="shared" si="244"/>
        <v>0</v>
      </c>
      <c r="BW318">
        <f t="shared" si="226"/>
        <v>0</v>
      </c>
      <c r="BX318" t="str">
        <f t="shared" si="227"/>
        <v/>
      </c>
      <c r="BY318" s="66" t="str">
        <f t="shared" si="213"/>
        <v/>
      </c>
      <c r="BZ318" t="str">
        <f t="shared" si="214"/>
        <v/>
      </c>
      <c r="CA318" s="67" t="str">
        <f t="shared" si="245"/>
        <v/>
      </c>
    </row>
    <row r="319" spans="4:79" x14ac:dyDescent="0.25">
      <c r="D319" s="3" t="e">
        <f t="shared" si="240"/>
        <v>#DIV/0!</v>
      </c>
      <c r="E319" s="3" t="e">
        <f t="shared" si="240"/>
        <v>#DIV/0!</v>
      </c>
      <c r="F319" t="str">
        <f>IF(A319&gt;0,IF(F318=1,1,IF(B319=Data!$H$4,1,0)),"")</f>
        <v/>
      </c>
      <c r="Y319" s="4"/>
      <c r="Z319" s="4"/>
      <c r="AA319" s="4" t="str">
        <f t="shared" si="242"/>
        <v/>
      </c>
      <c r="AE319" s="4" t="str">
        <f t="shared" si="243"/>
        <v/>
      </c>
      <c r="AK319" s="4">
        <f t="shared" si="238"/>
        <v>56.70000000000045</v>
      </c>
      <c r="AL319">
        <f t="shared" si="220"/>
        <v>3805.0000000000541</v>
      </c>
      <c r="AM319">
        <f t="shared" si="221"/>
        <v>6192.7499999996935</v>
      </c>
      <c r="AN319">
        <f>IF($AK318+$AK$1&lt;=Data!$H$4-0.5,AVERAGE(AM317:AM321),AN318)</f>
        <v>6192.7499999996935</v>
      </c>
      <c r="AO319">
        <f t="shared" si="222"/>
        <v>7056.9999999999463</v>
      </c>
      <c r="AP319">
        <f t="shared" si="239"/>
        <v>4980.4999999996835</v>
      </c>
      <c r="AQ319">
        <f>IF($AK318+$AK$1&lt;=Data!$H$4-0.5,AVERAGE(AP317:AP321),AQ318)</f>
        <v>4980.4999999996835</v>
      </c>
      <c r="AR319">
        <f>IF($AK318+$AK$1&lt;=Data!$H$4-0.5,SLOPE($AN315:$AN323,$AK315:$AK323),AR318)</f>
        <v>-679.86666666666679</v>
      </c>
      <c r="AS319">
        <f>IF($AK318+$AK$1&lt;=Data!$H$4-0.5,SLOPE($AQ315:$AQ323,$AK315:$AK323),AS318)</f>
        <v>-700.73333333332732</v>
      </c>
      <c r="AT319">
        <f>IF(AND($AK319&gt;=Results!$G$13,$AK319&lt;=Results!$G$14),Curves!AR319,"")</f>
        <v>-679.86666666666679</v>
      </c>
      <c r="AU319">
        <f>IF(AND($AK319&gt;=Results!$G$13,$AK319&lt;=Results!$G$14),Curves!AS319,"")</f>
        <v>-700.73333333332732</v>
      </c>
      <c r="AV319" t="str">
        <f t="shared" si="223"/>
        <v/>
      </c>
      <c r="AW319" t="str">
        <f>IF(AND($AK319&lt;=Results!$I$21,$AK319&gt;=Results!$I$20,$AK319&lt;=Results!$F$4),$AN319,"")</f>
        <v/>
      </c>
      <c r="AX319" t="str">
        <f t="shared" si="223"/>
        <v/>
      </c>
      <c r="AY319" t="str">
        <f>IF(AND($AK319&lt;=Results!$I$23,$AK319&gt;=Results!$I$22,$AK319&gt;=Results!$F$4),$AN319,"")</f>
        <v/>
      </c>
      <c r="AZ319" t="str">
        <f t="shared" si="196"/>
        <v/>
      </c>
      <c r="BA319" t="str">
        <f>IF(AND($AK319&lt;=Results!$I$27,$AK319&gt;=Results!$I$26,$AK319&lt;=Results!$F$4),$AQ319,"")</f>
        <v/>
      </c>
      <c r="BB319" t="str">
        <f t="shared" si="197"/>
        <v/>
      </c>
      <c r="BC319" t="str">
        <f>IF(AND($AK319&lt;=Results!$I$29,$AK319&gt;=Results!$I$28,$AK319&gt;=Results!$F$4),$AQ319,"")</f>
        <v/>
      </c>
      <c r="BD319">
        <f t="shared" si="198"/>
        <v>8652.5272705881398</v>
      </c>
      <c r="BE319">
        <f t="shared" si="199"/>
        <v>1594.9566665756392</v>
      </c>
      <c r="BF319">
        <f t="shared" si="200"/>
        <v>9051.82802016805</v>
      </c>
      <c r="BG319">
        <f t="shared" si="201"/>
        <v>1226.4868931308399</v>
      </c>
      <c r="BH319">
        <f t="shared" si="202"/>
        <v>0</v>
      </c>
      <c r="BI319">
        <f t="shared" si="203"/>
        <v>0.65146968998227694</v>
      </c>
      <c r="BJ319">
        <f t="shared" si="204"/>
        <v>0.47972517056137187</v>
      </c>
      <c r="BK319">
        <f t="shared" si="205"/>
        <v>-8.46532442251723E-2</v>
      </c>
      <c r="BL319">
        <f t="shared" si="206"/>
        <v>-8.4830755589532694E-2</v>
      </c>
      <c r="BM319">
        <f t="shared" si="224"/>
        <v>120.00000000000055</v>
      </c>
      <c r="BN319">
        <f t="shared" si="225"/>
        <v>-120.00000000000284</v>
      </c>
      <c r="BO319">
        <f>Data!$H$2*(1-BI319)*(1-BI319/Data!$H$3)*BM319</f>
        <v>2.9153610480252169E-5</v>
      </c>
      <c r="BP319">
        <f t="shared" si="207"/>
        <v>-78.176362797873594</v>
      </c>
      <c r="BQ319">
        <f>Data!$H$2*(1-BJ319)*(1-BJ319/Data!$H$3)*BN319</f>
        <v>-6.4964615555376009E-5</v>
      </c>
      <c r="BR319">
        <f t="shared" si="208"/>
        <v>57.567020467365985</v>
      </c>
      <c r="BS319">
        <f t="shared" si="209"/>
        <v>0</v>
      </c>
      <c r="BT319">
        <f t="shared" si="210"/>
        <v>0</v>
      </c>
      <c r="BU319">
        <f t="shared" si="211"/>
        <v>0</v>
      </c>
      <c r="BV319">
        <f t="shared" si="244"/>
        <v>0</v>
      </c>
      <c r="BW319">
        <f t="shared" si="226"/>
        <v>0</v>
      </c>
      <c r="BX319" t="str">
        <f t="shared" si="227"/>
        <v/>
      </c>
      <c r="BY319" s="66" t="str">
        <f t="shared" si="213"/>
        <v/>
      </c>
      <c r="BZ319" t="str">
        <f t="shared" si="214"/>
        <v/>
      </c>
      <c r="CA319" s="67" t="str">
        <f t="shared" si="245"/>
        <v/>
      </c>
    </row>
    <row r="320" spans="4:79" x14ac:dyDescent="0.25">
      <c r="D320" s="3" t="e">
        <f t="shared" si="240"/>
        <v>#DIV/0!</v>
      </c>
      <c r="E320" s="3" t="e">
        <f t="shared" si="240"/>
        <v>#DIV/0!</v>
      </c>
      <c r="F320" t="str">
        <f>IF(A320&gt;0,IF(F319=1,1,IF(B320=Data!$H$4,1,0)),"")</f>
        <v/>
      </c>
      <c r="Y320" s="4"/>
      <c r="Z320" s="4"/>
      <c r="AA320" s="4" t="str">
        <f t="shared" si="242"/>
        <v/>
      </c>
      <c r="AE320" s="4" t="str">
        <f t="shared" si="243"/>
        <v/>
      </c>
      <c r="AK320" s="4">
        <f t="shared" si="238"/>
        <v>56.800000000000452</v>
      </c>
      <c r="AL320">
        <f t="shared" si="220"/>
        <v>3817.0000000000541</v>
      </c>
      <c r="AM320">
        <f t="shared" si="221"/>
        <v>6124.8333333330256</v>
      </c>
      <c r="AN320">
        <f>IF($AK319+$AK$1&lt;=Data!$H$4-0.5,AVERAGE(AM318:AM322),AN319)</f>
        <v>6124.8333333330247</v>
      </c>
      <c r="AO320">
        <f t="shared" si="222"/>
        <v>7044.9999999999454</v>
      </c>
      <c r="AP320">
        <f t="shared" si="239"/>
        <v>4910.3333333330156</v>
      </c>
      <c r="AQ320">
        <f>IF($AK319+$AK$1&lt;=Data!$H$4-0.5,AVERAGE(AP318:AP322),AQ319)</f>
        <v>4910.3333333330165</v>
      </c>
      <c r="AR320">
        <f>IF($AK319+$AK$1&lt;=Data!$H$4-0.5,SLOPE($AN316:$AN324,$AK316:$AK324),AR319)</f>
        <v>-680.46666666666738</v>
      </c>
      <c r="AS320">
        <f>IF($AK319+$AK$1&lt;=Data!$H$4-0.5,SLOPE($AQ316:$AQ324,$AK316:$AK324),AS319)</f>
        <v>-699.93333333332612</v>
      </c>
      <c r="AT320">
        <f>IF(AND($AK320&gt;=Results!$G$13,$AK320&lt;=Results!$G$14),Curves!AR320,"")</f>
        <v>-680.46666666666738</v>
      </c>
      <c r="AU320">
        <f>IF(AND($AK320&gt;=Results!$G$13,$AK320&lt;=Results!$G$14),Curves!AS320,"")</f>
        <v>-699.93333333332612</v>
      </c>
      <c r="AV320" t="str">
        <f t="shared" si="223"/>
        <v/>
      </c>
      <c r="AW320" t="str">
        <f>IF(AND($AK320&lt;=Results!$I$21,$AK320&gt;=Results!$I$20,$AK320&lt;=Results!$F$4),$AN320,"")</f>
        <v/>
      </c>
      <c r="AX320" t="str">
        <f t="shared" si="223"/>
        <v/>
      </c>
      <c r="AY320" t="str">
        <f>IF(AND($AK320&lt;=Results!$I$23,$AK320&gt;=Results!$I$22,$AK320&gt;=Results!$F$4),$AN320,"")</f>
        <v/>
      </c>
      <c r="AZ320" t="str">
        <f t="shared" si="196"/>
        <v/>
      </c>
      <c r="BA320" t="str">
        <f>IF(AND($AK320&lt;=Results!$I$27,$AK320&gt;=Results!$I$26,$AK320&lt;=Results!$F$4),$AQ320,"")</f>
        <v/>
      </c>
      <c r="BB320" t="str">
        <f t="shared" si="197"/>
        <v/>
      </c>
      <c r="BC320" t="str">
        <f>IF(AND($AK320&lt;=Results!$I$29,$AK320&gt;=Results!$I$28,$AK320&gt;=Results!$F$4),$AQ320,"")</f>
        <v/>
      </c>
      <c r="BD320">
        <f t="shared" si="198"/>
        <v>8641.7570757902213</v>
      </c>
      <c r="BE320">
        <f t="shared" si="199"/>
        <v>1591.6408773263186</v>
      </c>
      <c r="BF320">
        <f t="shared" si="200"/>
        <v>9044.5380379351591</v>
      </c>
      <c r="BG320">
        <f t="shared" si="201"/>
        <v>1225.9360921713148</v>
      </c>
      <c r="BH320">
        <f t="shared" si="202"/>
        <v>0</v>
      </c>
      <c r="BI320">
        <f t="shared" si="203"/>
        <v>0.64299542424483858</v>
      </c>
      <c r="BJ320">
        <f t="shared" si="204"/>
        <v>0.47123478938046282</v>
      </c>
      <c r="BK320">
        <f t="shared" si="205"/>
        <v>-8.4917549506296944E-2</v>
      </c>
      <c r="BL320">
        <f t="shared" si="206"/>
        <v>-8.4874648749228454E-2</v>
      </c>
      <c r="BM320">
        <f t="shared" si="224"/>
        <v>120.00000000000055</v>
      </c>
      <c r="BN320">
        <f t="shared" si="225"/>
        <v>-120.00000000000284</v>
      </c>
      <c r="BO320">
        <f>Data!$H$2*(1-BI320)*(1-BI320/Data!$H$3)*BM320</f>
        <v>3.0588544106429609E-5</v>
      </c>
      <c r="BP320">
        <f t="shared" si="207"/>
        <v>-77.159450909380979</v>
      </c>
      <c r="BQ320">
        <f>Data!$H$2*(1-BJ320)*(1-BJ320/Data!$H$3)*BN320</f>
        <v>-6.7102235510767242E-5</v>
      </c>
      <c r="BR320">
        <f t="shared" si="208"/>
        <v>56.548174725656878</v>
      </c>
      <c r="BS320">
        <f t="shared" si="209"/>
        <v>0</v>
      </c>
      <c r="BT320">
        <f t="shared" si="210"/>
        <v>0</v>
      </c>
      <c r="BU320">
        <f t="shared" si="211"/>
        <v>0</v>
      </c>
      <c r="BV320">
        <f t="shared" si="244"/>
        <v>0</v>
      </c>
      <c r="BW320">
        <f t="shared" si="226"/>
        <v>0</v>
      </c>
      <c r="BX320" t="str">
        <f t="shared" si="227"/>
        <v/>
      </c>
      <c r="BY320" s="66" t="str">
        <f t="shared" si="213"/>
        <v/>
      </c>
      <c r="BZ320" t="str">
        <f t="shared" si="214"/>
        <v/>
      </c>
      <c r="CA320" s="67" t="str">
        <f t="shared" si="245"/>
        <v/>
      </c>
    </row>
    <row r="321" spans="4:79" x14ac:dyDescent="0.25">
      <c r="D321" s="3" t="e">
        <f t="shared" si="240"/>
        <v>#DIV/0!</v>
      </c>
      <c r="E321" s="3" t="e">
        <f t="shared" si="240"/>
        <v>#DIV/0!</v>
      </c>
      <c r="F321" t="str">
        <f>IF(A321&gt;0,IF(F320=1,1,IF(B321=Data!$H$4,1,0)),"")</f>
        <v/>
      </c>
      <c r="Y321" s="4"/>
      <c r="Z321" s="4"/>
      <c r="AA321" s="4" t="str">
        <f t="shared" si="242"/>
        <v/>
      </c>
      <c r="AE321" s="4" t="str">
        <f t="shared" si="243"/>
        <v/>
      </c>
      <c r="AK321" s="4">
        <f t="shared" si="238"/>
        <v>56.900000000000453</v>
      </c>
      <c r="AL321">
        <f t="shared" si="220"/>
        <v>3829.0000000000546</v>
      </c>
      <c r="AM321">
        <f t="shared" si="221"/>
        <v>6056.9166666663587</v>
      </c>
      <c r="AN321">
        <f>IF($AK320+$AK$1&lt;=Data!$H$4-0.5,AVERAGE(AM319:AM323),AN320)</f>
        <v>6056.7966666663569</v>
      </c>
      <c r="AO321">
        <f t="shared" si="222"/>
        <v>7032.9999999999454</v>
      </c>
      <c r="AP321">
        <f t="shared" si="239"/>
        <v>4840.1666666663486</v>
      </c>
      <c r="AQ321">
        <f>IF($AK320+$AK$1&lt;=Data!$H$4-0.5,AVERAGE(AP319:AP323),AQ320)</f>
        <v>4840.3266666663494</v>
      </c>
      <c r="AR321">
        <f>IF($AK320+$AK$1&lt;=Data!$H$4-0.5,SLOPE($AN317:$AN325,$AK317:$AK325),AR320)</f>
        <v>-681.26666666666858</v>
      </c>
      <c r="AS321">
        <f>IF($AK320+$AK$1&lt;=Data!$H$4-0.5,SLOPE($AQ317:$AQ325,$AK317:$AK325),AS320)</f>
        <v>-698.86666666665894</v>
      </c>
      <c r="AT321">
        <f>IF(AND($AK321&gt;=Results!$G$13,$AK321&lt;=Results!$G$14),Curves!AR321,"")</f>
        <v>-681.26666666666858</v>
      </c>
      <c r="AU321">
        <f>IF(AND($AK321&gt;=Results!$G$13,$AK321&lt;=Results!$G$14),Curves!AS321,"")</f>
        <v>-698.86666666665894</v>
      </c>
      <c r="AV321" t="str">
        <f t="shared" si="223"/>
        <v/>
      </c>
      <c r="AW321" t="str">
        <f>IF(AND($AK321&lt;=Results!$I$21,$AK321&gt;=Results!$I$20,$AK321&lt;=Results!$F$4),$AN321,"")</f>
        <v/>
      </c>
      <c r="AX321" t="str">
        <f t="shared" si="223"/>
        <v/>
      </c>
      <c r="AY321" t="str">
        <f>IF(AND($AK321&lt;=Results!$I$23,$AK321&gt;=Results!$I$22,$AK321&gt;=Results!$F$4),$AN321,"")</f>
        <v/>
      </c>
      <c r="AZ321" t="str">
        <f t="shared" si="196"/>
        <v/>
      </c>
      <c r="BA321" t="str">
        <f>IF(AND($AK321&lt;=Results!$I$27,$AK321&gt;=Results!$I$26,$AK321&lt;=Results!$F$4),$AQ321,"")</f>
        <v/>
      </c>
      <c r="BB321" t="str">
        <f t="shared" si="197"/>
        <v/>
      </c>
      <c r="BC321" t="str">
        <f>IF(AND($AK321&lt;=Results!$I$29,$AK321&gt;=Results!$I$28,$AK321&gt;=Results!$F$4),$AQ321,"")</f>
        <v/>
      </c>
      <c r="BD321">
        <f t="shared" si="198"/>
        <v>8630.9868809923009</v>
      </c>
      <c r="BE321">
        <f t="shared" si="199"/>
        <v>1588.3250880769976</v>
      </c>
      <c r="BF321">
        <f t="shared" si="200"/>
        <v>9037.2480557022645</v>
      </c>
      <c r="BG321">
        <f t="shared" si="201"/>
        <v>1225.38529121179</v>
      </c>
      <c r="BH321">
        <f t="shared" si="202"/>
        <v>0</v>
      </c>
      <c r="BI321">
        <f t="shared" si="203"/>
        <v>0.63448618008101731</v>
      </c>
      <c r="BJ321">
        <f t="shared" si="204"/>
        <v>0.46275024081152594</v>
      </c>
      <c r="BK321">
        <f t="shared" si="205"/>
        <v>-8.5267889709765177E-2</v>
      </c>
      <c r="BL321">
        <f t="shared" si="206"/>
        <v>-8.4816247088687527E-2</v>
      </c>
      <c r="BM321">
        <f t="shared" si="224"/>
        <v>120.00000000000055</v>
      </c>
      <c r="BN321">
        <f t="shared" si="225"/>
        <v>-119.99999999999829</v>
      </c>
      <c r="BO321">
        <f>Data!$H$2*(1-BI321)*(1-BI321/Data!$H$3)*BM321</f>
        <v>3.2064084612424106E-5</v>
      </c>
      <c r="BP321">
        <f t="shared" si="207"/>
        <v>-76.138341609722431</v>
      </c>
      <c r="BQ321">
        <f>Data!$H$2*(1-BJ321)*(1-BJ321/Data!$H$3)*BN321</f>
        <v>-6.9272952899536631E-5</v>
      </c>
      <c r="BR321">
        <f t="shared" si="208"/>
        <v>55.530028897382323</v>
      </c>
      <c r="BS321">
        <f t="shared" si="209"/>
        <v>0</v>
      </c>
      <c r="BT321">
        <f t="shared" si="210"/>
        <v>0</v>
      </c>
      <c r="BU321">
        <f t="shared" si="211"/>
        <v>0</v>
      </c>
      <c r="BV321">
        <f t="shared" si="244"/>
        <v>0</v>
      </c>
      <c r="BW321">
        <f t="shared" si="226"/>
        <v>0</v>
      </c>
      <c r="BX321" t="str">
        <f t="shared" si="227"/>
        <v/>
      </c>
      <c r="BY321" s="66" t="str">
        <f t="shared" si="213"/>
        <v/>
      </c>
      <c r="BZ321" t="str">
        <f t="shared" si="214"/>
        <v/>
      </c>
      <c r="CA321" s="67" t="str">
        <f t="shared" si="245"/>
        <v/>
      </c>
    </row>
    <row r="322" spans="4:79" x14ac:dyDescent="0.25">
      <c r="D322" s="3" t="e">
        <f t="shared" si="240"/>
        <v>#DIV/0!</v>
      </c>
      <c r="E322" s="3" t="e">
        <f t="shared" si="240"/>
        <v>#DIV/0!</v>
      </c>
      <c r="F322" t="str">
        <f>IF(A322&gt;0,IF(F321=1,1,IF(B322=Data!$H$4,1,0)),"")</f>
        <v/>
      </c>
      <c r="Y322" s="4"/>
      <c r="Z322" s="4"/>
      <c r="AA322" s="4" t="str">
        <f t="shared" si="242"/>
        <v/>
      </c>
      <c r="AE322" s="4" t="str">
        <f t="shared" si="243"/>
        <v/>
      </c>
      <c r="AK322" s="4">
        <f t="shared" si="238"/>
        <v>57.000000000000455</v>
      </c>
      <c r="AL322">
        <f t="shared" si="220"/>
        <v>3841.0000000000546</v>
      </c>
      <c r="AM322">
        <f t="shared" si="221"/>
        <v>5988.999999999688</v>
      </c>
      <c r="AN322">
        <f>IF($AK321+$AK$1&lt;=Data!$H$4-0.5,AVERAGE(AM320:AM324),AN321)</f>
        <v>5988.6399999996893</v>
      </c>
      <c r="AO322">
        <f t="shared" si="222"/>
        <v>7020.9999999999454</v>
      </c>
      <c r="AP322">
        <f t="shared" si="239"/>
        <v>4769.9999999996844</v>
      </c>
      <c r="AQ322">
        <f>IF($AK321+$AK$1&lt;=Data!$H$4-0.5,AVERAGE(AP320:AP324),AQ321)</f>
        <v>4770.4799999996831</v>
      </c>
      <c r="AR322">
        <f>IF($AK321+$AK$1&lt;=Data!$H$4-0.5,SLOPE($AN318:$AN326,$AK318:$AK326),AR321)</f>
        <v>-682.16666666666822</v>
      </c>
      <c r="AS322">
        <f>IF($AK321+$AK$1&lt;=Data!$H$4-0.5,SLOPE($AQ318:$AQ326,$AK318:$AK326),AS321)</f>
        <v>-697.66666666665901</v>
      </c>
      <c r="AT322">
        <f>IF(AND($AK322&gt;=Results!$G$13,$AK322&lt;=Results!$G$14),Curves!AR322,"")</f>
        <v>-682.16666666666822</v>
      </c>
      <c r="AU322">
        <f>IF(AND($AK322&gt;=Results!$G$13,$AK322&lt;=Results!$G$14),Curves!AS322,"")</f>
        <v>-697.66666666665901</v>
      </c>
      <c r="AV322" t="str">
        <f t="shared" si="223"/>
        <v/>
      </c>
      <c r="AW322" t="str">
        <f>IF(AND($AK322&lt;=Results!$I$21,$AK322&gt;=Results!$I$20,$AK322&lt;=Results!$F$4),$AN322,"")</f>
        <v/>
      </c>
      <c r="AX322" t="str">
        <f t="shared" si="223"/>
        <v/>
      </c>
      <c r="AY322" t="str">
        <f>IF(AND($AK322&lt;=Results!$I$23,$AK322&gt;=Results!$I$22,$AK322&gt;=Results!$F$4),$AN322,"")</f>
        <v/>
      </c>
      <c r="AZ322" t="str">
        <f t="shared" ref="AZ322:AZ385" si="246">IF(BA322="","",$AK322)</f>
        <v/>
      </c>
      <c r="BA322" t="str">
        <f>IF(AND($AK322&lt;=Results!$I$27,$AK322&gt;=Results!$I$26,$AK322&lt;=Results!$F$4),$AQ322,"")</f>
        <v/>
      </c>
      <c r="BB322" t="str">
        <f t="shared" ref="BB322:BB385" si="247">IF(BC322="","",$AK322)</f>
        <v/>
      </c>
      <c r="BC322" t="str">
        <f>IF(AND($AK322&lt;=Results!$I$29,$AK322&gt;=Results!$I$28,$AK322&gt;=Results!$F$4),$AQ322,"")</f>
        <v/>
      </c>
      <c r="BD322">
        <f t="shared" ref="BD322:BD385" si="248">IF($AV$513&gt;0,INTERCEPT($AW$2:$AW$512,$AV$2:$AV$512)+$AK322*SLOPE($AW$2:$AW$512,$AV$2:$AV$512),INTERCEPT($AN$2:$AN$30,$AK$2:$AK$30)+$AK322*SLOPE($AN$2:$AN$30,$AK$2:$AK$30))</f>
        <v>8620.2166861943806</v>
      </c>
      <c r="BE322">
        <f t="shared" ref="BE322:BE385" si="249">IF($AX$513&gt;0,INTERCEPT($AY$2:$AY$512,$AX$2:$AX$512)+$AK322*SLOPE($AY$2:$AY$512,$AX$2:$AX$512),INTERCEPT($AN$460:$AN$512,$AK$460:$AK$512)+$AK322*SLOPE($AN$460:$AN$512,$AK$460:$AK$512))</f>
        <v>1585.0092988276767</v>
      </c>
      <c r="BF322">
        <f t="shared" ref="BF322:BF385" si="250">IF($AZ$513&gt;0,INTERCEPT($BA$2:$BA$512,$AZ$2:$AZ$512)+$AK322*SLOPE($BA$2:$BA$512,$AZ$2:$AZ$512),INTERCEPT($AQ$2:$AQ$30,$AK$2:$AK$30)+$AK322*SLOPE($AQ$2:$AQ$30,$AK$2:$AK$30))</f>
        <v>9029.9580734693718</v>
      </c>
      <c r="BG322">
        <f t="shared" ref="BG322:BG385" si="251">IF($BB$513&gt;0,INTERCEPT($BC$2:$BC$512,$BB$2:$BB$512)+$AK322*SLOPE($BC$2:$BC$512,$BB$2:$BB$512),INTERCEPT($AQ$460:$AQ$512,$AK$460:$AK$512)+$AK322*SLOPE($AQ$460:$AQ$512,$AK$460:$AK$512))</f>
        <v>1224.8344902522649</v>
      </c>
      <c r="BH322">
        <f t="shared" ref="BH322:BH385" si="252">IF(OR(BJ322=0.5,AND(BJ322&gt;0.5,BJ323&lt;0.5)),$AK$1*(0.5-BJ322)/(BJ323-BJ322)+AK322,0)</f>
        <v>0</v>
      </c>
      <c r="BI322">
        <f t="shared" ref="BI322:BI385" si="253">1-(AN322-BD322)/(BE322-BD322)</f>
        <v>0.6259418463028853</v>
      </c>
      <c r="BJ322">
        <f t="shared" ref="BJ322:BJ385" si="254">1-(AQ322-BF322)/(BG322-BF322)</f>
        <v>0.45427153996272507</v>
      </c>
      <c r="BK322">
        <f t="shared" ref="BK322:BK385" si="255">SLOPE($BI321:$BI323,$AK321:$AK323)</f>
        <v>-8.561934415127137E-2</v>
      </c>
      <c r="BL322">
        <f t="shared" ref="BL322:BL385" si="256">SLOPE($BJ321:$BJ323,$AK321:$AK323)</f>
        <v>-8.4757694085383251E-2</v>
      </c>
      <c r="BM322">
        <f t="shared" si="224"/>
        <v>119.99999999999829</v>
      </c>
      <c r="BN322">
        <f t="shared" si="225"/>
        <v>-119.99999999999829</v>
      </c>
      <c r="BO322">
        <f>Data!$H$2*(1-BI322)*(1-BI322/Data!$H$3)*BM322</f>
        <v>3.3580680563350155E-5</v>
      </c>
      <c r="BP322">
        <f t="shared" ref="BP322:BP385" si="257">-BI322*BM322</f>
        <v>-75.113021556345174</v>
      </c>
      <c r="BQ322">
        <f>Data!$H$2*(1-BJ322)*(1-BJ322/Data!$H$3)*BN322</f>
        <v>-7.1476692502716308E-5</v>
      </c>
      <c r="BR322">
        <f t="shared" ref="BR322:BR385" si="258">-BJ322*BN322</f>
        <v>54.51258479552623</v>
      </c>
      <c r="BS322">
        <f t="shared" ref="BS322:BS385" si="259">IF(AND(BI322&gt;0.4,BI322&lt;0.6),(BL322-BT322*BR322)/BQ322,0)</f>
        <v>0</v>
      </c>
      <c r="BT322">
        <f t="shared" ref="BT322:BT385" si="260">IF(AND(BI322&gt;0.4,BI322&lt;0.6),(BQ322*BK322-BO322*BL322)/(BQ322*BP322-BO322*BR322),0)</f>
        <v>0</v>
      </c>
      <c r="BU322">
        <f t="shared" ref="BU322:BU385" si="261">IF(AND(BI322&gt;0.4,BI322&lt;0.6),1/(273.15+AK322),0)</f>
        <v>0</v>
      </c>
      <c r="BV322">
        <f t="shared" si="244"/>
        <v>0</v>
      </c>
      <c r="BW322">
        <f t="shared" si="226"/>
        <v>0</v>
      </c>
      <c r="BX322" t="str">
        <f t="shared" si="227"/>
        <v/>
      </c>
      <c r="BY322" s="66" t="str">
        <f t="shared" ref="BY322:BY385" si="262">IF(BU322=0,"",BI322)</f>
        <v/>
      </c>
      <c r="BZ322" t="str">
        <f t="shared" ref="BZ322:BZ385" si="263">IF(BU322=0,"",BV322)</f>
        <v/>
      </c>
      <c r="CA322" s="67" t="str">
        <f t="shared" si="245"/>
        <v/>
      </c>
    </row>
    <row r="323" spans="4:79" x14ac:dyDescent="0.25">
      <c r="D323" s="3" t="e">
        <f t="shared" si="240"/>
        <v>#DIV/0!</v>
      </c>
      <c r="E323" s="3" t="e">
        <f t="shared" si="240"/>
        <v>#DIV/0!</v>
      </c>
      <c r="F323" t="str">
        <f>IF(A323&gt;0,IF(F322=1,1,IF(B323=Data!$H$4,1,0)),"")</f>
        <v/>
      </c>
      <c r="Y323" s="4"/>
      <c r="Z323" s="4"/>
      <c r="AA323" s="4" t="str">
        <f t="shared" si="242"/>
        <v/>
      </c>
      <c r="AE323" s="4" t="str">
        <f t="shared" si="243"/>
        <v/>
      </c>
      <c r="AK323" s="4">
        <f t="shared" si="238"/>
        <v>57.100000000000456</v>
      </c>
      <c r="AL323">
        <f t="shared" ref="AL323:AL386" si="264">IF($AK323=ROUND($AK323,0),VLOOKUP($AK323,$AF$2:$AJ$112,2),($AK323-FLOOR($AK323,1))/(CEILING($AK323,1)-FLOOR($AK323,1))*(VLOOKUP(CEILING($AK323,1),$AF$2:$AJ$112,2,FALSE)-VLOOKUP(FLOOR($AK323,1),$AF$2:$AJ$112,2,FALSE))+VLOOKUP(FLOOR($AK323,1),$AF$2:$AJ$112,2,FALSE))</f>
        <v>3853.0000000000546</v>
      </c>
      <c r="AM323">
        <f t="shared" ref="AM323:AM386" si="265">IF($AK323=ROUND($AK323,0),VLOOKUP($AK323,$AF$2:$AJ$112,3),($AK323-FLOOR($AK323,1))/(CEILING($AK323,1)-FLOOR($AK323,1))*(VLOOKUP(CEILING($AK323,1),$AF$2:$AJ$112,3,FALSE)-VLOOKUP(FLOOR($AK323,1),$AF$2:$AJ$112,3,FALSE))+VLOOKUP(FLOOR($AK323,1),$AF$2:$AJ$112,3,FALSE))</f>
        <v>5920.4833333330207</v>
      </c>
      <c r="AN323">
        <f>IF($AK322+$AK$1&lt;=Data!$H$4-0.5,AVERAGE(AM321:AM325),AN322)</f>
        <v>5920.3633333330217</v>
      </c>
      <c r="AO323">
        <f t="shared" ref="AO323:AO386" si="266">IF($AK323=ROUND($AK323,0),VLOOKUP($AK323,$AF$2:$AJ$112,4),($AK323-FLOOR($AK323,1))/(CEILING($AK323,1)-FLOOR($AK323,1))*(VLOOKUP(CEILING($AK323,1),$AF$2:$AJ$112,4,FALSE)-VLOOKUP(FLOOR($AK323,1),$AF$2:$AJ$112,4,FALSE))+VLOOKUP(FLOOR($AK323,1),$AF$2:$AJ$112,4,FALSE))</f>
        <v>7008.9999999999454</v>
      </c>
      <c r="AP323">
        <f t="shared" si="239"/>
        <v>4700.6333333330167</v>
      </c>
      <c r="AQ323">
        <f>IF($AK322+$AK$1&lt;=Data!$H$4-0.5,AVERAGE(AP321:AP325),AQ322)</f>
        <v>4700.7933333330166</v>
      </c>
      <c r="AR323">
        <f>IF($AK322+$AK$1&lt;=Data!$H$4-0.5,SLOPE($AN319:$AN327,$AK319:$AK327),AR322)</f>
        <v>-683.06666666666752</v>
      </c>
      <c r="AS323">
        <f>IF($AK322+$AK$1&lt;=Data!$H$4-0.5,SLOPE($AQ319:$AQ327,$AK319:$AK327),AS322)</f>
        <v>-696.46666666666022</v>
      </c>
      <c r="AT323">
        <f>IF(AND($AK323&gt;=Results!$G$13,$AK323&lt;=Results!$G$14),Curves!AR323,"")</f>
        <v>-683.06666666666752</v>
      </c>
      <c r="AU323">
        <f>IF(AND($AK323&gt;=Results!$G$13,$AK323&lt;=Results!$G$14),Curves!AS323,"")</f>
        <v>-696.46666666666022</v>
      </c>
      <c r="AV323" t="str">
        <f t="shared" ref="AV323:AX386" si="267">IF(AW323="","",$AK323)</f>
        <v/>
      </c>
      <c r="AW323" t="str">
        <f>IF(AND($AK323&lt;=Results!$I$21,$AK323&gt;=Results!$I$20,$AK323&lt;=Results!$F$4),$AN323,"")</f>
        <v/>
      </c>
      <c r="AX323" t="str">
        <f t="shared" si="267"/>
        <v/>
      </c>
      <c r="AY323" t="str">
        <f>IF(AND($AK323&lt;=Results!$I$23,$AK323&gt;=Results!$I$22,$AK323&gt;=Results!$F$4),$AN323,"")</f>
        <v/>
      </c>
      <c r="AZ323" t="str">
        <f t="shared" si="246"/>
        <v/>
      </c>
      <c r="BA323" t="str">
        <f>IF(AND($AK323&lt;=Results!$I$27,$AK323&gt;=Results!$I$26,$AK323&lt;=Results!$F$4),$AQ323,"")</f>
        <v/>
      </c>
      <c r="BB323" t="str">
        <f t="shared" si="247"/>
        <v/>
      </c>
      <c r="BC323" t="str">
        <f>IF(AND($AK323&lt;=Results!$I$29,$AK323&gt;=Results!$I$28,$AK323&gt;=Results!$F$4),$AQ323,"")</f>
        <v/>
      </c>
      <c r="BD323">
        <f t="shared" si="248"/>
        <v>8609.4464913964621</v>
      </c>
      <c r="BE323">
        <f t="shared" si="249"/>
        <v>1581.693509578356</v>
      </c>
      <c r="BF323">
        <f t="shared" si="250"/>
        <v>9022.6680912364791</v>
      </c>
      <c r="BG323">
        <f t="shared" si="251"/>
        <v>1224.2836892927398</v>
      </c>
      <c r="BH323">
        <f t="shared" si="252"/>
        <v>0</v>
      </c>
      <c r="BI323">
        <f t="shared" si="253"/>
        <v>0.6173623112507628</v>
      </c>
      <c r="BJ323">
        <f t="shared" si="254"/>
        <v>0.44579870199444904</v>
      </c>
      <c r="BK323">
        <f t="shared" si="255"/>
        <v>-8.597191756085909E-2</v>
      </c>
      <c r="BL323">
        <f t="shared" si="256"/>
        <v>-8.4698989215940448E-2</v>
      </c>
      <c r="BM323">
        <f t="shared" ref="BM323:BM386" si="268">SLOPE(AL322:AL324,AK322:AK324)</f>
        <v>120.00000000000055</v>
      </c>
      <c r="BN323">
        <f t="shared" ref="BN323:BN386" si="269">SLOPE(AO322:AO324,AK322:AK324)</f>
        <v>-119.99999999999829</v>
      </c>
      <c r="BO323">
        <f>Data!$H$2*(1-BI323)*(1-BI323/Data!$H$3)*BM323</f>
        <v>3.5138784204326112E-5</v>
      </c>
      <c r="BP323">
        <f t="shared" si="257"/>
        <v>-74.083477350091883</v>
      </c>
      <c r="BQ323">
        <f>Data!$H$2*(1-BJ323)*(1-BJ323/Data!$H$3)*BN323</f>
        <v>-7.3713378890647932E-5</v>
      </c>
      <c r="BR323">
        <f t="shared" si="258"/>
        <v>53.495844239333124</v>
      </c>
      <c r="BS323">
        <f t="shared" si="259"/>
        <v>0</v>
      </c>
      <c r="BT323">
        <f t="shared" si="260"/>
        <v>0</v>
      </c>
      <c r="BU323">
        <f t="shared" si="261"/>
        <v>0</v>
      </c>
      <c r="BV323">
        <f t="shared" si="244"/>
        <v>0</v>
      </c>
      <c r="BW323">
        <f t="shared" ref="BW323:BW386" si="270">IF(BT323&lt;=0,0,LN(BT323))</f>
        <v>0</v>
      </c>
      <c r="BX323" t="str">
        <f t="shared" ref="BX323:BX386" si="271">IF(BU323=0,"",BU323)</f>
        <v/>
      </c>
      <c r="BY323" s="66" t="str">
        <f t="shared" si="262"/>
        <v/>
      </c>
      <c r="BZ323" t="str">
        <f t="shared" si="263"/>
        <v/>
      </c>
      <c r="CA323" s="67" t="str">
        <f t="shared" si="245"/>
        <v/>
      </c>
    </row>
    <row r="324" spans="4:79" x14ac:dyDescent="0.25">
      <c r="D324" s="3" t="e">
        <f t="shared" si="240"/>
        <v>#DIV/0!</v>
      </c>
      <c r="E324" s="3" t="e">
        <f t="shared" si="240"/>
        <v>#DIV/0!</v>
      </c>
      <c r="F324" t="str">
        <f>IF(A324&gt;0,IF(F323=1,1,IF(B324=Data!$H$4,1,0)),"")</f>
        <v/>
      </c>
      <c r="Y324" s="4"/>
      <c r="Z324" s="4"/>
      <c r="AA324" s="4" t="str">
        <f t="shared" si="242"/>
        <v/>
      </c>
      <c r="AE324" s="4" t="str">
        <f t="shared" si="243"/>
        <v/>
      </c>
      <c r="AK324" s="4">
        <f t="shared" ref="AK324:AK387" si="272">IF($AK323+$AK$1&lt;=MAX($AF$2:$AF$113),AK323+$AK$1,AK323)</f>
        <v>57.200000000000458</v>
      </c>
      <c r="AL324">
        <f t="shared" si="264"/>
        <v>3865.000000000055</v>
      </c>
      <c r="AM324">
        <f t="shared" si="265"/>
        <v>5851.9666666663534</v>
      </c>
      <c r="AN324">
        <f>IF($AK323+$AK$1&lt;=Data!$H$4-0.5,AVERAGE(AM322:AM326),AN323)</f>
        <v>5851.9666666663534</v>
      </c>
      <c r="AO324">
        <f t="shared" si="266"/>
        <v>6996.9999999999454</v>
      </c>
      <c r="AP324">
        <f t="shared" ref="AP324:AP387" si="273">IF($AK324=ROUND($AK323,0),VLOOKUP($AK323,$AF$2:$AJ$112,5),($AK324-FLOOR($AK324,1))/(CEILING($AK324,1)-FLOOR($AK324,1))*(VLOOKUP(CEILING($AK324,1),$AF$2:$AJ$112,5,FALSE)-VLOOKUP(FLOOR($AK324,1),$AF$2:$AJ$112,5,FALSE))+VLOOKUP(FLOOR($AK324,1),$AF$2:$AJ$112,5,FALSE))</f>
        <v>4631.2666666663499</v>
      </c>
      <c r="AQ324">
        <f>IF($AK323+$AK$1&lt;=Data!$H$4-0.5,AVERAGE(AP322:AP326),AQ323)</f>
        <v>4631.2666666663499</v>
      </c>
      <c r="AR324">
        <f>IF($AK323+$AK$1&lt;=Data!$H$4-0.5,SLOPE($AN320:$AN328,$AK320:$AK328),AR323)</f>
        <v>-683.86666666666611</v>
      </c>
      <c r="AS324">
        <f>IF($AK323+$AK$1&lt;=Data!$H$4-0.5,SLOPE($AQ320:$AQ328,$AK320:$AK328),AS323)</f>
        <v>-695.39999999999407</v>
      </c>
      <c r="AT324">
        <f>IF(AND($AK324&gt;=Results!$G$13,$AK324&lt;=Results!$G$14),Curves!AR324,"")</f>
        <v>-683.86666666666611</v>
      </c>
      <c r="AU324">
        <f>IF(AND($AK324&gt;=Results!$G$13,$AK324&lt;=Results!$G$14),Curves!AS324,"")</f>
        <v>-695.39999999999407</v>
      </c>
      <c r="AV324" t="str">
        <f t="shared" si="267"/>
        <v/>
      </c>
      <c r="AW324" t="str">
        <f>IF(AND($AK324&lt;=Results!$I$21,$AK324&gt;=Results!$I$20,$AK324&lt;=Results!$F$4),$AN324,"")</f>
        <v/>
      </c>
      <c r="AX324" t="str">
        <f t="shared" si="267"/>
        <v/>
      </c>
      <c r="AY324" t="str">
        <f>IF(AND($AK324&lt;=Results!$I$23,$AK324&gt;=Results!$I$22,$AK324&gt;=Results!$F$4),$AN324,"")</f>
        <v/>
      </c>
      <c r="AZ324" t="str">
        <f t="shared" si="246"/>
        <v/>
      </c>
      <c r="BA324" t="str">
        <f>IF(AND($AK324&lt;=Results!$I$27,$AK324&gt;=Results!$I$26,$AK324&lt;=Results!$F$4),$AQ324,"")</f>
        <v/>
      </c>
      <c r="BB324" t="str">
        <f t="shared" si="247"/>
        <v/>
      </c>
      <c r="BC324" t="str">
        <f>IF(AND($AK324&lt;=Results!$I$29,$AK324&gt;=Results!$I$28,$AK324&gt;=Results!$F$4),$AQ324,"")</f>
        <v/>
      </c>
      <c r="BD324">
        <f t="shared" si="248"/>
        <v>8598.6762965985417</v>
      </c>
      <c r="BE324">
        <f t="shared" si="249"/>
        <v>1578.3777203290351</v>
      </c>
      <c r="BF324">
        <f t="shared" si="250"/>
        <v>9015.3781090035845</v>
      </c>
      <c r="BG324">
        <f t="shared" si="251"/>
        <v>1223.7328883332148</v>
      </c>
      <c r="BH324">
        <f t="shared" si="252"/>
        <v>0</v>
      </c>
      <c r="BI324">
        <f t="shared" si="253"/>
        <v>0.60874746279071323</v>
      </c>
      <c r="BJ324">
        <f t="shared" si="254"/>
        <v>0.43733174211953674</v>
      </c>
      <c r="BK324">
        <f t="shared" si="255"/>
        <v>-8.6325614693701244E-2</v>
      </c>
      <c r="BL324">
        <f t="shared" si="256"/>
        <v>-8.4640131954722878E-2</v>
      </c>
      <c r="BM324">
        <f t="shared" si="268"/>
        <v>120.00000000000055</v>
      </c>
      <c r="BN324">
        <f t="shared" si="269"/>
        <v>-120.00000000000284</v>
      </c>
      <c r="BO324">
        <f>Data!$H$2*(1-BI324)*(1-BI324/Data!$H$3)*BM324</f>
        <v>3.6738851489449207E-5</v>
      </c>
      <c r="BP324">
        <f t="shared" si="257"/>
        <v>-73.049695534885927</v>
      </c>
      <c r="BQ324">
        <f>Data!$H$2*(1-BJ324)*(1-BJ324/Data!$H$3)*BN324</f>
        <v>-7.5982936422298311E-5</v>
      </c>
      <c r="BR324">
        <f t="shared" si="258"/>
        <v>52.479809054345651</v>
      </c>
      <c r="BS324">
        <f t="shared" si="259"/>
        <v>0</v>
      </c>
      <c r="BT324">
        <f t="shared" si="260"/>
        <v>0</v>
      </c>
      <c r="BU324">
        <f t="shared" si="261"/>
        <v>0</v>
      </c>
      <c r="BV324">
        <f t="shared" si="244"/>
        <v>0</v>
      </c>
      <c r="BW324">
        <f t="shared" si="270"/>
        <v>0</v>
      </c>
      <c r="BX324" t="str">
        <f t="shared" si="271"/>
        <v/>
      </c>
      <c r="BY324" s="66" t="str">
        <f t="shared" si="262"/>
        <v/>
      </c>
      <c r="BZ324" t="str">
        <f t="shared" si="263"/>
        <v/>
      </c>
      <c r="CA324" s="67" t="str">
        <f t="shared" si="245"/>
        <v/>
      </c>
    </row>
    <row r="325" spans="4:79" x14ac:dyDescent="0.25">
      <c r="D325" s="3" t="e">
        <f t="shared" ref="D325:E388" si="274">SLOPE(B323:B327,$A323:$A327)</f>
        <v>#DIV/0!</v>
      </c>
      <c r="E325" s="3" t="e">
        <f t="shared" si="274"/>
        <v>#DIV/0!</v>
      </c>
      <c r="F325" t="str">
        <f>IF(A325&gt;0,IF(F324=1,1,IF(B325=Data!$H$4,1,0)),"")</f>
        <v/>
      </c>
      <c r="Y325" s="4"/>
      <c r="Z325" s="4"/>
      <c r="AA325" s="4" t="str">
        <f t="shared" si="242"/>
        <v/>
      </c>
      <c r="AE325" s="4" t="str">
        <f t="shared" si="243"/>
        <v/>
      </c>
      <c r="AK325" s="4">
        <f t="shared" si="272"/>
        <v>57.300000000000459</v>
      </c>
      <c r="AL325">
        <f t="shared" si="264"/>
        <v>3877.000000000055</v>
      </c>
      <c r="AM325">
        <f t="shared" si="265"/>
        <v>5783.449999999686</v>
      </c>
      <c r="AN325">
        <f>IF($AK324+$AK$1&lt;=Data!$H$4-0.5,AVERAGE(AM323:AM327),AN324)</f>
        <v>5783.449999999686</v>
      </c>
      <c r="AO325">
        <f t="shared" si="266"/>
        <v>6984.9999999999445</v>
      </c>
      <c r="AP325">
        <f t="shared" si="273"/>
        <v>4561.8999999996822</v>
      </c>
      <c r="AQ325">
        <f>IF($AK324+$AK$1&lt;=Data!$H$4-0.5,AVERAGE(AP323:AP327),AQ324)</f>
        <v>4561.8999999996822</v>
      </c>
      <c r="AR325">
        <f>IF($AK324+$AK$1&lt;=Data!$H$4-0.5,SLOPE($AN321:$AN329,$AK321:$AK329),AR324)</f>
        <v>-684.46666666666545</v>
      </c>
      <c r="AS325">
        <f>IF($AK324+$AK$1&lt;=Data!$H$4-0.5,SLOPE($AQ321:$AQ329,$AK321:$AK329),AS324)</f>
        <v>-694.59999999999548</v>
      </c>
      <c r="AT325">
        <f>IF(AND($AK325&gt;=Results!$G$13,$AK325&lt;=Results!$G$14),Curves!AR325,"")</f>
        <v>-684.46666666666545</v>
      </c>
      <c r="AU325">
        <f>IF(AND($AK325&gt;=Results!$G$13,$AK325&lt;=Results!$G$14),Curves!AS325,"")</f>
        <v>-694.59999999999548</v>
      </c>
      <c r="AV325" t="str">
        <f t="shared" si="267"/>
        <v/>
      </c>
      <c r="AW325" t="str">
        <f>IF(AND($AK325&lt;=Results!$I$21,$AK325&gt;=Results!$I$20,$AK325&lt;=Results!$F$4),$AN325,"")</f>
        <v/>
      </c>
      <c r="AX325" t="str">
        <f t="shared" si="267"/>
        <v/>
      </c>
      <c r="AY325" t="str">
        <f>IF(AND($AK325&lt;=Results!$I$23,$AK325&gt;=Results!$I$22,$AK325&gt;=Results!$F$4),$AN325,"")</f>
        <v/>
      </c>
      <c r="AZ325" t="str">
        <f t="shared" si="246"/>
        <v/>
      </c>
      <c r="BA325" t="str">
        <f>IF(AND($AK325&lt;=Results!$I$27,$AK325&gt;=Results!$I$26,$AK325&lt;=Results!$F$4),$AQ325,"")</f>
        <v/>
      </c>
      <c r="BB325" t="str">
        <f t="shared" si="247"/>
        <v/>
      </c>
      <c r="BC325" t="str">
        <f>IF(AND($AK325&lt;=Results!$I$29,$AK325&gt;=Results!$I$28,$AK325&gt;=Results!$F$4),$AQ325,"")</f>
        <v/>
      </c>
      <c r="BD325">
        <f t="shared" si="248"/>
        <v>8587.9061018006214</v>
      </c>
      <c r="BE325">
        <f t="shared" si="249"/>
        <v>1575.0619310797144</v>
      </c>
      <c r="BF325">
        <f t="shared" si="250"/>
        <v>9008.0881267706918</v>
      </c>
      <c r="BG325">
        <f t="shared" si="251"/>
        <v>1223.1820873736899</v>
      </c>
      <c r="BH325">
        <f t="shared" si="252"/>
        <v>0</v>
      </c>
      <c r="BI325">
        <f t="shared" si="253"/>
        <v>0.6000971883120223</v>
      </c>
      <c r="BJ325">
        <f t="shared" si="254"/>
        <v>0.42887067560350423</v>
      </c>
      <c r="BK325">
        <f t="shared" si="255"/>
        <v>-8.6594791990893691E-2</v>
      </c>
      <c r="BL325">
        <f t="shared" si="256"/>
        <v>-8.4683973771539814E-2</v>
      </c>
      <c r="BM325">
        <f t="shared" si="268"/>
        <v>120.00000000000055</v>
      </c>
      <c r="BN325">
        <f t="shared" si="269"/>
        <v>-120.00000000000284</v>
      </c>
      <c r="BO325">
        <f>Data!$H$2*(1-BI325)*(1-BI325/Data!$H$3)*BM325</f>
        <v>3.8381342111028211E-5</v>
      </c>
      <c r="BP325">
        <f t="shared" si="257"/>
        <v>-72.011662597443006</v>
      </c>
      <c r="BQ325">
        <f>Data!$H$2*(1-BJ325)*(1-BJ325/Data!$H$3)*BN325</f>
        <v>-7.8285289244545307E-5</v>
      </c>
      <c r="BR325">
        <f t="shared" si="258"/>
        <v>51.464481072421727</v>
      </c>
      <c r="BS325">
        <f t="shared" si="259"/>
        <v>0</v>
      </c>
      <c r="BT325">
        <f t="shared" si="260"/>
        <v>0</v>
      </c>
      <c r="BU325">
        <f t="shared" si="261"/>
        <v>0</v>
      </c>
      <c r="BV325">
        <f t="shared" si="244"/>
        <v>0</v>
      </c>
      <c r="BW325">
        <f t="shared" si="270"/>
        <v>0</v>
      </c>
      <c r="BX325" t="str">
        <f t="shared" si="271"/>
        <v/>
      </c>
      <c r="BY325" s="66" t="str">
        <f t="shared" si="262"/>
        <v/>
      </c>
      <c r="BZ325" t="str">
        <f t="shared" si="263"/>
        <v/>
      </c>
      <c r="CA325" s="67" t="str">
        <f t="shared" si="245"/>
        <v/>
      </c>
    </row>
    <row r="326" spans="4:79" x14ac:dyDescent="0.25">
      <c r="D326" s="3" t="e">
        <f t="shared" si="274"/>
        <v>#DIV/0!</v>
      </c>
      <c r="E326" s="3" t="e">
        <f t="shared" si="274"/>
        <v>#DIV/0!</v>
      </c>
      <c r="F326" t="str">
        <f>IF(A326&gt;0,IF(F325=1,1,IF(B326=Data!$H$4,1,0)),"")</f>
        <v/>
      </c>
      <c r="Y326" s="4"/>
      <c r="Z326" s="4"/>
      <c r="AA326" s="4" t="str">
        <f t="shared" si="242"/>
        <v/>
      </c>
      <c r="AE326" s="4" t="str">
        <f t="shared" si="243"/>
        <v/>
      </c>
      <c r="AK326" s="4">
        <f t="shared" si="272"/>
        <v>57.40000000000046</v>
      </c>
      <c r="AL326">
        <f t="shared" si="264"/>
        <v>3889.0000000000555</v>
      </c>
      <c r="AM326">
        <f t="shared" si="265"/>
        <v>5714.9333333330187</v>
      </c>
      <c r="AN326">
        <f>IF($AK325+$AK$1&lt;=Data!$H$4-0.5,AVERAGE(AM324:AM328),AN325)</f>
        <v>5714.9333333330187</v>
      </c>
      <c r="AO326">
        <f t="shared" si="266"/>
        <v>6972.9999999999445</v>
      </c>
      <c r="AP326">
        <f t="shared" si="273"/>
        <v>4492.5333333330145</v>
      </c>
      <c r="AQ326">
        <f>IF($AK325+$AK$1&lt;=Data!$H$4-0.5,AVERAGE(AP324:AP328),AQ325)</f>
        <v>4492.5333333330145</v>
      </c>
      <c r="AR326">
        <f>IF($AK325+$AK$1&lt;=Data!$H$4-0.5,SLOPE($AN322:$AN330,$AK322:$AK330),AR325)</f>
        <v>-684.86666666666611</v>
      </c>
      <c r="AS326">
        <f>IF($AK325+$AK$1&lt;=Data!$H$4-0.5,SLOPE($AQ322:$AQ330,$AK322:$AK330),AS325)</f>
        <v>-694.06666666666126</v>
      </c>
      <c r="AT326">
        <f>IF(AND($AK326&gt;=Results!$G$13,$AK326&lt;=Results!$G$14),Curves!AR326,"")</f>
        <v>-684.86666666666611</v>
      </c>
      <c r="AU326">
        <f>IF(AND($AK326&gt;=Results!$G$13,$AK326&lt;=Results!$G$14),Curves!AS326,"")</f>
        <v>-694.06666666666126</v>
      </c>
      <c r="AV326" t="str">
        <f t="shared" si="267"/>
        <v/>
      </c>
      <c r="AW326" t="str">
        <f>IF(AND($AK326&lt;=Results!$I$21,$AK326&gt;=Results!$I$20,$AK326&lt;=Results!$F$4),$AN326,"")</f>
        <v/>
      </c>
      <c r="AX326" t="str">
        <f t="shared" si="267"/>
        <v/>
      </c>
      <c r="AY326" t="str">
        <f>IF(AND($AK326&lt;=Results!$I$23,$AK326&gt;=Results!$I$22,$AK326&gt;=Results!$F$4),$AN326,"")</f>
        <v/>
      </c>
      <c r="AZ326" t="str">
        <f t="shared" si="246"/>
        <v/>
      </c>
      <c r="BA326" t="str">
        <f>IF(AND($AK326&lt;=Results!$I$27,$AK326&gt;=Results!$I$26,$AK326&lt;=Results!$F$4),$AQ326,"")</f>
        <v/>
      </c>
      <c r="BB326" t="str">
        <f t="shared" si="247"/>
        <v/>
      </c>
      <c r="BC326" t="str">
        <f>IF(AND($AK326&lt;=Results!$I$29,$AK326&gt;=Results!$I$28,$AK326&gt;=Results!$F$4),$AQ326,"")</f>
        <v/>
      </c>
      <c r="BD326">
        <f t="shared" si="248"/>
        <v>8577.1359070027029</v>
      </c>
      <c r="BE326">
        <f t="shared" si="249"/>
        <v>1571.7461418303935</v>
      </c>
      <c r="BF326">
        <f t="shared" si="250"/>
        <v>9000.7981445377991</v>
      </c>
      <c r="BG326">
        <f t="shared" si="251"/>
        <v>1222.6312864141648</v>
      </c>
      <c r="BH326">
        <f t="shared" si="252"/>
        <v>0</v>
      </c>
      <c r="BI326">
        <f t="shared" si="253"/>
        <v>0.59142850439253425</v>
      </c>
      <c r="BJ326">
        <f t="shared" si="254"/>
        <v>0.42039494736522853</v>
      </c>
      <c r="BK326">
        <f t="shared" si="255"/>
        <v>-8.6779180552990373E-2</v>
      </c>
      <c r="BL326">
        <f t="shared" si="256"/>
        <v>-8.4830781707972328E-2</v>
      </c>
      <c r="BM326">
        <f t="shared" si="268"/>
        <v>120.00000000000055</v>
      </c>
      <c r="BN326">
        <f t="shared" si="269"/>
        <v>-119.99999999999829</v>
      </c>
      <c r="BO326">
        <f>Data!$H$2*(1-BI326)*(1-BI326/Data!$H$3)*BM326</f>
        <v>4.0063360085501326E-5</v>
      </c>
      <c r="BP326">
        <f t="shared" si="257"/>
        <v>-70.971420527104442</v>
      </c>
      <c r="BQ326">
        <f>Data!$H$2*(1-BJ326)*(1-BJ326/Data!$H$3)*BN326</f>
        <v>-8.0626084089540341E-5</v>
      </c>
      <c r="BR326">
        <f t="shared" si="258"/>
        <v>50.447393683826704</v>
      </c>
      <c r="BS326">
        <f t="shared" si="259"/>
        <v>2809.5618203083673</v>
      </c>
      <c r="BT326">
        <f t="shared" si="260"/>
        <v>2.8087315423868677E-3</v>
      </c>
      <c r="BU326">
        <f t="shared" si="261"/>
        <v>3.0252609287551016E-3</v>
      </c>
      <c r="BV326">
        <f t="shared" si="244"/>
        <v>7.9407838143352141</v>
      </c>
      <c r="BW326">
        <f t="shared" si="270"/>
        <v>-5.8750223059551772</v>
      </c>
      <c r="BX326">
        <f t="shared" si="271"/>
        <v>3.0252609287551016E-3</v>
      </c>
      <c r="BY326" s="66">
        <f t="shared" si="262"/>
        <v>0.59142850439253425</v>
      </c>
      <c r="BZ326">
        <f t="shared" si="263"/>
        <v>7.9407838143352141</v>
      </c>
      <c r="CA326" s="67">
        <f t="shared" si="245"/>
        <v>-5.8750223059551772</v>
      </c>
    </row>
    <row r="327" spans="4:79" x14ac:dyDescent="0.25">
      <c r="D327" s="3" t="e">
        <f t="shared" si="274"/>
        <v>#DIV/0!</v>
      </c>
      <c r="E327" s="3" t="e">
        <f t="shared" si="274"/>
        <v>#DIV/0!</v>
      </c>
      <c r="F327" t="str">
        <f>IF(A327&gt;0,IF(F326=1,1,IF(B327=Data!$H$4,1,0)),"")</f>
        <v/>
      </c>
      <c r="Y327" s="4"/>
      <c r="Z327" s="4"/>
      <c r="AA327" s="4" t="str">
        <f t="shared" si="242"/>
        <v/>
      </c>
      <c r="AE327" s="4" t="str">
        <f t="shared" si="243"/>
        <v/>
      </c>
      <c r="AK327" s="4">
        <f t="shared" si="272"/>
        <v>57.500000000000462</v>
      </c>
      <c r="AL327">
        <f t="shared" si="264"/>
        <v>3901.0000000000555</v>
      </c>
      <c r="AM327">
        <f t="shared" si="265"/>
        <v>5646.4166666663514</v>
      </c>
      <c r="AN327">
        <f>IF($AK326+$AK$1&lt;=Data!$H$4-0.5,AVERAGE(AM325:AM329),AN326)</f>
        <v>5646.4166666663514</v>
      </c>
      <c r="AO327">
        <f t="shared" si="266"/>
        <v>6960.9999999999445</v>
      </c>
      <c r="AP327">
        <f t="shared" si="273"/>
        <v>4423.1666666663477</v>
      </c>
      <c r="AQ327">
        <f>IF($AK326+$AK$1&lt;=Data!$H$4-0.5,AVERAGE(AP325:AP329),AQ326)</f>
        <v>4423.1666666663468</v>
      </c>
      <c r="AR327">
        <f>IF($AK326+$AK$1&lt;=Data!$H$4-0.5,SLOPE($AN323:$AN331,$AK323:$AK331),AR326)</f>
        <v>-685.22888888888838</v>
      </c>
      <c r="AS327">
        <f>IF($AK326+$AK$1&lt;=Data!$H$4-0.5,SLOPE($AQ323:$AQ331,$AK323:$AK331),AS326)</f>
        <v>-693.35999999999149</v>
      </c>
      <c r="AT327">
        <f>IF(AND($AK327&gt;=Results!$G$13,$AK327&lt;=Results!$G$14),Curves!AR327,"")</f>
        <v>-685.22888888888838</v>
      </c>
      <c r="AU327">
        <f>IF(AND($AK327&gt;=Results!$G$13,$AK327&lt;=Results!$G$14),Curves!AS327,"")</f>
        <v>-693.35999999999149</v>
      </c>
      <c r="AV327" t="str">
        <f t="shared" si="267"/>
        <v/>
      </c>
      <c r="AW327" t="str">
        <f>IF(AND($AK327&lt;=Results!$I$21,$AK327&gt;=Results!$I$20,$AK327&lt;=Results!$F$4),$AN327,"")</f>
        <v/>
      </c>
      <c r="AX327" t="str">
        <f t="shared" si="267"/>
        <v/>
      </c>
      <c r="AY327" t="str">
        <f>IF(AND($AK327&lt;=Results!$I$23,$AK327&gt;=Results!$I$22,$AK327&gt;=Results!$F$4),$AN327,"")</f>
        <v/>
      </c>
      <c r="AZ327" t="str">
        <f t="shared" si="246"/>
        <v/>
      </c>
      <c r="BA327" t="str">
        <f>IF(AND($AK327&lt;=Results!$I$27,$AK327&gt;=Results!$I$26,$AK327&lt;=Results!$F$4),$AQ327,"")</f>
        <v/>
      </c>
      <c r="BB327" t="str">
        <f t="shared" si="247"/>
        <v/>
      </c>
      <c r="BC327" t="str">
        <f>IF(AND($AK327&lt;=Results!$I$29,$AK327&gt;=Results!$I$28,$AK327&gt;=Results!$F$4),$AQ327,"")</f>
        <v/>
      </c>
      <c r="BD327">
        <f t="shared" si="248"/>
        <v>8566.3657122047825</v>
      </c>
      <c r="BE327">
        <f t="shared" si="249"/>
        <v>1568.4303525810726</v>
      </c>
      <c r="BF327">
        <f t="shared" si="250"/>
        <v>8993.5081623049045</v>
      </c>
      <c r="BG327">
        <f t="shared" si="251"/>
        <v>1222.08048545464</v>
      </c>
      <c r="BH327">
        <f t="shared" si="252"/>
        <v>0</v>
      </c>
      <c r="BI327">
        <f t="shared" si="253"/>
        <v>0.58274135220142398</v>
      </c>
      <c r="BJ327">
        <f t="shared" si="254"/>
        <v>0.41190451926190952</v>
      </c>
      <c r="BK327">
        <f t="shared" si="255"/>
        <v>-8.6964158678042733E-2</v>
      </c>
      <c r="BL327">
        <f t="shared" si="256"/>
        <v>-8.4977971734508287E-2</v>
      </c>
      <c r="BM327">
        <f t="shared" si="268"/>
        <v>119.99999999999829</v>
      </c>
      <c r="BN327">
        <f t="shared" si="269"/>
        <v>-119.99999999999829</v>
      </c>
      <c r="BO327">
        <f>Data!$H$2*(1-BI327)*(1-BI327/Data!$H$3)*BM327</f>
        <v>4.1785146999046474E-5</v>
      </c>
      <c r="BP327">
        <f t="shared" si="257"/>
        <v>-69.928962264169883</v>
      </c>
      <c r="BQ327">
        <f>Data!$H$2*(1-BJ327)*(1-BJ327/Data!$H$3)*BN327</f>
        <v>-8.3005510671494602E-5</v>
      </c>
      <c r="BR327">
        <f t="shared" si="258"/>
        <v>49.428542311428437</v>
      </c>
      <c r="BS327">
        <f t="shared" si="259"/>
        <v>2738.868903880983</v>
      </c>
      <c r="BT327">
        <f t="shared" si="260"/>
        <v>2.8801828586697644E-3</v>
      </c>
      <c r="BU327">
        <f t="shared" si="261"/>
        <v>3.0243459851807008E-3</v>
      </c>
      <c r="BV327">
        <f t="shared" si="244"/>
        <v>7.9153003053505451</v>
      </c>
      <c r="BW327">
        <f t="shared" si="270"/>
        <v>-5.8499014942561836</v>
      </c>
      <c r="BX327">
        <f t="shared" si="271"/>
        <v>3.0243459851807008E-3</v>
      </c>
      <c r="BY327" s="66">
        <f t="shared" si="262"/>
        <v>0.58274135220142398</v>
      </c>
      <c r="BZ327">
        <f t="shared" si="263"/>
        <v>7.9153003053505451</v>
      </c>
      <c r="CA327" s="67">
        <f t="shared" si="245"/>
        <v>-5.8499014942561836</v>
      </c>
    </row>
    <row r="328" spans="4:79" x14ac:dyDescent="0.25">
      <c r="D328" s="3" t="e">
        <f t="shared" si="274"/>
        <v>#DIV/0!</v>
      </c>
      <c r="E328" s="3" t="e">
        <f t="shared" si="274"/>
        <v>#DIV/0!</v>
      </c>
      <c r="F328" t="str">
        <f>IF(A328&gt;0,IF(F327=1,1,IF(B328=Data!$H$4,1,0)),"")</f>
        <v/>
      </c>
      <c r="Y328" s="4"/>
      <c r="Z328" s="4"/>
      <c r="AA328" s="4" t="str">
        <f t="shared" si="242"/>
        <v/>
      </c>
      <c r="AE328" s="4" t="str">
        <f t="shared" si="243"/>
        <v/>
      </c>
      <c r="AK328" s="4">
        <f t="shared" si="272"/>
        <v>57.600000000000463</v>
      </c>
      <c r="AL328">
        <f t="shared" si="264"/>
        <v>3913.0000000000555</v>
      </c>
      <c r="AM328">
        <f t="shared" si="265"/>
        <v>5577.899999999684</v>
      </c>
      <c r="AN328">
        <f>IF($AK327+$AK$1&lt;=Data!$H$4-0.5,AVERAGE(AM326:AM330),AN327)</f>
        <v>5577.899999999684</v>
      </c>
      <c r="AO328">
        <f t="shared" si="266"/>
        <v>6948.9999999999445</v>
      </c>
      <c r="AP328">
        <f t="shared" si="273"/>
        <v>4353.79999999968</v>
      </c>
      <c r="AQ328">
        <f>IF($AK327+$AK$1&lt;=Data!$H$4-0.5,AVERAGE(AP326:AP330),AQ327)</f>
        <v>4353.79999999968</v>
      </c>
      <c r="AR328">
        <f>IF($AK327+$AK$1&lt;=Data!$H$4-0.5,SLOPE($AN324:$AN332,$AK324:$AK332),AR327)</f>
        <v>-685.70000000000095</v>
      </c>
      <c r="AS328">
        <f>IF($AK327+$AK$1&lt;=Data!$H$4-0.5,SLOPE($AQ324:$AQ332,$AK324:$AK332),AS327)</f>
        <v>-692.11666666665428</v>
      </c>
      <c r="AT328">
        <f>IF(AND($AK328&gt;=Results!$G$13,$AK328&lt;=Results!$G$14),Curves!AR328,"")</f>
        <v>-685.70000000000095</v>
      </c>
      <c r="AU328">
        <f>IF(AND($AK328&gt;=Results!$G$13,$AK328&lt;=Results!$G$14),Curves!AS328,"")</f>
        <v>-692.11666666665428</v>
      </c>
      <c r="AV328" t="str">
        <f t="shared" si="267"/>
        <v/>
      </c>
      <c r="AW328" t="str">
        <f>IF(AND($AK328&lt;=Results!$I$21,$AK328&gt;=Results!$I$20,$AK328&lt;=Results!$F$4),$AN328,"")</f>
        <v/>
      </c>
      <c r="AX328" t="str">
        <f t="shared" si="267"/>
        <v/>
      </c>
      <c r="AY328" t="str">
        <f>IF(AND($AK328&lt;=Results!$I$23,$AK328&gt;=Results!$I$22,$AK328&gt;=Results!$F$4),$AN328,"")</f>
        <v/>
      </c>
      <c r="AZ328" t="str">
        <f t="shared" si="246"/>
        <v/>
      </c>
      <c r="BA328" t="str">
        <f>IF(AND($AK328&lt;=Results!$I$27,$AK328&gt;=Results!$I$26,$AK328&lt;=Results!$F$4),$AQ328,"")</f>
        <v/>
      </c>
      <c r="BB328" t="str">
        <f t="shared" si="247"/>
        <v/>
      </c>
      <c r="BC328" t="str">
        <f>IF(AND($AK328&lt;=Results!$I$29,$AK328&gt;=Results!$I$28,$AK328&gt;=Results!$F$4),$AQ328,"")</f>
        <v/>
      </c>
      <c r="BD328">
        <f t="shared" si="248"/>
        <v>8555.5955174068622</v>
      </c>
      <c r="BE328">
        <f t="shared" si="249"/>
        <v>1565.1145633317519</v>
      </c>
      <c r="BF328">
        <f t="shared" si="250"/>
        <v>8986.2181800720136</v>
      </c>
      <c r="BG328">
        <f t="shared" si="251"/>
        <v>1221.5296844951149</v>
      </c>
      <c r="BH328">
        <f t="shared" si="252"/>
        <v>0</v>
      </c>
      <c r="BI328">
        <f t="shared" si="253"/>
        <v>0.57403567265692546</v>
      </c>
      <c r="BJ328">
        <f t="shared" si="254"/>
        <v>0.40339935301832663</v>
      </c>
      <c r="BK328">
        <f t="shared" si="255"/>
        <v>-8.7149728882155317E-2</v>
      </c>
      <c r="BL328">
        <f t="shared" si="256"/>
        <v>-8.5125545178229456E-2</v>
      </c>
      <c r="BM328">
        <f t="shared" si="268"/>
        <v>120.00000000000055</v>
      </c>
      <c r="BN328">
        <f t="shared" si="269"/>
        <v>-119.99999999999829</v>
      </c>
      <c r="BO328">
        <f>Data!$H$2*(1-BI328)*(1-BI328/Data!$H$3)*BM328</f>
        <v>4.3546945960521306E-5</v>
      </c>
      <c r="BP328">
        <f t="shared" si="257"/>
        <v>-68.884280718831377</v>
      </c>
      <c r="BQ328">
        <f>Data!$H$2*(1-BJ328)*(1-BJ328/Data!$H$3)*BN328</f>
        <v>-8.5423759674947079E-5</v>
      </c>
      <c r="BR328">
        <f t="shared" si="258"/>
        <v>48.407922362198505</v>
      </c>
      <c r="BS328">
        <f t="shared" si="259"/>
        <v>2669.92831772518</v>
      </c>
      <c r="BT328">
        <f t="shared" si="260"/>
        <v>2.953024273896349E-3</v>
      </c>
      <c r="BU328">
        <f t="shared" si="261"/>
        <v>3.023431594860162E-3</v>
      </c>
      <c r="BV328">
        <f t="shared" si="244"/>
        <v>7.8898069037399603</v>
      </c>
      <c r="BW328">
        <f t="shared" si="270"/>
        <v>-5.8249254561740988</v>
      </c>
      <c r="BX328">
        <f t="shared" si="271"/>
        <v>3.023431594860162E-3</v>
      </c>
      <c r="BY328" s="66">
        <f t="shared" si="262"/>
        <v>0.57403567265692546</v>
      </c>
      <c r="BZ328">
        <f t="shared" si="263"/>
        <v>7.8898069037399603</v>
      </c>
      <c r="CA328" s="67">
        <f t="shared" si="245"/>
        <v>-5.8249254561740988</v>
      </c>
    </row>
    <row r="329" spans="4:79" x14ac:dyDescent="0.25">
      <c r="D329" s="3" t="e">
        <f t="shared" si="274"/>
        <v>#DIV/0!</v>
      </c>
      <c r="E329" s="3" t="e">
        <f t="shared" si="274"/>
        <v>#DIV/0!</v>
      </c>
      <c r="F329" t="str">
        <f>IF(A329&gt;0,IF(F328=1,1,IF(B329=Data!$H$4,1,0)),"")</f>
        <v/>
      </c>
      <c r="Y329" s="4"/>
      <c r="Z329" s="4"/>
      <c r="AA329" s="4" t="str">
        <f t="shared" si="242"/>
        <v/>
      </c>
      <c r="AE329" s="4" t="str">
        <f t="shared" si="243"/>
        <v/>
      </c>
      <c r="AK329" s="4">
        <f t="shared" si="272"/>
        <v>57.700000000000465</v>
      </c>
      <c r="AL329">
        <f t="shared" si="264"/>
        <v>3925.0000000000559</v>
      </c>
      <c r="AM329">
        <f t="shared" si="265"/>
        <v>5509.3833333330167</v>
      </c>
      <c r="AN329">
        <f>IF($AK328+$AK$1&lt;=Data!$H$4-0.5,AVERAGE(AM327:AM331),AN328)</f>
        <v>5509.3833333330167</v>
      </c>
      <c r="AO329">
        <f t="shared" si="266"/>
        <v>6936.9999999999445</v>
      </c>
      <c r="AP329">
        <f t="shared" si="273"/>
        <v>4284.4333333330123</v>
      </c>
      <c r="AQ329">
        <f>IF($AK328+$AK$1&lt;=Data!$H$4-0.5,AVERAGE(AP327:AP331),AQ328)</f>
        <v>4284.4333333330123</v>
      </c>
      <c r="AR329">
        <f>IF($AK328+$AK$1&lt;=Data!$H$4-0.5,SLOPE($AN325:$AN333,$AK325:$AK333),AR328)</f>
        <v>-686.41111111111434</v>
      </c>
      <c r="AS329">
        <f>IF($AK328+$AK$1&lt;=Data!$H$4-0.5,SLOPE($AQ325:$AQ333,$AK325:$AK333),AS328)</f>
        <v>-690.04999999998302</v>
      </c>
      <c r="AT329">
        <f>IF(AND($AK329&gt;=Results!$G$13,$AK329&lt;=Results!$G$14),Curves!AR329,"")</f>
        <v>-686.41111111111434</v>
      </c>
      <c r="AU329">
        <f>IF(AND($AK329&gt;=Results!$G$13,$AK329&lt;=Results!$G$14),Curves!AS329,"")</f>
        <v>-690.04999999998302</v>
      </c>
      <c r="AV329" t="str">
        <f t="shared" si="267"/>
        <v/>
      </c>
      <c r="AW329" t="str">
        <f>IF(AND($AK329&lt;=Results!$I$21,$AK329&gt;=Results!$I$20,$AK329&lt;=Results!$F$4),$AN329,"")</f>
        <v/>
      </c>
      <c r="AX329" t="str">
        <f t="shared" si="267"/>
        <v/>
      </c>
      <c r="AY329" t="str">
        <f>IF(AND($AK329&lt;=Results!$I$23,$AK329&gt;=Results!$I$22,$AK329&gt;=Results!$F$4),$AN329,"")</f>
        <v/>
      </c>
      <c r="AZ329" t="str">
        <f t="shared" si="246"/>
        <v/>
      </c>
      <c r="BA329" t="str">
        <f>IF(AND($AK329&lt;=Results!$I$27,$AK329&gt;=Results!$I$26,$AK329&lt;=Results!$F$4),$AQ329,"")</f>
        <v/>
      </c>
      <c r="BB329" t="str">
        <f t="shared" si="247"/>
        <v/>
      </c>
      <c r="BC329" t="str">
        <f>IF(AND($AK329&lt;=Results!$I$29,$AK329&gt;=Results!$I$28,$AK329&gt;=Results!$F$4),$AQ329,"")</f>
        <v/>
      </c>
      <c r="BD329">
        <f t="shared" si="248"/>
        <v>8544.8253226089437</v>
      </c>
      <c r="BE329">
        <f t="shared" si="249"/>
        <v>1561.798774082431</v>
      </c>
      <c r="BF329">
        <f t="shared" si="250"/>
        <v>8978.9281978391191</v>
      </c>
      <c r="BG329">
        <f t="shared" si="251"/>
        <v>1220.9788835355898</v>
      </c>
      <c r="BH329">
        <f t="shared" si="252"/>
        <v>0</v>
      </c>
      <c r="BI329">
        <f t="shared" si="253"/>
        <v>0.56531140642499267</v>
      </c>
      <c r="BJ329">
        <f t="shared" si="254"/>
        <v>0.39487941022626338</v>
      </c>
      <c r="BK329">
        <f t="shared" si="255"/>
        <v>-8.7335893694866357E-2</v>
      </c>
      <c r="BL329">
        <f t="shared" si="256"/>
        <v>-8.5273503371983042E-2</v>
      </c>
      <c r="BM329">
        <f t="shared" si="268"/>
        <v>120.00000000000055</v>
      </c>
      <c r="BN329">
        <f t="shared" si="269"/>
        <v>-120.00000000000284</v>
      </c>
      <c r="BO329">
        <f>Data!$H$2*(1-BI329)*(1-BI329/Data!$H$3)*BM329</f>
        <v>4.5349001612212509E-5</v>
      </c>
      <c r="BP329">
        <f t="shared" si="257"/>
        <v>-67.837368770999433</v>
      </c>
      <c r="BQ329">
        <f>Data!$H$2*(1-BJ329)*(1-BJ329/Data!$H$3)*BN329</f>
        <v>-8.7881022760349643E-5</v>
      </c>
      <c r="BR329">
        <f t="shared" si="258"/>
        <v>47.38552922715273</v>
      </c>
      <c r="BS329">
        <f t="shared" si="259"/>
        <v>2602.6456831744686</v>
      </c>
      <c r="BT329">
        <f t="shared" si="260"/>
        <v>3.0272883618233186E-3</v>
      </c>
      <c r="BU329">
        <f t="shared" si="261"/>
        <v>3.0225177572918201E-3</v>
      </c>
      <c r="BV329">
        <f t="shared" si="244"/>
        <v>7.8642837770874268</v>
      </c>
      <c r="BW329">
        <f t="shared" si="270"/>
        <v>-5.8000879902411846</v>
      </c>
      <c r="BX329">
        <f t="shared" si="271"/>
        <v>3.0225177572918201E-3</v>
      </c>
      <c r="BY329" s="66">
        <f t="shared" si="262"/>
        <v>0.56531140642499267</v>
      </c>
      <c r="BZ329">
        <f t="shared" si="263"/>
        <v>7.8642837770874268</v>
      </c>
      <c r="CA329" s="67">
        <f t="shared" si="245"/>
        <v>-5.8000879902411846</v>
      </c>
    </row>
    <row r="330" spans="4:79" x14ac:dyDescent="0.25">
      <c r="D330" s="3" t="e">
        <f t="shared" si="274"/>
        <v>#DIV/0!</v>
      </c>
      <c r="E330" s="3" t="e">
        <f t="shared" si="274"/>
        <v>#DIV/0!</v>
      </c>
      <c r="F330" t="str">
        <f>IF(A330&gt;0,IF(F329=1,1,IF(B330=Data!$H$4,1,0)),"")</f>
        <v/>
      </c>
      <c r="Y330" s="4"/>
      <c r="Z330" s="4"/>
      <c r="AA330" s="4" t="str">
        <f t="shared" si="242"/>
        <v/>
      </c>
      <c r="AE330" s="4" t="str">
        <f t="shared" si="243"/>
        <v/>
      </c>
      <c r="AK330" s="4">
        <f t="shared" si="272"/>
        <v>57.800000000000466</v>
      </c>
      <c r="AL330">
        <f t="shared" si="264"/>
        <v>3937.0000000000559</v>
      </c>
      <c r="AM330">
        <f t="shared" si="265"/>
        <v>5440.8666666663494</v>
      </c>
      <c r="AN330">
        <f>IF($AK329+$AK$1&lt;=Data!$H$4-0.5,AVERAGE(AM328:AM332),AN329)</f>
        <v>5440.8666666663476</v>
      </c>
      <c r="AO330">
        <f t="shared" si="266"/>
        <v>6924.9999999999436</v>
      </c>
      <c r="AP330">
        <f t="shared" si="273"/>
        <v>4215.0666666663456</v>
      </c>
      <c r="AQ330">
        <f>IF($AK329+$AK$1&lt;=Data!$H$4-0.5,AVERAGE(AP328:AP332),AQ329)</f>
        <v>4215.0666666663483</v>
      </c>
      <c r="AR330">
        <f>IF($AK329+$AK$1&lt;=Data!$H$4-0.5,SLOPE($AN326:$AN334,$AK326:$AK334),AR329)</f>
        <v>-687.47777777778367</v>
      </c>
      <c r="AS330">
        <f>IF($AK329+$AK$1&lt;=Data!$H$4-0.5,SLOPE($AQ326:$AQ334,$AK326:$AK334),AS329)</f>
        <v>-686.94999999997867</v>
      </c>
      <c r="AT330">
        <f>IF(AND($AK330&gt;=Results!$G$13,$AK330&lt;=Results!$G$14),Curves!AR330,"")</f>
        <v>-687.47777777778367</v>
      </c>
      <c r="AU330">
        <f>IF(AND($AK330&gt;=Results!$G$13,$AK330&lt;=Results!$G$14),Curves!AS330,"")</f>
        <v>-686.94999999997867</v>
      </c>
      <c r="AV330" t="str">
        <f t="shared" si="267"/>
        <v/>
      </c>
      <c r="AW330" t="str">
        <f>IF(AND($AK330&lt;=Results!$I$21,$AK330&gt;=Results!$I$20,$AK330&lt;=Results!$F$4),$AN330,"")</f>
        <v/>
      </c>
      <c r="AX330" t="str">
        <f t="shared" si="267"/>
        <v/>
      </c>
      <c r="AY330" t="str">
        <f>IF(AND($AK330&lt;=Results!$I$23,$AK330&gt;=Results!$I$22,$AK330&gt;=Results!$F$4),$AN330,"")</f>
        <v/>
      </c>
      <c r="AZ330" t="str">
        <f t="shared" si="246"/>
        <v/>
      </c>
      <c r="BA330" t="str">
        <f>IF(AND($AK330&lt;=Results!$I$27,$AK330&gt;=Results!$I$26,$AK330&lt;=Results!$F$4),$AQ330,"")</f>
        <v/>
      </c>
      <c r="BB330" t="str">
        <f t="shared" si="247"/>
        <v/>
      </c>
      <c r="BC330" t="str">
        <f>IF(AND($AK330&lt;=Results!$I$29,$AK330&gt;=Results!$I$28,$AK330&gt;=Results!$F$4),$AQ330,"")</f>
        <v/>
      </c>
      <c r="BD330">
        <f t="shared" si="248"/>
        <v>8534.0551278110233</v>
      </c>
      <c r="BE330">
        <f t="shared" si="249"/>
        <v>1558.4829848331103</v>
      </c>
      <c r="BF330">
        <f t="shared" si="250"/>
        <v>8971.6382156062264</v>
      </c>
      <c r="BG330">
        <f t="shared" si="251"/>
        <v>1220.4280825760648</v>
      </c>
      <c r="BH330">
        <f t="shared" si="252"/>
        <v>0</v>
      </c>
      <c r="BI330">
        <f t="shared" si="253"/>
        <v>0.55656849391795193</v>
      </c>
      <c r="BJ330">
        <f t="shared" si="254"/>
        <v>0.38634465234392978</v>
      </c>
      <c r="BK330">
        <f t="shared" si="255"/>
        <v>-8.7675733822790564E-2</v>
      </c>
      <c r="BL330">
        <f t="shared" si="256"/>
        <v>-8.5021562080449434E-2</v>
      </c>
      <c r="BM330">
        <f t="shared" si="268"/>
        <v>119.99999999999829</v>
      </c>
      <c r="BN330">
        <f t="shared" si="269"/>
        <v>-120.00000000000284</v>
      </c>
      <c r="BO330">
        <f>Data!$H$2*(1-BI330)*(1-BI330/Data!$H$3)*BM330</f>
        <v>4.7191560140685757E-5</v>
      </c>
      <c r="BP330">
        <f t="shared" si="257"/>
        <v>-66.788219270153277</v>
      </c>
      <c r="BQ330">
        <f>Data!$H$2*(1-BJ330)*(1-BJ330/Data!$H$3)*BN330</f>
        <v>-9.0377492569656306E-5</v>
      </c>
      <c r="BR330">
        <f t="shared" si="258"/>
        <v>46.361358281272672</v>
      </c>
      <c r="BS330">
        <f t="shared" si="259"/>
        <v>2531.8290793239871</v>
      </c>
      <c r="BT330">
        <f t="shared" si="260"/>
        <v>3.1016951844113775E-3</v>
      </c>
      <c r="BU330">
        <f t="shared" si="261"/>
        <v>3.0216044719746146E-3</v>
      </c>
      <c r="BV330">
        <f t="shared" si="244"/>
        <v>7.8366972767691196</v>
      </c>
      <c r="BW330">
        <f t="shared" si="270"/>
        <v>-5.775806483269001</v>
      </c>
      <c r="BX330">
        <f t="shared" si="271"/>
        <v>3.0216044719746146E-3</v>
      </c>
      <c r="BY330" s="66">
        <f t="shared" si="262"/>
        <v>0.55656849391795193</v>
      </c>
      <c r="BZ330">
        <f t="shared" si="263"/>
        <v>7.8366972767691196</v>
      </c>
      <c r="CA330" s="67">
        <f t="shared" si="245"/>
        <v>-5.775806483269001</v>
      </c>
    </row>
    <row r="331" spans="4:79" x14ac:dyDescent="0.25">
      <c r="D331" s="3" t="e">
        <f t="shared" si="274"/>
        <v>#DIV/0!</v>
      </c>
      <c r="E331" s="3" t="e">
        <f t="shared" si="274"/>
        <v>#DIV/0!</v>
      </c>
      <c r="F331" t="str">
        <f>IF(A331&gt;0,IF(F330=1,1,IF(B331=Data!$H$4,1,0)),"")</f>
        <v/>
      </c>
      <c r="Y331" s="4"/>
      <c r="Z331" s="4"/>
      <c r="AA331" s="4" t="str">
        <f t="shared" si="242"/>
        <v/>
      </c>
      <c r="AE331" s="4" t="str">
        <f t="shared" si="243"/>
        <v/>
      </c>
      <c r="AK331" s="4">
        <f t="shared" si="272"/>
        <v>57.900000000000468</v>
      </c>
      <c r="AL331">
        <f t="shared" si="264"/>
        <v>3949.0000000000559</v>
      </c>
      <c r="AM331">
        <f t="shared" si="265"/>
        <v>5372.349999999682</v>
      </c>
      <c r="AN331">
        <f>IF($AK330+$AK$1&lt;=Data!$H$4-0.5,AVERAGE(AM329:AM333),AN330)</f>
        <v>5372.1366666663471</v>
      </c>
      <c r="AO331">
        <f t="shared" si="266"/>
        <v>6912.9999999999436</v>
      </c>
      <c r="AP331">
        <f t="shared" si="273"/>
        <v>4145.6999999996779</v>
      </c>
      <c r="AQ331">
        <f>IF($AK330+$AK$1&lt;=Data!$H$4-0.5,AVERAGE(AP329:AP333),AQ330)</f>
        <v>4146.3199999996841</v>
      </c>
      <c r="AR331">
        <f>IF($AK330+$AK$1&lt;=Data!$H$4-0.5,SLOPE($AN327:$AN335,$AK327:$AK335),AR330)</f>
        <v>-688.90000000000725</v>
      </c>
      <c r="AS331">
        <f>IF($AK330+$AK$1&lt;=Data!$H$4-0.5,SLOPE($AQ327:$AQ335,$AK327:$AK335),AS330)</f>
        <v>-682.81666666664387</v>
      </c>
      <c r="AT331">
        <f>IF(AND($AK331&gt;=Results!$G$13,$AK331&lt;=Results!$G$14),Curves!AR331,"")</f>
        <v>-688.90000000000725</v>
      </c>
      <c r="AU331">
        <f>IF(AND($AK331&gt;=Results!$G$13,$AK331&lt;=Results!$G$14),Curves!AS331,"")</f>
        <v>-682.81666666664387</v>
      </c>
      <c r="AV331" t="str">
        <f t="shared" si="267"/>
        <v/>
      </c>
      <c r="AW331" t="str">
        <f>IF(AND($AK331&lt;=Results!$I$21,$AK331&gt;=Results!$I$20,$AK331&lt;=Results!$F$4),$AN331,"")</f>
        <v/>
      </c>
      <c r="AX331" t="str">
        <f t="shared" si="267"/>
        <v/>
      </c>
      <c r="AY331" t="str">
        <f>IF(AND($AK331&lt;=Results!$I$23,$AK331&gt;=Results!$I$22,$AK331&gt;=Results!$F$4),$AN331,"")</f>
        <v/>
      </c>
      <c r="AZ331" t="str">
        <f t="shared" si="246"/>
        <v/>
      </c>
      <c r="BA331" t="str">
        <f>IF(AND($AK331&lt;=Results!$I$27,$AK331&gt;=Results!$I$26,$AK331&lt;=Results!$F$4),$AQ331,"")</f>
        <v/>
      </c>
      <c r="BB331" t="str">
        <f t="shared" si="247"/>
        <v/>
      </c>
      <c r="BC331" t="str">
        <f>IF(AND($AK331&lt;=Results!$I$29,$AK331&gt;=Results!$I$28,$AK331&gt;=Results!$F$4),$AQ331,"")</f>
        <v/>
      </c>
      <c r="BD331">
        <f t="shared" si="248"/>
        <v>8523.284933013103</v>
      </c>
      <c r="BE331">
        <f t="shared" si="249"/>
        <v>1555.1671955837894</v>
      </c>
      <c r="BF331">
        <f t="shared" si="250"/>
        <v>8964.3482333733336</v>
      </c>
      <c r="BG331">
        <f t="shared" si="251"/>
        <v>1219.8772816165399</v>
      </c>
      <c r="BH331">
        <f t="shared" si="252"/>
        <v>0</v>
      </c>
      <c r="BI331">
        <f t="shared" si="253"/>
        <v>0.54777625966043431</v>
      </c>
      <c r="BJ331">
        <f t="shared" si="254"/>
        <v>0.37787509781017325</v>
      </c>
      <c r="BK331">
        <f t="shared" si="255"/>
        <v>-8.8169743632073166E-2</v>
      </c>
      <c r="BL331">
        <f t="shared" si="256"/>
        <v>-8.4368676761352637E-2</v>
      </c>
      <c r="BM331">
        <f t="shared" si="268"/>
        <v>120.00000000000055</v>
      </c>
      <c r="BN331">
        <f t="shared" si="269"/>
        <v>-119.99999999999829</v>
      </c>
      <c r="BO331">
        <f>Data!$H$2*(1-BI331)*(1-BI331/Data!$H$3)*BM331</f>
        <v>4.9081514718409896E-5</v>
      </c>
      <c r="BP331">
        <f t="shared" si="257"/>
        <v>-65.733151159252415</v>
      </c>
      <c r="BQ331">
        <f>Data!$H$2*(1-BJ331)*(1-BJ331/Data!$H$3)*BN331</f>
        <v>-9.2889454541927031E-5</v>
      </c>
      <c r="BR331">
        <f t="shared" si="258"/>
        <v>45.345011737220148</v>
      </c>
      <c r="BS331">
        <f t="shared" si="259"/>
        <v>2459.562636388107</v>
      </c>
      <c r="BT331">
        <f t="shared" si="260"/>
        <v>3.1778303593681355E-3</v>
      </c>
      <c r="BU331">
        <f t="shared" si="261"/>
        <v>3.020691738408091E-3</v>
      </c>
      <c r="BV331">
        <f t="shared" si="244"/>
        <v>7.8077388230337421</v>
      </c>
      <c r="BW331">
        <f t="shared" si="270"/>
        <v>-5.7515565919751355</v>
      </c>
      <c r="BX331">
        <f t="shared" si="271"/>
        <v>3.020691738408091E-3</v>
      </c>
      <c r="BY331" s="66">
        <f t="shared" si="262"/>
        <v>0.54777625966043431</v>
      </c>
      <c r="BZ331">
        <f t="shared" si="263"/>
        <v>7.8077388230337421</v>
      </c>
      <c r="CA331" s="67">
        <f t="shared" si="245"/>
        <v>-5.7515565919751355</v>
      </c>
    </row>
    <row r="332" spans="4:79" x14ac:dyDescent="0.25">
      <c r="D332" s="3" t="e">
        <f t="shared" si="274"/>
        <v>#DIV/0!</v>
      </c>
      <c r="E332" s="3" t="e">
        <f t="shared" si="274"/>
        <v>#DIV/0!</v>
      </c>
      <c r="F332" t="str">
        <f>IF(A332&gt;0,IF(F331=1,1,IF(B332=Data!$H$4,1,0)),"")</f>
        <v/>
      </c>
      <c r="Y332" s="4"/>
      <c r="Z332" s="4"/>
      <c r="AA332" s="4" t="str">
        <f t="shared" si="242"/>
        <v/>
      </c>
      <c r="AE332" s="4" t="str">
        <f t="shared" si="243"/>
        <v/>
      </c>
      <c r="AK332" s="4">
        <f t="shared" si="272"/>
        <v>58.000000000000469</v>
      </c>
      <c r="AL332">
        <f t="shared" si="264"/>
        <v>3961.0000000000564</v>
      </c>
      <c r="AM332">
        <f t="shared" si="265"/>
        <v>5303.8333333330093</v>
      </c>
      <c r="AN332">
        <f>IF($AK331+$AK$1&lt;=Data!$H$4-0.5,AVERAGE(AM330:AM334),AN331)</f>
        <v>5303.1933333330107</v>
      </c>
      <c r="AO332">
        <f t="shared" si="266"/>
        <v>6900.9999999999436</v>
      </c>
      <c r="AP332">
        <f t="shared" si="273"/>
        <v>4076.3333333330252</v>
      </c>
      <c r="AQ332">
        <f>IF($AK331+$AK$1&lt;=Data!$H$4-0.5,AVERAGE(AP330:AP334),AQ331)</f>
        <v>4078.1933333330189</v>
      </c>
      <c r="AR332">
        <f>IF($AK331+$AK$1&lt;=Data!$H$4-0.5,SLOPE($AN328:$AN336,$AK328:$AK336),AR331)</f>
        <v>-690.50000000000807</v>
      </c>
      <c r="AS332">
        <f>IF($AK331+$AK$1&lt;=Data!$H$4-0.5,SLOPE($AQ328:$AQ336,$AK328:$AK336),AS331)</f>
        <v>-678.16666666664571</v>
      </c>
      <c r="AT332">
        <f>IF(AND($AK332&gt;=Results!$G$13,$AK332&lt;=Results!$G$14),Curves!AR332,"")</f>
        <v>-690.50000000000807</v>
      </c>
      <c r="AU332">
        <f>IF(AND($AK332&gt;=Results!$G$13,$AK332&lt;=Results!$G$14),Curves!AS332,"")</f>
        <v>-678.16666666664571</v>
      </c>
      <c r="AV332" t="str">
        <f t="shared" si="267"/>
        <v/>
      </c>
      <c r="AW332" t="str">
        <f>IF(AND($AK332&lt;=Results!$I$21,$AK332&gt;=Results!$I$20,$AK332&lt;=Results!$F$4),$AN332,"")</f>
        <v/>
      </c>
      <c r="AX332" t="str">
        <f t="shared" si="267"/>
        <v/>
      </c>
      <c r="AY332" t="str">
        <f>IF(AND($AK332&lt;=Results!$I$23,$AK332&gt;=Results!$I$22,$AK332&gt;=Results!$F$4),$AN332,"")</f>
        <v/>
      </c>
      <c r="AZ332" t="str">
        <f t="shared" si="246"/>
        <v/>
      </c>
      <c r="BA332" t="str">
        <f>IF(AND($AK332&lt;=Results!$I$27,$AK332&gt;=Results!$I$26,$AK332&lt;=Results!$F$4),$AQ332,"")</f>
        <v/>
      </c>
      <c r="BB332" t="str">
        <f t="shared" si="247"/>
        <v/>
      </c>
      <c r="BC332" t="str">
        <f>IF(AND($AK332&lt;=Results!$I$29,$AK332&gt;=Results!$I$28,$AK332&gt;=Results!$F$4),$AQ332,"")</f>
        <v/>
      </c>
      <c r="BD332">
        <f t="shared" si="248"/>
        <v>8512.5147382151845</v>
      </c>
      <c r="BE332">
        <f t="shared" si="249"/>
        <v>1551.8514063344685</v>
      </c>
      <c r="BF332">
        <f t="shared" si="250"/>
        <v>8957.0582511404391</v>
      </c>
      <c r="BG332">
        <f t="shared" si="251"/>
        <v>1219.3264806570148</v>
      </c>
      <c r="BH332">
        <f t="shared" si="252"/>
        <v>0</v>
      </c>
      <c r="BI332">
        <f t="shared" si="253"/>
        <v>0.53893454519153705</v>
      </c>
      <c r="BJ332">
        <f t="shared" si="254"/>
        <v>0.36947091699165902</v>
      </c>
      <c r="BK332">
        <f t="shared" si="255"/>
        <v>-8.8665341448036908E-2</v>
      </c>
      <c r="BL332">
        <f t="shared" si="256"/>
        <v>-8.3714084805399575E-2</v>
      </c>
      <c r="BM332">
        <f t="shared" si="268"/>
        <v>120.00000000000055</v>
      </c>
      <c r="BN332">
        <f t="shared" si="269"/>
        <v>-119.99999999999829</v>
      </c>
      <c r="BO332">
        <f>Data!$H$2*(1-BI332)*(1-BI332/Data!$H$3)*BM332</f>
        <v>5.1019524868256585E-5</v>
      </c>
      <c r="BP332">
        <f t="shared" si="257"/>
        <v>-64.672145422984741</v>
      </c>
      <c r="BQ332">
        <f>Data!$H$2*(1-BJ332)*(1-BJ332/Data!$H$3)*BN332</f>
        <v>-9.5416061884640068E-5</v>
      </c>
      <c r="BR332">
        <f t="shared" si="258"/>
        <v>44.336510038998455</v>
      </c>
      <c r="BS332">
        <f t="shared" si="259"/>
        <v>2390.8206230763899</v>
      </c>
      <c r="BT332">
        <f t="shared" si="260"/>
        <v>3.2571035382376505E-3</v>
      </c>
      <c r="BU332">
        <f t="shared" si="261"/>
        <v>3.0197795560924015E-3</v>
      </c>
      <c r="BV332">
        <f t="shared" si="244"/>
        <v>7.7793919429277816</v>
      </c>
      <c r="BW332">
        <f t="shared" si="270"/>
        <v>-5.726916963743621</v>
      </c>
      <c r="BX332">
        <f t="shared" si="271"/>
        <v>3.0197795560924015E-3</v>
      </c>
      <c r="BY332" s="66">
        <f t="shared" si="262"/>
        <v>0.53893454519153705</v>
      </c>
      <c r="BZ332">
        <f t="shared" si="263"/>
        <v>7.7793919429277816</v>
      </c>
      <c r="CA332" s="67">
        <f t="shared" si="245"/>
        <v>-5.726916963743621</v>
      </c>
    </row>
    <row r="333" spans="4:79" x14ac:dyDescent="0.25">
      <c r="D333" s="3" t="e">
        <f t="shared" si="274"/>
        <v>#DIV/0!</v>
      </c>
      <c r="E333" s="3" t="e">
        <f t="shared" si="274"/>
        <v>#DIV/0!</v>
      </c>
      <c r="F333" t="str">
        <f>IF(A333&gt;0,IF(F332=1,1,IF(B333=Data!$H$4,1,0)),"")</f>
        <v/>
      </c>
      <c r="Y333" s="4"/>
      <c r="Z333" s="4"/>
      <c r="AA333" s="4" t="str">
        <f t="shared" si="242"/>
        <v/>
      </c>
      <c r="AE333" s="4" t="str">
        <f t="shared" si="243"/>
        <v/>
      </c>
      <c r="AK333" s="4">
        <f t="shared" si="272"/>
        <v>58.10000000000047</v>
      </c>
      <c r="AL333">
        <f t="shared" si="264"/>
        <v>3973.0000000000564</v>
      </c>
      <c r="AM333">
        <f t="shared" si="265"/>
        <v>5234.2499999996753</v>
      </c>
      <c r="AN333">
        <f>IF($AK332+$AK$1&lt;=Data!$H$4-0.5,AVERAGE(AM331:AM335),AN332)</f>
        <v>5234.0366666663422</v>
      </c>
      <c r="AO333">
        <f t="shared" si="266"/>
        <v>6888.9999999999436</v>
      </c>
      <c r="AP333">
        <f t="shared" si="273"/>
        <v>4010.0666666663569</v>
      </c>
      <c r="AQ333">
        <f>IF($AK332+$AK$1&lt;=Data!$H$4-0.5,AVERAGE(AP331:AP335),AQ332)</f>
        <v>4010.6866666663541</v>
      </c>
      <c r="AR333">
        <f>IF($AK332+$AK$1&lt;=Data!$H$4-0.5,SLOPE($AN329:$AN337,$AK329:$AK337),AR332)</f>
        <v>-692.10000000000741</v>
      </c>
      <c r="AS333">
        <f>IF($AK332+$AK$1&lt;=Data!$H$4-0.5,SLOPE($AQ329:$AQ337,$AK329:$AK337),AS332)</f>
        <v>-673.51666666664948</v>
      </c>
      <c r="AT333">
        <f>IF(AND($AK333&gt;=Results!$G$13,$AK333&lt;=Results!$G$14),Curves!AR333,"")</f>
        <v>-692.10000000000741</v>
      </c>
      <c r="AU333">
        <f>IF(AND($AK333&gt;=Results!$G$13,$AK333&lt;=Results!$G$14),Curves!AS333,"")</f>
        <v>-673.51666666664948</v>
      </c>
      <c r="AV333" t="str">
        <f t="shared" si="267"/>
        <v/>
      </c>
      <c r="AW333" t="str">
        <f>IF(AND($AK333&lt;=Results!$I$21,$AK333&gt;=Results!$I$20,$AK333&lt;=Results!$F$4),$AN333,"")</f>
        <v/>
      </c>
      <c r="AX333" t="str">
        <f t="shared" si="267"/>
        <v/>
      </c>
      <c r="AY333" t="str">
        <f>IF(AND($AK333&lt;=Results!$I$23,$AK333&gt;=Results!$I$22,$AK333&gt;=Results!$F$4),$AN333,"")</f>
        <v/>
      </c>
      <c r="AZ333" t="str">
        <f t="shared" si="246"/>
        <v/>
      </c>
      <c r="BA333" t="str">
        <f>IF(AND($AK333&lt;=Results!$I$27,$AK333&gt;=Results!$I$26,$AK333&lt;=Results!$F$4),$AQ333,"")</f>
        <v/>
      </c>
      <c r="BB333" t="str">
        <f t="shared" si="247"/>
        <v/>
      </c>
      <c r="BC333" t="str">
        <f>IF(AND($AK333&lt;=Results!$I$29,$AK333&gt;=Results!$I$28,$AK333&gt;=Results!$F$4),$AQ333,"")</f>
        <v/>
      </c>
      <c r="BD333">
        <f t="shared" si="248"/>
        <v>8501.7445434172641</v>
      </c>
      <c r="BE333">
        <f t="shared" si="249"/>
        <v>1548.5356170851478</v>
      </c>
      <c r="BF333">
        <f t="shared" si="250"/>
        <v>8949.7682689075464</v>
      </c>
      <c r="BG333">
        <f t="shared" si="251"/>
        <v>1218.77567969749</v>
      </c>
      <c r="BH333">
        <f t="shared" si="252"/>
        <v>0</v>
      </c>
      <c r="BI333">
        <f t="shared" si="253"/>
        <v>0.53004319137082667</v>
      </c>
      <c r="BJ333">
        <f t="shared" si="254"/>
        <v>0.3611322808490931</v>
      </c>
      <c r="BK333">
        <f t="shared" si="255"/>
        <v>-8.9162534084230971E-2</v>
      </c>
      <c r="BL333">
        <f t="shared" si="256"/>
        <v>-8.3057780259221323E-2</v>
      </c>
      <c r="BM333">
        <f t="shared" si="268"/>
        <v>119.99999999999829</v>
      </c>
      <c r="BN333">
        <f t="shared" si="269"/>
        <v>-119.99999999999829</v>
      </c>
      <c r="BO333">
        <f>Data!$H$2*(1-BI333)*(1-BI333/Data!$H$3)*BM333</f>
        <v>5.3006256474459428E-5</v>
      </c>
      <c r="BP333">
        <f t="shared" si="257"/>
        <v>-63.605182964498297</v>
      </c>
      <c r="BQ333">
        <f>Data!$H$2*(1-BJ333)*(1-BJ333/Data!$H$3)*BN333</f>
        <v>-9.7956471017538295E-5</v>
      </c>
      <c r="BR333">
        <f t="shared" si="258"/>
        <v>43.335873701890556</v>
      </c>
      <c r="BS333">
        <f t="shared" si="259"/>
        <v>2325.3892892663671</v>
      </c>
      <c r="BT333">
        <f t="shared" si="260"/>
        <v>3.3397076347160297E-3</v>
      </c>
      <c r="BU333">
        <f t="shared" si="261"/>
        <v>3.0188679245282978E-3</v>
      </c>
      <c r="BV333">
        <f t="shared" si="244"/>
        <v>7.7516427402491717</v>
      </c>
      <c r="BW333">
        <f t="shared" si="270"/>
        <v>-5.7018720103410558</v>
      </c>
      <c r="BX333">
        <f t="shared" si="271"/>
        <v>3.0188679245282978E-3</v>
      </c>
      <c r="BY333" s="66">
        <f t="shared" si="262"/>
        <v>0.53004319137082667</v>
      </c>
      <c r="BZ333">
        <f t="shared" si="263"/>
        <v>7.7516427402491717</v>
      </c>
      <c r="CA333" s="67">
        <f t="shared" si="245"/>
        <v>-5.7018720103410558</v>
      </c>
    </row>
    <row r="334" spans="4:79" x14ac:dyDescent="0.25">
      <c r="D334" s="3" t="e">
        <f t="shared" si="274"/>
        <v>#DIV/0!</v>
      </c>
      <c r="E334" s="3" t="e">
        <f t="shared" si="274"/>
        <v>#DIV/0!</v>
      </c>
      <c r="F334" t="str">
        <f>IF(A334&gt;0,IF(F333=1,1,IF(B334=Data!$H$4,1,0)),"")</f>
        <v/>
      </c>
      <c r="Y334" s="4"/>
      <c r="Z334" s="4"/>
      <c r="AA334" s="4" t="str">
        <f t="shared" si="242"/>
        <v/>
      </c>
      <c r="AE334" s="4" t="str">
        <f t="shared" si="243"/>
        <v/>
      </c>
      <c r="AK334" s="4">
        <f t="shared" si="272"/>
        <v>58.200000000000472</v>
      </c>
      <c r="AL334">
        <f t="shared" si="264"/>
        <v>3985.0000000000564</v>
      </c>
      <c r="AM334">
        <f t="shared" si="265"/>
        <v>5164.6666666663405</v>
      </c>
      <c r="AN334">
        <f>IF($AK333+$AK$1&lt;=Data!$H$4-0.5,AVERAGE(AM332:AM336),AN333)</f>
        <v>5164.6666666663396</v>
      </c>
      <c r="AO334">
        <f t="shared" si="266"/>
        <v>6876.9999999999436</v>
      </c>
      <c r="AP334">
        <f t="shared" si="273"/>
        <v>3943.7999999996887</v>
      </c>
      <c r="AQ334">
        <f>IF($AK333+$AK$1&lt;=Data!$H$4-0.5,AVERAGE(AP332:AP336),AQ333)</f>
        <v>3943.7999999996891</v>
      </c>
      <c r="AR334">
        <f>IF($AK333+$AK$1&lt;=Data!$H$4-0.5,SLOPE($AN330:$AN338,$AK330:$AK338),AR333)</f>
        <v>-693.52222222222827</v>
      </c>
      <c r="AS334">
        <f>IF($AK333+$AK$1&lt;=Data!$H$4-0.5,SLOPE($AQ330:$AQ338,$AK330:$AK338),AS333)</f>
        <v>-669.38333333332275</v>
      </c>
      <c r="AT334">
        <f>IF(AND($AK334&gt;=Results!$G$13,$AK334&lt;=Results!$G$14),Curves!AR334,"")</f>
        <v>-693.52222222222827</v>
      </c>
      <c r="AU334">
        <f>IF(AND($AK334&gt;=Results!$G$13,$AK334&lt;=Results!$G$14),Curves!AS334,"")</f>
        <v>-669.38333333332275</v>
      </c>
      <c r="AV334" t="str">
        <f t="shared" si="267"/>
        <v/>
      </c>
      <c r="AW334" t="str">
        <f>IF(AND($AK334&lt;=Results!$I$21,$AK334&gt;=Results!$I$20,$AK334&lt;=Results!$F$4),$AN334,"")</f>
        <v/>
      </c>
      <c r="AX334" t="str">
        <f t="shared" si="267"/>
        <v/>
      </c>
      <c r="AY334" t="str">
        <f>IF(AND($AK334&lt;=Results!$I$23,$AK334&gt;=Results!$I$22,$AK334&gt;=Results!$F$4),$AN334,"")</f>
        <v/>
      </c>
      <c r="AZ334" t="str">
        <f t="shared" si="246"/>
        <v/>
      </c>
      <c r="BA334" t="str">
        <f>IF(AND($AK334&lt;=Results!$I$27,$AK334&gt;=Results!$I$26,$AK334&lt;=Results!$F$4),$AQ334,"")</f>
        <v/>
      </c>
      <c r="BB334" t="str">
        <f t="shared" si="247"/>
        <v/>
      </c>
      <c r="BC334" t="str">
        <f>IF(AND($AK334&lt;=Results!$I$29,$AK334&gt;=Results!$I$28,$AK334&gt;=Results!$F$4),$AQ334,"")</f>
        <v/>
      </c>
      <c r="BD334">
        <f t="shared" si="248"/>
        <v>8490.9743486193438</v>
      </c>
      <c r="BE334">
        <f t="shared" si="249"/>
        <v>1545.2198278358269</v>
      </c>
      <c r="BF334">
        <f t="shared" si="250"/>
        <v>8942.4782866746536</v>
      </c>
      <c r="BG334">
        <f t="shared" si="251"/>
        <v>1218.2248787379649</v>
      </c>
      <c r="BH334">
        <f t="shared" si="252"/>
        <v>0</v>
      </c>
      <c r="BI334">
        <f t="shared" si="253"/>
        <v>0.5211020383746906</v>
      </c>
      <c r="BJ334">
        <f t="shared" si="254"/>
        <v>0.35285936093981451</v>
      </c>
      <c r="BK334">
        <f t="shared" si="255"/>
        <v>-8.9661328390792494E-2</v>
      </c>
      <c r="BL334">
        <f t="shared" si="256"/>
        <v>-8.2399757143470309E-2</v>
      </c>
      <c r="BM334">
        <f t="shared" si="268"/>
        <v>120.00000000000055</v>
      </c>
      <c r="BN334">
        <f t="shared" si="269"/>
        <v>-119.99999999999829</v>
      </c>
      <c r="BO334">
        <f>Data!$H$2*(1-BI334)*(1-BI334/Data!$H$3)*BM334</f>
        <v>5.5042381835730568E-5</v>
      </c>
      <c r="BP334">
        <f t="shared" si="257"/>
        <v>-62.532244604963161</v>
      </c>
      <c r="BQ334">
        <f>Data!$H$2*(1-BJ334)*(1-BJ334/Data!$H$3)*BN334</f>
        <v>-1.0050984161357264E-4</v>
      </c>
      <c r="BR334">
        <f t="shared" si="258"/>
        <v>42.343123312777138</v>
      </c>
      <c r="BS334">
        <f t="shared" si="259"/>
        <v>2263.0722098176611</v>
      </c>
      <c r="BT334">
        <f t="shared" si="260"/>
        <v>3.4258519654738846E-3</v>
      </c>
      <c r="BU334">
        <f t="shared" si="261"/>
        <v>3.0179568432171376E-3</v>
      </c>
      <c r="BV334">
        <f t="shared" si="244"/>
        <v>7.7244785540142793</v>
      </c>
      <c r="BW334">
        <f t="shared" si="270"/>
        <v>-5.6764050891573925</v>
      </c>
      <c r="BX334">
        <f t="shared" si="271"/>
        <v>3.0179568432171376E-3</v>
      </c>
      <c r="BY334" s="66">
        <f t="shared" si="262"/>
        <v>0.5211020383746906</v>
      </c>
      <c r="BZ334">
        <f t="shared" si="263"/>
        <v>7.7244785540142793</v>
      </c>
      <c r="CA334" s="67">
        <f t="shared" si="245"/>
        <v>-5.6764050891573925</v>
      </c>
    </row>
    <row r="335" spans="4:79" x14ac:dyDescent="0.25">
      <c r="D335" s="3" t="e">
        <f t="shared" si="274"/>
        <v>#DIV/0!</v>
      </c>
      <c r="E335" s="3" t="e">
        <f t="shared" si="274"/>
        <v>#DIV/0!</v>
      </c>
      <c r="F335" t="str">
        <f>IF(A335&gt;0,IF(F334=1,1,IF(B335=Data!$H$4,1,0)),"")</f>
        <v/>
      </c>
      <c r="Y335" s="4"/>
      <c r="Z335" s="4"/>
      <c r="AA335" s="4" t="str">
        <f t="shared" si="242"/>
        <v/>
      </c>
      <c r="AE335" s="4" t="str">
        <f t="shared" si="243"/>
        <v/>
      </c>
      <c r="AK335" s="4">
        <f t="shared" si="272"/>
        <v>58.300000000000473</v>
      </c>
      <c r="AL335">
        <f t="shared" si="264"/>
        <v>3997.0000000000568</v>
      </c>
      <c r="AM335">
        <f t="shared" si="265"/>
        <v>5095.0833333330056</v>
      </c>
      <c r="AN335">
        <f>IF($AK334+$AK$1&lt;=Data!$H$4-0.5,AVERAGE(AM333:AM337),AN334)</f>
        <v>5095.0833333330056</v>
      </c>
      <c r="AO335">
        <f t="shared" si="266"/>
        <v>6864.9999999999436</v>
      </c>
      <c r="AP335">
        <f t="shared" si="273"/>
        <v>3877.5333333330209</v>
      </c>
      <c r="AQ335">
        <f>IF($AK334+$AK$1&lt;=Data!$H$4-0.5,AVERAGE(AP333:AP337),AQ334)</f>
        <v>3877.5333333330209</v>
      </c>
      <c r="AR335">
        <f>IF($AK334+$AK$1&lt;=Data!$H$4-0.5,SLOPE($AN331:$AN339,$AK331:$AK339),AR334)</f>
        <v>-694.5888888888943</v>
      </c>
      <c r="AS335">
        <f>IF($AK334+$AK$1&lt;=Data!$H$4-0.5,SLOPE($AQ331:$AQ339,$AK331:$AK339),AS334)</f>
        <v>-666.28333333332841</v>
      </c>
      <c r="AT335">
        <f>IF(AND($AK335&gt;=Results!$G$13,$AK335&lt;=Results!$G$14),Curves!AR335,"")</f>
        <v>-694.5888888888943</v>
      </c>
      <c r="AU335">
        <f>IF(AND($AK335&gt;=Results!$G$13,$AK335&lt;=Results!$G$14),Curves!AS335,"")</f>
        <v>-666.28333333332841</v>
      </c>
      <c r="AV335" t="str">
        <f t="shared" si="267"/>
        <v/>
      </c>
      <c r="AW335" t="str">
        <f>IF(AND($AK335&lt;=Results!$I$21,$AK335&gt;=Results!$I$20,$AK335&lt;=Results!$F$4),$AN335,"")</f>
        <v/>
      </c>
      <c r="AX335" t="str">
        <f t="shared" si="267"/>
        <v/>
      </c>
      <c r="AY335" t="str">
        <f>IF(AND($AK335&lt;=Results!$I$23,$AK335&gt;=Results!$I$22,$AK335&gt;=Results!$F$4),$AN335,"")</f>
        <v/>
      </c>
      <c r="AZ335" t="str">
        <f t="shared" si="246"/>
        <v/>
      </c>
      <c r="BA335" t="str">
        <f>IF(AND($AK335&lt;=Results!$I$27,$AK335&gt;=Results!$I$26,$AK335&lt;=Results!$F$4),$AQ335,"")</f>
        <v/>
      </c>
      <c r="BB335" t="str">
        <f t="shared" si="247"/>
        <v/>
      </c>
      <c r="BC335" t="str">
        <f>IF(AND($AK335&lt;=Results!$I$29,$AK335&gt;=Results!$I$28,$AK335&gt;=Results!$F$4),$AQ335,"")</f>
        <v/>
      </c>
      <c r="BD335">
        <f t="shared" si="248"/>
        <v>8480.2041538214253</v>
      </c>
      <c r="BE335">
        <f t="shared" si="249"/>
        <v>1541.9040385865062</v>
      </c>
      <c r="BF335">
        <f t="shared" si="250"/>
        <v>8935.1883044417591</v>
      </c>
      <c r="BG335">
        <f t="shared" si="251"/>
        <v>1217.6740777784398</v>
      </c>
      <c r="BH335">
        <f t="shared" si="252"/>
        <v>0</v>
      </c>
      <c r="BI335">
        <f t="shared" si="253"/>
        <v>0.51211092569266792</v>
      </c>
      <c r="BJ335">
        <f t="shared" si="254"/>
        <v>0.34465232942039881</v>
      </c>
      <c r="BK335">
        <f t="shared" si="255"/>
        <v>-9.0007829882264134E-2</v>
      </c>
      <c r="BL335">
        <f t="shared" si="256"/>
        <v>-8.2142044265228698E-2</v>
      </c>
      <c r="BM335">
        <f t="shared" si="268"/>
        <v>120.00000000000055</v>
      </c>
      <c r="BN335">
        <f t="shared" si="269"/>
        <v>-120.00000000000284</v>
      </c>
      <c r="BO335">
        <f>Data!$H$2*(1-BI335)*(1-BI335/Data!$H$3)*BM335</f>
        <v>5.7128579718831952E-5</v>
      </c>
      <c r="BP335">
        <f t="shared" si="257"/>
        <v>-61.453311083120433</v>
      </c>
      <c r="BQ335">
        <f>Data!$H$2*(1-BJ335)*(1-BJ335/Data!$H$3)*BN335</f>
        <v>-1.0307533664018871E-4</v>
      </c>
      <c r="BR335">
        <f t="shared" si="258"/>
        <v>41.358279530448833</v>
      </c>
      <c r="BS335">
        <f t="shared" si="259"/>
        <v>2208.3068882122407</v>
      </c>
      <c r="BT335">
        <f t="shared" si="260"/>
        <v>3.5175527921801051E-3</v>
      </c>
      <c r="BU335">
        <f t="shared" si="261"/>
        <v>3.0170463116608801E-3</v>
      </c>
      <c r="BV335">
        <f t="shared" si="244"/>
        <v>7.6999813869654368</v>
      </c>
      <c r="BW335">
        <f t="shared" si="270"/>
        <v>-5.6499897606505147</v>
      </c>
      <c r="BX335">
        <f t="shared" si="271"/>
        <v>3.0170463116608801E-3</v>
      </c>
      <c r="BY335" s="66">
        <f t="shared" si="262"/>
        <v>0.51211092569266792</v>
      </c>
      <c r="BZ335">
        <f t="shared" si="263"/>
        <v>7.6999813869654368</v>
      </c>
      <c r="CA335" s="67">
        <f t="shared" si="245"/>
        <v>-5.6499897606505147</v>
      </c>
    </row>
    <row r="336" spans="4:79" x14ac:dyDescent="0.25">
      <c r="D336" s="3" t="e">
        <f t="shared" si="274"/>
        <v>#DIV/0!</v>
      </c>
      <c r="E336" s="3" t="e">
        <f t="shared" si="274"/>
        <v>#DIV/0!</v>
      </c>
      <c r="F336" t="str">
        <f>IF(A336&gt;0,IF(F335=1,1,IF(B336=Data!$H$4,1,0)),"")</f>
        <v/>
      </c>
      <c r="Y336" s="4"/>
      <c r="Z336" s="4"/>
      <c r="AA336" s="4" t="str">
        <f t="shared" si="242"/>
        <v/>
      </c>
      <c r="AE336" s="4" t="str">
        <f t="shared" si="243"/>
        <v/>
      </c>
      <c r="AK336" s="4">
        <f t="shared" si="272"/>
        <v>58.400000000000475</v>
      </c>
      <c r="AL336">
        <f t="shared" si="264"/>
        <v>4009.0000000000568</v>
      </c>
      <c r="AM336">
        <f t="shared" si="265"/>
        <v>5025.4999999996708</v>
      </c>
      <c r="AN336">
        <f>IF($AK335+$AK$1&lt;=Data!$H$4-0.5,AVERAGE(AM334:AM338),AN335)</f>
        <v>5025.4999999996708</v>
      </c>
      <c r="AO336">
        <f t="shared" si="266"/>
        <v>6852.9999999999427</v>
      </c>
      <c r="AP336">
        <f t="shared" si="273"/>
        <v>3811.2666666663526</v>
      </c>
      <c r="AQ336">
        <f>IF($AK335+$AK$1&lt;=Data!$H$4-0.5,AVERAGE(AP334:AP338),AQ335)</f>
        <v>3811.2666666663526</v>
      </c>
      <c r="AR336">
        <f>IF($AK335+$AK$1&lt;=Data!$H$4-0.5,SLOPE($AN332:$AN340,$AK332:$AK340),AR335)</f>
        <v>-695.30000000000211</v>
      </c>
      <c r="AS336">
        <f>IF($AK335+$AK$1&lt;=Data!$H$4-0.5,SLOPE($AQ332:$AQ340,$AK332:$AK340),AS335)</f>
        <v>-664.21666666666215</v>
      </c>
      <c r="AT336">
        <f>IF(AND($AK336&gt;=Results!$G$13,$AK336&lt;=Results!$G$14),Curves!AR336,"")</f>
        <v>-695.30000000000211</v>
      </c>
      <c r="AU336">
        <f>IF(AND($AK336&gt;=Results!$G$13,$AK336&lt;=Results!$G$14),Curves!AS336,"")</f>
        <v>-664.21666666666215</v>
      </c>
      <c r="AV336" t="str">
        <f t="shared" si="267"/>
        <v/>
      </c>
      <c r="AW336" t="str">
        <f>IF(AND($AK336&lt;=Results!$I$21,$AK336&gt;=Results!$I$20,$AK336&lt;=Results!$F$4),$AN336,"")</f>
        <v/>
      </c>
      <c r="AX336" t="str">
        <f t="shared" si="267"/>
        <v/>
      </c>
      <c r="AY336" t="str">
        <f>IF(AND($AK336&lt;=Results!$I$23,$AK336&gt;=Results!$I$22,$AK336&gt;=Results!$F$4),$AN336,"")</f>
        <v/>
      </c>
      <c r="AZ336" t="str">
        <f t="shared" si="246"/>
        <v/>
      </c>
      <c r="BA336" t="str">
        <f>IF(AND($AK336&lt;=Results!$I$27,$AK336&gt;=Results!$I$26,$AK336&lt;=Results!$F$4),$AQ336,"")</f>
        <v/>
      </c>
      <c r="BB336" t="str">
        <f t="shared" si="247"/>
        <v/>
      </c>
      <c r="BC336" t="str">
        <f>IF(AND($AK336&lt;=Results!$I$29,$AK336&gt;=Results!$I$28,$AK336&gt;=Results!$F$4),$AQ336,"")</f>
        <v/>
      </c>
      <c r="BD336">
        <f t="shared" si="248"/>
        <v>8469.4339590235049</v>
      </c>
      <c r="BE336">
        <f t="shared" si="249"/>
        <v>1538.5882493371853</v>
      </c>
      <c r="BF336">
        <f t="shared" si="250"/>
        <v>8927.8983222088682</v>
      </c>
      <c r="BG336">
        <f t="shared" si="251"/>
        <v>1217.1232768189147</v>
      </c>
      <c r="BH336">
        <f t="shared" si="252"/>
        <v>0</v>
      </c>
      <c r="BI336">
        <f t="shared" si="253"/>
        <v>0.50310047239823752</v>
      </c>
      <c r="BJ336">
        <f t="shared" si="254"/>
        <v>0.33643095208676854</v>
      </c>
      <c r="BK336">
        <f t="shared" si="255"/>
        <v>-9.0201548366488471E-2</v>
      </c>
      <c r="BL336">
        <f t="shared" si="256"/>
        <v>-8.2285690644508469E-2</v>
      </c>
      <c r="BM336">
        <f t="shared" si="268"/>
        <v>120.00000000000055</v>
      </c>
      <c r="BN336">
        <f t="shared" si="269"/>
        <v>-120.00000000000284</v>
      </c>
      <c r="BO336">
        <f>Data!$H$2*(1-BI336)*(1-BI336/Data!$H$3)*BM336</f>
        <v>5.9258193727405402E-5</v>
      </c>
      <c r="BP336">
        <f t="shared" si="257"/>
        <v>-60.372056687788778</v>
      </c>
      <c r="BQ336">
        <f>Data!$H$2*(1-BJ336)*(1-BJ336/Data!$H$3)*BN336</f>
        <v>-1.0567773152363589E-4</v>
      </c>
      <c r="BR336">
        <f t="shared" si="258"/>
        <v>40.371714250413184</v>
      </c>
      <c r="BS336">
        <f t="shared" si="259"/>
        <v>2159.0151803120475</v>
      </c>
      <c r="BT336">
        <f t="shared" si="260"/>
        <v>3.6132757462601301E-3</v>
      </c>
      <c r="BU336">
        <f t="shared" si="261"/>
        <v>3.0161363293620827E-3</v>
      </c>
      <c r="BV336">
        <f t="shared" si="244"/>
        <v>7.6774074616675074</v>
      </c>
      <c r="BW336">
        <f t="shared" si="270"/>
        <v>-5.623140509147631</v>
      </c>
      <c r="BX336">
        <f t="shared" si="271"/>
        <v>3.0161363293620827E-3</v>
      </c>
      <c r="BY336" s="66">
        <f t="shared" si="262"/>
        <v>0.50310047239823752</v>
      </c>
      <c r="BZ336">
        <f t="shared" si="263"/>
        <v>7.6774074616675074</v>
      </c>
      <c r="CA336" s="67">
        <f t="shared" si="245"/>
        <v>-5.623140509147631</v>
      </c>
    </row>
    <row r="337" spans="4:79" x14ac:dyDescent="0.25">
      <c r="D337" s="3" t="e">
        <f t="shared" si="274"/>
        <v>#DIV/0!</v>
      </c>
      <c r="E337" s="3" t="e">
        <f t="shared" si="274"/>
        <v>#DIV/0!</v>
      </c>
      <c r="F337" t="str">
        <f>IF(A337&gt;0,IF(F336=1,1,IF(B337=Data!$H$4,1,0)),"")</f>
        <v/>
      </c>
      <c r="Y337" s="4"/>
      <c r="Z337" s="4"/>
      <c r="AA337" s="4" t="str">
        <f t="shared" si="242"/>
        <v/>
      </c>
      <c r="AE337" s="4" t="str">
        <f t="shared" si="243"/>
        <v/>
      </c>
      <c r="AK337" s="4">
        <f t="shared" si="272"/>
        <v>58.500000000000476</v>
      </c>
      <c r="AL337">
        <f t="shared" si="264"/>
        <v>4021.0000000000573</v>
      </c>
      <c r="AM337">
        <f t="shared" si="265"/>
        <v>4955.9166666663368</v>
      </c>
      <c r="AN337">
        <f>IF($AK336+$AK$1&lt;=Data!$H$4-0.5,AVERAGE(AM335:AM339),AN336)</f>
        <v>4955.9166666663368</v>
      </c>
      <c r="AO337">
        <f t="shared" si="266"/>
        <v>6840.9999999999427</v>
      </c>
      <c r="AP337">
        <f t="shared" si="273"/>
        <v>3744.9999999996844</v>
      </c>
      <c r="AQ337">
        <f>IF($AK336+$AK$1&lt;=Data!$H$4-0.5,AVERAGE(AP335:AP339),AQ336)</f>
        <v>3744.9999999996844</v>
      </c>
      <c r="AR337">
        <f>IF($AK336+$AK$1&lt;=Data!$H$4-0.5,SLOPE($AN333:$AN341,$AK333:$AK341),AR336)</f>
        <v>-695.38222222222009</v>
      </c>
      <c r="AS337">
        <f>IF($AK336+$AK$1&lt;=Data!$H$4-0.5,SLOPE($AQ333:$AQ341,$AK333:$AK341),AS336)</f>
        <v>-662.23555555554731</v>
      </c>
      <c r="AT337">
        <f>IF(AND($AK337&gt;=Results!$G$13,$AK337&lt;=Results!$G$14),Curves!AR337,"")</f>
        <v>-695.38222222222009</v>
      </c>
      <c r="AU337">
        <f>IF(AND($AK337&gt;=Results!$G$13,$AK337&lt;=Results!$G$14),Curves!AS337,"")</f>
        <v>-662.23555555554731</v>
      </c>
      <c r="AV337" t="str">
        <f t="shared" si="267"/>
        <v/>
      </c>
      <c r="AW337" t="str">
        <f>IF(AND($AK337&lt;=Results!$I$21,$AK337&gt;=Results!$I$20,$AK337&lt;=Results!$F$4),$AN337,"")</f>
        <v/>
      </c>
      <c r="AX337" t="str">
        <f t="shared" si="267"/>
        <v/>
      </c>
      <c r="AY337" t="str">
        <f>IF(AND($AK337&lt;=Results!$I$23,$AK337&gt;=Results!$I$22,$AK337&gt;=Results!$F$4),$AN337,"")</f>
        <v/>
      </c>
      <c r="AZ337" t="str">
        <f t="shared" si="246"/>
        <v/>
      </c>
      <c r="BA337" t="str">
        <f>IF(AND($AK337&lt;=Results!$I$27,$AK337&gt;=Results!$I$26,$AK337&lt;=Results!$F$4),$AQ337,"")</f>
        <v/>
      </c>
      <c r="BB337" t="str">
        <f t="shared" si="247"/>
        <v/>
      </c>
      <c r="BC337" t="str">
        <f>IF(AND($AK337&lt;=Results!$I$29,$AK337&gt;=Results!$I$28,$AK337&gt;=Results!$F$4),$AQ337,"")</f>
        <v/>
      </c>
      <c r="BD337">
        <f t="shared" si="248"/>
        <v>8458.6637642255846</v>
      </c>
      <c r="BE337">
        <f t="shared" si="249"/>
        <v>1535.2724600878644</v>
      </c>
      <c r="BF337">
        <f t="shared" si="250"/>
        <v>8920.6083399759736</v>
      </c>
      <c r="BG337">
        <f t="shared" si="251"/>
        <v>1216.5724758593899</v>
      </c>
      <c r="BH337">
        <f t="shared" si="252"/>
        <v>0</v>
      </c>
      <c r="BI337">
        <f t="shared" si="253"/>
        <v>0.49407061601936997</v>
      </c>
      <c r="BJ337">
        <f t="shared" si="254"/>
        <v>0.32819519129149688</v>
      </c>
      <c r="BK337">
        <f t="shared" si="255"/>
        <v>-9.0395892917731036E-2</v>
      </c>
      <c r="BL337">
        <f t="shared" si="256"/>
        <v>-8.242971415728377E-2</v>
      </c>
      <c r="BM337">
        <f t="shared" si="268"/>
        <v>120.00000000000055</v>
      </c>
      <c r="BN337">
        <f t="shared" si="269"/>
        <v>-119.99999999999829</v>
      </c>
      <c r="BO337">
        <f>Data!$H$2*(1-BI337)*(1-BI337/Data!$H$3)*BM337</f>
        <v>6.143148997800503E-5</v>
      </c>
      <c r="BP337">
        <f t="shared" si="257"/>
        <v>-59.28847392232467</v>
      </c>
      <c r="BQ337">
        <f>Data!$H$2*(1-BJ337)*(1-BJ337/Data!$H$3)*BN337</f>
        <v>-1.0831720824092688E-4</v>
      </c>
      <c r="BR337">
        <f t="shared" si="258"/>
        <v>39.383422954979068</v>
      </c>
      <c r="BS337">
        <f t="shared" si="259"/>
        <v>2110.4468709782795</v>
      </c>
      <c r="BT337">
        <f t="shared" si="260"/>
        <v>3.7114092194315924E-3</v>
      </c>
      <c r="BU337">
        <f t="shared" si="261"/>
        <v>3.015226895823907E-3</v>
      </c>
      <c r="BV337">
        <f t="shared" si="244"/>
        <v>7.6546549912398678</v>
      </c>
      <c r="BW337">
        <f t="shared" si="270"/>
        <v>-5.5963436309725187</v>
      </c>
      <c r="BX337">
        <f t="shared" si="271"/>
        <v>3.015226895823907E-3</v>
      </c>
      <c r="BY337" s="66">
        <f t="shared" si="262"/>
        <v>0.49407061601936997</v>
      </c>
      <c r="BZ337">
        <f t="shared" si="263"/>
        <v>7.6546549912398678</v>
      </c>
      <c r="CA337" s="67">
        <f t="shared" si="245"/>
        <v>-5.5963436309725187</v>
      </c>
    </row>
    <row r="338" spans="4:79" x14ac:dyDescent="0.25">
      <c r="D338" s="3" t="e">
        <f t="shared" si="274"/>
        <v>#DIV/0!</v>
      </c>
      <c r="E338" s="3" t="e">
        <f t="shared" si="274"/>
        <v>#DIV/0!</v>
      </c>
      <c r="F338" t="str">
        <f>IF(A338&gt;0,IF(F337=1,1,IF(B338=Data!$H$4,1,0)),"")</f>
        <v/>
      </c>
      <c r="Y338" s="4"/>
      <c r="Z338" s="4"/>
      <c r="AA338" s="4" t="str">
        <f t="shared" si="242"/>
        <v/>
      </c>
      <c r="AE338" s="4" t="str">
        <f t="shared" si="243"/>
        <v/>
      </c>
      <c r="AK338" s="4">
        <f t="shared" si="272"/>
        <v>58.600000000000477</v>
      </c>
      <c r="AL338">
        <f t="shared" si="264"/>
        <v>4033.0000000000573</v>
      </c>
      <c r="AM338">
        <f t="shared" si="265"/>
        <v>4886.333333333002</v>
      </c>
      <c r="AN338">
        <f>IF($AK337+$AK$1&lt;=Data!$H$4-0.5,AVERAGE(AM336:AM340),AN337)</f>
        <v>4886.333333333002</v>
      </c>
      <c r="AO338">
        <f t="shared" si="266"/>
        <v>6828.9999999999427</v>
      </c>
      <c r="AP338">
        <f t="shared" si="273"/>
        <v>3678.7333333330166</v>
      </c>
      <c r="AQ338">
        <f>IF($AK337+$AK$1&lt;=Data!$H$4-0.5,AVERAGE(AP336:AP340),AQ337)</f>
        <v>3678.7333333330162</v>
      </c>
      <c r="AR338">
        <f>IF($AK337+$AK$1&lt;=Data!$H$4-0.5,SLOPE($AN334:$AN342,$AK334:$AK342),AR337)</f>
        <v>-694.67499999999416</v>
      </c>
      <c r="AS338">
        <f>IF($AK337+$AK$1&lt;=Data!$H$4-0.5,SLOPE($AQ334:$AQ342,$AK334:$AK342),AS337)</f>
        <v>-659.4999999999842</v>
      </c>
      <c r="AT338">
        <f>IF(AND($AK338&gt;=Results!$G$13,$AK338&lt;=Results!$G$14),Curves!AR338,"")</f>
        <v>-694.67499999999416</v>
      </c>
      <c r="AU338">
        <f>IF(AND($AK338&gt;=Results!$G$13,$AK338&lt;=Results!$G$14),Curves!AS338,"")</f>
        <v>-659.4999999999842</v>
      </c>
      <c r="AV338" t="str">
        <f t="shared" si="267"/>
        <v/>
      </c>
      <c r="AW338" t="str">
        <f>IF(AND($AK338&lt;=Results!$I$21,$AK338&gt;=Results!$I$20,$AK338&lt;=Results!$F$4),$AN338,"")</f>
        <v/>
      </c>
      <c r="AX338" t="str">
        <f t="shared" si="267"/>
        <v/>
      </c>
      <c r="AY338" t="str">
        <f>IF(AND($AK338&lt;=Results!$I$23,$AK338&gt;=Results!$I$22,$AK338&gt;=Results!$F$4),$AN338,"")</f>
        <v/>
      </c>
      <c r="AZ338" t="str">
        <f t="shared" si="246"/>
        <v/>
      </c>
      <c r="BA338" t="str">
        <f>IF(AND($AK338&lt;=Results!$I$27,$AK338&gt;=Results!$I$26,$AK338&lt;=Results!$F$4),$AQ338,"")</f>
        <v/>
      </c>
      <c r="BB338" t="str">
        <f t="shared" si="247"/>
        <v/>
      </c>
      <c r="BC338" t="str">
        <f>IF(AND($AK338&lt;=Results!$I$29,$AK338&gt;=Results!$I$28,$AK338&gt;=Results!$F$4),$AQ338,"")</f>
        <v/>
      </c>
      <c r="BD338">
        <f t="shared" si="248"/>
        <v>8447.8935694276661</v>
      </c>
      <c r="BE338">
        <f t="shared" si="249"/>
        <v>1531.9566708385437</v>
      </c>
      <c r="BF338">
        <f t="shared" si="250"/>
        <v>8913.3183577430809</v>
      </c>
      <c r="BG338">
        <f t="shared" si="251"/>
        <v>1216.0216748998648</v>
      </c>
      <c r="BH338">
        <f t="shared" si="252"/>
        <v>0</v>
      </c>
      <c r="BI338">
        <f t="shared" si="253"/>
        <v>0.48502129381469106</v>
      </c>
      <c r="BJ338">
        <f t="shared" si="254"/>
        <v>0.31994500925531155</v>
      </c>
      <c r="BK338">
        <f t="shared" si="255"/>
        <v>-9.0590866236695919E-2</v>
      </c>
      <c r="BL338">
        <f t="shared" si="256"/>
        <v>-8.2574116124894889E-2</v>
      </c>
      <c r="BM338">
        <f t="shared" si="268"/>
        <v>119.99999999999829</v>
      </c>
      <c r="BN338">
        <f t="shared" si="269"/>
        <v>-119.99999999999829</v>
      </c>
      <c r="BO338">
        <f>Data!$H$2*(1-BI338)*(1-BI338/Data!$H$3)*BM338</f>
        <v>6.364873627782984E-5</v>
      </c>
      <c r="BP338">
        <f t="shared" si="257"/>
        <v>-58.2025552577621</v>
      </c>
      <c r="BQ338">
        <f>Data!$H$2*(1-BJ338)*(1-BJ338/Data!$H$3)*BN338</f>
        <v>-1.1099394970482041E-4</v>
      </c>
      <c r="BR338">
        <f t="shared" si="258"/>
        <v>38.393401110636837</v>
      </c>
      <c r="BS338">
        <f t="shared" si="259"/>
        <v>2062.5519020463726</v>
      </c>
      <c r="BT338">
        <f t="shared" si="260"/>
        <v>3.8120265910454591E-3</v>
      </c>
      <c r="BU338">
        <f t="shared" si="261"/>
        <v>3.0143180105501087E-3</v>
      </c>
      <c r="BV338">
        <f t="shared" si="244"/>
        <v>7.6316992825207564</v>
      </c>
      <c r="BW338">
        <f t="shared" si="270"/>
        <v>-5.5695943175992282</v>
      </c>
      <c r="BX338">
        <f t="shared" si="271"/>
        <v>3.0143180105501087E-3</v>
      </c>
      <c r="BY338" s="66">
        <f t="shared" si="262"/>
        <v>0.48502129381469106</v>
      </c>
      <c r="BZ338">
        <f t="shared" si="263"/>
        <v>7.6316992825207564</v>
      </c>
      <c r="CA338" s="67">
        <f t="shared" si="245"/>
        <v>-5.5695943175992282</v>
      </c>
    </row>
    <row r="339" spans="4:79" x14ac:dyDescent="0.25">
      <c r="D339" s="3" t="e">
        <f t="shared" si="274"/>
        <v>#DIV/0!</v>
      </c>
      <c r="E339" s="3" t="e">
        <f t="shared" si="274"/>
        <v>#DIV/0!</v>
      </c>
      <c r="F339" t="str">
        <f>IF(A339&gt;0,IF(F338=1,1,IF(B339=Data!$H$4,1,0)),"")</f>
        <v/>
      </c>
      <c r="Y339" s="4"/>
      <c r="Z339" s="4"/>
      <c r="AA339" s="4" t="str">
        <f t="shared" si="242"/>
        <v/>
      </c>
      <c r="AE339" s="4" t="str">
        <f t="shared" si="243"/>
        <v/>
      </c>
      <c r="AK339" s="4">
        <f t="shared" si="272"/>
        <v>58.700000000000479</v>
      </c>
      <c r="AL339">
        <f t="shared" si="264"/>
        <v>4045.0000000000573</v>
      </c>
      <c r="AM339">
        <f t="shared" si="265"/>
        <v>4816.7499999996671</v>
      </c>
      <c r="AN339">
        <f>IF($AK338+$AK$1&lt;=Data!$H$4-0.5,AVERAGE(AM337:AM341),AN338)</f>
        <v>4816.7499999996671</v>
      </c>
      <c r="AO339">
        <f t="shared" si="266"/>
        <v>6816.9999999999427</v>
      </c>
      <c r="AP339">
        <f t="shared" si="273"/>
        <v>3612.4666666663484</v>
      </c>
      <c r="AQ339">
        <f>IF($AK338+$AK$1&lt;=Data!$H$4-0.5,AVERAGE(AP337:AP341),AQ338)</f>
        <v>3612.4666666663484</v>
      </c>
      <c r="AR339">
        <f>IF($AK338+$AK$1&lt;=Data!$H$4-0.5,SLOPE($AN335:$AN343,$AK335:$AK343),AR338)</f>
        <v>-693.13055555554581</v>
      </c>
      <c r="AS339">
        <f>IF($AK338+$AK$1&lt;=Data!$H$4-0.5,SLOPE($AQ335:$AQ343,$AK335:$AK343),AS338)</f>
        <v>-655.27777777775088</v>
      </c>
      <c r="AT339">
        <f>IF(AND($AK339&gt;=Results!$G$13,$AK339&lt;=Results!$G$14),Curves!AR339,"")</f>
        <v>-693.13055555554581</v>
      </c>
      <c r="AU339">
        <f>IF(AND($AK339&gt;=Results!$G$13,$AK339&lt;=Results!$G$14),Curves!AS339,"")</f>
        <v>-655.27777777775088</v>
      </c>
      <c r="AV339" t="str">
        <f t="shared" si="267"/>
        <v/>
      </c>
      <c r="AW339" t="str">
        <f>IF(AND($AK339&lt;=Results!$I$21,$AK339&gt;=Results!$I$20,$AK339&lt;=Results!$F$4),$AN339,"")</f>
        <v/>
      </c>
      <c r="AX339" t="str">
        <f t="shared" si="267"/>
        <v/>
      </c>
      <c r="AY339" t="str">
        <f>IF(AND($AK339&lt;=Results!$I$23,$AK339&gt;=Results!$I$22,$AK339&gt;=Results!$F$4),$AN339,"")</f>
        <v/>
      </c>
      <c r="AZ339" t="str">
        <f t="shared" si="246"/>
        <v/>
      </c>
      <c r="BA339" t="str">
        <f>IF(AND($AK339&lt;=Results!$I$27,$AK339&gt;=Results!$I$26,$AK339&lt;=Results!$F$4),$AQ339,"")</f>
        <v/>
      </c>
      <c r="BB339" t="str">
        <f t="shared" si="247"/>
        <v/>
      </c>
      <c r="BC339" t="str">
        <f>IF(AND($AK339&lt;=Results!$I$29,$AK339&gt;=Results!$I$28,$AK339&gt;=Results!$F$4),$AQ339,"")</f>
        <v/>
      </c>
      <c r="BD339">
        <f t="shared" si="248"/>
        <v>8437.1233746297457</v>
      </c>
      <c r="BE339">
        <f t="shared" si="249"/>
        <v>1528.6408815892228</v>
      </c>
      <c r="BF339">
        <f t="shared" si="250"/>
        <v>8906.0283755101882</v>
      </c>
      <c r="BG339">
        <f t="shared" si="251"/>
        <v>1215.47087394034</v>
      </c>
      <c r="BH339">
        <f t="shared" si="252"/>
        <v>0</v>
      </c>
      <c r="BI339">
        <f t="shared" si="253"/>
        <v>0.47595244277203053</v>
      </c>
      <c r="BJ339">
        <f t="shared" si="254"/>
        <v>0.31168036806651767</v>
      </c>
      <c r="BK339">
        <f t="shared" si="255"/>
        <v>-9.0786471038665592E-2</v>
      </c>
      <c r="BL339">
        <f t="shared" si="256"/>
        <v>-8.2718897874469108E-2</v>
      </c>
      <c r="BM339">
        <f t="shared" si="268"/>
        <v>120.00000000000055</v>
      </c>
      <c r="BN339">
        <f t="shared" si="269"/>
        <v>-119.99999999999829</v>
      </c>
      <c r="BO339">
        <f>Data!$H$2*(1-BI339)*(1-BI339/Data!$H$3)*BM339</f>
        <v>6.5910202136784766E-5</v>
      </c>
      <c r="BP339">
        <f t="shared" si="257"/>
        <v>-57.11429313264393</v>
      </c>
      <c r="BQ339">
        <f>Data!$H$2*(1-BJ339)*(1-BJ339/Data!$H$3)*BN339</f>
        <v>-1.1370813976920908E-4</v>
      </c>
      <c r="BR339">
        <f t="shared" si="258"/>
        <v>37.401644167981587</v>
      </c>
      <c r="BS339">
        <f t="shared" si="259"/>
        <v>2015.282019646756</v>
      </c>
      <c r="BT339">
        <f t="shared" si="260"/>
        <v>3.9152041293215875E-3</v>
      </c>
      <c r="BU339">
        <f t="shared" si="261"/>
        <v>3.0134096730450462E-3</v>
      </c>
      <c r="BV339">
        <f t="shared" si="244"/>
        <v>7.6085144247097389</v>
      </c>
      <c r="BW339">
        <f t="shared" si="270"/>
        <v>-5.5428878105866017</v>
      </c>
      <c r="BX339">
        <f t="shared" si="271"/>
        <v>3.0134096730450462E-3</v>
      </c>
      <c r="BY339" s="66">
        <f t="shared" si="262"/>
        <v>0.47595244277203053</v>
      </c>
      <c r="BZ339">
        <f t="shared" si="263"/>
        <v>7.6085144247097389</v>
      </c>
      <c r="CA339" s="67">
        <f t="shared" si="245"/>
        <v>-5.5428878105866017</v>
      </c>
    </row>
    <row r="340" spans="4:79" x14ac:dyDescent="0.25">
      <c r="D340" s="3" t="e">
        <f t="shared" si="274"/>
        <v>#DIV/0!</v>
      </c>
      <c r="E340" s="3" t="e">
        <f t="shared" si="274"/>
        <v>#DIV/0!</v>
      </c>
      <c r="F340" t="str">
        <f>IF(A340&gt;0,IF(F339=1,1,IF(B340=Data!$H$4,1,0)),"")</f>
        <v/>
      </c>
      <c r="Y340" s="4"/>
      <c r="Z340" s="4"/>
      <c r="AA340" s="4" t="str">
        <f t="shared" si="242"/>
        <v/>
      </c>
      <c r="AE340" s="4" t="str">
        <f t="shared" si="243"/>
        <v/>
      </c>
      <c r="AK340" s="4">
        <f t="shared" si="272"/>
        <v>58.80000000000048</v>
      </c>
      <c r="AL340">
        <f t="shared" si="264"/>
        <v>4057.0000000000578</v>
      </c>
      <c r="AM340">
        <f t="shared" si="265"/>
        <v>4747.1666666663332</v>
      </c>
      <c r="AN340">
        <f>IF($AK339+$AK$1&lt;=Data!$H$4-0.5,AVERAGE(AM338:AM342),AN339)</f>
        <v>4747.166666666335</v>
      </c>
      <c r="AO340">
        <f t="shared" si="266"/>
        <v>6804.9999999999427</v>
      </c>
      <c r="AP340">
        <f t="shared" si="273"/>
        <v>3546.1999999996801</v>
      </c>
      <c r="AQ340">
        <f>IF($AK339+$AK$1&lt;=Data!$H$4-0.5,AVERAGE(AP338:AP342),AQ339)</f>
        <v>3546.1999999996865</v>
      </c>
      <c r="AR340">
        <f>IF($AK339+$AK$1&lt;=Data!$H$4-0.5,SLOPE($AN336:$AN344,$AK336:$AK344),AR339)</f>
        <v>-690.81388888887511</v>
      </c>
      <c r="AS340">
        <f>IF($AK339+$AK$1&lt;=Data!$H$4-0.5,SLOPE($AQ336:$AQ344,$AK336:$AK344),AS339)</f>
        <v>-648.94444444440614</v>
      </c>
      <c r="AT340">
        <f>IF(AND($AK340&gt;=Results!$G$13,$AK340&lt;=Results!$G$14),Curves!AR340,"")</f>
        <v>-690.81388888887511</v>
      </c>
      <c r="AU340">
        <f>IF(AND($AK340&gt;=Results!$G$13,$AK340&lt;=Results!$G$14),Curves!AS340,"")</f>
        <v>-648.94444444440614</v>
      </c>
      <c r="AV340" t="str">
        <f t="shared" si="267"/>
        <v/>
      </c>
      <c r="AW340" t="str">
        <f>IF(AND($AK340&lt;=Results!$I$21,$AK340&gt;=Results!$I$20,$AK340&lt;=Results!$F$4),$AN340,"")</f>
        <v/>
      </c>
      <c r="AX340" t="str">
        <f t="shared" si="267"/>
        <v/>
      </c>
      <c r="AY340" t="str">
        <f>IF(AND($AK340&lt;=Results!$I$23,$AK340&gt;=Results!$I$22,$AK340&gt;=Results!$F$4),$AN340,"")</f>
        <v/>
      </c>
      <c r="AZ340" t="str">
        <f t="shared" si="246"/>
        <v/>
      </c>
      <c r="BA340" t="str">
        <f>IF(AND($AK340&lt;=Results!$I$27,$AK340&gt;=Results!$I$26,$AK340&lt;=Results!$F$4),$AQ340,"")</f>
        <v/>
      </c>
      <c r="BB340" t="str">
        <f t="shared" si="247"/>
        <v/>
      </c>
      <c r="BC340" t="str">
        <f>IF(AND($AK340&lt;=Results!$I$29,$AK340&gt;=Results!$I$28,$AK340&gt;=Results!$F$4),$AQ340,"")</f>
        <v/>
      </c>
      <c r="BD340">
        <f t="shared" si="248"/>
        <v>8426.3531798318254</v>
      </c>
      <c r="BE340">
        <f t="shared" si="249"/>
        <v>1525.3250923399021</v>
      </c>
      <c r="BF340">
        <f t="shared" si="250"/>
        <v>8898.7383932772937</v>
      </c>
      <c r="BG340">
        <f t="shared" si="251"/>
        <v>1214.9200729808149</v>
      </c>
      <c r="BH340">
        <f t="shared" si="252"/>
        <v>0</v>
      </c>
      <c r="BI340">
        <f t="shared" si="253"/>
        <v>0.46686399960695768</v>
      </c>
      <c r="BJ340">
        <f t="shared" si="254"/>
        <v>0.30340122968041749</v>
      </c>
      <c r="BK340">
        <f t="shared" si="255"/>
        <v>-9.0646648270043359E-2</v>
      </c>
      <c r="BL340">
        <f t="shared" si="256"/>
        <v>-8.2039094209554408E-2</v>
      </c>
      <c r="BM340">
        <f t="shared" si="268"/>
        <v>120.00000000000055</v>
      </c>
      <c r="BN340">
        <f t="shared" si="269"/>
        <v>-120.00000000000284</v>
      </c>
      <c r="BO340">
        <f>Data!$H$2*(1-BI340)*(1-BI340/Data!$H$3)*BM340</f>
        <v>6.8216158779621923E-5</v>
      </c>
      <c r="BP340">
        <f t="shared" si="257"/>
        <v>-56.023679952835181</v>
      </c>
      <c r="BQ340">
        <f>Data!$H$2*(1-BJ340)*(1-BJ340/Data!$H$3)*BN340</f>
        <v>-1.1645996323458381E-4</v>
      </c>
      <c r="BR340">
        <f t="shared" si="258"/>
        <v>36.408147561650964</v>
      </c>
      <c r="BS340">
        <f t="shared" si="259"/>
        <v>1954.1252342959262</v>
      </c>
      <c r="BT340">
        <f t="shared" si="260"/>
        <v>3.9974090548242679E-3</v>
      </c>
      <c r="BU340">
        <f t="shared" si="261"/>
        <v>3.0125018828136728E-3</v>
      </c>
      <c r="BV340">
        <f t="shared" si="244"/>
        <v>7.5776979217956075</v>
      </c>
      <c r="BW340">
        <f t="shared" si="270"/>
        <v>-5.522108864027965</v>
      </c>
      <c r="BX340">
        <f t="shared" si="271"/>
        <v>3.0125018828136728E-3</v>
      </c>
      <c r="BY340" s="66">
        <f t="shared" si="262"/>
        <v>0.46686399960695768</v>
      </c>
      <c r="BZ340">
        <f t="shared" si="263"/>
        <v>7.5776979217956075</v>
      </c>
      <c r="CA340" s="67">
        <f t="shared" si="245"/>
        <v>-5.522108864027965</v>
      </c>
    </row>
    <row r="341" spans="4:79" x14ac:dyDescent="0.25">
      <c r="D341" s="3" t="e">
        <f t="shared" si="274"/>
        <v>#DIV/0!</v>
      </c>
      <c r="E341" s="3" t="e">
        <f t="shared" si="274"/>
        <v>#DIV/0!</v>
      </c>
      <c r="F341" t="str">
        <f>IF(A341&gt;0,IF(F340=1,1,IF(B341=Data!$H$4,1,0)),"")</f>
        <v/>
      </c>
      <c r="Y341" s="4"/>
      <c r="Z341" s="4"/>
      <c r="AA341" s="4" t="str">
        <f t="shared" si="242"/>
        <v/>
      </c>
      <c r="AE341" s="4" t="str">
        <f t="shared" si="243"/>
        <v/>
      </c>
      <c r="AK341" s="4">
        <f t="shared" si="272"/>
        <v>58.900000000000482</v>
      </c>
      <c r="AL341">
        <f t="shared" si="264"/>
        <v>4069.0000000000578</v>
      </c>
      <c r="AM341">
        <f t="shared" si="265"/>
        <v>4677.5833333329983</v>
      </c>
      <c r="AN341">
        <f>IF($AK340+$AK$1&lt;=Data!$H$4-0.5,AVERAGE(AM339:AM343),AN340)</f>
        <v>4678.0466666663369</v>
      </c>
      <c r="AO341">
        <f t="shared" si="266"/>
        <v>6792.9999999999418</v>
      </c>
      <c r="AP341">
        <f t="shared" si="273"/>
        <v>3479.9333333330123</v>
      </c>
      <c r="AQ341">
        <f>IF($AK340+$AK$1&lt;=Data!$H$4-0.5,AVERAGE(AP339:AP343),AQ340)</f>
        <v>3481.1999999996915</v>
      </c>
      <c r="AR341">
        <f>IF($AK340+$AK$1&lt;=Data!$H$4-0.5,SLOPE($AN337:$AN345,$AK337:$AK345),AR340)</f>
        <v>-687.72499999998445</v>
      </c>
      <c r="AS341">
        <f>IF($AK340+$AK$1&lt;=Data!$H$4-0.5,SLOPE($AQ337:$AQ345,$AK337:$AK345),AS340)</f>
        <v>-640.49999999995509</v>
      </c>
      <c r="AT341">
        <f>IF(AND($AK341&gt;=Results!$G$13,$AK341&lt;=Results!$G$14),Curves!AR341,"")</f>
        <v>-687.72499999998445</v>
      </c>
      <c r="AU341">
        <f>IF(AND($AK341&gt;=Results!$G$13,$AK341&lt;=Results!$G$14),Curves!AS341,"")</f>
        <v>-640.49999999995509</v>
      </c>
      <c r="AV341" t="str">
        <f t="shared" si="267"/>
        <v/>
      </c>
      <c r="AW341" t="str">
        <f>IF(AND($AK341&lt;=Results!$I$21,$AK341&gt;=Results!$I$20,$AK341&lt;=Results!$F$4),$AN341,"")</f>
        <v/>
      </c>
      <c r="AX341" t="str">
        <f t="shared" si="267"/>
        <v/>
      </c>
      <c r="AY341" t="str">
        <f>IF(AND($AK341&lt;=Results!$I$23,$AK341&gt;=Results!$I$22,$AK341&gt;=Results!$F$4),$AN341,"")</f>
        <v/>
      </c>
      <c r="AZ341" t="str">
        <f t="shared" si="246"/>
        <v/>
      </c>
      <c r="BA341" t="str">
        <f>IF(AND($AK341&lt;=Results!$I$27,$AK341&gt;=Results!$I$26,$AK341&lt;=Results!$F$4),$AQ341,"")</f>
        <v/>
      </c>
      <c r="BB341" t="str">
        <f t="shared" si="247"/>
        <v/>
      </c>
      <c r="BC341" t="str">
        <f>IF(AND($AK341&lt;=Results!$I$29,$AK341&gt;=Results!$I$28,$AK341&gt;=Results!$F$4),$AQ341,"")</f>
        <v/>
      </c>
      <c r="BD341">
        <f t="shared" si="248"/>
        <v>8415.5829850339069</v>
      </c>
      <c r="BE341">
        <f t="shared" si="249"/>
        <v>1522.0093030905812</v>
      </c>
      <c r="BF341">
        <f t="shared" si="250"/>
        <v>8891.4484110444009</v>
      </c>
      <c r="BG341">
        <f t="shared" si="251"/>
        <v>1214.3692720212898</v>
      </c>
      <c r="BH341">
        <f t="shared" si="252"/>
        <v>0</v>
      </c>
      <c r="BI341">
        <f t="shared" si="253"/>
        <v>0.4578231131180216</v>
      </c>
      <c r="BJ341">
        <f t="shared" si="254"/>
        <v>0.29527254922460655</v>
      </c>
      <c r="BK341">
        <f t="shared" si="255"/>
        <v>-9.0170309288352499E-2</v>
      </c>
      <c r="BL341">
        <f t="shared" si="256"/>
        <v>-8.053253201554085E-2</v>
      </c>
      <c r="BM341">
        <f t="shared" si="268"/>
        <v>120.00000000000055</v>
      </c>
      <c r="BN341">
        <f t="shared" si="269"/>
        <v>-120.00000000000284</v>
      </c>
      <c r="BO341">
        <f>Data!$H$2*(1-BI341)*(1-BI341/Data!$H$3)*BM341</f>
        <v>7.054938640056838E-5</v>
      </c>
      <c r="BP341">
        <f t="shared" si="257"/>
        <v>-54.938773574162845</v>
      </c>
      <c r="BQ341">
        <f>Data!$H$2*(1-BJ341)*(1-BJ341/Data!$H$3)*BN341</f>
        <v>-1.1919378717033512E-4</v>
      </c>
      <c r="BR341">
        <f t="shared" si="258"/>
        <v>35.432705906953622</v>
      </c>
      <c r="BS341">
        <f t="shared" si="259"/>
        <v>1881.9659913720452</v>
      </c>
      <c r="BT341">
        <f t="shared" si="260"/>
        <v>4.0580056798216364E-3</v>
      </c>
      <c r="BU341">
        <f t="shared" si="261"/>
        <v>3.0115946393615379E-3</v>
      </c>
      <c r="BV341">
        <f t="shared" si="244"/>
        <v>7.5400722495102377</v>
      </c>
      <c r="BW341">
        <f t="shared" si="270"/>
        <v>-5.5070636379191589</v>
      </c>
      <c r="BX341">
        <f t="shared" si="271"/>
        <v>3.0115946393615379E-3</v>
      </c>
      <c r="BY341" s="66">
        <f t="shared" si="262"/>
        <v>0.4578231131180216</v>
      </c>
      <c r="BZ341">
        <f t="shared" si="263"/>
        <v>7.5400722495102377</v>
      </c>
      <c r="CA341" s="67">
        <f t="shared" si="245"/>
        <v>-5.5070636379191589</v>
      </c>
    </row>
    <row r="342" spans="4:79" x14ac:dyDescent="0.25">
      <c r="D342" s="3" t="e">
        <f t="shared" si="274"/>
        <v>#DIV/0!</v>
      </c>
      <c r="E342" s="3" t="e">
        <f t="shared" si="274"/>
        <v>#DIV/0!</v>
      </c>
      <c r="F342" t="str">
        <f>IF(A342&gt;0,IF(F341=1,1,IF(B342=Data!$H$4,1,0)),"")</f>
        <v/>
      </c>
      <c r="Y342" s="4"/>
      <c r="Z342" s="4"/>
      <c r="AA342" s="4" t="str">
        <f t="shared" si="242"/>
        <v/>
      </c>
      <c r="AE342" s="4" t="str">
        <f t="shared" si="243"/>
        <v/>
      </c>
      <c r="AK342" s="4">
        <f t="shared" si="272"/>
        <v>59.000000000000483</v>
      </c>
      <c r="AL342">
        <f t="shared" si="264"/>
        <v>4081.0000000000582</v>
      </c>
      <c r="AM342">
        <f t="shared" si="265"/>
        <v>4607.9999999996753</v>
      </c>
      <c r="AN342">
        <f>IF($AK341+$AK$1&lt;=Data!$H$4-0.5,AVERAGE(AM340:AM344),AN341)</f>
        <v>4609.3899999996702</v>
      </c>
      <c r="AO342">
        <f t="shared" si="266"/>
        <v>6780.9999999999418</v>
      </c>
      <c r="AP342">
        <f t="shared" si="273"/>
        <v>3413.6666666663746</v>
      </c>
      <c r="AQ342">
        <f>IF($AK341+$AK$1&lt;=Data!$H$4-0.5,AVERAGE(AP340:AP344),AQ341)</f>
        <v>3417.4666666663629</v>
      </c>
      <c r="AR342">
        <f>IF($AK341+$AK$1&lt;=Data!$H$4-0.5,SLOPE($AN338:$AN346,$AK338:$AK346),AR341)</f>
        <v>-684.24999999998363</v>
      </c>
      <c r="AS342">
        <f>IF($AK341+$AK$1&lt;=Data!$H$4-0.5,SLOPE($AQ338:$AQ346,$AK338:$AK346),AS341)</f>
        <v>-630.99999999995362</v>
      </c>
      <c r="AT342">
        <f>IF(AND($AK342&gt;=Results!$G$13,$AK342&lt;=Results!$G$14),Curves!AR342,"")</f>
        <v>-684.24999999998363</v>
      </c>
      <c r="AU342">
        <f>IF(AND($AK342&gt;=Results!$G$13,$AK342&lt;=Results!$G$14),Curves!AS342,"")</f>
        <v>-630.99999999995362</v>
      </c>
      <c r="AV342" t="str">
        <f t="shared" si="267"/>
        <v/>
      </c>
      <c r="AW342" t="str">
        <f>IF(AND($AK342&lt;=Results!$I$21,$AK342&gt;=Results!$I$20,$AK342&lt;=Results!$F$4),$AN342,"")</f>
        <v/>
      </c>
      <c r="AX342" t="str">
        <f t="shared" si="267"/>
        <v/>
      </c>
      <c r="AY342" t="str">
        <f>IF(AND($AK342&lt;=Results!$I$23,$AK342&gt;=Results!$I$22,$AK342&gt;=Results!$F$4),$AN342,"")</f>
        <v/>
      </c>
      <c r="AZ342" t="str">
        <f t="shared" si="246"/>
        <v/>
      </c>
      <c r="BA342" t="str">
        <f>IF(AND($AK342&lt;=Results!$I$27,$AK342&gt;=Results!$I$26,$AK342&lt;=Results!$F$4),$AQ342,"")</f>
        <v/>
      </c>
      <c r="BB342" t="str">
        <f t="shared" si="247"/>
        <v/>
      </c>
      <c r="BC342" t="str">
        <f>IF(AND($AK342&lt;=Results!$I$29,$AK342&gt;=Results!$I$28,$AK342&gt;=Results!$F$4),$AQ342,"")</f>
        <v/>
      </c>
      <c r="BD342">
        <f t="shared" si="248"/>
        <v>8404.8127902359865</v>
      </c>
      <c r="BE342">
        <f t="shared" si="249"/>
        <v>1518.6935138412603</v>
      </c>
      <c r="BF342">
        <f t="shared" si="250"/>
        <v>8884.1584288115082</v>
      </c>
      <c r="BG342">
        <f t="shared" si="251"/>
        <v>1213.8184710617647</v>
      </c>
      <c r="BH342">
        <f t="shared" si="252"/>
        <v>0</v>
      </c>
      <c r="BI342">
        <f t="shared" si="253"/>
        <v>0.44882993774928692</v>
      </c>
      <c r="BJ342">
        <f t="shared" si="254"/>
        <v>0.28729472327730909</v>
      </c>
      <c r="BK342">
        <f t="shared" si="255"/>
        <v>-8.9692422518592274E-2</v>
      </c>
      <c r="BL342">
        <f t="shared" si="256"/>
        <v>-7.9021997064465097E-2</v>
      </c>
      <c r="BM342">
        <f t="shared" si="268"/>
        <v>120.00000000000055</v>
      </c>
      <c r="BN342">
        <f t="shared" si="269"/>
        <v>-119.99999999999829</v>
      </c>
      <c r="BO342">
        <f>Data!$H$2*(1-BI342)*(1-BI342/Data!$H$3)*BM342</f>
        <v>7.2909225005149511E-5</v>
      </c>
      <c r="BP342">
        <f t="shared" si="257"/>
        <v>-53.859592529914678</v>
      </c>
      <c r="BQ342">
        <f>Data!$H$2*(1-BJ342)*(1-BJ342/Data!$H$3)*BN342</f>
        <v>-1.2190771475240644E-4</v>
      </c>
      <c r="BR342">
        <f t="shared" si="258"/>
        <v>34.475366793276599</v>
      </c>
      <c r="BS342">
        <f t="shared" si="259"/>
        <v>1813.3459361603323</v>
      </c>
      <c r="BT342">
        <f t="shared" si="260"/>
        <v>4.1200101777047549E-3</v>
      </c>
      <c r="BU342">
        <f t="shared" si="261"/>
        <v>3.0106879421947876E-3</v>
      </c>
      <c r="BV342">
        <f t="shared" si="244"/>
        <v>7.5029290012461454</v>
      </c>
      <c r="BW342">
        <f t="shared" si="270"/>
        <v>-5.4918996453070648</v>
      </c>
      <c r="BX342">
        <f t="shared" si="271"/>
        <v>3.0106879421947876E-3</v>
      </c>
      <c r="BY342" s="66">
        <f t="shared" si="262"/>
        <v>0.44882993774928692</v>
      </c>
      <c r="BZ342">
        <f t="shared" si="263"/>
        <v>7.5029290012461454</v>
      </c>
      <c r="CA342" s="67">
        <f t="shared" si="245"/>
        <v>-5.4918996453070648</v>
      </c>
    </row>
    <row r="343" spans="4:79" x14ac:dyDescent="0.25">
      <c r="D343" s="3" t="e">
        <f t="shared" si="274"/>
        <v>#DIV/0!</v>
      </c>
      <c r="E343" s="3" t="e">
        <f t="shared" si="274"/>
        <v>#DIV/0!</v>
      </c>
      <c r="F343" t="str">
        <f>IF(A343&gt;0,IF(F342=1,1,IF(B343=Data!$H$4,1,0)),"")</f>
        <v/>
      </c>
      <c r="Y343" s="4"/>
      <c r="Z343" s="4"/>
      <c r="AA343" s="4" t="str">
        <f t="shared" si="242"/>
        <v/>
      </c>
      <c r="AE343" s="4" t="str">
        <f t="shared" si="243"/>
        <v/>
      </c>
      <c r="AK343" s="4">
        <f t="shared" si="272"/>
        <v>59.100000000000485</v>
      </c>
      <c r="AL343">
        <f t="shared" si="264"/>
        <v>4093.0000000000582</v>
      </c>
      <c r="AM343">
        <f t="shared" si="265"/>
        <v>4540.733333333008</v>
      </c>
      <c r="AN343">
        <f>IF($AK342+$AK$1&lt;=Data!$H$4-0.5,AVERAGE(AM341:AM345),AN342)</f>
        <v>4541.1966666663393</v>
      </c>
      <c r="AO343">
        <f t="shared" si="266"/>
        <v>6768.9999999999418</v>
      </c>
      <c r="AP343">
        <f t="shared" si="273"/>
        <v>3353.7333333330412</v>
      </c>
      <c r="AQ343">
        <f>IF($AK342+$AK$1&lt;=Data!$H$4-0.5,AVERAGE(AP341:AP345),AQ342)</f>
        <v>3354.9999999997017</v>
      </c>
      <c r="AR343">
        <f>IF($AK342+$AK$1&lt;=Data!$H$4-0.5,SLOPE($AN339:$AN347,$AK339:$AK347),AR342)</f>
        <v>-680.77499999998406</v>
      </c>
      <c r="AS343">
        <f>IF($AK342+$AK$1&lt;=Data!$H$4-0.5,SLOPE($AQ339:$AQ347,$AK339:$AK347),AS342)</f>
        <v>-621.49999999995748</v>
      </c>
      <c r="AT343">
        <f>IF(AND($AK343&gt;=Results!$G$13,$AK343&lt;=Results!$G$14),Curves!AR343,"")</f>
        <v>-680.77499999998406</v>
      </c>
      <c r="AU343">
        <f>IF(AND($AK343&gt;=Results!$G$13,$AK343&lt;=Results!$G$14),Curves!AS343,"")</f>
        <v>-621.49999999995748</v>
      </c>
      <c r="AV343" t="str">
        <f t="shared" si="267"/>
        <v/>
      </c>
      <c r="AW343" t="str">
        <f>IF(AND($AK343&lt;=Results!$I$21,$AK343&gt;=Results!$I$20,$AK343&lt;=Results!$F$4),$AN343,"")</f>
        <v/>
      </c>
      <c r="AX343" t="str">
        <f t="shared" si="267"/>
        <v/>
      </c>
      <c r="AY343" t="str">
        <f>IF(AND($AK343&lt;=Results!$I$23,$AK343&gt;=Results!$I$22,$AK343&gt;=Results!$F$4),$AN343,"")</f>
        <v/>
      </c>
      <c r="AZ343" t="str">
        <f t="shared" si="246"/>
        <v/>
      </c>
      <c r="BA343" t="str">
        <f>IF(AND($AK343&lt;=Results!$I$27,$AK343&gt;=Results!$I$26,$AK343&lt;=Results!$F$4),$AQ343,"")</f>
        <v/>
      </c>
      <c r="BB343" t="str">
        <f t="shared" si="247"/>
        <v/>
      </c>
      <c r="BC343" t="str">
        <f>IF(AND($AK343&lt;=Results!$I$29,$AK343&gt;=Results!$I$28,$AK343&gt;=Results!$F$4),$AQ343,"")</f>
        <v/>
      </c>
      <c r="BD343">
        <f t="shared" si="248"/>
        <v>8394.0425954380662</v>
      </c>
      <c r="BE343">
        <f t="shared" si="249"/>
        <v>1515.3777245919396</v>
      </c>
      <c r="BF343">
        <f t="shared" si="250"/>
        <v>8876.8684465786137</v>
      </c>
      <c r="BG343">
        <f t="shared" si="251"/>
        <v>1213.2676701022399</v>
      </c>
      <c r="BH343">
        <f t="shared" si="252"/>
        <v>0</v>
      </c>
      <c r="BI343">
        <f t="shared" si="253"/>
        <v>0.43988462861430289</v>
      </c>
      <c r="BJ343">
        <f t="shared" si="254"/>
        <v>0.27946814981171331</v>
      </c>
      <c r="BK343">
        <f t="shared" si="255"/>
        <v>-8.9212981247771939E-2</v>
      </c>
      <c r="BL343">
        <f t="shared" si="256"/>
        <v>-7.7507475375988566E-2</v>
      </c>
      <c r="BM343">
        <f t="shared" si="268"/>
        <v>119.99999999999829</v>
      </c>
      <c r="BN343">
        <f t="shared" si="269"/>
        <v>-119.99999999999829</v>
      </c>
      <c r="BO343">
        <f>Data!$H$2*(1-BI343)*(1-BI343/Data!$H$3)*BM343</f>
        <v>7.5295015023007906E-5</v>
      </c>
      <c r="BP343">
        <f t="shared" si="257"/>
        <v>-52.786155433715599</v>
      </c>
      <c r="BQ343">
        <f>Data!$H$2*(1-BJ343)*(1-BJ343/Data!$H$3)*BN343</f>
        <v>-1.2459987531257958E-4</v>
      </c>
      <c r="BR343">
        <f t="shared" si="258"/>
        <v>33.536177977405117</v>
      </c>
      <c r="BS343">
        <f t="shared" si="259"/>
        <v>1748.0532475015316</v>
      </c>
      <c r="BT343">
        <f t="shared" si="260"/>
        <v>4.1835340150263561E-3</v>
      </c>
      <c r="BU343">
        <f t="shared" si="261"/>
        <v>3.0097817908201615E-3</v>
      </c>
      <c r="BV343">
        <f t="shared" si="244"/>
        <v>7.4662580177089231</v>
      </c>
      <c r="BW343">
        <f t="shared" si="270"/>
        <v>-5.4765989315036121</v>
      </c>
      <c r="BX343">
        <f t="shared" si="271"/>
        <v>3.0097817908201615E-3</v>
      </c>
      <c r="BY343" s="66">
        <f t="shared" si="262"/>
        <v>0.43988462861430289</v>
      </c>
      <c r="BZ343">
        <f t="shared" si="263"/>
        <v>7.4662580177089231</v>
      </c>
      <c r="CA343" s="67">
        <f t="shared" si="245"/>
        <v>-5.4765989315036121</v>
      </c>
    </row>
    <row r="344" spans="4:79" x14ac:dyDescent="0.25">
      <c r="D344" s="3" t="e">
        <f t="shared" si="274"/>
        <v>#DIV/0!</v>
      </c>
      <c r="E344" s="3" t="e">
        <f t="shared" si="274"/>
        <v>#DIV/0!</v>
      </c>
      <c r="F344" t="str">
        <f>IF(A344&gt;0,IF(F343=1,1,IF(B344=Data!$H$4,1,0)),"")</f>
        <v/>
      </c>
      <c r="Y344" s="4"/>
      <c r="Z344" s="4"/>
      <c r="AA344" s="4" t="str">
        <f t="shared" si="242"/>
        <v/>
      </c>
      <c r="AE344" s="4" t="str">
        <f t="shared" si="243"/>
        <v/>
      </c>
      <c r="AK344" s="4">
        <f t="shared" si="272"/>
        <v>59.200000000000486</v>
      </c>
      <c r="AL344">
        <f t="shared" si="264"/>
        <v>4105.0000000000582</v>
      </c>
      <c r="AM344">
        <f t="shared" si="265"/>
        <v>4473.4666666663406</v>
      </c>
      <c r="AN344">
        <f>IF($AK343+$AK$1&lt;=Data!$H$4-0.5,AVERAGE(AM342:AM346),AN343)</f>
        <v>4473.4666666663397</v>
      </c>
      <c r="AO344">
        <f t="shared" si="266"/>
        <v>6756.9999999999418</v>
      </c>
      <c r="AP344">
        <f t="shared" si="273"/>
        <v>3293.7999999997073</v>
      </c>
      <c r="AQ344">
        <f>IF($AK343+$AK$1&lt;=Data!$H$4-0.5,AVERAGE(AP342:AP346),AQ343)</f>
        <v>3293.7999999997073</v>
      </c>
      <c r="AR344">
        <f>IF($AK343+$AK$1&lt;=Data!$H$4-0.5,SLOPE($AN340:$AN348,$AK340:$AK348),AR343)</f>
        <v>-677.68611111109806</v>
      </c>
      <c r="AS344">
        <f>IF($AK343+$AK$1&lt;=Data!$H$4-0.5,SLOPE($AQ340:$AQ348,$AK340:$AK348),AS343)</f>
        <v>-613.05555555552212</v>
      </c>
      <c r="AT344">
        <f>IF(AND($AK344&gt;=Results!$G$13,$AK344&lt;=Results!$G$14),Curves!AR344,"")</f>
        <v>-677.68611111109806</v>
      </c>
      <c r="AU344">
        <f>IF(AND($AK344&gt;=Results!$G$13,$AK344&lt;=Results!$G$14),Curves!AS344,"")</f>
        <v>-613.05555555552212</v>
      </c>
      <c r="AV344" t="str">
        <f t="shared" si="267"/>
        <v/>
      </c>
      <c r="AW344" t="str">
        <f>IF(AND($AK344&lt;=Results!$I$21,$AK344&gt;=Results!$I$20,$AK344&lt;=Results!$F$4),$AN344,"")</f>
        <v/>
      </c>
      <c r="AX344" t="str">
        <f t="shared" si="267"/>
        <v/>
      </c>
      <c r="AY344" t="str">
        <f>IF(AND($AK344&lt;=Results!$I$23,$AK344&gt;=Results!$I$22,$AK344&gt;=Results!$F$4),$AN344,"")</f>
        <v/>
      </c>
      <c r="AZ344" t="str">
        <f t="shared" si="246"/>
        <v/>
      </c>
      <c r="BA344" t="str">
        <f>IF(AND($AK344&lt;=Results!$I$27,$AK344&gt;=Results!$I$26,$AK344&lt;=Results!$F$4),$AQ344,"")</f>
        <v/>
      </c>
      <c r="BB344" t="str">
        <f t="shared" si="247"/>
        <v/>
      </c>
      <c r="BC344" t="str">
        <f>IF(AND($AK344&lt;=Results!$I$29,$AK344&gt;=Results!$I$28,$AK344&gt;=Results!$F$4),$AQ344,"")</f>
        <v/>
      </c>
      <c r="BD344">
        <f t="shared" si="248"/>
        <v>8383.2724006401477</v>
      </c>
      <c r="BE344">
        <f t="shared" si="249"/>
        <v>1512.0619353426187</v>
      </c>
      <c r="BF344">
        <f t="shared" si="250"/>
        <v>8869.5784643457228</v>
      </c>
      <c r="BG344">
        <f t="shared" si="251"/>
        <v>1212.7168691427148</v>
      </c>
      <c r="BH344">
        <f t="shared" si="252"/>
        <v>0</v>
      </c>
      <c r="BI344">
        <f t="shared" si="253"/>
        <v>0.43098734149973228</v>
      </c>
      <c r="BJ344">
        <f t="shared" si="254"/>
        <v>0.27179322820211116</v>
      </c>
      <c r="BK344">
        <f t="shared" si="255"/>
        <v>-8.8731978726461616E-2</v>
      </c>
      <c r="BL344">
        <f t="shared" si="256"/>
        <v>-7.5988952908223079E-2</v>
      </c>
      <c r="BM344">
        <f t="shared" si="268"/>
        <v>119.99999999999829</v>
      </c>
      <c r="BN344">
        <f t="shared" si="269"/>
        <v>-119.99999999999829</v>
      </c>
      <c r="BO344">
        <f>Data!$H$2*(1-BI344)*(1-BI344/Data!$H$3)*BM344</f>
        <v>7.770609732804904E-5</v>
      </c>
      <c r="BP344">
        <f t="shared" si="257"/>
        <v>-51.71848097996714</v>
      </c>
      <c r="BQ344">
        <f>Data!$H$2*(1-BJ344)*(1-BJ344/Data!$H$3)*BN344</f>
        <v>-1.2726842459815079E-4</v>
      </c>
      <c r="BR344">
        <f t="shared" si="258"/>
        <v>32.615187384252877</v>
      </c>
      <c r="BS344">
        <f t="shared" si="259"/>
        <v>1685.8936234470816</v>
      </c>
      <c r="BT344">
        <f t="shared" si="260"/>
        <v>4.2486977295387177E-3</v>
      </c>
      <c r="BU344">
        <f t="shared" si="261"/>
        <v>3.0088761847449933E-3</v>
      </c>
      <c r="BV344">
        <f t="shared" si="244"/>
        <v>7.4300510425304109</v>
      </c>
      <c r="BW344">
        <f t="shared" si="270"/>
        <v>-5.4611427595800892</v>
      </c>
      <c r="BX344">
        <f t="shared" si="271"/>
        <v>3.0088761847449933E-3</v>
      </c>
      <c r="BY344" s="66">
        <f t="shared" si="262"/>
        <v>0.43098734149973228</v>
      </c>
      <c r="BZ344">
        <f t="shared" si="263"/>
        <v>7.4300510425304109</v>
      </c>
      <c r="CA344" s="67">
        <f t="shared" si="245"/>
        <v>-5.4611427595800892</v>
      </c>
    </row>
    <row r="345" spans="4:79" x14ac:dyDescent="0.25">
      <c r="D345" s="3" t="e">
        <f t="shared" si="274"/>
        <v>#DIV/0!</v>
      </c>
      <c r="E345" s="3" t="e">
        <f t="shared" si="274"/>
        <v>#DIV/0!</v>
      </c>
      <c r="F345" t="str">
        <f>IF(A345&gt;0,IF(F344=1,1,IF(B345=Data!$H$4,1,0)),"")</f>
        <v/>
      </c>
      <c r="Y345" s="4"/>
      <c r="Z345" s="4"/>
      <c r="AA345" s="4" t="str">
        <f t="shared" si="242"/>
        <v/>
      </c>
      <c r="AE345" s="4" t="str">
        <f t="shared" si="243"/>
        <v/>
      </c>
      <c r="AK345" s="4">
        <f t="shared" si="272"/>
        <v>59.300000000000487</v>
      </c>
      <c r="AL345">
        <f t="shared" si="264"/>
        <v>4117.0000000000582</v>
      </c>
      <c r="AM345">
        <f t="shared" si="265"/>
        <v>4406.1999999996733</v>
      </c>
      <c r="AN345">
        <f>IF($AK344+$AK$1&lt;=Data!$H$4-0.5,AVERAGE(AM343:AM347),AN344)</f>
        <v>4406.1999999996724</v>
      </c>
      <c r="AO345">
        <f t="shared" si="266"/>
        <v>6744.9999999999418</v>
      </c>
      <c r="AP345">
        <f t="shared" si="273"/>
        <v>3233.8666666663735</v>
      </c>
      <c r="AQ345">
        <f>IF($AK344+$AK$1&lt;=Data!$H$4-0.5,AVERAGE(AP343:AP347),AQ344)</f>
        <v>3233.8666666663739</v>
      </c>
      <c r="AR345">
        <f>IF($AK344+$AK$1&lt;=Data!$H$4-0.5,SLOPE($AN341:$AN349,$AK341:$AK349),AR344)</f>
        <v>-675.36944444443509</v>
      </c>
      <c r="AS345">
        <f>IF($AK344+$AK$1&lt;=Data!$H$4-0.5,SLOPE($AQ341:$AQ349,$AK341:$AK349),AS344)</f>
        <v>-606.72222222219796</v>
      </c>
      <c r="AT345">
        <f>IF(AND($AK345&gt;=Results!$G$13,$AK345&lt;=Results!$G$14),Curves!AR345,"")</f>
        <v>-675.36944444443509</v>
      </c>
      <c r="AU345">
        <f>IF(AND($AK345&gt;=Results!$G$13,$AK345&lt;=Results!$G$14),Curves!AS345,"")</f>
        <v>-606.72222222219796</v>
      </c>
      <c r="AV345" t="str">
        <f t="shared" si="267"/>
        <v/>
      </c>
      <c r="AW345" t="str">
        <f>IF(AND($AK345&lt;=Results!$I$21,$AK345&gt;=Results!$I$20,$AK345&lt;=Results!$F$4),$AN345,"")</f>
        <v/>
      </c>
      <c r="AX345" t="str">
        <f t="shared" si="267"/>
        <v/>
      </c>
      <c r="AY345" t="str">
        <f>IF(AND($AK345&lt;=Results!$I$23,$AK345&gt;=Results!$I$22,$AK345&gt;=Results!$F$4),$AN345,"")</f>
        <v/>
      </c>
      <c r="AZ345" t="str">
        <f t="shared" si="246"/>
        <v/>
      </c>
      <c r="BA345" t="str">
        <f>IF(AND($AK345&lt;=Results!$I$27,$AK345&gt;=Results!$I$26,$AK345&lt;=Results!$F$4),$AQ345,"")</f>
        <v/>
      </c>
      <c r="BB345" t="str">
        <f t="shared" si="247"/>
        <v/>
      </c>
      <c r="BC345" t="str">
        <f>IF(AND($AK345&lt;=Results!$I$29,$AK345&gt;=Results!$I$28,$AK345&gt;=Results!$F$4),$AQ345,"")</f>
        <v/>
      </c>
      <c r="BD345">
        <f t="shared" si="248"/>
        <v>8372.5022058422273</v>
      </c>
      <c r="BE345">
        <f t="shared" si="249"/>
        <v>1508.746146093298</v>
      </c>
      <c r="BF345">
        <f t="shared" si="250"/>
        <v>8862.2884821128282</v>
      </c>
      <c r="BG345">
        <f t="shared" si="251"/>
        <v>1212.16606818319</v>
      </c>
      <c r="BH345">
        <f t="shared" si="252"/>
        <v>0</v>
      </c>
      <c r="BI345">
        <f t="shared" si="253"/>
        <v>0.42213823286901031</v>
      </c>
      <c r="BJ345">
        <f t="shared" si="254"/>
        <v>0.26427035923006847</v>
      </c>
      <c r="BK345">
        <f t="shared" si="255"/>
        <v>-8.8587296841416266E-2</v>
      </c>
      <c r="BL345">
        <f t="shared" si="256"/>
        <v>-7.5295018957304324E-2</v>
      </c>
      <c r="BM345">
        <f t="shared" si="268"/>
        <v>119.99999999999829</v>
      </c>
      <c r="BN345">
        <f t="shared" si="269"/>
        <v>-119.99999999999829</v>
      </c>
      <c r="BO345">
        <f>Data!$H$2*(1-BI345)*(1-BI345/Data!$H$3)*BM345</f>
        <v>8.014181325881888E-5</v>
      </c>
      <c r="BP345">
        <f t="shared" si="257"/>
        <v>-50.656587944280517</v>
      </c>
      <c r="BQ345">
        <f>Data!$H$2*(1-BJ345)*(1-BJ345/Data!$H$3)*BN345</f>
        <v>-1.2991154503378674E-4</v>
      </c>
      <c r="BR345">
        <f t="shared" si="258"/>
        <v>31.712443107607765</v>
      </c>
      <c r="BS345">
        <f t="shared" si="259"/>
        <v>1639.7327275581497</v>
      </c>
      <c r="BT345">
        <f t="shared" si="260"/>
        <v>4.3429385952670459E-3</v>
      </c>
      <c r="BU345">
        <f t="shared" si="261"/>
        <v>3.0079711234772106E-3</v>
      </c>
      <c r="BV345">
        <f t="shared" si="244"/>
        <v>7.4022885365358997</v>
      </c>
      <c r="BW345">
        <f t="shared" si="270"/>
        <v>-5.4392040643120341</v>
      </c>
      <c r="BX345">
        <f t="shared" si="271"/>
        <v>3.0079711234772106E-3</v>
      </c>
      <c r="BY345" s="66">
        <f t="shared" si="262"/>
        <v>0.42213823286901031</v>
      </c>
      <c r="BZ345">
        <f t="shared" si="263"/>
        <v>7.4022885365358997</v>
      </c>
      <c r="CA345" s="67">
        <f t="shared" si="245"/>
        <v>-5.4392040643120341</v>
      </c>
    </row>
    <row r="346" spans="4:79" x14ac:dyDescent="0.25">
      <c r="D346" s="3" t="e">
        <f t="shared" si="274"/>
        <v>#DIV/0!</v>
      </c>
      <c r="E346" s="3" t="e">
        <f t="shared" si="274"/>
        <v>#DIV/0!</v>
      </c>
      <c r="F346" t="str">
        <f>IF(A346&gt;0,IF(F345=1,1,IF(B346=Data!$H$4,1,0)),"")</f>
        <v/>
      </c>
      <c r="Y346" s="4"/>
      <c r="Z346" s="4"/>
      <c r="AA346" s="4" t="str">
        <f t="shared" si="242"/>
        <v/>
      </c>
      <c r="AE346" s="4" t="str">
        <f t="shared" si="243"/>
        <v/>
      </c>
      <c r="AK346" s="4">
        <f t="shared" si="272"/>
        <v>59.400000000000489</v>
      </c>
      <c r="AL346">
        <f t="shared" si="264"/>
        <v>4129.0000000000582</v>
      </c>
      <c r="AM346">
        <f t="shared" si="265"/>
        <v>4338.9333333330051</v>
      </c>
      <c r="AN346">
        <f>IF($AK345+$AK$1&lt;=Data!$H$4-0.5,AVERAGE(AM344:AM348),AN345)</f>
        <v>4338.9333333330051</v>
      </c>
      <c r="AO346">
        <f t="shared" si="266"/>
        <v>6732.9999999999418</v>
      </c>
      <c r="AP346">
        <f t="shared" si="273"/>
        <v>3173.9333333330396</v>
      </c>
      <c r="AQ346">
        <f>IF($AK345+$AK$1&lt;=Data!$H$4-0.5,AVERAGE(AP344:AP348),AQ345)</f>
        <v>3173.9333333330401</v>
      </c>
      <c r="AR346">
        <f>IF($AK345+$AK$1&lt;=Data!$H$4-0.5,SLOPE($AN342:$AN350,$AK342:$AK350),AR345)</f>
        <v>-673.82499999999141</v>
      </c>
      <c r="AS346">
        <f>IF($AK345+$AK$1&lt;=Data!$H$4-0.5,SLOPE($AQ342:$AQ350,$AK342:$AK350),AS345)</f>
        <v>-602.49999999997817</v>
      </c>
      <c r="AT346">
        <f>IF(AND($AK346&gt;=Results!$G$13,$AK346&lt;=Results!$G$14),Curves!AR346,"")</f>
        <v>-673.82499999999141</v>
      </c>
      <c r="AU346">
        <f>IF(AND($AK346&gt;=Results!$G$13,$AK346&lt;=Results!$G$14),Curves!AS346,"")</f>
        <v>-602.49999999997817</v>
      </c>
      <c r="AV346" t="str">
        <f t="shared" si="267"/>
        <v/>
      </c>
      <c r="AW346" t="str">
        <f>IF(AND($AK346&lt;=Results!$I$21,$AK346&gt;=Results!$I$20,$AK346&lt;=Results!$F$4),$AN346,"")</f>
        <v/>
      </c>
      <c r="AX346" t="str">
        <f t="shared" si="267"/>
        <v/>
      </c>
      <c r="AY346" t="str">
        <f>IF(AND($AK346&lt;=Results!$I$23,$AK346&gt;=Results!$I$22,$AK346&gt;=Results!$F$4),$AN346,"")</f>
        <v/>
      </c>
      <c r="AZ346" t="str">
        <f t="shared" si="246"/>
        <v/>
      </c>
      <c r="BA346" t="str">
        <f>IF(AND($AK346&lt;=Results!$I$27,$AK346&gt;=Results!$I$26,$AK346&lt;=Results!$F$4),$AQ346,"")</f>
        <v/>
      </c>
      <c r="BB346" t="str">
        <f t="shared" si="247"/>
        <v/>
      </c>
      <c r="BC346" t="str">
        <f>IF(AND($AK346&lt;=Results!$I$29,$AK346&gt;=Results!$I$28,$AK346&gt;=Results!$F$4),$AQ346,"")</f>
        <v/>
      </c>
      <c r="BD346">
        <f t="shared" si="248"/>
        <v>8361.732011044307</v>
      </c>
      <c r="BE346">
        <f t="shared" si="249"/>
        <v>1505.4303568439771</v>
      </c>
      <c r="BF346">
        <f t="shared" si="250"/>
        <v>8854.9984998799355</v>
      </c>
      <c r="BG346">
        <f t="shared" si="251"/>
        <v>1211.6152672236649</v>
      </c>
      <c r="BH346">
        <f t="shared" si="252"/>
        <v>0</v>
      </c>
      <c r="BI346">
        <f t="shared" si="253"/>
        <v>0.41326988213144877</v>
      </c>
      <c r="BJ346">
        <f t="shared" si="254"/>
        <v>0.25673422441065008</v>
      </c>
      <c r="BK346">
        <f t="shared" si="255"/>
        <v>-8.8780032061513262E-2</v>
      </c>
      <c r="BL346">
        <f t="shared" si="256"/>
        <v>-7.5427853033621123E-2</v>
      </c>
      <c r="BM346">
        <f t="shared" si="268"/>
        <v>120.00000000000284</v>
      </c>
      <c r="BN346">
        <f t="shared" si="269"/>
        <v>-120.00000000000284</v>
      </c>
      <c r="BO346">
        <f>Data!$H$2*(1-BI346)*(1-BI346/Data!$H$3)*BM346</f>
        <v>8.2620535491372509E-5</v>
      </c>
      <c r="BP346">
        <f t="shared" si="257"/>
        <v>-49.592385855775028</v>
      </c>
      <c r="BQ346">
        <f>Data!$H$2*(1-BJ346)*(1-BJ346/Data!$H$3)*BN346</f>
        <v>-1.3258656315898821E-4</v>
      </c>
      <c r="BR346">
        <f t="shared" si="258"/>
        <v>30.80810692927874</v>
      </c>
      <c r="BS346">
        <f t="shared" si="259"/>
        <v>1606.9354497657512</v>
      </c>
      <c r="BT346">
        <f t="shared" si="260"/>
        <v>4.4673369832524436E-3</v>
      </c>
      <c r="BU346">
        <f t="shared" si="261"/>
        <v>3.0070666065253305E-3</v>
      </c>
      <c r="BV346">
        <f t="shared" si="244"/>
        <v>7.3820841967700481</v>
      </c>
      <c r="BW346">
        <f t="shared" si="270"/>
        <v>-5.4109628010754758</v>
      </c>
      <c r="BX346">
        <f t="shared" si="271"/>
        <v>3.0070666065253305E-3</v>
      </c>
      <c r="BY346" s="66">
        <f t="shared" si="262"/>
        <v>0.41326988213144877</v>
      </c>
      <c r="BZ346">
        <f t="shared" si="263"/>
        <v>7.3820841967700481</v>
      </c>
      <c r="CA346" s="67">
        <f t="shared" si="245"/>
        <v>-5.4109628010754758</v>
      </c>
    </row>
    <row r="347" spans="4:79" x14ac:dyDescent="0.25">
      <c r="D347" s="3" t="e">
        <f t="shared" si="274"/>
        <v>#DIV/0!</v>
      </c>
      <c r="E347" s="3" t="e">
        <f t="shared" si="274"/>
        <v>#DIV/0!</v>
      </c>
      <c r="F347" t="str">
        <f>IF(A347&gt;0,IF(F346=1,1,IF(B347=Data!$H$4,1,0)),"")</f>
        <v/>
      </c>
      <c r="Y347" s="4"/>
      <c r="Z347" s="4"/>
      <c r="AA347" s="4" t="str">
        <f t="shared" si="242"/>
        <v/>
      </c>
      <c r="AE347" s="4" t="str">
        <f t="shared" si="243"/>
        <v/>
      </c>
      <c r="AK347" s="4">
        <f t="shared" si="272"/>
        <v>59.50000000000049</v>
      </c>
      <c r="AL347">
        <f t="shared" si="264"/>
        <v>4141.0000000000591</v>
      </c>
      <c r="AM347">
        <f t="shared" si="265"/>
        <v>4271.6666666663377</v>
      </c>
      <c r="AN347">
        <f>IF($AK346+$AK$1&lt;=Data!$H$4-0.5,AVERAGE(AM345:AM349),AN346)</f>
        <v>4271.6666666663386</v>
      </c>
      <c r="AO347">
        <f t="shared" si="266"/>
        <v>6720.9999999999409</v>
      </c>
      <c r="AP347">
        <f t="shared" si="273"/>
        <v>3113.9999999997062</v>
      </c>
      <c r="AQ347">
        <f>IF($AK346+$AK$1&lt;=Data!$H$4-0.5,AVERAGE(AP345:AP349),AQ346)</f>
        <v>3113.9999999997062</v>
      </c>
      <c r="AR347">
        <f>IF($AK346+$AK$1&lt;=Data!$H$4-0.5,SLOPE($AN343:$AN351,$AK343:$AK351),AR346)</f>
        <v>-672.65333333332535</v>
      </c>
      <c r="AS347">
        <f>IF($AK346+$AK$1&lt;=Data!$H$4-0.5,SLOPE($AQ343:$AQ351,$AK343:$AK351),AS346)</f>
        <v>-598.9999999999751</v>
      </c>
      <c r="AT347">
        <f>IF(AND($AK347&gt;=Results!$G$13,$AK347&lt;=Results!$G$14),Curves!AR347,"")</f>
        <v>-672.65333333332535</v>
      </c>
      <c r="AU347">
        <f>IF(AND($AK347&gt;=Results!$G$13,$AK347&lt;=Results!$G$14),Curves!AS347,"")</f>
        <v>-598.9999999999751</v>
      </c>
      <c r="AV347" t="str">
        <f t="shared" si="267"/>
        <v/>
      </c>
      <c r="AW347" t="str">
        <f>IF(AND($AK347&lt;=Results!$I$21,$AK347&gt;=Results!$I$20,$AK347&lt;=Results!$F$4),$AN347,"")</f>
        <v/>
      </c>
      <c r="AX347" t="str">
        <f t="shared" si="267"/>
        <v/>
      </c>
      <c r="AY347" t="str">
        <f>IF(AND($AK347&lt;=Results!$I$23,$AK347&gt;=Results!$I$22,$AK347&gt;=Results!$F$4),$AN347,"")</f>
        <v/>
      </c>
      <c r="AZ347" t="str">
        <f t="shared" si="246"/>
        <v/>
      </c>
      <c r="BA347" t="str">
        <f>IF(AND($AK347&lt;=Results!$I$27,$AK347&gt;=Results!$I$26,$AK347&lt;=Results!$F$4),$AQ347,"")</f>
        <v/>
      </c>
      <c r="BB347" t="str">
        <f t="shared" si="247"/>
        <v/>
      </c>
      <c r="BC347" t="str">
        <f>IF(AND($AK347&lt;=Results!$I$29,$AK347&gt;=Results!$I$28,$AK347&gt;=Results!$F$4),$AQ347,"")</f>
        <v/>
      </c>
      <c r="BD347">
        <f t="shared" si="248"/>
        <v>8350.9618162463885</v>
      </c>
      <c r="BE347">
        <f t="shared" si="249"/>
        <v>1502.1145675946561</v>
      </c>
      <c r="BF347">
        <f t="shared" si="250"/>
        <v>8847.7085176470428</v>
      </c>
      <c r="BG347">
        <f t="shared" si="251"/>
        <v>1211.0644662641398</v>
      </c>
      <c r="BH347">
        <f t="shared" si="252"/>
        <v>0</v>
      </c>
      <c r="BI347">
        <f t="shared" si="253"/>
        <v>0.40438222645670741</v>
      </c>
      <c r="BJ347">
        <f t="shared" si="254"/>
        <v>0.24918478862334403</v>
      </c>
      <c r="BK347">
        <f t="shared" si="255"/>
        <v>-8.897339695421709E-2</v>
      </c>
      <c r="BL347">
        <f t="shared" si="256"/>
        <v>-7.5561038935468325E-2</v>
      </c>
      <c r="BM347">
        <f t="shared" si="268"/>
        <v>120.00000000000284</v>
      </c>
      <c r="BN347">
        <f t="shared" si="269"/>
        <v>-120.00000000000284</v>
      </c>
      <c r="BO347">
        <f>Data!$H$2*(1-BI347)*(1-BI347/Data!$H$3)*BM347</f>
        <v>8.5142527718562566E-5</v>
      </c>
      <c r="BP347">
        <f t="shared" si="257"/>
        <v>-48.525867174806038</v>
      </c>
      <c r="BQ347">
        <f>Data!$H$2*(1-BJ347)*(1-BJ347/Data!$H$3)*BN347</f>
        <v>-1.3529363559230061E-4</v>
      </c>
      <c r="BR347">
        <f t="shared" si="258"/>
        <v>29.902174634801991</v>
      </c>
      <c r="BS347">
        <f t="shared" si="259"/>
        <v>1574.1975050698563</v>
      </c>
      <c r="BT347">
        <f t="shared" si="260"/>
        <v>4.5955809684097779E-3</v>
      </c>
      <c r="BU347">
        <f t="shared" si="261"/>
        <v>3.0061626333984623E-3</v>
      </c>
      <c r="BV347">
        <f t="shared" si="244"/>
        <v>7.3615009008194408</v>
      </c>
      <c r="BW347">
        <f t="shared" si="270"/>
        <v>-5.3826600962570703</v>
      </c>
      <c r="BX347">
        <f t="shared" si="271"/>
        <v>3.0061626333984623E-3</v>
      </c>
      <c r="BY347" s="66">
        <f t="shared" si="262"/>
        <v>0.40438222645670741</v>
      </c>
      <c r="BZ347">
        <f t="shared" si="263"/>
        <v>7.3615009008194408</v>
      </c>
      <c r="CA347" s="67">
        <f t="shared" si="245"/>
        <v>-5.3826600962570703</v>
      </c>
    </row>
    <row r="348" spans="4:79" x14ac:dyDescent="0.25">
      <c r="D348" s="3" t="e">
        <f t="shared" si="274"/>
        <v>#DIV/0!</v>
      </c>
      <c r="E348" s="3" t="e">
        <f t="shared" si="274"/>
        <v>#DIV/0!</v>
      </c>
      <c r="F348" t="str">
        <f>IF(A348&gt;0,IF(F347=1,1,IF(B348=Data!$H$4,1,0)),"")</f>
        <v/>
      </c>
      <c r="Y348" s="4"/>
      <c r="Z348" s="4"/>
      <c r="AA348" s="4" t="str">
        <f t="shared" si="242"/>
        <v/>
      </c>
      <c r="AE348" s="4" t="str">
        <f t="shared" si="243"/>
        <v/>
      </c>
      <c r="AK348" s="4">
        <f t="shared" si="272"/>
        <v>59.600000000000492</v>
      </c>
      <c r="AL348">
        <f t="shared" si="264"/>
        <v>4153.0000000000591</v>
      </c>
      <c r="AM348">
        <f t="shared" si="265"/>
        <v>4204.3999999996704</v>
      </c>
      <c r="AN348">
        <f>IF($AK347+$AK$1&lt;=Data!$H$4-0.5,AVERAGE(AM346:AM350),AN347)</f>
        <v>4204.3999999996713</v>
      </c>
      <c r="AO348">
        <f t="shared" si="266"/>
        <v>6708.9999999999409</v>
      </c>
      <c r="AP348">
        <f t="shared" si="273"/>
        <v>3054.0666666663724</v>
      </c>
      <c r="AQ348">
        <f>IF($AK347+$AK$1&lt;=Data!$H$4-0.5,AVERAGE(AP346:AP350),AQ347)</f>
        <v>3054.0666666663724</v>
      </c>
      <c r="AR348">
        <f>IF($AK347+$AK$1&lt;=Data!$H$4-0.5,SLOPE($AN344:$AN352,$AK344:$AK352),AR347)</f>
        <v>-671.4583333333228</v>
      </c>
      <c r="AS348">
        <f>IF($AK347+$AK$1&lt;=Data!$H$4-0.5,SLOPE($AQ344:$AQ352,$AK344:$AK352),AS347)</f>
        <v>-594.91666666663309</v>
      </c>
      <c r="AT348">
        <f>IF(AND($AK348&gt;=Results!$G$13,$AK348&lt;=Results!$G$14),Curves!AR348,"")</f>
        <v>-671.4583333333228</v>
      </c>
      <c r="AU348">
        <f>IF(AND($AK348&gt;=Results!$G$13,$AK348&lt;=Results!$G$14),Curves!AS348,"")</f>
        <v>-594.91666666663309</v>
      </c>
      <c r="AV348" t="str">
        <f t="shared" si="267"/>
        <v/>
      </c>
      <c r="AW348" t="str">
        <f>IF(AND($AK348&lt;=Results!$I$21,$AK348&gt;=Results!$I$20,$AK348&lt;=Results!$F$4),$AN348,"")</f>
        <v/>
      </c>
      <c r="AX348" t="str">
        <f t="shared" si="267"/>
        <v/>
      </c>
      <c r="AY348" t="str">
        <f>IF(AND($AK348&lt;=Results!$I$23,$AK348&gt;=Results!$I$22,$AK348&gt;=Results!$F$4),$AN348,"")</f>
        <v/>
      </c>
      <c r="AZ348" t="str">
        <f t="shared" si="246"/>
        <v/>
      </c>
      <c r="BA348" t="str">
        <f>IF(AND($AK348&lt;=Results!$I$27,$AK348&gt;=Results!$I$26,$AK348&lt;=Results!$F$4),$AQ348,"")</f>
        <v/>
      </c>
      <c r="BB348" t="str">
        <f t="shared" si="247"/>
        <v/>
      </c>
      <c r="BC348" t="str">
        <f>IF(AND($AK348&lt;=Results!$I$29,$AK348&gt;=Results!$I$28,$AK348&gt;=Results!$F$4),$AQ348,"")</f>
        <v/>
      </c>
      <c r="BD348">
        <f t="shared" si="248"/>
        <v>8340.1916214484681</v>
      </c>
      <c r="BE348">
        <f t="shared" si="249"/>
        <v>1498.7987783453354</v>
      </c>
      <c r="BF348">
        <f t="shared" si="250"/>
        <v>8840.4185354141482</v>
      </c>
      <c r="BG348">
        <f t="shared" si="251"/>
        <v>1210.5136653046147</v>
      </c>
      <c r="BH348">
        <f t="shared" si="252"/>
        <v>0</v>
      </c>
      <c r="BI348">
        <f t="shared" si="253"/>
        <v>0.3954752027406051</v>
      </c>
      <c r="BJ348">
        <f t="shared" si="254"/>
        <v>0.2416220166235562</v>
      </c>
      <c r="BK348">
        <f t="shared" si="255"/>
        <v>-8.9167394265403488E-2</v>
      </c>
      <c r="BL348">
        <f t="shared" si="256"/>
        <v>-7.5694577906411126E-2</v>
      </c>
      <c r="BM348">
        <f t="shared" si="268"/>
        <v>119.99999999999829</v>
      </c>
      <c r="BN348">
        <f t="shared" si="269"/>
        <v>-119.99999999999829</v>
      </c>
      <c r="BO348">
        <f>Data!$H$2*(1-BI348)*(1-BI348/Data!$H$3)*BM348</f>
        <v>8.7708055320361757E-5</v>
      </c>
      <c r="BP348">
        <f t="shared" si="257"/>
        <v>-47.457024328871938</v>
      </c>
      <c r="BQ348">
        <f>Data!$H$2*(1-BJ348)*(1-BJ348/Data!$H$3)*BN348</f>
        <v>-1.3803291976082724E-4</v>
      </c>
      <c r="BR348">
        <f t="shared" si="258"/>
        <v>28.994641994826331</v>
      </c>
      <c r="BS348">
        <f t="shared" si="259"/>
        <v>0</v>
      </c>
      <c r="BT348">
        <f t="shared" si="260"/>
        <v>0</v>
      </c>
      <c r="BU348">
        <f t="shared" si="261"/>
        <v>0</v>
      </c>
      <c r="BV348">
        <f t="shared" si="244"/>
        <v>0</v>
      </c>
      <c r="BW348">
        <f t="shared" si="270"/>
        <v>0</v>
      </c>
      <c r="BX348" t="str">
        <f t="shared" si="271"/>
        <v/>
      </c>
      <c r="BY348" s="66" t="str">
        <f t="shared" si="262"/>
        <v/>
      </c>
      <c r="BZ348" t="str">
        <f t="shared" si="263"/>
        <v/>
      </c>
      <c r="CA348" s="67" t="str">
        <f t="shared" si="245"/>
        <v/>
      </c>
    </row>
    <row r="349" spans="4:79" x14ac:dyDescent="0.25">
      <c r="D349" s="3" t="e">
        <f t="shared" si="274"/>
        <v>#DIV/0!</v>
      </c>
      <c r="E349" s="3" t="e">
        <f t="shared" si="274"/>
        <v>#DIV/0!</v>
      </c>
      <c r="F349" t="str">
        <f>IF(A349&gt;0,IF(F348=1,1,IF(B349=Data!$H$4,1,0)),"")</f>
        <v/>
      </c>
      <c r="Y349" s="4"/>
      <c r="Z349" s="4"/>
      <c r="AA349" s="4" t="str">
        <f t="shared" si="242"/>
        <v/>
      </c>
      <c r="AE349" s="4" t="str">
        <f t="shared" si="243"/>
        <v/>
      </c>
      <c r="AK349" s="4">
        <f t="shared" si="272"/>
        <v>59.700000000000493</v>
      </c>
      <c r="AL349">
        <f t="shared" si="264"/>
        <v>4165.0000000000591</v>
      </c>
      <c r="AM349">
        <f t="shared" si="265"/>
        <v>4137.1333333330031</v>
      </c>
      <c r="AN349">
        <f>IF($AK348+$AK$1&lt;=Data!$H$4-0.5,AVERAGE(AM347:AM351),AN348)</f>
        <v>4137.1333333330031</v>
      </c>
      <c r="AO349">
        <f t="shared" si="266"/>
        <v>6696.9999999999409</v>
      </c>
      <c r="AP349">
        <f t="shared" si="273"/>
        <v>2994.1333333330385</v>
      </c>
      <c r="AQ349">
        <f>IF($AK348+$AK$1&lt;=Data!$H$4-0.5,AVERAGE(AP347:AP351),AQ348)</f>
        <v>2994.133333333039</v>
      </c>
      <c r="AR349">
        <f>IF($AK348+$AK$1&lt;=Data!$H$4-0.5,SLOPE($AN345:$AN353,$AK345:$AK353),AR348)</f>
        <v>-669.84722222220853</v>
      </c>
      <c r="AS349">
        <f>IF($AK348+$AK$1&lt;=Data!$H$4-0.5,SLOPE($AQ345:$AQ353,$AK345:$AK353),AS348)</f>
        <v>-589.02777777773042</v>
      </c>
      <c r="AT349">
        <f>IF(AND($AK349&gt;=Results!$G$13,$AK349&lt;=Results!$G$14),Curves!AR349,"")</f>
        <v>-669.84722222220853</v>
      </c>
      <c r="AU349">
        <f>IF(AND($AK349&gt;=Results!$G$13,$AK349&lt;=Results!$G$14),Curves!AS349,"")</f>
        <v>-589.02777777773042</v>
      </c>
      <c r="AV349" t="str">
        <f t="shared" si="267"/>
        <v/>
      </c>
      <c r="AW349" t="str">
        <f>IF(AND($AK349&lt;=Results!$I$21,$AK349&gt;=Results!$I$20,$AK349&lt;=Results!$F$4),$AN349,"")</f>
        <v/>
      </c>
      <c r="AX349" t="str">
        <f t="shared" si="267"/>
        <v/>
      </c>
      <c r="AY349" t="str">
        <f>IF(AND($AK349&lt;=Results!$I$23,$AK349&gt;=Results!$I$22,$AK349&gt;=Results!$F$4),$AN349,"")</f>
        <v/>
      </c>
      <c r="AZ349" t="str">
        <f t="shared" si="246"/>
        <v/>
      </c>
      <c r="BA349" t="str">
        <f>IF(AND($AK349&lt;=Results!$I$27,$AK349&gt;=Results!$I$26,$AK349&lt;=Results!$F$4),$AQ349,"")</f>
        <v/>
      </c>
      <c r="BB349" t="str">
        <f t="shared" si="247"/>
        <v/>
      </c>
      <c r="BC349" t="str">
        <f>IF(AND($AK349&lt;=Results!$I$29,$AK349&gt;=Results!$I$28,$AK349&gt;=Results!$F$4),$AQ349,"")</f>
        <v/>
      </c>
      <c r="BD349">
        <f t="shared" si="248"/>
        <v>8329.4214266505478</v>
      </c>
      <c r="BE349">
        <f t="shared" si="249"/>
        <v>1495.4829890960145</v>
      </c>
      <c r="BF349">
        <f t="shared" si="250"/>
        <v>8833.1285531812555</v>
      </c>
      <c r="BG349">
        <f t="shared" si="251"/>
        <v>1209.9628643450899</v>
      </c>
      <c r="BH349">
        <f t="shared" si="252"/>
        <v>0</v>
      </c>
      <c r="BI349">
        <f t="shared" si="253"/>
        <v>0.38654874760362645</v>
      </c>
      <c r="BJ349">
        <f t="shared" si="254"/>
        <v>0.23404587304206159</v>
      </c>
      <c r="BK349">
        <f t="shared" si="255"/>
        <v>-8.9362026755926804E-2</v>
      </c>
      <c r="BL349">
        <f t="shared" si="256"/>
        <v>-7.5828471195504871E-2</v>
      </c>
      <c r="BM349">
        <f t="shared" si="268"/>
        <v>119.99999999999829</v>
      </c>
      <c r="BN349">
        <f t="shared" si="269"/>
        <v>-119.99999999999829</v>
      </c>
      <c r="BO349">
        <f>Data!$H$2*(1-BI349)*(1-BI349/Data!$H$3)*BM349</f>
        <v>9.0317385376001723E-5</v>
      </c>
      <c r="BP349">
        <f t="shared" si="257"/>
        <v>-46.385849712434513</v>
      </c>
      <c r="BQ349">
        <f>Data!$H$2*(1-BJ349)*(1-BJ349/Data!$H$3)*BN349</f>
        <v>-1.4080457390493341E-4</v>
      </c>
      <c r="BR349">
        <f t="shared" si="258"/>
        <v>28.085504765046991</v>
      </c>
      <c r="BS349">
        <f t="shared" si="259"/>
        <v>0</v>
      </c>
      <c r="BT349">
        <f t="shared" si="260"/>
        <v>0</v>
      </c>
      <c r="BU349">
        <f t="shared" si="261"/>
        <v>0</v>
      </c>
      <c r="BV349">
        <f t="shared" si="244"/>
        <v>0</v>
      </c>
      <c r="BW349">
        <f t="shared" si="270"/>
        <v>0</v>
      </c>
      <c r="BX349" t="str">
        <f t="shared" si="271"/>
        <v/>
      </c>
      <c r="BY349" s="66" t="str">
        <f t="shared" si="262"/>
        <v/>
      </c>
      <c r="BZ349" t="str">
        <f t="shared" si="263"/>
        <v/>
      </c>
      <c r="CA349" s="67" t="str">
        <f t="shared" si="245"/>
        <v/>
      </c>
    </row>
    <row r="350" spans="4:79" x14ac:dyDescent="0.25">
      <c r="D350" s="3" t="e">
        <f t="shared" si="274"/>
        <v>#DIV/0!</v>
      </c>
      <c r="E350" s="3" t="e">
        <f t="shared" si="274"/>
        <v>#DIV/0!</v>
      </c>
      <c r="F350" t="str">
        <f>IF(A350&gt;0,IF(F349=1,1,IF(B350=Data!$H$4,1,0)),"")</f>
        <v/>
      </c>
      <c r="Y350" s="4"/>
      <c r="Z350" s="4"/>
      <c r="AA350" s="4" t="str">
        <f t="shared" si="242"/>
        <v/>
      </c>
      <c r="AE350" s="4" t="str">
        <f t="shared" si="243"/>
        <v/>
      </c>
      <c r="AK350" s="4">
        <f t="shared" si="272"/>
        <v>59.800000000000495</v>
      </c>
      <c r="AL350">
        <f t="shared" si="264"/>
        <v>4177.0000000000591</v>
      </c>
      <c r="AM350">
        <f t="shared" si="265"/>
        <v>4069.8666666663357</v>
      </c>
      <c r="AN350">
        <f>IF($AK349+$AK$1&lt;=Data!$H$4-0.5,AVERAGE(AM348:AM352),AN349)</f>
        <v>4069.8666666663385</v>
      </c>
      <c r="AO350">
        <f t="shared" si="266"/>
        <v>6684.9999999999409</v>
      </c>
      <c r="AP350">
        <f t="shared" si="273"/>
        <v>2934.1999999997051</v>
      </c>
      <c r="AQ350">
        <f>IF($AK349+$AK$1&lt;=Data!$H$4-0.5,AVERAGE(AP348:AP352),AQ349)</f>
        <v>2934.1999999997142</v>
      </c>
      <c r="AR350">
        <f>IF($AK349+$AK$1&lt;=Data!$H$4-0.5,SLOPE($AN346:$AN354,$AK346:$AK354),AR349)</f>
        <v>-667.43055555553838</v>
      </c>
      <c r="AS350">
        <f>IF($AK349+$AK$1&lt;=Data!$H$4-0.5,SLOPE($AQ346:$AQ354,$AK346:$AK354),AS349)</f>
        <v>-580.19444444438307</v>
      </c>
      <c r="AT350">
        <f>IF(AND($AK350&gt;=Results!$G$13,$AK350&lt;=Results!$G$14),Curves!AR350,"")</f>
        <v>-667.43055555553838</v>
      </c>
      <c r="AU350">
        <f>IF(AND($AK350&gt;=Results!$G$13,$AK350&lt;=Results!$G$14),Curves!AS350,"")</f>
        <v>-580.19444444438307</v>
      </c>
      <c r="AV350" t="str">
        <f t="shared" si="267"/>
        <v/>
      </c>
      <c r="AW350" t="str">
        <f>IF(AND($AK350&lt;=Results!$I$21,$AK350&gt;=Results!$I$20,$AK350&lt;=Results!$F$4),$AN350,"")</f>
        <v/>
      </c>
      <c r="AX350" t="str">
        <f t="shared" si="267"/>
        <v/>
      </c>
      <c r="AY350" t="str">
        <f>IF(AND($AK350&lt;=Results!$I$23,$AK350&gt;=Results!$I$22,$AK350&gt;=Results!$F$4),$AN350,"")</f>
        <v/>
      </c>
      <c r="AZ350" t="str">
        <f t="shared" si="246"/>
        <v/>
      </c>
      <c r="BA350" t="str">
        <f>IF(AND($AK350&lt;=Results!$I$27,$AK350&gt;=Results!$I$26,$AK350&lt;=Results!$F$4),$AQ350,"")</f>
        <v/>
      </c>
      <c r="BB350" t="str">
        <f t="shared" si="247"/>
        <v/>
      </c>
      <c r="BC350" t="str">
        <f>IF(AND($AK350&lt;=Results!$I$29,$AK350&gt;=Results!$I$28,$AK350&gt;=Results!$F$4),$AQ350,"")</f>
        <v/>
      </c>
      <c r="BD350">
        <f t="shared" si="248"/>
        <v>8318.6512318526293</v>
      </c>
      <c r="BE350">
        <f t="shared" si="249"/>
        <v>1492.1671998466938</v>
      </c>
      <c r="BF350">
        <f t="shared" si="250"/>
        <v>8825.8385709483628</v>
      </c>
      <c r="BG350">
        <f t="shared" si="251"/>
        <v>1209.4120633855648</v>
      </c>
      <c r="BH350">
        <f t="shared" si="252"/>
        <v>0</v>
      </c>
      <c r="BI350">
        <f t="shared" si="253"/>
        <v>0.37760279738941949</v>
      </c>
      <c r="BJ350">
        <f t="shared" si="254"/>
        <v>0.22645632238445501</v>
      </c>
      <c r="BK350">
        <f t="shared" si="255"/>
        <v>-8.920289682527488E-2</v>
      </c>
      <c r="BL350">
        <f t="shared" si="256"/>
        <v>-7.4801918968604483E-2</v>
      </c>
      <c r="BM350">
        <f t="shared" si="268"/>
        <v>119.99999999999829</v>
      </c>
      <c r="BN350">
        <f t="shared" si="269"/>
        <v>-119.99999999999829</v>
      </c>
      <c r="BO350">
        <f>Data!$H$2*(1-BI350)*(1-BI350/Data!$H$3)*BM350</f>
        <v>9.2970786676192923E-5</v>
      </c>
      <c r="BP350">
        <f t="shared" si="257"/>
        <v>-45.312335686729696</v>
      </c>
      <c r="BQ350">
        <f>Data!$H$2*(1-BJ350)*(1-BJ350/Data!$H$3)*BN350</f>
        <v>-1.4360875708295369E-4</v>
      </c>
      <c r="BR350">
        <f t="shared" si="258"/>
        <v>27.174758686134215</v>
      </c>
      <c r="BS350">
        <f t="shared" si="259"/>
        <v>0</v>
      </c>
      <c r="BT350">
        <f t="shared" si="260"/>
        <v>0</v>
      </c>
      <c r="BU350">
        <f t="shared" si="261"/>
        <v>0</v>
      </c>
      <c r="BV350">
        <f t="shared" si="244"/>
        <v>0</v>
      </c>
      <c r="BW350">
        <f t="shared" si="270"/>
        <v>0</v>
      </c>
      <c r="BX350" t="str">
        <f t="shared" si="271"/>
        <v/>
      </c>
      <c r="BY350" s="66" t="str">
        <f t="shared" si="262"/>
        <v/>
      </c>
      <c r="BZ350" t="str">
        <f t="shared" si="263"/>
        <v/>
      </c>
      <c r="CA350" s="67" t="str">
        <f t="shared" si="245"/>
        <v/>
      </c>
    </row>
    <row r="351" spans="4:79" x14ac:dyDescent="0.25">
      <c r="D351" s="3" t="e">
        <f t="shared" si="274"/>
        <v>#DIV/0!</v>
      </c>
      <c r="E351" s="3" t="e">
        <f t="shared" si="274"/>
        <v>#DIV/0!</v>
      </c>
      <c r="F351" t="str">
        <f>IF(A351&gt;0,IF(F350=1,1,IF(B351=Data!$H$4,1,0)),"")</f>
        <v/>
      </c>
      <c r="Y351" s="4"/>
      <c r="Z351" s="4"/>
      <c r="AA351" s="4" t="str">
        <f t="shared" si="242"/>
        <v/>
      </c>
      <c r="AE351" s="4" t="str">
        <f t="shared" si="243"/>
        <v/>
      </c>
      <c r="AK351" s="4">
        <f t="shared" si="272"/>
        <v>59.900000000000496</v>
      </c>
      <c r="AL351">
        <f t="shared" si="264"/>
        <v>4189.0000000000591</v>
      </c>
      <c r="AM351">
        <f t="shared" si="265"/>
        <v>4002.5999999996684</v>
      </c>
      <c r="AN351">
        <f>IF($AK350+$AK$1&lt;=Data!$H$4-0.5,AVERAGE(AM349:AM353),AN350)</f>
        <v>4003.0833333330061</v>
      </c>
      <c r="AO351">
        <f t="shared" si="266"/>
        <v>6672.9999999999409</v>
      </c>
      <c r="AP351">
        <f t="shared" si="273"/>
        <v>2874.2666666663713</v>
      </c>
      <c r="AQ351">
        <f>IF($AK350+$AK$1&lt;=Data!$H$4-0.5,AVERAGE(AP349:AP353),AQ350)</f>
        <v>2876.0333333330555</v>
      </c>
      <c r="AR351">
        <f>IF($AK350+$AK$1&lt;=Data!$H$4-0.5,SLOPE($AN347:$AN355,$AK347:$AK355),AR350)</f>
        <v>-664.20833333331461</v>
      </c>
      <c r="AS351">
        <f>IF($AK350+$AK$1&lt;=Data!$H$4-0.5,SLOPE($AQ347:$AQ355,$AK347:$AK355),AS350)</f>
        <v>-568.41666666659921</v>
      </c>
      <c r="AT351">
        <f>IF(AND($AK351&gt;=Results!$G$13,$AK351&lt;=Results!$G$14),Curves!AR351,"")</f>
        <v>-664.20833333331461</v>
      </c>
      <c r="AU351">
        <f>IF(AND($AK351&gt;=Results!$G$13,$AK351&lt;=Results!$G$14),Curves!AS351,"")</f>
        <v>-568.41666666659921</v>
      </c>
      <c r="AV351" t="str">
        <f t="shared" si="267"/>
        <v/>
      </c>
      <c r="AW351" t="str">
        <f>IF(AND($AK351&lt;=Results!$I$21,$AK351&gt;=Results!$I$20,$AK351&lt;=Results!$F$4),$AN351,"")</f>
        <v/>
      </c>
      <c r="AX351" t="str">
        <f t="shared" si="267"/>
        <v/>
      </c>
      <c r="AY351" t="str">
        <f>IF(AND($AK351&lt;=Results!$I$23,$AK351&gt;=Results!$I$22,$AK351&gt;=Results!$F$4),$AN351,"")</f>
        <v/>
      </c>
      <c r="AZ351" t="str">
        <f t="shared" si="246"/>
        <v/>
      </c>
      <c r="BA351" t="str">
        <f>IF(AND($AK351&lt;=Results!$I$27,$AK351&gt;=Results!$I$26,$AK351&lt;=Results!$F$4),$AQ351,"")</f>
        <v/>
      </c>
      <c r="BB351" t="str">
        <f t="shared" si="247"/>
        <v/>
      </c>
      <c r="BC351" t="str">
        <f>IF(AND($AK351&lt;=Results!$I$29,$AK351&gt;=Results!$I$28,$AK351&gt;=Results!$F$4),$AQ351,"")</f>
        <v/>
      </c>
      <c r="BD351">
        <f t="shared" si="248"/>
        <v>8307.8810370547108</v>
      </c>
      <c r="BE351">
        <f t="shared" si="249"/>
        <v>1488.8514105973729</v>
      </c>
      <c r="BF351">
        <f t="shared" si="250"/>
        <v>8818.5485887154682</v>
      </c>
      <c r="BG351">
        <f t="shared" si="251"/>
        <v>1208.86126242604</v>
      </c>
      <c r="BH351">
        <f t="shared" si="252"/>
        <v>0</v>
      </c>
      <c r="BI351">
        <f t="shared" si="253"/>
        <v>0.36870816823857122</v>
      </c>
      <c r="BJ351">
        <f t="shared" si="254"/>
        <v>0.21908548924834048</v>
      </c>
      <c r="BK351">
        <f t="shared" si="255"/>
        <v>-8.8688843725721458E-2</v>
      </c>
      <c r="BL351">
        <f t="shared" si="256"/>
        <v>-7.2611835716570122E-2</v>
      </c>
      <c r="BM351">
        <f t="shared" si="268"/>
        <v>120.00000000000284</v>
      </c>
      <c r="BN351">
        <f t="shared" si="269"/>
        <v>-120.00000000000284</v>
      </c>
      <c r="BO351">
        <f>Data!$H$2*(1-BI351)*(1-BI351/Data!$H$3)*BM351</f>
        <v>9.5647050443690282E-5</v>
      </c>
      <c r="BP351">
        <f t="shared" si="257"/>
        <v>-44.244980188629597</v>
      </c>
      <c r="BQ351">
        <f>Data!$H$2*(1-BJ351)*(1-BJ351/Data!$H$3)*BN351</f>
        <v>-1.4635859354460436E-4</v>
      </c>
      <c r="BR351">
        <f t="shared" si="258"/>
        <v>26.290258709801481</v>
      </c>
      <c r="BS351">
        <f t="shared" si="259"/>
        <v>0</v>
      </c>
      <c r="BT351">
        <f t="shared" si="260"/>
        <v>0</v>
      </c>
      <c r="BU351">
        <f t="shared" si="261"/>
        <v>0</v>
      </c>
      <c r="BV351">
        <f t="shared" si="244"/>
        <v>0</v>
      </c>
      <c r="BW351">
        <f t="shared" si="270"/>
        <v>0</v>
      </c>
      <c r="BX351" t="str">
        <f t="shared" si="271"/>
        <v/>
      </c>
      <c r="BY351" s="66" t="str">
        <f t="shared" si="262"/>
        <v/>
      </c>
      <c r="BZ351" t="str">
        <f t="shared" si="263"/>
        <v/>
      </c>
      <c r="CA351" s="67" t="str">
        <f t="shared" si="245"/>
        <v/>
      </c>
    </row>
    <row r="352" spans="4:79" x14ac:dyDescent="0.25">
      <c r="D352" s="3" t="e">
        <f t="shared" si="274"/>
        <v>#DIV/0!</v>
      </c>
      <c r="E352" s="3" t="e">
        <f t="shared" si="274"/>
        <v>#DIV/0!</v>
      </c>
      <c r="F352" t="str">
        <f>IF(A352&gt;0,IF(F351=1,1,IF(B352=Data!$H$4,1,0)),"")</f>
        <v/>
      </c>
      <c r="Y352" s="4"/>
      <c r="Z352" s="4"/>
      <c r="AA352" s="4" t="str">
        <f t="shared" si="242"/>
        <v/>
      </c>
      <c r="AE352" s="4" t="str">
        <f t="shared" si="243"/>
        <v/>
      </c>
      <c r="AK352" s="4">
        <f t="shared" si="272"/>
        <v>60.000000000000497</v>
      </c>
      <c r="AL352">
        <f t="shared" si="264"/>
        <v>4201.00000000006</v>
      </c>
      <c r="AM352">
        <f t="shared" si="265"/>
        <v>3935.3333333330133</v>
      </c>
      <c r="AN352">
        <f>IF($AK351+$AK$1&lt;=Data!$H$4-0.5,AVERAGE(AM350:AM354),AN351)</f>
        <v>3936.7833333330082</v>
      </c>
      <c r="AO352">
        <f t="shared" si="266"/>
        <v>6660.99999999994</v>
      </c>
      <c r="AP352">
        <f t="shared" si="273"/>
        <v>2814.3333333330816</v>
      </c>
      <c r="AQ352">
        <f>IF($AK351+$AK$1&lt;=Data!$H$4-0.5,AVERAGE(AP350:AP354),AQ351)</f>
        <v>2819.6333333330635</v>
      </c>
      <c r="AR352">
        <f>IF($AK351+$AK$1&lt;=Data!$H$4-0.5,SLOPE($AN348:$AN356,$AK348:$AK356),AR351)</f>
        <v>-660.58333333331461</v>
      </c>
      <c r="AS352">
        <f>IF($AK351+$AK$1&lt;=Data!$H$4-0.5,SLOPE($AQ348:$AQ356,$AK348:$AK356),AS351)</f>
        <v>-555.16666666660069</v>
      </c>
      <c r="AT352">
        <f>IF(AND($AK352&gt;=Results!$G$13,$AK352&lt;=Results!$G$14),Curves!AR352,"")</f>
        <v>-660.58333333331461</v>
      </c>
      <c r="AU352">
        <f>IF(AND($AK352&gt;=Results!$G$13,$AK352&lt;=Results!$G$14),Curves!AS352,"")</f>
        <v>-555.16666666660069</v>
      </c>
      <c r="AV352" t="str">
        <f t="shared" si="267"/>
        <v/>
      </c>
      <c r="AW352" t="str">
        <f>IF(AND($AK352&lt;=Results!$I$21,$AK352&gt;=Results!$I$20,$AK352&lt;=Results!$F$4),$AN352,"")</f>
        <v/>
      </c>
      <c r="AX352" t="str">
        <f t="shared" si="267"/>
        <v/>
      </c>
      <c r="AY352" t="str">
        <f>IF(AND($AK352&lt;=Results!$I$23,$AK352&gt;=Results!$I$22,$AK352&gt;=Results!$F$4),$AN352,"")</f>
        <v/>
      </c>
      <c r="AZ352" t="str">
        <f t="shared" si="246"/>
        <v/>
      </c>
      <c r="BA352" t="str">
        <f>IF(AND($AK352&lt;=Results!$I$27,$AK352&gt;=Results!$I$26,$AK352&lt;=Results!$F$4),$AQ352,"")</f>
        <v/>
      </c>
      <c r="BB352" t="str">
        <f t="shared" si="247"/>
        <v/>
      </c>
      <c r="BC352" t="str">
        <f>IF(AND($AK352&lt;=Results!$I$29,$AK352&gt;=Results!$I$28,$AK352&gt;=Results!$F$4),$AQ352,"")</f>
        <v/>
      </c>
      <c r="BD352">
        <f t="shared" si="248"/>
        <v>8297.1108422567886</v>
      </c>
      <c r="BE352">
        <f t="shared" si="249"/>
        <v>1485.535621348052</v>
      </c>
      <c r="BF352">
        <f t="shared" si="250"/>
        <v>8811.2586064825773</v>
      </c>
      <c r="BG352">
        <f t="shared" si="251"/>
        <v>1208.3104614665149</v>
      </c>
      <c r="BH352">
        <f t="shared" si="252"/>
        <v>0</v>
      </c>
      <c r="BI352">
        <f t="shared" si="253"/>
        <v>0.35986502864427494</v>
      </c>
      <c r="BJ352">
        <f t="shared" si="254"/>
        <v>0.21193395524114078</v>
      </c>
      <c r="BK352">
        <f t="shared" si="255"/>
        <v>-8.8173102002310058E-2</v>
      </c>
      <c r="BL352">
        <f t="shared" si="256"/>
        <v>-7.0415926070534582E-2</v>
      </c>
      <c r="BM352">
        <f t="shared" si="268"/>
        <v>120.00000000000284</v>
      </c>
      <c r="BN352">
        <f t="shared" si="269"/>
        <v>-120.00000000000281</v>
      </c>
      <c r="BO352">
        <f>Data!$H$2*(1-BI352)*(1-BI352/Data!$H$3)*BM352</f>
        <v>9.8345467572625116E-5</v>
      </c>
      <c r="BP352">
        <f t="shared" si="257"/>
        <v>-43.183803437314019</v>
      </c>
      <c r="BQ352">
        <f>Data!$H$2*(1-BJ352)*(1-BJ352/Data!$H$3)*BN352</f>
        <v>-1.4905154181645282E-4</v>
      </c>
      <c r="BR352">
        <f t="shared" si="258"/>
        <v>25.432074628937489</v>
      </c>
      <c r="BS352">
        <f t="shared" si="259"/>
        <v>0</v>
      </c>
      <c r="BT352">
        <f t="shared" si="260"/>
        <v>0</v>
      </c>
      <c r="BU352">
        <f t="shared" si="261"/>
        <v>0</v>
      </c>
      <c r="BV352">
        <f t="shared" si="244"/>
        <v>0</v>
      </c>
      <c r="BW352">
        <f t="shared" si="270"/>
        <v>0</v>
      </c>
      <c r="BX352" t="str">
        <f t="shared" si="271"/>
        <v/>
      </c>
      <c r="BY352" s="66" t="str">
        <f t="shared" si="262"/>
        <v/>
      </c>
      <c r="BZ352" t="str">
        <f t="shared" si="263"/>
        <v/>
      </c>
      <c r="CA352" s="67" t="str">
        <f t="shared" si="245"/>
        <v/>
      </c>
    </row>
    <row r="353" spans="4:79" x14ac:dyDescent="0.25">
      <c r="D353" s="3" t="e">
        <f t="shared" si="274"/>
        <v>#DIV/0!</v>
      </c>
      <c r="E353" s="3" t="e">
        <f t="shared" si="274"/>
        <v>#DIV/0!</v>
      </c>
      <c r="F353" t="str">
        <f>IF(A353&gt;0,IF(F352=1,1,IF(B353=Data!$H$4,1,0)),"")</f>
        <v/>
      </c>
      <c r="Y353" s="4"/>
      <c r="Z353" s="4"/>
      <c r="AA353" s="4" t="str">
        <f t="shared" si="242"/>
        <v/>
      </c>
      <c r="AE353" s="4" t="str">
        <f t="shared" si="243"/>
        <v/>
      </c>
      <c r="AK353" s="4">
        <f t="shared" si="272"/>
        <v>60.100000000000499</v>
      </c>
      <c r="AL353">
        <f t="shared" si="264"/>
        <v>4213.00000000006</v>
      </c>
      <c r="AM353">
        <f t="shared" si="265"/>
        <v>3870.4833333330121</v>
      </c>
      <c r="AN353">
        <f>IF($AK352+$AK$1&lt;=Data!$H$4-0.5,AVERAGE(AM351:AM355),AN352)</f>
        <v>3870.9666666663425</v>
      </c>
      <c r="AO353">
        <f t="shared" si="266"/>
        <v>6648.99999999994</v>
      </c>
      <c r="AP353">
        <f t="shared" si="273"/>
        <v>2763.2333333330807</v>
      </c>
      <c r="AQ353">
        <f>IF($AK352+$AK$1&lt;=Data!$H$4-0.5,AVERAGE(AP351:AP355),AQ352)</f>
        <v>2764.9999999997381</v>
      </c>
      <c r="AR353">
        <f>IF($AK352+$AK$1&lt;=Data!$H$4-0.5,SLOPE($AN349:$AN357,$AK349:$AK357),AR352)</f>
        <v>-656.95833333331643</v>
      </c>
      <c r="AS353">
        <f>IF($AK352+$AK$1&lt;=Data!$H$4-0.5,SLOPE($AQ349:$AQ357,$AK349:$AK357),AS352)</f>
        <v>-541.91666666660933</v>
      </c>
      <c r="AT353">
        <f>IF(AND($AK353&gt;=Results!$G$13,$AK353&lt;=Results!$G$14),Curves!AR353,"")</f>
        <v>-656.95833333331643</v>
      </c>
      <c r="AU353">
        <f>IF(AND($AK353&gt;=Results!$G$13,$AK353&lt;=Results!$G$14),Curves!AS353,"")</f>
        <v>-541.91666666660933</v>
      </c>
      <c r="AV353" t="str">
        <f t="shared" si="267"/>
        <v/>
      </c>
      <c r="AW353" t="str">
        <f>IF(AND($AK353&lt;=Results!$I$21,$AK353&gt;=Results!$I$20,$AK353&lt;=Results!$F$4),$AN353,"")</f>
        <v/>
      </c>
      <c r="AX353" t="str">
        <f t="shared" si="267"/>
        <v/>
      </c>
      <c r="AY353" t="str">
        <f>IF(AND($AK353&lt;=Results!$I$23,$AK353&gt;=Results!$I$22,$AK353&gt;=Results!$F$4),$AN353,"")</f>
        <v/>
      </c>
      <c r="AZ353" t="str">
        <f t="shared" si="246"/>
        <v/>
      </c>
      <c r="BA353" t="str">
        <f>IF(AND($AK353&lt;=Results!$I$27,$AK353&gt;=Results!$I$26,$AK353&lt;=Results!$F$4),$AQ353,"")</f>
        <v/>
      </c>
      <c r="BB353" t="str">
        <f t="shared" si="247"/>
        <v/>
      </c>
      <c r="BC353" t="str">
        <f>IF(AND($AK353&lt;=Results!$I$29,$AK353&gt;=Results!$I$28,$AK353&gt;=Results!$F$4),$AQ353,"")</f>
        <v/>
      </c>
      <c r="BD353">
        <f t="shared" si="248"/>
        <v>8286.3406474588701</v>
      </c>
      <c r="BE353">
        <f t="shared" si="249"/>
        <v>1482.2198320987313</v>
      </c>
      <c r="BF353">
        <f t="shared" si="250"/>
        <v>8803.9686242496828</v>
      </c>
      <c r="BG353">
        <f t="shared" si="251"/>
        <v>1207.7596605069898</v>
      </c>
      <c r="BH353">
        <f t="shared" si="252"/>
        <v>0</v>
      </c>
      <c r="BI353">
        <f t="shared" si="253"/>
        <v>0.35107354783810896</v>
      </c>
      <c r="BJ353">
        <f t="shared" si="254"/>
        <v>0.20500230403423336</v>
      </c>
      <c r="BK353">
        <f t="shared" si="255"/>
        <v>-8.765566425093449E-2</v>
      </c>
      <c r="BL353">
        <f t="shared" si="256"/>
        <v>-6.8214169345134482E-2</v>
      </c>
      <c r="BM353">
        <f t="shared" si="268"/>
        <v>119.99999999999829</v>
      </c>
      <c r="BN353">
        <f t="shared" si="269"/>
        <v>-119.99999999999829</v>
      </c>
      <c r="BO353">
        <f>Data!$H$2*(1-BI353)*(1-BI353/Data!$H$3)*BM353</f>
        <v>1.0106532967569914E-4</v>
      </c>
      <c r="BP353">
        <f t="shared" si="257"/>
        <v>-42.128825740572474</v>
      </c>
      <c r="BQ353">
        <f>Data!$H$2*(1-BJ353)*(1-BJ353/Data!$H$3)*BN353</f>
        <v>-1.5168512078180845E-4</v>
      </c>
      <c r="BR353">
        <f t="shared" si="258"/>
        <v>24.600276484107653</v>
      </c>
      <c r="BS353">
        <f t="shared" si="259"/>
        <v>0</v>
      </c>
      <c r="BT353">
        <f t="shared" si="260"/>
        <v>0</v>
      </c>
      <c r="BU353">
        <f t="shared" si="261"/>
        <v>0</v>
      </c>
      <c r="BV353">
        <f t="shared" si="244"/>
        <v>0</v>
      </c>
      <c r="BW353">
        <f t="shared" si="270"/>
        <v>0</v>
      </c>
      <c r="BX353" t="str">
        <f t="shared" si="271"/>
        <v/>
      </c>
      <c r="BY353" s="66" t="str">
        <f t="shared" si="262"/>
        <v/>
      </c>
      <c r="BZ353" t="str">
        <f t="shared" si="263"/>
        <v/>
      </c>
      <c r="CA353" s="67" t="str">
        <f t="shared" si="245"/>
        <v/>
      </c>
    </row>
    <row r="354" spans="4:79" x14ac:dyDescent="0.25">
      <c r="D354" s="3" t="e">
        <f t="shared" si="274"/>
        <v>#DIV/0!</v>
      </c>
      <c r="E354" s="3" t="e">
        <f t="shared" si="274"/>
        <v>#DIV/0!</v>
      </c>
      <c r="F354" t="str">
        <f>IF(A354&gt;0,IF(F353=1,1,IF(B354=Data!$H$4,1,0)),"")</f>
        <v/>
      </c>
      <c r="Y354" s="4"/>
      <c r="Z354" s="4"/>
      <c r="AA354" s="4" t="str">
        <f t="shared" si="242"/>
        <v/>
      </c>
      <c r="AE354" s="4" t="str">
        <f t="shared" si="243"/>
        <v/>
      </c>
      <c r="AK354" s="4">
        <f t="shared" si="272"/>
        <v>60.2000000000005</v>
      </c>
      <c r="AL354">
        <f t="shared" si="264"/>
        <v>4225.00000000006</v>
      </c>
      <c r="AM354">
        <f t="shared" si="265"/>
        <v>3805.6333333330113</v>
      </c>
      <c r="AN354">
        <f>IF($AK353+$AK$1&lt;=Data!$H$4-0.5,AVERAGE(AM352:AM356),AN353)</f>
        <v>3805.6333333330113</v>
      </c>
      <c r="AO354">
        <f t="shared" si="266"/>
        <v>6636.99999999994</v>
      </c>
      <c r="AP354">
        <f t="shared" si="273"/>
        <v>2712.1333333330795</v>
      </c>
      <c r="AQ354">
        <f>IF($AK353+$AK$1&lt;=Data!$H$4-0.5,AVERAGE(AP352:AP356),AQ353)</f>
        <v>2712.1333333330795</v>
      </c>
      <c r="AR354">
        <f>IF($AK353+$AK$1&lt;=Data!$H$4-0.5,SLOPE($AN350:$AN358,$AK350:$AK358),AR353)</f>
        <v>-653.73611111109847</v>
      </c>
      <c r="AS354">
        <f>IF($AK353+$AK$1&lt;=Data!$H$4-0.5,SLOPE($AQ350:$AQ358,$AK350:$AK358),AS353)</f>
        <v>-530.13888888884719</v>
      </c>
      <c r="AT354">
        <f>IF(AND($AK354&gt;=Results!$G$13,$AK354&lt;=Results!$G$14),Curves!AR354,"")</f>
        <v>-653.73611111109847</v>
      </c>
      <c r="AU354">
        <f>IF(AND($AK354&gt;=Results!$G$13,$AK354&lt;=Results!$G$14),Curves!AS354,"")</f>
        <v>-530.13888888884719</v>
      </c>
      <c r="AV354" t="str">
        <f t="shared" si="267"/>
        <v/>
      </c>
      <c r="AW354" t="str">
        <f>IF(AND($AK354&lt;=Results!$I$21,$AK354&gt;=Results!$I$20,$AK354&lt;=Results!$F$4),$AN354,"")</f>
        <v/>
      </c>
      <c r="AX354" t="str">
        <f t="shared" si="267"/>
        <v/>
      </c>
      <c r="AY354" t="str">
        <f>IF(AND($AK354&lt;=Results!$I$23,$AK354&gt;=Results!$I$22,$AK354&gt;=Results!$F$4),$AN354,"")</f>
        <v/>
      </c>
      <c r="AZ354" t="str">
        <f t="shared" si="246"/>
        <v/>
      </c>
      <c r="BA354" t="str">
        <f>IF(AND($AK354&lt;=Results!$I$27,$AK354&gt;=Results!$I$26,$AK354&lt;=Results!$F$4),$AQ354,"")</f>
        <v/>
      </c>
      <c r="BB354" t="str">
        <f t="shared" si="247"/>
        <v/>
      </c>
      <c r="BC354" t="str">
        <f>IF(AND($AK354&lt;=Results!$I$29,$AK354&gt;=Results!$I$28,$AK354&gt;=Results!$F$4),$AQ354,"")</f>
        <v/>
      </c>
      <c r="BD354">
        <f t="shared" si="248"/>
        <v>8275.5704526609516</v>
      </c>
      <c r="BE354">
        <f t="shared" si="249"/>
        <v>1478.9040428494104</v>
      </c>
      <c r="BF354">
        <f t="shared" si="250"/>
        <v>8796.67864201679</v>
      </c>
      <c r="BG354">
        <f t="shared" si="251"/>
        <v>1207.2088595474647</v>
      </c>
      <c r="BH354">
        <f t="shared" si="252"/>
        <v>0</v>
      </c>
      <c r="BI354">
        <f t="shared" si="253"/>
        <v>0.34233389579408779</v>
      </c>
      <c r="BJ354">
        <f t="shared" si="254"/>
        <v>0.19829112137211369</v>
      </c>
      <c r="BK354">
        <f t="shared" si="255"/>
        <v>-8.7136523026865462E-2</v>
      </c>
      <c r="BL354">
        <f t="shared" si="256"/>
        <v>-6.6006544763129893E-2</v>
      </c>
      <c r="BM354">
        <f t="shared" si="268"/>
        <v>119.99999999999829</v>
      </c>
      <c r="BN354">
        <f t="shared" si="269"/>
        <v>-119.99999999999829</v>
      </c>
      <c r="BO354">
        <f>Data!$H$2*(1-BI354)*(1-BI354/Data!$H$3)*BM354</f>
        <v>1.0380592910913014E-4</v>
      </c>
      <c r="BP354">
        <f t="shared" si="257"/>
        <v>-41.080067495289953</v>
      </c>
      <c r="BQ354">
        <f>Data!$H$2*(1-BJ354)*(1-BJ354/Data!$H$3)*BN354</f>
        <v>-1.5425691025698572E-4</v>
      </c>
      <c r="BR354">
        <f t="shared" si="258"/>
        <v>23.794934564653303</v>
      </c>
      <c r="BS354">
        <f t="shared" si="259"/>
        <v>0</v>
      </c>
      <c r="BT354">
        <f t="shared" si="260"/>
        <v>0</v>
      </c>
      <c r="BU354">
        <f t="shared" si="261"/>
        <v>0</v>
      </c>
      <c r="BV354">
        <f t="shared" si="244"/>
        <v>0</v>
      </c>
      <c r="BW354">
        <f t="shared" si="270"/>
        <v>0</v>
      </c>
      <c r="BX354" t="str">
        <f t="shared" si="271"/>
        <v/>
      </c>
      <c r="BY354" s="66" t="str">
        <f t="shared" si="262"/>
        <v/>
      </c>
      <c r="BZ354" t="str">
        <f t="shared" si="263"/>
        <v/>
      </c>
      <c r="CA354" s="67" t="str">
        <f t="shared" si="245"/>
        <v/>
      </c>
    </row>
    <row r="355" spans="4:79" x14ac:dyDescent="0.25">
      <c r="D355" s="3" t="e">
        <f t="shared" si="274"/>
        <v>#DIV/0!</v>
      </c>
      <c r="E355" s="3" t="e">
        <f t="shared" si="274"/>
        <v>#DIV/0!</v>
      </c>
      <c r="F355" t="str">
        <f>IF(A355&gt;0,IF(F354=1,1,IF(B355=Data!$H$4,1,0)),"")</f>
        <v/>
      </c>
      <c r="Y355" s="4"/>
      <c r="Z355" s="4"/>
      <c r="AA355" s="4" t="str">
        <f t="shared" si="242"/>
        <v/>
      </c>
      <c r="AE355" s="4" t="str">
        <f t="shared" si="243"/>
        <v/>
      </c>
      <c r="AK355" s="4">
        <f t="shared" si="272"/>
        <v>60.300000000000502</v>
      </c>
      <c r="AL355">
        <f t="shared" si="264"/>
        <v>4237.00000000006</v>
      </c>
      <c r="AM355">
        <f t="shared" si="265"/>
        <v>3740.7833333330104</v>
      </c>
      <c r="AN355">
        <f>IF($AK354+$AK$1&lt;=Data!$H$4-0.5,AVERAGE(AM353:AM357),AN354)</f>
        <v>3740.7833333330104</v>
      </c>
      <c r="AO355">
        <f t="shared" si="266"/>
        <v>6624.99999999994</v>
      </c>
      <c r="AP355">
        <f t="shared" si="273"/>
        <v>2661.0333333330782</v>
      </c>
      <c r="AQ355">
        <f>IF($AK354+$AK$1&lt;=Data!$H$4-0.5,AVERAGE(AP353:AP357),AQ354)</f>
        <v>2661.0333333330782</v>
      </c>
      <c r="AR355">
        <f>IF($AK354+$AK$1&lt;=Data!$H$4-0.5,SLOPE($AN351:$AN359,$AK351:$AK359),AR354)</f>
        <v>-651.31944444443559</v>
      </c>
      <c r="AS355">
        <f>IF($AK354+$AK$1&lt;=Data!$H$4-0.5,SLOPE($AQ351:$AQ359,$AK351:$AK359),AS354)</f>
        <v>-521.30555555552894</v>
      </c>
      <c r="AT355">
        <f>IF(AND($AK355&gt;=Results!$G$13,$AK355&lt;=Results!$G$14),Curves!AR355,"")</f>
        <v>-651.31944444443559</v>
      </c>
      <c r="AU355">
        <f>IF(AND($AK355&gt;=Results!$G$13,$AK355&lt;=Results!$G$14),Curves!AS355,"")</f>
        <v>-521.30555555552894</v>
      </c>
      <c r="AV355" t="str">
        <f t="shared" si="267"/>
        <v/>
      </c>
      <c r="AW355" t="str">
        <f>IF(AND($AK355&lt;=Results!$I$21,$AK355&gt;=Results!$I$20,$AK355&lt;=Results!$F$4),$AN355,"")</f>
        <v/>
      </c>
      <c r="AX355" t="str">
        <f t="shared" si="267"/>
        <v/>
      </c>
      <c r="AY355" t="str">
        <f>IF(AND($AK355&lt;=Results!$I$23,$AK355&gt;=Results!$I$22,$AK355&gt;=Results!$F$4),$AN355,"")</f>
        <v/>
      </c>
      <c r="AZ355" t="str">
        <f t="shared" si="246"/>
        <v/>
      </c>
      <c r="BA355" t="str">
        <f>IF(AND($AK355&lt;=Results!$I$27,$AK355&gt;=Results!$I$26,$AK355&lt;=Results!$F$4),$AQ355,"")</f>
        <v/>
      </c>
      <c r="BB355" t="str">
        <f t="shared" si="247"/>
        <v/>
      </c>
      <c r="BC355" t="str">
        <f>IF(AND($AK355&lt;=Results!$I$29,$AK355&gt;=Results!$I$28,$AK355&gt;=Results!$F$4),$AQ355,"")</f>
        <v/>
      </c>
      <c r="BD355">
        <f t="shared" si="248"/>
        <v>8264.8002578630294</v>
      </c>
      <c r="BE355">
        <f t="shared" si="249"/>
        <v>1475.5882536000897</v>
      </c>
      <c r="BF355">
        <f t="shared" si="250"/>
        <v>8789.3886597838973</v>
      </c>
      <c r="BG355">
        <f t="shared" si="251"/>
        <v>1206.6580585879399</v>
      </c>
      <c r="BH355">
        <f t="shared" si="252"/>
        <v>0</v>
      </c>
      <c r="BI355">
        <f t="shared" si="253"/>
        <v>0.33364624323273562</v>
      </c>
      <c r="BJ355">
        <f t="shared" si="254"/>
        <v>0.1918009950816072</v>
      </c>
      <c r="BK355">
        <f t="shared" si="255"/>
        <v>-8.6972018978649798E-2</v>
      </c>
      <c r="BL355">
        <f t="shared" si="256"/>
        <v>-6.4958995464585903E-2</v>
      </c>
      <c r="BM355">
        <f t="shared" si="268"/>
        <v>119.99999999999829</v>
      </c>
      <c r="BN355">
        <f t="shared" si="269"/>
        <v>-119.99999999999829</v>
      </c>
      <c r="BO355">
        <f>Data!$H$2*(1-BI355)*(1-BI355/Data!$H$3)*BM355</f>
        <v>1.0656655899788164E-4</v>
      </c>
      <c r="BP355">
        <f t="shared" si="257"/>
        <v>-40.037549187927702</v>
      </c>
      <c r="BQ355">
        <f>Data!$H$2*(1-BJ355)*(1-BJ355/Data!$H$3)*BN355</f>
        <v>-1.5676455157225704E-4</v>
      </c>
      <c r="BR355">
        <f t="shared" si="258"/>
        <v>23.016119409792537</v>
      </c>
      <c r="BS355">
        <f t="shared" si="259"/>
        <v>0</v>
      </c>
      <c r="BT355">
        <f t="shared" si="260"/>
        <v>0</v>
      </c>
      <c r="BU355">
        <f t="shared" si="261"/>
        <v>0</v>
      </c>
      <c r="BV355">
        <f t="shared" si="244"/>
        <v>0</v>
      </c>
      <c r="BW355">
        <f t="shared" si="270"/>
        <v>0</v>
      </c>
      <c r="BX355" t="str">
        <f t="shared" si="271"/>
        <v/>
      </c>
      <c r="BY355" s="66" t="str">
        <f t="shared" si="262"/>
        <v/>
      </c>
      <c r="BZ355" t="str">
        <f t="shared" si="263"/>
        <v/>
      </c>
      <c r="CA355" s="67" t="str">
        <f t="shared" si="245"/>
        <v/>
      </c>
    </row>
    <row r="356" spans="4:79" x14ac:dyDescent="0.25">
      <c r="D356" s="3" t="e">
        <f t="shared" si="274"/>
        <v>#DIV/0!</v>
      </c>
      <c r="E356" s="3" t="e">
        <f t="shared" si="274"/>
        <v>#DIV/0!</v>
      </c>
      <c r="F356" t="str">
        <f>IF(A356&gt;0,IF(F355=1,1,IF(B356=Data!$H$4,1,0)),"")</f>
        <v/>
      </c>
      <c r="Y356" s="4"/>
      <c r="Z356" s="4"/>
      <c r="AA356" s="4" t="str">
        <f t="shared" si="242"/>
        <v/>
      </c>
      <c r="AE356" s="4" t="str">
        <f t="shared" si="243"/>
        <v/>
      </c>
      <c r="AK356" s="4">
        <f t="shared" si="272"/>
        <v>60.400000000000503</v>
      </c>
      <c r="AL356">
        <f t="shared" si="264"/>
        <v>4249.00000000006</v>
      </c>
      <c r="AM356">
        <f t="shared" si="265"/>
        <v>3675.9333333330096</v>
      </c>
      <c r="AN356">
        <f>IF($AK355+$AK$1&lt;=Data!$H$4-0.5,AVERAGE(AM354:AM358),AN355)</f>
        <v>3675.9333333330092</v>
      </c>
      <c r="AO356">
        <f t="shared" si="266"/>
        <v>6612.99999999994</v>
      </c>
      <c r="AP356">
        <f t="shared" si="273"/>
        <v>2609.9333333330774</v>
      </c>
      <c r="AQ356">
        <f>IF($AK355+$AK$1&lt;=Data!$H$4-0.5,AVERAGE(AP354:AP358),AQ355)</f>
        <v>2609.9333333330769</v>
      </c>
      <c r="AR356">
        <f>IF($AK355+$AK$1&lt;=Data!$H$4-0.5,SLOPE($AN352:$AN360,$AK352:$AK360),AR355)</f>
        <v>-649.70833333332519</v>
      </c>
      <c r="AS356">
        <f>IF($AK355+$AK$1&lt;=Data!$H$4-0.5,SLOPE($AQ352:$AQ360,$AK352:$AK360),AS355)</f>
        <v>-515.41666666664639</v>
      </c>
      <c r="AT356">
        <f>IF(AND($AK356&gt;=Results!$G$13,$AK356&lt;=Results!$G$14),Curves!AR356,"")</f>
        <v>-649.70833333332519</v>
      </c>
      <c r="AU356">
        <f>IF(AND($AK356&gt;=Results!$G$13,$AK356&lt;=Results!$G$14),Curves!AS356,"")</f>
        <v>-515.41666666664639</v>
      </c>
      <c r="AV356" t="str">
        <f t="shared" si="267"/>
        <v/>
      </c>
      <c r="AW356" t="str">
        <f>IF(AND($AK356&lt;=Results!$I$21,$AK356&gt;=Results!$I$20,$AK356&lt;=Results!$F$4),$AN356,"")</f>
        <v/>
      </c>
      <c r="AX356" t="str">
        <f t="shared" si="267"/>
        <v/>
      </c>
      <c r="AY356" t="str">
        <f>IF(AND($AK356&lt;=Results!$I$23,$AK356&gt;=Results!$I$22,$AK356&gt;=Results!$F$4),$AN356,"")</f>
        <v/>
      </c>
      <c r="AZ356" t="str">
        <f t="shared" si="246"/>
        <v/>
      </c>
      <c r="BA356" t="str">
        <f>IF(AND($AK356&lt;=Results!$I$27,$AK356&gt;=Results!$I$26,$AK356&lt;=Results!$F$4),$AQ356,"")</f>
        <v/>
      </c>
      <c r="BB356" t="str">
        <f t="shared" si="247"/>
        <v/>
      </c>
      <c r="BC356" t="str">
        <f>IF(AND($AK356&lt;=Results!$I$29,$AK356&gt;=Results!$I$28,$AK356&gt;=Results!$F$4),$AQ356,"")</f>
        <v/>
      </c>
      <c r="BD356">
        <f t="shared" si="248"/>
        <v>8254.0300630651109</v>
      </c>
      <c r="BE356">
        <f t="shared" si="249"/>
        <v>1472.2724643507688</v>
      </c>
      <c r="BF356">
        <f t="shared" si="250"/>
        <v>8782.0986775510028</v>
      </c>
      <c r="BG356">
        <f t="shared" si="251"/>
        <v>1206.1072576284148</v>
      </c>
      <c r="BH356">
        <f t="shared" si="252"/>
        <v>0</v>
      </c>
      <c r="BI356">
        <f t="shared" si="253"/>
        <v>0.32493949199835759</v>
      </c>
      <c r="BJ356">
        <f t="shared" si="254"/>
        <v>0.18529932227919632</v>
      </c>
      <c r="BK356">
        <f t="shared" si="255"/>
        <v>-8.7163320950007644E-2</v>
      </c>
      <c r="BL356">
        <f t="shared" si="256"/>
        <v>-6.5074614787838561E-2</v>
      </c>
      <c r="BM356">
        <f t="shared" si="268"/>
        <v>120.00000000000284</v>
      </c>
      <c r="BN356">
        <f t="shared" si="269"/>
        <v>-120.00000000000284</v>
      </c>
      <c r="BO356">
        <f>Data!$H$2*(1-BI356)*(1-BI356/Data!$H$3)*BM356</f>
        <v>1.0936960547122711E-4</v>
      </c>
      <c r="BP356">
        <f t="shared" si="257"/>
        <v>-38.992739039803837</v>
      </c>
      <c r="BQ356">
        <f>Data!$H$2*(1-BJ356)*(1-BJ356/Data!$H$3)*BN356</f>
        <v>-1.5929692662690063E-4</v>
      </c>
      <c r="BR356">
        <f t="shared" si="258"/>
        <v>22.235918673504084</v>
      </c>
      <c r="BS356">
        <f t="shared" si="259"/>
        <v>0</v>
      </c>
      <c r="BT356">
        <f t="shared" si="260"/>
        <v>0</v>
      </c>
      <c r="BU356">
        <f t="shared" si="261"/>
        <v>0</v>
      </c>
      <c r="BV356">
        <f t="shared" si="244"/>
        <v>0</v>
      </c>
      <c r="BW356">
        <f t="shared" si="270"/>
        <v>0</v>
      </c>
      <c r="BX356" t="str">
        <f t="shared" si="271"/>
        <v/>
      </c>
      <c r="BY356" s="66" t="str">
        <f t="shared" si="262"/>
        <v/>
      </c>
      <c r="BZ356" t="str">
        <f t="shared" si="263"/>
        <v/>
      </c>
      <c r="CA356" s="67" t="str">
        <f t="shared" si="245"/>
        <v/>
      </c>
    </row>
    <row r="357" spans="4:79" x14ac:dyDescent="0.25">
      <c r="D357" s="3" t="e">
        <f t="shared" si="274"/>
        <v>#DIV/0!</v>
      </c>
      <c r="E357" s="3" t="e">
        <f t="shared" si="274"/>
        <v>#DIV/0!</v>
      </c>
      <c r="F357" t="str">
        <f>IF(A357&gt;0,IF(F356=1,1,IF(B357=Data!$H$4,1,0)),"")</f>
        <v/>
      </c>
      <c r="Y357" s="4"/>
      <c r="Z357" s="4"/>
      <c r="AA357" s="4" t="str">
        <f t="shared" si="242"/>
        <v/>
      </c>
      <c r="AE357" s="4" t="str">
        <f t="shared" si="243"/>
        <v/>
      </c>
      <c r="AK357" s="4">
        <f t="shared" si="272"/>
        <v>60.500000000000504</v>
      </c>
      <c r="AL357">
        <f t="shared" si="264"/>
        <v>4261.0000000000609</v>
      </c>
      <c r="AM357">
        <f t="shared" si="265"/>
        <v>3611.0833333330088</v>
      </c>
      <c r="AN357">
        <f>IF($AK356+$AK$1&lt;=Data!$H$4-0.5,AVERAGE(AM355:AM359),AN356)</f>
        <v>3611.0833333330083</v>
      </c>
      <c r="AO357">
        <f t="shared" si="266"/>
        <v>6600.9999999999391</v>
      </c>
      <c r="AP357">
        <f t="shared" si="273"/>
        <v>2558.8333333330761</v>
      </c>
      <c r="AQ357">
        <f>IF($AK356+$AK$1&lt;=Data!$H$4-0.5,AVERAGE(AP355:AP359),AQ356)</f>
        <v>2558.8333333330761</v>
      </c>
      <c r="AR357">
        <f>IF($AK356+$AK$1&lt;=Data!$H$4-0.5,SLOPE($AN353:$AN361,$AK353:$AK361),AR356)</f>
        <v>-648.19777777776699</v>
      </c>
      <c r="AS357">
        <f>IF($AK356+$AK$1&lt;=Data!$H$4-0.5,SLOPE($AQ353:$AQ361,$AK353:$AK361),AS356)</f>
        <v>-510.75555555553314</v>
      </c>
      <c r="AT357">
        <f>IF(AND($AK357&gt;=Results!$G$13,$AK357&lt;=Results!$G$14),Curves!AR357,"")</f>
        <v>-648.19777777776699</v>
      </c>
      <c r="AU357">
        <f>IF(AND($AK357&gt;=Results!$G$13,$AK357&lt;=Results!$G$14),Curves!AS357,"")</f>
        <v>-510.75555555553314</v>
      </c>
      <c r="AV357" t="str">
        <f t="shared" si="267"/>
        <v/>
      </c>
      <c r="AW357" t="str">
        <f>IF(AND($AK357&lt;=Results!$I$21,$AK357&gt;=Results!$I$20,$AK357&lt;=Results!$F$4),$AN357,"")</f>
        <v/>
      </c>
      <c r="AX357" t="str">
        <f t="shared" si="267"/>
        <v/>
      </c>
      <c r="AY357" t="str">
        <f>IF(AND($AK357&lt;=Results!$I$23,$AK357&gt;=Results!$I$22,$AK357&gt;=Results!$F$4),$AN357,"")</f>
        <v/>
      </c>
      <c r="AZ357" t="str">
        <f t="shared" si="246"/>
        <v/>
      </c>
      <c r="BA357" t="str">
        <f>IF(AND($AK357&lt;=Results!$I$27,$AK357&gt;=Results!$I$26,$AK357&lt;=Results!$F$4),$AQ357,"")</f>
        <v/>
      </c>
      <c r="BB357" t="str">
        <f t="shared" si="247"/>
        <v/>
      </c>
      <c r="BC357" t="str">
        <f>IF(AND($AK357&lt;=Results!$I$29,$AK357&gt;=Results!$I$28,$AK357&gt;=Results!$F$4),$AQ357,"")</f>
        <v/>
      </c>
      <c r="BD357">
        <f t="shared" si="248"/>
        <v>8243.2598682671924</v>
      </c>
      <c r="BE357">
        <f t="shared" si="249"/>
        <v>1468.9566751014479</v>
      </c>
      <c r="BF357">
        <f t="shared" si="250"/>
        <v>8774.8086953181119</v>
      </c>
      <c r="BG357">
        <f t="shared" si="251"/>
        <v>1205.55645666889</v>
      </c>
      <c r="BH357">
        <f t="shared" si="252"/>
        <v>0</v>
      </c>
      <c r="BI357">
        <f t="shared" si="253"/>
        <v>0.31621357904273384</v>
      </c>
      <c r="BJ357">
        <f t="shared" si="254"/>
        <v>0.1787860721240393</v>
      </c>
      <c r="BK357">
        <f t="shared" si="255"/>
        <v>-8.7355254792656351E-2</v>
      </c>
      <c r="BL357">
        <f t="shared" si="256"/>
        <v>-6.519054306917145E-2</v>
      </c>
      <c r="BM357">
        <f t="shared" si="268"/>
        <v>120.00000000000284</v>
      </c>
      <c r="BN357">
        <f t="shared" si="269"/>
        <v>-120.00000000000284</v>
      </c>
      <c r="BO357">
        <f>Data!$H$2*(1-BI357)*(1-BI357/Data!$H$3)*BM357</f>
        <v>1.1221532867653408E-4</v>
      </c>
      <c r="BP357">
        <f t="shared" si="257"/>
        <v>-37.945629485128961</v>
      </c>
      <c r="BQ357">
        <f>Data!$H$2*(1-BJ357)*(1-BJ357/Data!$H$3)*BN357</f>
        <v>-1.618541556809951E-4</v>
      </c>
      <c r="BR357">
        <f t="shared" si="258"/>
        <v>21.454328654885224</v>
      </c>
      <c r="BS357">
        <f t="shared" si="259"/>
        <v>0</v>
      </c>
      <c r="BT357">
        <f t="shared" si="260"/>
        <v>0</v>
      </c>
      <c r="BU357">
        <f t="shared" si="261"/>
        <v>0</v>
      </c>
      <c r="BV357">
        <f t="shared" si="244"/>
        <v>0</v>
      </c>
      <c r="BW357">
        <f t="shared" si="270"/>
        <v>0</v>
      </c>
      <c r="BX357" t="str">
        <f t="shared" si="271"/>
        <v/>
      </c>
      <c r="BY357" s="66" t="str">
        <f t="shared" si="262"/>
        <v/>
      </c>
      <c r="BZ357" t="str">
        <f t="shared" si="263"/>
        <v/>
      </c>
      <c r="CA357" s="67" t="str">
        <f t="shared" si="245"/>
        <v/>
      </c>
    </row>
    <row r="358" spans="4:79" x14ac:dyDescent="0.25">
      <c r="D358" s="3" t="e">
        <f t="shared" si="274"/>
        <v>#DIV/0!</v>
      </c>
      <c r="E358" s="3" t="e">
        <f t="shared" si="274"/>
        <v>#DIV/0!</v>
      </c>
      <c r="F358" t="str">
        <f>IF(A358&gt;0,IF(F357=1,1,IF(B358=Data!$H$4,1,0)),"")</f>
        <v/>
      </c>
      <c r="Y358" s="4"/>
      <c r="Z358" s="4"/>
      <c r="AA358" s="4" t="str">
        <f t="shared" si="242"/>
        <v/>
      </c>
      <c r="AE358" s="4" t="str">
        <f t="shared" si="243"/>
        <v/>
      </c>
      <c r="AK358" s="4">
        <f t="shared" si="272"/>
        <v>60.600000000000506</v>
      </c>
      <c r="AL358">
        <f t="shared" si="264"/>
        <v>4273.0000000000609</v>
      </c>
      <c r="AM358">
        <f t="shared" si="265"/>
        <v>3546.2333333330075</v>
      </c>
      <c r="AN358">
        <f>IF($AK357+$AK$1&lt;=Data!$H$4-0.5,AVERAGE(AM356:AM360),AN357)</f>
        <v>3546.2333333330075</v>
      </c>
      <c r="AO358">
        <f t="shared" si="266"/>
        <v>6588.9999999999391</v>
      </c>
      <c r="AP358">
        <f t="shared" si="273"/>
        <v>2507.7333333330753</v>
      </c>
      <c r="AQ358">
        <f>IF($AK357+$AK$1&lt;=Data!$H$4-0.5,AVERAGE(AP356:AP360),AQ357)</f>
        <v>2507.7333333330748</v>
      </c>
      <c r="AR358">
        <f>IF($AK357+$AK$1&lt;=Data!$H$4-0.5,SLOPE($AN354:$AN362,$AK354:$AK362),AR357)</f>
        <v>-646.15833333331727</v>
      </c>
      <c r="AS358">
        <f>IF($AK357+$AK$1&lt;=Data!$H$4-0.5,SLOPE($AQ354:$AQ362,$AK354:$AK362),AS357)</f>
        <v>-505.6666666666336</v>
      </c>
      <c r="AT358">
        <f>IF(AND($AK358&gt;=Results!$G$13,$AK358&lt;=Results!$G$14),Curves!AR358,"")</f>
        <v>-646.15833333331727</v>
      </c>
      <c r="AU358">
        <f>IF(AND($AK358&gt;=Results!$G$13,$AK358&lt;=Results!$G$14),Curves!AS358,"")</f>
        <v>-505.6666666666336</v>
      </c>
      <c r="AV358" t="str">
        <f t="shared" si="267"/>
        <v/>
      </c>
      <c r="AW358" t="str">
        <f>IF(AND($AK358&lt;=Results!$I$21,$AK358&gt;=Results!$I$20,$AK358&lt;=Results!$F$4),$AN358,"")</f>
        <v/>
      </c>
      <c r="AX358" t="str">
        <f t="shared" si="267"/>
        <v/>
      </c>
      <c r="AY358" t="str">
        <f>IF(AND($AK358&lt;=Results!$I$23,$AK358&gt;=Results!$I$22,$AK358&gt;=Results!$F$4),$AN358,"")</f>
        <v/>
      </c>
      <c r="AZ358" t="str">
        <f t="shared" si="246"/>
        <v/>
      </c>
      <c r="BA358" t="str">
        <f>IF(AND($AK358&lt;=Results!$I$27,$AK358&gt;=Results!$I$26,$AK358&lt;=Results!$F$4),$AQ358,"")</f>
        <v/>
      </c>
      <c r="BB358" t="str">
        <f t="shared" si="247"/>
        <v/>
      </c>
      <c r="BC358" t="str">
        <f>IF(AND($AK358&lt;=Results!$I$29,$AK358&gt;=Results!$I$28,$AK358&gt;=Results!$F$4),$AQ358,"")</f>
        <v/>
      </c>
      <c r="BD358">
        <f t="shared" si="248"/>
        <v>8232.489673469272</v>
      </c>
      <c r="BE358">
        <f t="shared" si="249"/>
        <v>1465.6408858521272</v>
      </c>
      <c r="BF358">
        <f t="shared" si="250"/>
        <v>8767.5187130852173</v>
      </c>
      <c r="BG358">
        <f t="shared" si="251"/>
        <v>1205.0056557093649</v>
      </c>
      <c r="BH358">
        <f t="shared" si="252"/>
        <v>0</v>
      </c>
      <c r="BI358">
        <f t="shared" si="253"/>
        <v>0.30746844103982607</v>
      </c>
      <c r="BJ358">
        <f t="shared" si="254"/>
        <v>0.17226121366536185</v>
      </c>
      <c r="BK358">
        <f t="shared" si="255"/>
        <v>-8.7547823292433574E-2</v>
      </c>
      <c r="BL358">
        <f t="shared" si="256"/>
        <v>-6.5306781410365458E-2</v>
      </c>
      <c r="BM358">
        <f t="shared" si="268"/>
        <v>119.99999999999829</v>
      </c>
      <c r="BN358">
        <f t="shared" si="269"/>
        <v>-119.99999999999829</v>
      </c>
      <c r="BO358">
        <f>Data!$H$2*(1-BI358)*(1-BI358/Data!$H$3)*BM358</f>
        <v>1.1510399043739249E-4</v>
      </c>
      <c r="BP358">
        <f t="shared" si="257"/>
        <v>-36.896212924778602</v>
      </c>
      <c r="BQ358">
        <f>Data!$H$2*(1-BJ358)*(1-BJ358/Data!$H$3)*BN358</f>
        <v>-1.644363596166552E-4</v>
      </c>
      <c r="BR358">
        <f t="shared" si="258"/>
        <v>20.671345639843128</v>
      </c>
      <c r="BS358">
        <f t="shared" si="259"/>
        <v>0</v>
      </c>
      <c r="BT358">
        <f t="shared" si="260"/>
        <v>0</v>
      </c>
      <c r="BU358">
        <f t="shared" si="261"/>
        <v>0</v>
      </c>
      <c r="BV358">
        <f t="shared" si="244"/>
        <v>0</v>
      </c>
      <c r="BW358">
        <f t="shared" si="270"/>
        <v>0</v>
      </c>
      <c r="BX358" t="str">
        <f t="shared" si="271"/>
        <v/>
      </c>
      <c r="BY358" s="66" t="str">
        <f t="shared" si="262"/>
        <v/>
      </c>
      <c r="BZ358" t="str">
        <f t="shared" si="263"/>
        <v/>
      </c>
      <c r="CA358" s="67" t="str">
        <f t="shared" si="245"/>
        <v/>
      </c>
    </row>
    <row r="359" spans="4:79" x14ac:dyDescent="0.25">
      <c r="D359" s="3" t="e">
        <f t="shared" si="274"/>
        <v>#DIV/0!</v>
      </c>
      <c r="E359" s="3" t="e">
        <f t="shared" si="274"/>
        <v>#DIV/0!</v>
      </c>
      <c r="F359" t="str">
        <f>IF(A359&gt;0,IF(F358=1,1,IF(B359=Data!$H$4,1,0)),"")</f>
        <v/>
      </c>
      <c r="Y359" s="4"/>
      <c r="Z359" s="4"/>
      <c r="AA359" s="4" t="str">
        <f t="shared" si="242"/>
        <v/>
      </c>
      <c r="AE359" s="4" t="str">
        <f t="shared" si="243"/>
        <v/>
      </c>
      <c r="AK359" s="4">
        <f t="shared" si="272"/>
        <v>60.700000000000507</v>
      </c>
      <c r="AL359">
        <f t="shared" si="264"/>
        <v>4285.0000000000609</v>
      </c>
      <c r="AM359">
        <f t="shared" si="265"/>
        <v>3481.3833333330067</v>
      </c>
      <c r="AN359">
        <f>IF($AK358+$AK$1&lt;=Data!$H$4-0.5,AVERAGE(AM357:AM361),AN358)</f>
        <v>3481.3833333330067</v>
      </c>
      <c r="AO359">
        <f t="shared" si="266"/>
        <v>6576.9999999999391</v>
      </c>
      <c r="AP359">
        <f t="shared" si="273"/>
        <v>2456.633333333074</v>
      </c>
      <c r="AQ359">
        <f>IF($AK358+$AK$1&lt;=Data!$H$4-0.5,AVERAGE(AP357:AP361),AQ358)</f>
        <v>2456.633333333074</v>
      </c>
      <c r="AR359">
        <f>IF($AK358+$AK$1&lt;=Data!$H$4-0.5,SLOPE($AN355:$AN363,$AK355:$AK363),AR358)</f>
        <v>-643.03611111108705</v>
      </c>
      <c r="AS359">
        <f>IF($AK358+$AK$1&lt;=Data!$H$4-0.5,SLOPE($AQ355:$AQ363,$AK355:$AK363),AS358)</f>
        <v>-498.55555555550393</v>
      </c>
      <c r="AT359">
        <f>IF(AND($AK359&gt;=Results!$G$13,$AK359&lt;=Results!$G$14),Curves!AR359,"")</f>
        <v>-643.03611111108705</v>
      </c>
      <c r="AU359">
        <f>IF(AND($AK359&gt;=Results!$G$13,$AK359&lt;=Results!$G$14),Curves!AS359,"")</f>
        <v>-498.55555555550393</v>
      </c>
      <c r="AV359" t="str">
        <f t="shared" si="267"/>
        <v/>
      </c>
      <c r="AW359" t="str">
        <f>IF(AND($AK359&lt;=Results!$I$21,$AK359&gt;=Results!$I$20,$AK359&lt;=Results!$F$4),$AN359,"")</f>
        <v/>
      </c>
      <c r="AX359" t="str">
        <f t="shared" si="267"/>
        <v/>
      </c>
      <c r="AY359" t="str">
        <f>IF(AND($AK359&lt;=Results!$I$23,$AK359&gt;=Results!$I$22,$AK359&gt;=Results!$F$4),$AN359,"")</f>
        <v/>
      </c>
      <c r="AZ359" t="str">
        <f t="shared" si="246"/>
        <v/>
      </c>
      <c r="BA359" t="str">
        <f>IF(AND($AK359&lt;=Results!$I$27,$AK359&gt;=Results!$I$26,$AK359&lt;=Results!$F$4),$AQ359,"")</f>
        <v/>
      </c>
      <c r="BB359" t="str">
        <f t="shared" si="247"/>
        <v/>
      </c>
      <c r="BC359" t="str">
        <f>IF(AND($AK359&lt;=Results!$I$29,$AK359&gt;=Results!$I$28,$AK359&gt;=Results!$F$4),$AQ359,"")</f>
        <v/>
      </c>
      <c r="BD359">
        <f t="shared" si="248"/>
        <v>8221.7194786713517</v>
      </c>
      <c r="BE359">
        <f t="shared" si="249"/>
        <v>1462.3250966028063</v>
      </c>
      <c r="BF359">
        <f t="shared" si="250"/>
        <v>8760.2287308523246</v>
      </c>
      <c r="BG359">
        <f t="shared" si="251"/>
        <v>1204.4548547498398</v>
      </c>
      <c r="BH359">
        <f t="shared" si="252"/>
        <v>0</v>
      </c>
      <c r="BI359">
        <f t="shared" si="253"/>
        <v>0.29870401438424687</v>
      </c>
      <c r="BJ359">
        <f t="shared" si="254"/>
        <v>0.16572471584196602</v>
      </c>
      <c r="BK359">
        <f t="shared" si="255"/>
        <v>-8.7741029250536923E-2</v>
      </c>
      <c r="BL359">
        <f t="shared" si="256"/>
        <v>-6.5423330918108646E-2</v>
      </c>
      <c r="BM359">
        <f t="shared" si="268"/>
        <v>119.99999999999829</v>
      </c>
      <c r="BN359">
        <f t="shared" si="269"/>
        <v>-119.99999999999829</v>
      </c>
      <c r="BO359">
        <f>Data!$H$2*(1-BI359)*(1-BI359/Data!$H$3)*BM359</f>
        <v>1.1803585426578325E-4</v>
      </c>
      <c r="BP359">
        <f t="shared" si="257"/>
        <v>-35.844481726109116</v>
      </c>
      <c r="BQ359">
        <f>Data!$H$2*(1-BJ359)*(1-BJ359/Data!$H$3)*BN359</f>
        <v>-1.6704365994167002E-4</v>
      </c>
      <c r="BR359">
        <f t="shared" si="258"/>
        <v>19.886965901035641</v>
      </c>
      <c r="BS359">
        <f t="shared" si="259"/>
        <v>0</v>
      </c>
      <c r="BT359">
        <f t="shared" si="260"/>
        <v>0</v>
      </c>
      <c r="BU359">
        <f t="shared" si="261"/>
        <v>0</v>
      </c>
      <c r="BV359">
        <f t="shared" si="244"/>
        <v>0</v>
      </c>
      <c r="BW359">
        <f t="shared" si="270"/>
        <v>0</v>
      </c>
      <c r="BX359" t="str">
        <f t="shared" si="271"/>
        <v/>
      </c>
      <c r="BY359" s="66" t="str">
        <f t="shared" si="262"/>
        <v/>
      </c>
      <c r="BZ359" t="str">
        <f t="shared" si="263"/>
        <v/>
      </c>
      <c r="CA359" s="67" t="str">
        <f t="shared" si="245"/>
        <v/>
      </c>
    </row>
    <row r="360" spans="4:79" x14ac:dyDescent="0.25">
      <c r="D360" s="3" t="e">
        <f t="shared" si="274"/>
        <v>#DIV/0!</v>
      </c>
      <c r="E360" s="3" t="e">
        <f t="shared" si="274"/>
        <v>#DIV/0!</v>
      </c>
      <c r="F360" t="str">
        <f>IF(A360&gt;0,IF(F359=1,1,IF(B360=Data!$H$4,1,0)),"")</f>
        <v/>
      </c>
      <c r="Y360" s="4"/>
      <c r="Z360" s="4"/>
      <c r="AA360" s="4" t="str">
        <f t="shared" si="242"/>
        <v/>
      </c>
      <c r="AE360" s="4" t="str">
        <f t="shared" si="243"/>
        <v/>
      </c>
      <c r="AK360" s="4">
        <f t="shared" si="272"/>
        <v>60.800000000000509</v>
      </c>
      <c r="AL360">
        <f t="shared" si="264"/>
        <v>4297.0000000000609</v>
      </c>
      <c r="AM360">
        <f t="shared" si="265"/>
        <v>3416.5333333330059</v>
      </c>
      <c r="AN360">
        <f>IF($AK359+$AK$1&lt;=Data!$H$4-0.5,AVERAGE(AM358:AM362),AN359)</f>
        <v>3416.5333333330104</v>
      </c>
      <c r="AO360">
        <f t="shared" si="266"/>
        <v>6564.9999999999391</v>
      </c>
      <c r="AP360">
        <f t="shared" si="273"/>
        <v>2405.5333333330727</v>
      </c>
      <c r="AQ360">
        <f>IF($AK359+$AK$1&lt;=Data!$H$4-0.5,AVERAGE(AP358:AP362),AQ359)</f>
        <v>2405.5333333330836</v>
      </c>
      <c r="AR360">
        <f>IF($AK359+$AK$1&lt;=Data!$H$4-0.5,SLOPE($AN356:$AN364,$AK356:$AK364),AR359)</f>
        <v>-638.35277777774638</v>
      </c>
      <c r="AS360">
        <f>IF($AK359+$AK$1&lt;=Data!$H$4-0.5,SLOPE($AQ356:$AQ364,$AK356:$AK364),AS359)</f>
        <v>-487.88888888881866</v>
      </c>
      <c r="AT360">
        <f>IF(AND($AK360&gt;=Results!$G$13,$AK360&lt;=Results!$G$14),Curves!AR360,"")</f>
        <v>-638.35277777774638</v>
      </c>
      <c r="AU360">
        <f>IF(AND($AK360&gt;=Results!$G$13,$AK360&lt;=Results!$G$14),Curves!AS360,"")</f>
        <v>-487.88888888881866</v>
      </c>
      <c r="AV360" t="str">
        <f t="shared" si="267"/>
        <v/>
      </c>
      <c r="AW360" t="str">
        <f>IF(AND($AK360&lt;=Results!$I$21,$AK360&gt;=Results!$I$20,$AK360&lt;=Results!$F$4),$AN360,"")</f>
        <v/>
      </c>
      <c r="AX360" t="str">
        <f t="shared" si="267"/>
        <v/>
      </c>
      <c r="AY360" t="str">
        <f>IF(AND($AK360&lt;=Results!$I$23,$AK360&gt;=Results!$I$22,$AK360&gt;=Results!$F$4),$AN360,"")</f>
        <v/>
      </c>
      <c r="AZ360" t="str">
        <f t="shared" si="246"/>
        <v/>
      </c>
      <c r="BA360" t="str">
        <f>IF(AND($AK360&lt;=Results!$I$27,$AK360&gt;=Results!$I$26,$AK360&lt;=Results!$F$4),$AQ360,"")</f>
        <v/>
      </c>
      <c r="BB360" t="str">
        <f t="shared" si="247"/>
        <v/>
      </c>
      <c r="BC360" t="str">
        <f>IF(AND($AK360&lt;=Results!$I$29,$AK360&gt;=Results!$I$28,$AK360&gt;=Results!$F$4),$AQ360,"")</f>
        <v/>
      </c>
      <c r="BD360">
        <f t="shared" si="248"/>
        <v>8210.9492838734332</v>
      </c>
      <c r="BE360">
        <f t="shared" si="249"/>
        <v>1459.0093073534856</v>
      </c>
      <c r="BF360">
        <f t="shared" si="250"/>
        <v>8752.9387486194319</v>
      </c>
      <c r="BG360">
        <f t="shared" si="251"/>
        <v>1203.9040537903147</v>
      </c>
      <c r="BH360">
        <f t="shared" si="252"/>
        <v>0</v>
      </c>
      <c r="BI360">
        <f t="shared" si="253"/>
        <v>0.28992023518971843</v>
      </c>
      <c r="BJ360">
        <f t="shared" si="254"/>
        <v>0.15917654748173993</v>
      </c>
      <c r="BK360">
        <f t="shared" si="255"/>
        <v>-8.7240481035906065E-2</v>
      </c>
      <c r="BL360">
        <f t="shared" si="256"/>
        <v>-6.4125945987310778E-2</v>
      </c>
      <c r="BM360">
        <f t="shared" si="268"/>
        <v>119.99999999999829</v>
      </c>
      <c r="BN360">
        <f t="shared" si="269"/>
        <v>-119.99999999999829</v>
      </c>
      <c r="BO360">
        <f>Data!$H$2*(1-BI360)*(1-BI360/Data!$H$3)*BM360</f>
        <v>1.2101118537432421E-4</v>
      </c>
      <c r="BP360">
        <f t="shared" si="257"/>
        <v>-34.790428222765719</v>
      </c>
      <c r="BQ360">
        <f>Data!$H$2*(1-BJ360)*(1-BJ360/Data!$H$3)*BN360</f>
        <v>-1.6967617879313203E-4</v>
      </c>
      <c r="BR360">
        <f t="shared" si="258"/>
        <v>19.101185697808521</v>
      </c>
      <c r="BS360">
        <f t="shared" si="259"/>
        <v>0</v>
      </c>
      <c r="BT360">
        <f t="shared" si="260"/>
        <v>0</v>
      </c>
      <c r="BU360">
        <f t="shared" si="261"/>
        <v>0</v>
      </c>
      <c r="BV360">
        <f t="shared" si="244"/>
        <v>0</v>
      </c>
      <c r="BW360">
        <f t="shared" si="270"/>
        <v>0</v>
      </c>
      <c r="BX360" t="str">
        <f t="shared" si="271"/>
        <v/>
      </c>
      <c r="BY360" s="66" t="str">
        <f t="shared" si="262"/>
        <v/>
      </c>
      <c r="BZ360" t="str">
        <f t="shared" si="263"/>
        <v/>
      </c>
      <c r="CA360" s="67" t="str">
        <f t="shared" si="245"/>
        <v/>
      </c>
    </row>
    <row r="361" spans="4:79" x14ac:dyDescent="0.25">
      <c r="D361" s="3" t="e">
        <f t="shared" si="274"/>
        <v>#DIV/0!</v>
      </c>
      <c r="E361" s="3" t="e">
        <f t="shared" si="274"/>
        <v>#DIV/0!</v>
      </c>
      <c r="F361" t="str">
        <f>IF(A361&gt;0,IF(F360=1,1,IF(B361=Data!$H$4,1,0)),"")</f>
        <v/>
      </c>
      <c r="Y361" s="4"/>
      <c r="Z361" s="4"/>
      <c r="AA361" s="4" t="str">
        <f t="shared" si="242"/>
        <v/>
      </c>
      <c r="AE361" s="4" t="str">
        <f t="shared" si="243"/>
        <v/>
      </c>
      <c r="AK361" s="4">
        <f t="shared" si="272"/>
        <v>60.90000000000051</v>
      </c>
      <c r="AL361">
        <f t="shared" si="264"/>
        <v>4309.0000000000609</v>
      </c>
      <c r="AM361">
        <f t="shared" si="265"/>
        <v>3351.6833333330051</v>
      </c>
      <c r="AN361">
        <f>IF($AK360+$AK$1&lt;=Data!$H$4-0.5,AVERAGE(AM359:AM363),AN360)</f>
        <v>3352.6199999996811</v>
      </c>
      <c r="AO361">
        <f t="shared" si="266"/>
        <v>6552.9999999999391</v>
      </c>
      <c r="AP361">
        <f t="shared" si="273"/>
        <v>2354.4333333330719</v>
      </c>
      <c r="AQ361">
        <f>IF($AK360+$AK$1&lt;=Data!$H$4-0.5,AVERAGE(AP359:AP363),AQ360)</f>
        <v>2356.566666666427</v>
      </c>
      <c r="AR361">
        <f>IF($AK360+$AK$1&lt;=Data!$H$4-0.5,SLOPE($AN357:$AN365,$AK357:$AK365),AR360)</f>
        <v>-632.10833333329879</v>
      </c>
      <c r="AS361">
        <f>IF($AK360+$AK$1&lt;=Data!$H$4-0.5,SLOPE($AQ357:$AQ365,$AK357:$AK365),AS360)</f>
        <v>-473.66666666658665</v>
      </c>
      <c r="AT361">
        <f>IF(AND($AK361&gt;=Results!$G$13,$AK361&lt;=Results!$G$14),Curves!AR361,"")</f>
        <v>-632.10833333329879</v>
      </c>
      <c r="AU361">
        <f>IF(AND($AK361&gt;=Results!$G$13,$AK361&lt;=Results!$G$14),Curves!AS361,"")</f>
        <v>-473.66666666658665</v>
      </c>
      <c r="AV361" t="str">
        <f t="shared" si="267"/>
        <v/>
      </c>
      <c r="AW361" t="str">
        <f>IF(AND($AK361&lt;=Results!$I$21,$AK361&gt;=Results!$I$20,$AK361&lt;=Results!$F$4),$AN361,"")</f>
        <v/>
      </c>
      <c r="AX361" t="str">
        <f t="shared" si="267"/>
        <v/>
      </c>
      <c r="AY361" t="str">
        <f>IF(AND($AK361&lt;=Results!$I$23,$AK361&gt;=Results!$I$22,$AK361&gt;=Results!$F$4),$AN361,"")</f>
        <v/>
      </c>
      <c r="AZ361" t="str">
        <f t="shared" si="246"/>
        <v/>
      </c>
      <c r="BA361" t="str">
        <f>IF(AND($AK361&lt;=Results!$I$27,$AK361&gt;=Results!$I$26,$AK361&lt;=Results!$F$4),$AQ361,"")</f>
        <v/>
      </c>
      <c r="BB361" t="str">
        <f t="shared" si="247"/>
        <v/>
      </c>
      <c r="BC361" t="str">
        <f>IF(AND($AK361&lt;=Results!$I$29,$AK361&gt;=Results!$I$28,$AK361&gt;=Results!$F$4),$AQ361,"")</f>
        <v/>
      </c>
      <c r="BD361">
        <f t="shared" si="248"/>
        <v>8200.1790890755128</v>
      </c>
      <c r="BE361">
        <f t="shared" si="249"/>
        <v>1455.6935181041647</v>
      </c>
      <c r="BF361">
        <f t="shared" si="250"/>
        <v>8745.6487663865373</v>
      </c>
      <c r="BG361">
        <f t="shared" si="251"/>
        <v>1203.3532528307899</v>
      </c>
      <c r="BH361">
        <f t="shared" si="252"/>
        <v>0</v>
      </c>
      <c r="BI361">
        <f t="shared" si="253"/>
        <v>0.28125591817706541</v>
      </c>
      <c r="BJ361">
        <f t="shared" si="254"/>
        <v>0.15289952664450368</v>
      </c>
      <c r="BK361">
        <f t="shared" si="255"/>
        <v>-8.6043876475354483E-2</v>
      </c>
      <c r="BL361">
        <f t="shared" si="256"/>
        <v>-6.1410833377048238E-2</v>
      </c>
      <c r="BM361">
        <f t="shared" si="268"/>
        <v>120.00000000000284</v>
      </c>
      <c r="BN361">
        <f t="shared" si="269"/>
        <v>-120.00000000000284</v>
      </c>
      <c r="BO361">
        <f>Data!$H$2*(1-BI361)*(1-BI361/Data!$H$3)*BM361</f>
        <v>1.2398233323732133E-4</v>
      </c>
      <c r="BP361">
        <f t="shared" si="257"/>
        <v>-33.75071018124865</v>
      </c>
      <c r="BQ361">
        <f>Data!$H$2*(1-BJ361)*(1-BJ361/Data!$H$3)*BN361</f>
        <v>-1.722190108701895E-4</v>
      </c>
      <c r="BR361">
        <f t="shared" si="258"/>
        <v>18.347943197340875</v>
      </c>
      <c r="BS361">
        <f t="shared" si="259"/>
        <v>0</v>
      </c>
      <c r="BT361">
        <f t="shared" si="260"/>
        <v>0</v>
      </c>
      <c r="BU361">
        <f t="shared" si="261"/>
        <v>0</v>
      </c>
      <c r="BV361">
        <f t="shared" si="244"/>
        <v>0</v>
      </c>
      <c r="BW361">
        <f t="shared" si="270"/>
        <v>0</v>
      </c>
      <c r="BX361" t="str">
        <f t="shared" si="271"/>
        <v/>
      </c>
      <c r="BY361" s="66" t="str">
        <f t="shared" si="262"/>
        <v/>
      </c>
      <c r="BZ361" t="str">
        <f t="shared" si="263"/>
        <v/>
      </c>
      <c r="CA361" s="67" t="str">
        <f t="shared" si="245"/>
        <v/>
      </c>
    </row>
    <row r="362" spans="4:79" x14ac:dyDescent="0.25">
      <c r="D362" s="3" t="e">
        <f t="shared" si="274"/>
        <v>#DIV/0!</v>
      </c>
      <c r="E362" s="3" t="e">
        <f t="shared" si="274"/>
        <v>#DIV/0!</v>
      </c>
      <c r="F362" t="str">
        <f>IF(A362&gt;0,IF(F361=1,1,IF(B362=Data!$H$4,1,0)),"")</f>
        <v/>
      </c>
      <c r="Y362" s="4"/>
      <c r="Z362" s="4"/>
      <c r="AA362" s="4" t="str">
        <f t="shared" si="242"/>
        <v/>
      </c>
      <c r="AE362" s="4" t="str">
        <f t="shared" si="243"/>
        <v/>
      </c>
      <c r="AK362" s="4">
        <f t="shared" si="272"/>
        <v>61.000000000000512</v>
      </c>
      <c r="AL362">
        <f t="shared" si="264"/>
        <v>4321.0000000000618</v>
      </c>
      <c r="AM362">
        <f t="shared" si="265"/>
        <v>3286.8333333330279</v>
      </c>
      <c r="AN362">
        <f>IF($AK361+$AK$1&lt;=Data!$H$4-0.5,AVERAGE(AM360:AM364),AN361)</f>
        <v>3289.6433333330183</v>
      </c>
      <c r="AO362">
        <f t="shared" si="266"/>
        <v>6540.9999999999382</v>
      </c>
      <c r="AP362">
        <f t="shared" si="273"/>
        <v>2303.3333333331252</v>
      </c>
      <c r="AQ362">
        <f>IF($AK361+$AK$1&lt;=Data!$H$4-0.5,AVERAGE(AP360:AP364),AQ361)</f>
        <v>2309.7333333331039</v>
      </c>
      <c r="AR362">
        <f>IF($AK361+$AK$1&lt;=Data!$H$4-0.5,SLOPE($AN358:$AN366,$AK358:$AK366),AR361)</f>
        <v>-625.08333333329972</v>
      </c>
      <c r="AS362">
        <f>IF($AK361+$AK$1&lt;=Data!$H$4-0.5,SLOPE($AQ358:$AQ366,$AK358:$AK366),AS361)</f>
        <v>-457.66666666658574</v>
      </c>
      <c r="AT362">
        <f>IF(AND($AK362&gt;=Results!$G$13,$AK362&lt;=Results!$G$14),Curves!AR362,"")</f>
        <v>-625.08333333329972</v>
      </c>
      <c r="AU362">
        <f>IF(AND($AK362&gt;=Results!$G$13,$AK362&lt;=Results!$G$14),Curves!AS362,"")</f>
        <v>-457.66666666658574</v>
      </c>
      <c r="AV362" t="str">
        <f t="shared" si="267"/>
        <v/>
      </c>
      <c r="AW362" t="str">
        <f>IF(AND($AK362&lt;=Results!$I$21,$AK362&gt;=Results!$I$20,$AK362&lt;=Results!$F$4),$AN362,"")</f>
        <v/>
      </c>
      <c r="AX362" t="str">
        <f t="shared" si="267"/>
        <v/>
      </c>
      <c r="AY362" t="str">
        <f>IF(AND($AK362&lt;=Results!$I$23,$AK362&gt;=Results!$I$22,$AK362&gt;=Results!$F$4),$AN362,"")</f>
        <v/>
      </c>
      <c r="AZ362" t="str">
        <f t="shared" si="246"/>
        <v/>
      </c>
      <c r="BA362" t="str">
        <f>IF(AND($AK362&lt;=Results!$I$27,$AK362&gt;=Results!$I$26,$AK362&lt;=Results!$F$4),$AQ362,"")</f>
        <v/>
      </c>
      <c r="BB362" t="str">
        <f t="shared" si="247"/>
        <v/>
      </c>
      <c r="BC362" t="str">
        <f>IF(AND($AK362&lt;=Results!$I$29,$AK362&gt;=Results!$I$28,$AK362&gt;=Results!$F$4),$AQ362,"")</f>
        <v/>
      </c>
      <c r="BD362">
        <f t="shared" si="248"/>
        <v>8189.4088942775925</v>
      </c>
      <c r="BE362">
        <f t="shared" si="249"/>
        <v>1452.3777288548438</v>
      </c>
      <c r="BF362">
        <f t="shared" si="250"/>
        <v>8738.3587841536446</v>
      </c>
      <c r="BG362">
        <f t="shared" si="251"/>
        <v>1202.8024518712648</v>
      </c>
      <c r="BH362">
        <f t="shared" si="252"/>
        <v>0</v>
      </c>
      <c r="BI362">
        <f t="shared" si="253"/>
        <v>0.27271145989464729</v>
      </c>
      <c r="BJ362">
        <f t="shared" si="254"/>
        <v>0.1468943808063301</v>
      </c>
      <c r="BK362">
        <f t="shared" si="255"/>
        <v>-8.4843297646017182E-2</v>
      </c>
      <c r="BL362">
        <f t="shared" si="256"/>
        <v>-5.8688432982516858E-2</v>
      </c>
      <c r="BM362">
        <f t="shared" si="268"/>
        <v>120.00000000000284</v>
      </c>
      <c r="BN362">
        <f t="shared" si="269"/>
        <v>-120.00000000000284</v>
      </c>
      <c r="BO362">
        <f>Data!$H$2*(1-BI362)*(1-BI362/Data!$H$3)*BM362</f>
        <v>1.2694766893646105E-4</v>
      </c>
      <c r="BP362">
        <f t="shared" si="257"/>
        <v>-32.725375187358452</v>
      </c>
      <c r="BQ362">
        <f>Data!$H$2*(1-BJ362)*(1-BJ362/Data!$H$3)*BN362</f>
        <v>-1.7466940739995971E-4</v>
      </c>
      <c r="BR362">
        <f t="shared" si="258"/>
        <v>17.627325696760032</v>
      </c>
      <c r="BS362">
        <f t="shared" si="259"/>
        <v>0</v>
      </c>
      <c r="BT362">
        <f t="shared" si="260"/>
        <v>0</v>
      </c>
      <c r="BU362">
        <f t="shared" si="261"/>
        <v>0</v>
      </c>
      <c r="BV362">
        <f t="shared" si="244"/>
        <v>0</v>
      </c>
      <c r="BW362">
        <f t="shared" si="270"/>
        <v>0</v>
      </c>
      <c r="BX362" t="str">
        <f t="shared" si="271"/>
        <v/>
      </c>
      <c r="BY362" s="66" t="str">
        <f t="shared" si="262"/>
        <v/>
      </c>
      <c r="BZ362" t="str">
        <f t="shared" si="263"/>
        <v/>
      </c>
      <c r="CA362" s="67" t="str">
        <f t="shared" si="245"/>
        <v/>
      </c>
    </row>
    <row r="363" spans="4:79" x14ac:dyDescent="0.25">
      <c r="D363" s="3" t="e">
        <f t="shared" si="274"/>
        <v>#DIV/0!</v>
      </c>
      <c r="E363" s="3" t="e">
        <f t="shared" si="274"/>
        <v>#DIV/0!</v>
      </c>
      <c r="F363" t="str">
        <f>IF(A363&gt;0,IF(F362=1,1,IF(B363=Data!$H$4,1,0)),"")</f>
        <v/>
      </c>
      <c r="Y363" s="4"/>
      <c r="Z363" s="4"/>
      <c r="AA363" s="4" t="str">
        <f t="shared" si="242"/>
        <v/>
      </c>
      <c r="AE363" s="4" t="str">
        <f t="shared" si="243"/>
        <v/>
      </c>
      <c r="AK363" s="4">
        <f t="shared" si="272"/>
        <v>61.100000000000513</v>
      </c>
      <c r="AL363">
        <f t="shared" si="264"/>
        <v>4333.0000000000618</v>
      </c>
      <c r="AM363">
        <f t="shared" si="265"/>
        <v>3226.66666666636</v>
      </c>
      <c r="AN363">
        <f>IF($AK362+$AK$1&lt;=Data!$H$4-0.5,AVERAGE(AM361:AM365),AN362)</f>
        <v>3227.603333333022</v>
      </c>
      <c r="AO363">
        <f t="shared" si="266"/>
        <v>6528.9999999999382</v>
      </c>
      <c r="AP363">
        <f t="shared" si="273"/>
        <v>2262.8999999997914</v>
      </c>
      <c r="AQ363">
        <f>IF($AK362+$AK$1&lt;=Data!$H$4-0.5,AVERAGE(AP361:AP365),AQ362)</f>
        <v>2265.0333333331137</v>
      </c>
      <c r="AR363">
        <f>IF($AK362+$AK$1&lt;=Data!$H$4-0.5,SLOPE($AN359:$AN367,$AK359:$AK367),AR362)</f>
        <v>-618.0583333333044</v>
      </c>
      <c r="AS363">
        <f>IF($AK362+$AK$1&lt;=Data!$H$4-0.5,SLOPE($AQ359:$AQ367,$AK359:$AK367),AS362)</f>
        <v>-441.66666666659415</v>
      </c>
      <c r="AT363">
        <f>IF(AND($AK363&gt;=Results!$G$13,$AK363&lt;=Results!$G$14),Curves!AR363,"")</f>
        <v>-618.0583333333044</v>
      </c>
      <c r="AU363">
        <f>IF(AND($AK363&gt;=Results!$G$13,$AK363&lt;=Results!$G$14),Curves!AS363,"")</f>
        <v>-441.66666666659415</v>
      </c>
      <c r="AV363" t="str">
        <f t="shared" si="267"/>
        <v/>
      </c>
      <c r="AW363" t="str">
        <f>IF(AND($AK363&lt;=Results!$I$21,$AK363&gt;=Results!$I$20,$AK363&lt;=Results!$F$4),$AN363,"")</f>
        <v/>
      </c>
      <c r="AX363" t="str">
        <f t="shared" si="267"/>
        <v/>
      </c>
      <c r="AY363" t="str">
        <f>IF(AND($AK363&lt;=Results!$I$23,$AK363&gt;=Results!$I$22,$AK363&gt;=Results!$F$4),$AN363,"")</f>
        <v/>
      </c>
      <c r="AZ363" t="str">
        <f t="shared" si="246"/>
        <v/>
      </c>
      <c r="BA363" t="str">
        <f>IF(AND($AK363&lt;=Results!$I$27,$AK363&gt;=Results!$I$26,$AK363&lt;=Results!$F$4),$AQ363,"")</f>
        <v/>
      </c>
      <c r="BB363" t="str">
        <f t="shared" si="247"/>
        <v/>
      </c>
      <c r="BC363" t="str">
        <f>IF(AND($AK363&lt;=Results!$I$29,$AK363&gt;=Results!$I$28,$AK363&gt;=Results!$F$4),$AQ363,"")</f>
        <v/>
      </c>
      <c r="BD363">
        <f t="shared" si="248"/>
        <v>8178.6386994796731</v>
      </c>
      <c r="BE363">
        <f t="shared" si="249"/>
        <v>1449.0619396055231</v>
      </c>
      <c r="BF363">
        <f t="shared" si="250"/>
        <v>8731.0688019207519</v>
      </c>
      <c r="BG363">
        <f t="shared" si="251"/>
        <v>1202.2516509117399</v>
      </c>
      <c r="BH363">
        <f t="shared" si="252"/>
        <v>0</v>
      </c>
      <c r="BI363">
        <f t="shared" si="253"/>
        <v>0.26428725864786173</v>
      </c>
      <c r="BJ363">
        <f t="shared" si="254"/>
        <v>0.14116184004800014</v>
      </c>
      <c r="BK363">
        <f t="shared" si="255"/>
        <v>-8.3638726928792956E-2</v>
      </c>
      <c r="BL363">
        <f t="shared" si="256"/>
        <v>-5.5958718698290479E-2</v>
      </c>
      <c r="BM363">
        <f t="shared" si="268"/>
        <v>119.99999999999829</v>
      </c>
      <c r="BN363">
        <f t="shared" si="269"/>
        <v>-119.99999999999829</v>
      </c>
      <c r="BO363">
        <f>Data!$H$2*(1-BI363)*(1-BI363/Data!$H$3)*BM363</f>
        <v>1.2990557706908895E-4</v>
      </c>
      <c r="BP363">
        <f t="shared" si="257"/>
        <v>-31.714471037742957</v>
      </c>
      <c r="BQ363">
        <f>Data!$H$2*(1-BJ363)*(1-BJ363/Data!$H$3)*BN363</f>
        <v>-1.770247163975343E-4</v>
      </c>
      <c r="BR363">
        <f t="shared" si="258"/>
        <v>16.939420805759777</v>
      </c>
      <c r="BS363">
        <f t="shared" si="259"/>
        <v>0</v>
      </c>
      <c r="BT363">
        <f t="shared" si="260"/>
        <v>0</v>
      </c>
      <c r="BU363">
        <f t="shared" si="261"/>
        <v>0</v>
      </c>
      <c r="BV363">
        <f t="shared" si="244"/>
        <v>0</v>
      </c>
      <c r="BW363">
        <f t="shared" si="270"/>
        <v>0</v>
      </c>
      <c r="BX363" t="str">
        <f t="shared" si="271"/>
        <v/>
      </c>
      <c r="BY363" s="66" t="str">
        <f t="shared" si="262"/>
        <v/>
      </c>
      <c r="BZ363" t="str">
        <f t="shared" si="263"/>
        <v/>
      </c>
      <c r="CA363" s="67" t="str">
        <f t="shared" si="245"/>
        <v/>
      </c>
    </row>
    <row r="364" spans="4:79" x14ac:dyDescent="0.25">
      <c r="D364" s="3" t="e">
        <f t="shared" si="274"/>
        <v>#DIV/0!</v>
      </c>
      <c r="E364" s="3" t="e">
        <f t="shared" si="274"/>
        <v>#DIV/0!</v>
      </c>
      <c r="F364" t="str">
        <f>IF(A364&gt;0,IF(F363=1,1,IF(B364=Data!$H$4,1,0)),"")</f>
        <v/>
      </c>
      <c r="Y364" s="4"/>
      <c r="Z364" s="4"/>
      <c r="AA364" s="4" t="str">
        <f t="shared" si="242"/>
        <v/>
      </c>
      <c r="AE364" s="4" t="str">
        <f t="shared" si="243"/>
        <v/>
      </c>
      <c r="AK364" s="4">
        <f t="shared" si="272"/>
        <v>61.200000000000514</v>
      </c>
      <c r="AL364">
        <f t="shared" si="264"/>
        <v>4345.0000000000618</v>
      </c>
      <c r="AM364">
        <f t="shared" si="265"/>
        <v>3166.4999999996921</v>
      </c>
      <c r="AN364">
        <f>IF($AK363+$AK$1&lt;=Data!$H$4-0.5,AVERAGE(AM362:AM366),AN363)</f>
        <v>3166.4999999996917</v>
      </c>
      <c r="AO364">
        <f t="shared" si="266"/>
        <v>6516.9999999999382</v>
      </c>
      <c r="AP364">
        <f t="shared" si="273"/>
        <v>2222.4666666664575</v>
      </c>
      <c r="AQ364">
        <f>IF($AK363+$AK$1&lt;=Data!$H$4-0.5,AVERAGE(AP362:AP366),AQ363)</f>
        <v>2222.4666666664575</v>
      </c>
      <c r="AR364">
        <f>IF($AK363+$AK$1&lt;=Data!$H$4-0.5,SLOPE($AN360:$AN368,$AK360:$AK368),AR363)</f>
        <v>-611.81388888886852</v>
      </c>
      <c r="AS364">
        <f>IF($AK363+$AK$1&lt;=Data!$H$4-0.5,SLOPE($AQ360:$AQ368,$AK360:$AK368),AS363)</f>
        <v>-427.44444444438932</v>
      </c>
      <c r="AT364">
        <f>IF(AND($AK364&gt;=Results!$G$13,$AK364&lt;=Results!$G$14),Curves!AR364,"")</f>
        <v>-611.81388888886852</v>
      </c>
      <c r="AU364">
        <f>IF(AND($AK364&gt;=Results!$G$13,$AK364&lt;=Results!$G$14),Curves!AS364,"")</f>
        <v>-427.44444444438932</v>
      </c>
      <c r="AV364" t="str">
        <f t="shared" si="267"/>
        <v/>
      </c>
      <c r="AW364" t="str">
        <f>IF(AND($AK364&lt;=Results!$I$21,$AK364&gt;=Results!$I$20,$AK364&lt;=Results!$F$4),$AN364,"")</f>
        <v/>
      </c>
      <c r="AX364" t="str">
        <f t="shared" si="267"/>
        <v/>
      </c>
      <c r="AY364" t="str">
        <f>IF(AND($AK364&lt;=Results!$I$23,$AK364&gt;=Results!$I$22,$AK364&gt;=Results!$F$4),$AN364,"")</f>
        <v/>
      </c>
      <c r="AZ364" t="str">
        <f t="shared" si="246"/>
        <v/>
      </c>
      <c r="BA364" t="str">
        <f>IF(AND($AK364&lt;=Results!$I$27,$AK364&gt;=Results!$I$26,$AK364&lt;=Results!$F$4),$AQ364,"")</f>
        <v/>
      </c>
      <c r="BB364" t="str">
        <f t="shared" si="247"/>
        <v/>
      </c>
      <c r="BC364" t="str">
        <f>IF(AND($AK364&lt;=Results!$I$29,$AK364&gt;=Results!$I$28,$AK364&gt;=Results!$F$4),$AQ364,"")</f>
        <v/>
      </c>
      <c r="BD364">
        <f t="shared" si="248"/>
        <v>8167.8685046817536</v>
      </c>
      <c r="BE364">
        <f t="shared" si="249"/>
        <v>1445.7461503562022</v>
      </c>
      <c r="BF364">
        <f t="shared" si="250"/>
        <v>8723.7788196878573</v>
      </c>
      <c r="BG364">
        <f t="shared" si="251"/>
        <v>1201.7008499522149</v>
      </c>
      <c r="BH364">
        <f t="shared" si="252"/>
        <v>0</v>
      </c>
      <c r="BI364">
        <f t="shared" si="253"/>
        <v>0.25598371450888846</v>
      </c>
      <c r="BJ364">
        <f t="shared" si="254"/>
        <v>0.13570263706667185</v>
      </c>
      <c r="BK364">
        <f t="shared" si="255"/>
        <v>-8.2430146606832733E-2</v>
      </c>
      <c r="BL364">
        <f t="shared" si="256"/>
        <v>-5.3221664301959862E-2</v>
      </c>
      <c r="BM364">
        <f t="shared" si="268"/>
        <v>119.99999999999829</v>
      </c>
      <c r="BN364">
        <f t="shared" si="269"/>
        <v>-119.99999999999829</v>
      </c>
      <c r="BO364">
        <f>Data!$H$2*(1-BI364)*(1-BI364/Data!$H$3)*BM364</f>
        <v>1.3285445593823599E-4</v>
      </c>
      <c r="BP364">
        <f t="shared" si="257"/>
        <v>-30.718045741066177</v>
      </c>
      <c r="BQ364">
        <f>Data!$H$2*(1-BJ364)*(1-BJ364/Data!$H$3)*BN364</f>
        <v>-1.7928238357763871E-4</v>
      </c>
      <c r="BR364">
        <f t="shared" si="258"/>
        <v>16.284316448000389</v>
      </c>
      <c r="BS364">
        <f t="shared" si="259"/>
        <v>0</v>
      </c>
      <c r="BT364">
        <f t="shared" si="260"/>
        <v>0</v>
      </c>
      <c r="BU364">
        <f t="shared" si="261"/>
        <v>0</v>
      </c>
      <c r="BV364">
        <f t="shared" si="244"/>
        <v>0</v>
      </c>
      <c r="BW364">
        <f t="shared" si="270"/>
        <v>0</v>
      </c>
      <c r="BX364" t="str">
        <f t="shared" si="271"/>
        <v/>
      </c>
      <c r="BY364" s="66" t="str">
        <f t="shared" si="262"/>
        <v/>
      </c>
      <c r="BZ364" t="str">
        <f t="shared" si="263"/>
        <v/>
      </c>
      <c r="CA364" s="67" t="str">
        <f t="shared" si="245"/>
        <v/>
      </c>
    </row>
    <row r="365" spans="4:79" x14ac:dyDescent="0.25">
      <c r="D365" s="3" t="e">
        <f t="shared" si="274"/>
        <v>#DIV/0!</v>
      </c>
      <c r="E365" s="3" t="e">
        <f t="shared" si="274"/>
        <v>#DIV/0!</v>
      </c>
      <c r="F365" t="str">
        <f>IF(A365&gt;0,IF(F364=1,1,IF(B365=Data!$H$4,1,0)),"")</f>
        <v/>
      </c>
      <c r="Y365" s="4"/>
      <c r="Z365" s="4"/>
      <c r="AA365" s="4" t="str">
        <f t="shared" si="242"/>
        <v/>
      </c>
      <c r="AE365" s="4" t="str">
        <f t="shared" si="243"/>
        <v/>
      </c>
      <c r="AK365" s="4">
        <f t="shared" si="272"/>
        <v>61.300000000000516</v>
      </c>
      <c r="AL365">
        <f t="shared" si="264"/>
        <v>4357.0000000000618</v>
      </c>
      <c r="AM365">
        <f t="shared" si="265"/>
        <v>3106.3333333330238</v>
      </c>
      <c r="AN365">
        <f>IF($AK364+$AK$1&lt;=Data!$H$4-0.5,AVERAGE(AM363:AM367),AN364)</f>
        <v>3106.3333333330238</v>
      </c>
      <c r="AO365">
        <f t="shared" si="266"/>
        <v>6504.9999999999382</v>
      </c>
      <c r="AP365">
        <f t="shared" si="273"/>
        <v>2182.0333333331241</v>
      </c>
      <c r="AQ365">
        <f>IF($AK364+$AK$1&lt;=Data!$H$4-0.5,AVERAGE(AP363:AP367),AQ364)</f>
        <v>2182.0333333331241</v>
      </c>
      <c r="AR365">
        <f>IF($AK364+$AK$1&lt;=Data!$H$4-0.5,SLOPE($AN361:$AN369,$AK361:$AK369),AR364)</f>
        <v>-607.13055555554388</v>
      </c>
      <c r="AS365">
        <f>IF($AK364+$AK$1&lt;=Data!$H$4-0.5,SLOPE($AQ361:$AQ369,$AK361:$AK369),AS364)</f>
        <v>-416.77777777774048</v>
      </c>
      <c r="AT365">
        <f>IF(AND($AK365&gt;=Results!$G$13,$AK365&lt;=Results!$G$14),Curves!AR365,"")</f>
        <v>-607.13055555554388</v>
      </c>
      <c r="AU365">
        <f>IF(AND($AK365&gt;=Results!$G$13,$AK365&lt;=Results!$G$14),Curves!AS365,"")</f>
        <v>-416.77777777774048</v>
      </c>
      <c r="AV365" t="str">
        <f t="shared" si="267"/>
        <v/>
      </c>
      <c r="AW365" t="str">
        <f>IF(AND($AK365&lt;=Results!$I$21,$AK365&gt;=Results!$I$20,$AK365&lt;=Results!$F$4),$AN365,"")</f>
        <v/>
      </c>
      <c r="AX365" t="str">
        <f t="shared" si="267"/>
        <v/>
      </c>
      <c r="AY365" t="str">
        <f>IF(AND($AK365&lt;=Results!$I$23,$AK365&gt;=Results!$I$22,$AK365&gt;=Results!$F$4),$AN365,"")</f>
        <v/>
      </c>
      <c r="AZ365" t="str">
        <f t="shared" si="246"/>
        <v/>
      </c>
      <c r="BA365" t="str">
        <f>IF(AND($AK365&lt;=Results!$I$27,$AK365&gt;=Results!$I$26,$AK365&lt;=Results!$F$4),$AQ365,"")</f>
        <v/>
      </c>
      <c r="BB365" t="str">
        <f t="shared" si="247"/>
        <v/>
      </c>
      <c r="BC365" t="str">
        <f>IF(AND($AK365&lt;=Results!$I$29,$AK365&gt;=Results!$I$28,$AK365&gt;=Results!$F$4),$AQ365,"")</f>
        <v/>
      </c>
      <c r="BD365">
        <f t="shared" si="248"/>
        <v>8157.0983098838333</v>
      </c>
      <c r="BE365">
        <f t="shared" si="249"/>
        <v>1442.4303611068813</v>
      </c>
      <c r="BF365">
        <f t="shared" si="250"/>
        <v>8716.4888374549664</v>
      </c>
      <c r="BG365">
        <f t="shared" si="251"/>
        <v>1201.1500489926898</v>
      </c>
      <c r="BH365">
        <f t="shared" si="252"/>
        <v>0</v>
      </c>
      <c r="BI365">
        <f t="shared" si="253"/>
        <v>0.24780122932649495</v>
      </c>
      <c r="BJ365">
        <f t="shared" si="254"/>
        <v>0.13051750718760802</v>
      </c>
      <c r="BK365">
        <f t="shared" si="255"/>
        <v>-8.1915792066931614E-2</v>
      </c>
      <c r="BL365">
        <f t="shared" si="256"/>
        <v>-5.1897836803061294E-2</v>
      </c>
      <c r="BM365">
        <f t="shared" si="268"/>
        <v>119.99999999999829</v>
      </c>
      <c r="BN365">
        <f t="shared" si="269"/>
        <v>-119.99999999999829</v>
      </c>
      <c r="BO365">
        <f>Data!$H$2*(1-BI365)*(1-BI365/Data!$H$3)*BM365</f>
        <v>1.3579271774465381E-4</v>
      </c>
      <c r="BP365">
        <f t="shared" si="257"/>
        <v>-29.736147519178971</v>
      </c>
      <c r="BQ365">
        <f>Data!$H$2*(1-BJ365)*(1-BJ365/Data!$H$3)*BN365</f>
        <v>-1.8143995327373771E-4</v>
      </c>
      <c r="BR365">
        <f t="shared" si="258"/>
        <v>15.662100862512739</v>
      </c>
      <c r="BS365">
        <f t="shared" si="259"/>
        <v>0</v>
      </c>
      <c r="BT365">
        <f t="shared" si="260"/>
        <v>0</v>
      </c>
      <c r="BU365">
        <f t="shared" si="261"/>
        <v>0</v>
      </c>
      <c r="BV365">
        <f t="shared" si="244"/>
        <v>0</v>
      </c>
      <c r="BW365">
        <f t="shared" si="270"/>
        <v>0</v>
      </c>
      <c r="BX365" t="str">
        <f t="shared" si="271"/>
        <v/>
      </c>
      <c r="BY365" s="66" t="str">
        <f t="shared" si="262"/>
        <v/>
      </c>
      <c r="BZ365" t="str">
        <f t="shared" si="263"/>
        <v/>
      </c>
      <c r="CA365" s="67" t="str">
        <f t="shared" si="245"/>
        <v/>
      </c>
    </row>
    <row r="366" spans="4:79" x14ac:dyDescent="0.25">
      <c r="D366" s="3" t="e">
        <f t="shared" si="274"/>
        <v>#DIV/0!</v>
      </c>
      <c r="E366" s="3" t="e">
        <f t="shared" si="274"/>
        <v>#DIV/0!</v>
      </c>
      <c r="F366" t="str">
        <f>IF(A366&gt;0,IF(F365=1,1,IF(B366=Data!$H$4,1,0)),"")</f>
        <v/>
      </c>
      <c r="Y366" s="4"/>
      <c r="Z366" s="4"/>
      <c r="AA366" s="4" t="str">
        <f t="shared" ref="AA366:AA429" si="275">Y67</f>
        <v/>
      </c>
      <c r="AE366" s="4" t="str">
        <f t="shared" ref="AE366:AE429" si="276">AC67</f>
        <v/>
      </c>
      <c r="AK366" s="4">
        <f t="shared" si="272"/>
        <v>61.400000000000517</v>
      </c>
      <c r="AL366">
        <f t="shared" si="264"/>
        <v>4369.0000000000618</v>
      </c>
      <c r="AM366">
        <f t="shared" si="265"/>
        <v>3046.1666666663559</v>
      </c>
      <c r="AN366">
        <f>IF($AK365+$AK$1&lt;=Data!$H$4-0.5,AVERAGE(AM364:AM368),AN365)</f>
        <v>3046.1666666663559</v>
      </c>
      <c r="AO366">
        <f t="shared" si="266"/>
        <v>6492.9999999999382</v>
      </c>
      <c r="AP366">
        <f t="shared" si="273"/>
        <v>2141.5999999997903</v>
      </c>
      <c r="AQ366">
        <f>IF($AK365+$AK$1&lt;=Data!$H$4-0.5,AVERAGE(AP364:AP368),AQ365)</f>
        <v>2141.5999999997903</v>
      </c>
      <c r="AR366">
        <f>IF($AK365+$AK$1&lt;=Data!$H$4-0.5,SLOPE($AN362:$AN370,$AK362:$AK370),AR365)</f>
        <v>-604.00833333332343</v>
      </c>
      <c r="AS366">
        <f>IF($AK365+$AK$1&lt;=Data!$H$4-0.5,SLOPE($AQ362:$AQ370,$AK362:$AK370),AS365)</f>
        <v>-409.66666666663741</v>
      </c>
      <c r="AT366">
        <f>IF(AND($AK366&gt;=Results!$G$13,$AK366&lt;=Results!$G$14),Curves!AR366,"")</f>
        <v>-604.00833333332343</v>
      </c>
      <c r="AU366">
        <f>IF(AND($AK366&gt;=Results!$G$13,$AK366&lt;=Results!$G$14),Curves!AS366,"")</f>
        <v>-409.66666666663741</v>
      </c>
      <c r="AV366" t="str">
        <f t="shared" si="267"/>
        <v/>
      </c>
      <c r="AW366" t="str">
        <f>IF(AND($AK366&lt;=Results!$I$21,$AK366&gt;=Results!$I$20,$AK366&lt;=Results!$F$4),$AN366,"")</f>
        <v/>
      </c>
      <c r="AX366" t="str">
        <f t="shared" si="267"/>
        <v/>
      </c>
      <c r="AY366" t="str">
        <f>IF(AND($AK366&lt;=Results!$I$23,$AK366&gt;=Results!$I$22,$AK366&gt;=Results!$F$4),$AN366,"")</f>
        <v/>
      </c>
      <c r="AZ366" t="str">
        <f t="shared" si="246"/>
        <v/>
      </c>
      <c r="BA366" t="str">
        <f>IF(AND($AK366&lt;=Results!$I$27,$AK366&gt;=Results!$I$26,$AK366&lt;=Results!$F$4),$AQ366,"")</f>
        <v/>
      </c>
      <c r="BB366" t="str">
        <f t="shared" si="247"/>
        <v/>
      </c>
      <c r="BC366" t="str">
        <f>IF(AND($AK366&lt;=Results!$I$29,$AK366&gt;=Results!$I$28,$AK366&gt;=Results!$F$4),$AQ366,"")</f>
        <v/>
      </c>
      <c r="BD366">
        <f t="shared" si="248"/>
        <v>8146.3281150859139</v>
      </c>
      <c r="BE366">
        <f t="shared" si="249"/>
        <v>1439.1145718575606</v>
      </c>
      <c r="BF366">
        <f t="shared" si="250"/>
        <v>8709.1988552220719</v>
      </c>
      <c r="BG366">
        <f t="shared" si="251"/>
        <v>1200.5992480331647</v>
      </c>
      <c r="BH366">
        <f t="shared" si="252"/>
        <v>0</v>
      </c>
      <c r="BI366">
        <f t="shared" si="253"/>
        <v>0.2396005560955019</v>
      </c>
      <c r="BJ366">
        <f t="shared" si="254"/>
        <v>0.12532306970605944</v>
      </c>
      <c r="BK366">
        <f t="shared" si="255"/>
        <v>-8.2097976103592193E-2</v>
      </c>
      <c r="BL366">
        <f t="shared" si="256"/>
        <v>-5.1991038248039662E-2</v>
      </c>
      <c r="BM366">
        <f t="shared" si="268"/>
        <v>119.99999999999829</v>
      </c>
      <c r="BN366">
        <f t="shared" si="269"/>
        <v>-119.99999999999829</v>
      </c>
      <c r="BO366">
        <f>Data!$H$2*(1-BI366)*(1-BI366/Data!$H$3)*BM366</f>
        <v>1.3876975542966282E-4</v>
      </c>
      <c r="BP366">
        <f t="shared" si="257"/>
        <v>-28.75206673145982</v>
      </c>
      <c r="BQ366">
        <f>Data!$H$2*(1-BJ366)*(1-BJ366/Data!$H$3)*BN366</f>
        <v>-1.836143357732208E-4</v>
      </c>
      <c r="BR366">
        <f t="shared" si="258"/>
        <v>15.03876836472692</v>
      </c>
      <c r="BS366">
        <f t="shared" si="259"/>
        <v>0</v>
      </c>
      <c r="BT366">
        <f t="shared" si="260"/>
        <v>0</v>
      </c>
      <c r="BU366">
        <f t="shared" si="261"/>
        <v>0</v>
      </c>
      <c r="BV366">
        <f t="shared" si="244"/>
        <v>0</v>
      </c>
      <c r="BW366">
        <f t="shared" si="270"/>
        <v>0</v>
      </c>
      <c r="BX366" t="str">
        <f t="shared" si="271"/>
        <v/>
      </c>
      <c r="BY366" s="66" t="str">
        <f t="shared" si="262"/>
        <v/>
      </c>
      <c r="BZ366" t="str">
        <f t="shared" si="263"/>
        <v/>
      </c>
      <c r="CA366" s="67" t="str">
        <f t="shared" si="245"/>
        <v/>
      </c>
    </row>
    <row r="367" spans="4:79" x14ac:dyDescent="0.25">
      <c r="D367" s="3" t="e">
        <f t="shared" si="274"/>
        <v>#DIV/0!</v>
      </c>
      <c r="E367" s="3" t="e">
        <f t="shared" si="274"/>
        <v>#DIV/0!</v>
      </c>
      <c r="F367" t="str">
        <f>IF(A367&gt;0,IF(F366=1,1,IF(B367=Data!$H$4,1,0)),"")</f>
        <v/>
      </c>
      <c r="Y367" s="4"/>
      <c r="Z367" s="4"/>
      <c r="AA367" s="4" t="str">
        <f t="shared" si="275"/>
        <v/>
      </c>
      <c r="AE367" s="4" t="str">
        <f t="shared" si="276"/>
        <v/>
      </c>
      <c r="AK367" s="4">
        <f t="shared" si="272"/>
        <v>61.500000000000519</v>
      </c>
      <c r="AL367">
        <f t="shared" si="264"/>
        <v>4381.0000000000618</v>
      </c>
      <c r="AM367">
        <f t="shared" si="265"/>
        <v>2985.999999999688</v>
      </c>
      <c r="AN367">
        <f>IF($AK366+$AK$1&lt;=Data!$H$4-0.5,AVERAGE(AM365:AM369),AN366)</f>
        <v>2985.999999999688</v>
      </c>
      <c r="AO367">
        <f t="shared" si="266"/>
        <v>6480.9999999999382</v>
      </c>
      <c r="AP367">
        <f t="shared" si="273"/>
        <v>2101.1666666664564</v>
      </c>
      <c r="AQ367">
        <f>IF($AK366+$AK$1&lt;=Data!$H$4-0.5,AVERAGE(AP365:AP369),AQ366)</f>
        <v>2101.1666666664564</v>
      </c>
      <c r="AR367">
        <f>IF($AK366+$AK$1&lt;=Data!$H$4-0.5,SLOPE($AN363:$AN371,$AK363:$AK371),AR366)</f>
        <v>-601.18444444443014</v>
      </c>
      <c r="AS367">
        <f>IF($AK366+$AK$1&lt;=Data!$H$4-0.5,SLOPE($AQ363:$AQ371,$AK363:$AK371),AS366)</f>
        <v>-404.26222222219195</v>
      </c>
      <c r="AT367">
        <f>IF(AND($AK367&gt;=Results!$G$13,$AK367&lt;=Results!$G$14),Curves!AR367,"")</f>
        <v>-601.18444444443014</v>
      </c>
      <c r="AU367">
        <f>IF(AND($AK367&gt;=Results!$G$13,$AK367&lt;=Results!$G$14),Curves!AS367,"")</f>
        <v>-404.26222222219195</v>
      </c>
      <c r="AV367" t="str">
        <f t="shared" si="267"/>
        <v/>
      </c>
      <c r="AW367" t="str">
        <f>IF(AND($AK367&lt;=Results!$I$21,$AK367&gt;=Results!$I$20,$AK367&lt;=Results!$F$4),$AN367,"")</f>
        <v/>
      </c>
      <c r="AX367" t="str">
        <f t="shared" si="267"/>
        <v/>
      </c>
      <c r="AY367" t="str">
        <f>IF(AND($AK367&lt;=Results!$I$23,$AK367&gt;=Results!$I$22,$AK367&gt;=Results!$F$4),$AN367,"")</f>
        <v/>
      </c>
      <c r="AZ367" t="str">
        <f t="shared" si="246"/>
        <v/>
      </c>
      <c r="BA367" t="str">
        <f>IF(AND($AK367&lt;=Results!$I$27,$AK367&gt;=Results!$I$26,$AK367&lt;=Results!$F$4),$AQ367,"")</f>
        <v/>
      </c>
      <c r="BB367" t="str">
        <f t="shared" si="247"/>
        <v/>
      </c>
      <c r="BC367" t="str">
        <f>IF(AND($AK367&lt;=Results!$I$29,$AK367&gt;=Results!$I$28,$AK367&gt;=Results!$F$4),$AQ367,"")</f>
        <v/>
      </c>
      <c r="BD367">
        <f t="shared" si="248"/>
        <v>8135.5579202879944</v>
      </c>
      <c r="BE367">
        <f t="shared" si="249"/>
        <v>1435.7987826082397</v>
      </c>
      <c r="BF367">
        <f t="shared" si="250"/>
        <v>8701.9088729891791</v>
      </c>
      <c r="BG367">
        <f t="shared" si="251"/>
        <v>1200.0484470736399</v>
      </c>
      <c r="BH367">
        <f t="shared" si="252"/>
        <v>0</v>
      </c>
      <c r="BI367">
        <f t="shared" si="253"/>
        <v>0.23138163410577628</v>
      </c>
      <c r="BJ367">
        <f t="shared" si="254"/>
        <v>0.12011929953799994</v>
      </c>
      <c r="BK367">
        <f t="shared" si="255"/>
        <v>-8.2280768594058459E-2</v>
      </c>
      <c r="BL367">
        <f t="shared" si="256"/>
        <v>-5.2084490984359667E-2</v>
      </c>
      <c r="BM367">
        <f t="shared" si="268"/>
        <v>120.00000000000284</v>
      </c>
      <c r="BN367">
        <f t="shared" si="269"/>
        <v>-120.00000000000284</v>
      </c>
      <c r="BO367">
        <f>Data!$H$2*(1-BI367)*(1-BI367/Data!$H$3)*BM367</f>
        <v>1.4178580617358097E-4</v>
      </c>
      <c r="BP367">
        <f t="shared" si="257"/>
        <v>-27.765796092693812</v>
      </c>
      <c r="BQ367">
        <f>Data!$H$2*(1-BJ367)*(1-BJ367/Data!$H$3)*BN367</f>
        <v>-1.8580561129092439E-4</v>
      </c>
      <c r="BR367">
        <f t="shared" si="258"/>
        <v>14.414315944560334</v>
      </c>
      <c r="BS367">
        <f t="shared" si="259"/>
        <v>0</v>
      </c>
      <c r="BT367">
        <f t="shared" si="260"/>
        <v>0</v>
      </c>
      <c r="BU367">
        <f t="shared" si="261"/>
        <v>0</v>
      </c>
      <c r="BV367">
        <f t="shared" ref="BV367:BV430" si="277">IF(BS367&lt;=0,0,LN(BS367))</f>
        <v>0</v>
      </c>
      <c r="BW367">
        <f t="shared" si="270"/>
        <v>0</v>
      </c>
      <c r="BX367" t="str">
        <f t="shared" si="271"/>
        <v/>
      </c>
      <c r="BY367" s="66" t="str">
        <f t="shared" si="262"/>
        <v/>
      </c>
      <c r="BZ367" t="str">
        <f t="shared" si="263"/>
        <v/>
      </c>
      <c r="CA367" s="67" t="str">
        <f t="shared" ref="CA367:CA430" si="278">IF(BU367=0,"",BW367)</f>
        <v/>
      </c>
    </row>
    <row r="368" spans="4:79" x14ac:dyDescent="0.25">
      <c r="D368" s="3" t="e">
        <f t="shared" si="274"/>
        <v>#DIV/0!</v>
      </c>
      <c r="E368" s="3" t="e">
        <f t="shared" si="274"/>
        <v>#DIV/0!</v>
      </c>
      <c r="F368" t="str">
        <f>IF(A368&gt;0,IF(F367=1,1,IF(B368=Data!$H$4,1,0)),"")</f>
        <v/>
      </c>
      <c r="Y368" s="4"/>
      <c r="Z368" s="4"/>
      <c r="AA368" s="4" t="str">
        <f t="shared" si="275"/>
        <v/>
      </c>
      <c r="AE368" s="4" t="str">
        <f t="shared" si="276"/>
        <v/>
      </c>
      <c r="AK368" s="4">
        <f t="shared" si="272"/>
        <v>61.60000000000052</v>
      </c>
      <c r="AL368">
        <f t="shared" si="264"/>
        <v>4393.0000000000628</v>
      </c>
      <c r="AM368">
        <f t="shared" si="265"/>
        <v>2925.8333333330202</v>
      </c>
      <c r="AN368">
        <f>IF($AK367+$AK$1&lt;=Data!$H$4-0.5,AVERAGE(AM366:AM370),AN367)</f>
        <v>2925.8333333330202</v>
      </c>
      <c r="AO368">
        <f t="shared" si="266"/>
        <v>6468.9999999999372</v>
      </c>
      <c r="AP368">
        <f t="shared" si="273"/>
        <v>2060.7333333331226</v>
      </c>
      <c r="AQ368">
        <f>IF($AK367+$AK$1&lt;=Data!$H$4-0.5,AVERAGE(AP366:AP370),AQ367)</f>
        <v>2060.7333333331226</v>
      </c>
      <c r="AR368">
        <f>IF($AK367+$AK$1&lt;=Data!$H$4-0.5,SLOPE($AN364:$AN372,$AK364:$AK372),AR367)</f>
        <v>-597.51666666664187</v>
      </c>
      <c r="AS368">
        <f>IF($AK367+$AK$1&lt;=Data!$H$4-0.5,SLOPE($AQ364:$AQ372,$AK364:$AK372),AS367)</f>
        <v>-398.73333333329288</v>
      </c>
      <c r="AT368">
        <f>IF(AND($AK368&gt;=Results!$G$13,$AK368&lt;=Results!$G$14),Curves!AR368,"")</f>
        <v>-597.51666666664187</v>
      </c>
      <c r="AU368">
        <f>IF(AND($AK368&gt;=Results!$G$13,$AK368&lt;=Results!$G$14),Curves!AS368,"")</f>
        <v>-398.73333333329288</v>
      </c>
      <c r="AV368" t="str">
        <f t="shared" si="267"/>
        <v/>
      </c>
      <c r="AW368" t="str">
        <f>IF(AND($AK368&lt;=Results!$I$21,$AK368&gt;=Results!$I$20,$AK368&lt;=Results!$F$4),$AN368,"")</f>
        <v/>
      </c>
      <c r="AX368" t="str">
        <f t="shared" si="267"/>
        <v/>
      </c>
      <c r="AY368" t="str">
        <f>IF(AND($AK368&lt;=Results!$I$23,$AK368&gt;=Results!$I$22,$AK368&gt;=Results!$F$4),$AN368,"")</f>
        <v/>
      </c>
      <c r="AZ368" t="str">
        <f t="shared" si="246"/>
        <v/>
      </c>
      <c r="BA368" t="str">
        <f>IF(AND($AK368&lt;=Results!$I$27,$AK368&gt;=Results!$I$26,$AK368&lt;=Results!$F$4),$AQ368,"")</f>
        <v/>
      </c>
      <c r="BB368" t="str">
        <f t="shared" si="247"/>
        <v/>
      </c>
      <c r="BC368" t="str">
        <f>IF(AND($AK368&lt;=Results!$I$29,$AK368&gt;=Results!$I$28,$AK368&gt;=Results!$F$4),$AQ368,"")</f>
        <v/>
      </c>
      <c r="BD368">
        <f t="shared" si="248"/>
        <v>8124.787725490075</v>
      </c>
      <c r="BE368">
        <f t="shared" si="249"/>
        <v>1432.482993358919</v>
      </c>
      <c r="BF368">
        <f t="shared" si="250"/>
        <v>8694.6188907562864</v>
      </c>
      <c r="BG368">
        <f t="shared" si="251"/>
        <v>1199.4976461141148</v>
      </c>
      <c r="BH368">
        <f t="shared" si="252"/>
        <v>0</v>
      </c>
      <c r="BI368">
        <f t="shared" si="253"/>
        <v>0.22314440237668998</v>
      </c>
      <c r="BJ368">
        <f t="shared" si="254"/>
        <v>0.11490617150918736</v>
      </c>
      <c r="BK368">
        <f t="shared" si="255"/>
        <v>-8.2464172250818424E-2</v>
      </c>
      <c r="BL368">
        <f t="shared" si="256"/>
        <v>-5.2178195916213567E-2</v>
      </c>
      <c r="BM368">
        <f t="shared" si="268"/>
        <v>120.00000000000284</v>
      </c>
      <c r="BN368">
        <f t="shared" si="269"/>
        <v>-120.00000000000284</v>
      </c>
      <c r="BO368">
        <f>Data!$H$2*(1-BI368)*(1-BI368/Data!$H$3)*BM368</f>
        <v>1.4484110869408427E-4</v>
      </c>
      <c r="BP368">
        <f t="shared" si="257"/>
        <v>-26.777328285203431</v>
      </c>
      <c r="BQ368">
        <f>Data!$H$2*(1-BJ368)*(1-BJ368/Data!$H$3)*BN368</f>
        <v>-1.8801386045581023E-4</v>
      </c>
      <c r="BR368">
        <f t="shared" si="258"/>
        <v>13.788740581102809</v>
      </c>
      <c r="BS368">
        <f t="shared" si="259"/>
        <v>0</v>
      </c>
      <c r="BT368">
        <f t="shared" si="260"/>
        <v>0</v>
      </c>
      <c r="BU368">
        <f t="shared" si="261"/>
        <v>0</v>
      </c>
      <c r="BV368">
        <f t="shared" si="277"/>
        <v>0</v>
      </c>
      <c r="BW368">
        <f t="shared" si="270"/>
        <v>0</v>
      </c>
      <c r="BX368" t="str">
        <f t="shared" si="271"/>
        <v/>
      </c>
      <c r="BY368" s="66" t="str">
        <f t="shared" si="262"/>
        <v/>
      </c>
      <c r="BZ368" t="str">
        <f t="shared" si="263"/>
        <v/>
      </c>
      <c r="CA368" s="67" t="str">
        <f t="shared" si="278"/>
        <v/>
      </c>
    </row>
    <row r="369" spans="4:79" x14ac:dyDescent="0.25">
      <c r="D369" s="3" t="e">
        <f t="shared" si="274"/>
        <v>#DIV/0!</v>
      </c>
      <c r="E369" s="3" t="e">
        <f t="shared" si="274"/>
        <v>#DIV/0!</v>
      </c>
      <c r="F369" t="str">
        <f>IF(A369&gt;0,IF(F368=1,1,IF(B369=Data!$H$4,1,0)),"")</f>
        <v/>
      </c>
      <c r="Y369" s="4"/>
      <c r="Z369" s="4"/>
      <c r="AA369" s="4" t="str">
        <f t="shared" si="275"/>
        <v/>
      </c>
      <c r="AE369" s="4" t="str">
        <f t="shared" si="276"/>
        <v/>
      </c>
      <c r="AK369" s="4">
        <f t="shared" si="272"/>
        <v>61.700000000000522</v>
      </c>
      <c r="AL369">
        <f t="shared" si="264"/>
        <v>4405.0000000000628</v>
      </c>
      <c r="AM369">
        <f t="shared" si="265"/>
        <v>2865.6666666663518</v>
      </c>
      <c r="AN369">
        <f>IF($AK368+$AK$1&lt;=Data!$H$4-0.5,AVERAGE(AM367:AM371),AN368)</f>
        <v>2865.6666666663518</v>
      </c>
      <c r="AO369">
        <f t="shared" si="266"/>
        <v>6456.9999999999372</v>
      </c>
      <c r="AP369">
        <f t="shared" si="273"/>
        <v>2020.2999999997887</v>
      </c>
      <c r="AQ369">
        <f>IF($AK368+$AK$1&lt;=Data!$H$4-0.5,AVERAGE(AP367:AP371),AQ368)</f>
        <v>2020.2999999997887</v>
      </c>
      <c r="AR369">
        <f>IF($AK368+$AK$1&lt;=Data!$H$4-0.5,SLOPE($AN365:$AN373,$AK365:$AK373),AR368)</f>
        <v>-591.98333333329333</v>
      </c>
      <c r="AS369">
        <f>IF($AK368+$AK$1&lt;=Data!$H$4-0.5,SLOPE($AQ365:$AQ373,$AK365:$AK373),AS368)</f>
        <v>-391.26666666660668</v>
      </c>
      <c r="AT369">
        <f>IF(AND($AK369&gt;=Results!$G$13,$AK369&lt;=Results!$G$14),Curves!AR369,"")</f>
        <v>-591.98333333329333</v>
      </c>
      <c r="AU369">
        <f>IF(AND($AK369&gt;=Results!$G$13,$AK369&lt;=Results!$G$14),Curves!AS369,"")</f>
        <v>-391.26666666660668</v>
      </c>
      <c r="AV369" t="str">
        <f t="shared" si="267"/>
        <v/>
      </c>
      <c r="AW369" t="str">
        <f>IF(AND($AK369&lt;=Results!$I$21,$AK369&gt;=Results!$I$20,$AK369&lt;=Results!$F$4),$AN369,"")</f>
        <v/>
      </c>
      <c r="AX369" t="str">
        <f t="shared" si="267"/>
        <v/>
      </c>
      <c r="AY369" t="str">
        <f>IF(AND($AK369&lt;=Results!$I$23,$AK369&gt;=Results!$I$22,$AK369&gt;=Results!$F$4),$AN369,"")</f>
        <v/>
      </c>
      <c r="AZ369" t="str">
        <f t="shared" si="246"/>
        <v/>
      </c>
      <c r="BA369" t="str">
        <f>IF(AND($AK369&lt;=Results!$I$27,$AK369&gt;=Results!$I$26,$AK369&lt;=Results!$F$4),$AQ369,"")</f>
        <v/>
      </c>
      <c r="BB369" t="str">
        <f t="shared" si="247"/>
        <v/>
      </c>
      <c r="BC369" t="str">
        <f>IF(AND($AK369&lt;=Results!$I$29,$AK369&gt;=Results!$I$28,$AK369&gt;=Results!$F$4),$AQ369,"")</f>
        <v/>
      </c>
      <c r="BD369">
        <f t="shared" si="248"/>
        <v>8114.0175306921547</v>
      </c>
      <c r="BE369">
        <f t="shared" si="249"/>
        <v>1429.1672041095981</v>
      </c>
      <c r="BF369">
        <f t="shared" si="250"/>
        <v>8687.3289085233919</v>
      </c>
      <c r="BG369">
        <f t="shared" si="251"/>
        <v>1198.9468451545899</v>
      </c>
      <c r="BH369">
        <f t="shared" si="252"/>
        <v>0</v>
      </c>
      <c r="BI369">
        <f t="shared" si="253"/>
        <v>0.21488879965561236</v>
      </c>
      <c r="BJ369">
        <f t="shared" si="254"/>
        <v>0.10968366035475707</v>
      </c>
      <c r="BK369">
        <f t="shared" si="255"/>
        <v>-8.2648189801482974E-2</v>
      </c>
      <c r="BL369">
        <f t="shared" si="256"/>
        <v>-5.2272153951859836E-2</v>
      </c>
      <c r="BM369">
        <f t="shared" si="268"/>
        <v>119.99999999999829</v>
      </c>
      <c r="BN369">
        <f t="shared" si="269"/>
        <v>-119.99999999999829</v>
      </c>
      <c r="BO369">
        <f>Data!$H$2*(1-BI369)*(1-BI369/Data!$H$3)*BM369</f>
        <v>1.4793590325748714E-4</v>
      </c>
      <c r="BP369">
        <f t="shared" si="257"/>
        <v>-25.786655958673116</v>
      </c>
      <c r="BQ369">
        <f>Data!$H$2*(1-BJ369)*(1-BJ369/Data!$H$3)*BN369</f>
        <v>-1.9023916431343014E-4</v>
      </c>
      <c r="BR369">
        <f t="shared" si="258"/>
        <v>13.162039242570662</v>
      </c>
      <c r="BS369">
        <f t="shared" si="259"/>
        <v>0</v>
      </c>
      <c r="BT369">
        <f t="shared" si="260"/>
        <v>0</v>
      </c>
      <c r="BU369">
        <f t="shared" si="261"/>
        <v>0</v>
      </c>
      <c r="BV369">
        <f t="shared" si="277"/>
        <v>0</v>
      </c>
      <c r="BW369">
        <f t="shared" si="270"/>
        <v>0</v>
      </c>
      <c r="BX369" t="str">
        <f t="shared" si="271"/>
        <v/>
      </c>
      <c r="BY369" s="66" t="str">
        <f t="shared" si="262"/>
        <v/>
      </c>
      <c r="BZ369" t="str">
        <f t="shared" si="263"/>
        <v/>
      </c>
      <c r="CA369" s="67" t="str">
        <f t="shared" si="278"/>
        <v/>
      </c>
    </row>
    <row r="370" spans="4:79" x14ac:dyDescent="0.25">
      <c r="D370" s="3" t="e">
        <f t="shared" si="274"/>
        <v>#DIV/0!</v>
      </c>
      <c r="E370" s="3" t="e">
        <f t="shared" si="274"/>
        <v>#DIV/0!</v>
      </c>
      <c r="F370" t="str">
        <f>IF(A370&gt;0,IF(F369=1,1,IF(B370=Data!$H$4,1,0)),"")</f>
        <v/>
      </c>
      <c r="Y370" s="4"/>
      <c r="Z370" s="4"/>
      <c r="AA370" s="4" t="str">
        <f t="shared" si="275"/>
        <v/>
      </c>
      <c r="AE370" s="4" t="str">
        <f t="shared" si="276"/>
        <v/>
      </c>
      <c r="AK370" s="4">
        <f t="shared" si="272"/>
        <v>61.800000000000523</v>
      </c>
      <c r="AL370">
        <f t="shared" si="264"/>
        <v>4417.0000000000628</v>
      </c>
      <c r="AM370">
        <f t="shared" si="265"/>
        <v>2805.499999999684</v>
      </c>
      <c r="AN370">
        <f>IF($AK369+$AK$1&lt;=Data!$H$4-0.5,AVERAGE(AM368:AM372),AN369)</f>
        <v>2805.4999999996926</v>
      </c>
      <c r="AO370">
        <f t="shared" si="266"/>
        <v>6444.9999999999372</v>
      </c>
      <c r="AP370">
        <f t="shared" si="273"/>
        <v>1979.8666666664549</v>
      </c>
      <c r="AQ370">
        <f>IF($AK369+$AK$1&lt;=Data!$H$4-0.5,AVERAGE(AP368:AP372),AQ369)</f>
        <v>1979.8666666664672</v>
      </c>
      <c r="AR370">
        <f>IF($AK369+$AK$1&lt;=Data!$H$4-0.5,SLOPE($AN366:$AN374,$AK366:$AK374),AR369)</f>
        <v>-583.68333333327826</v>
      </c>
      <c r="AS370">
        <f>IF($AK369+$AK$1&lt;=Data!$H$4-0.5,SLOPE($AQ366:$AQ374,$AK366:$AK374),AS369)</f>
        <v>-380.06666666658708</v>
      </c>
      <c r="AT370">
        <f>IF(AND($AK370&gt;=Results!$G$13,$AK370&lt;=Results!$G$14),Curves!AR370,"")</f>
        <v>-583.68333333327826</v>
      </c>
      <c r="AU370">
        <f>IF(AND($AK370&gt;=Results!$G$13,$AK370&lt;=Results!$G$14),Curves!AS370,"")</f>
        <v>-380.06666666658708</v>
      </c>
      <c r="AV370" t="str">
        <f t="shared" si="267"/>
        <v/>
      </c>
      <c r="AW370" t="str">
        <f>IF(AND($AK370&lt;=Results!$I$21,$AK370&gt;=Results!$I$20,$AK370&lt;=Results!$F$4),$AN370,"")</f>
        <v/>
      </c>
      <c r="AX370" t="str">
        <f t="shared" si="267"/>
        <v/>
      </c>
      <c r="AY370" t="str">
        <f>IF(AND($AK370&lt;=Results!$I$23,$AK370&gt;=Results!$I$22,$AK370&gt;=Results!$F$4),$AN370,"")</f>
        <v/>
      </c>
      <c r="AZ370" t="str">
        <f t="shared" si="246"/>
        <v/>
      </c>
      <c r="BA370" t="str">
        <f>IF(AND($AK370&lt;=Results!$I$27,$AK370&gt;=Results!$I$26,$AK370&lt;=Results!$F$4),$AQ370,"")</f>
        <v/>
      </c>
      <c r="BB370" t="str">
        <f t="shared" si="247"/>
        <v/>
      </c>
      <c r="BC370" t="str">
        <f>IF(AND($AK370&lt;=Results!$I$29,$AK370&gt;=Results!$I$28,$AK370&gt;=Results!$F$4),$AQ370,"")</f>
        <v/>
      </c>
      <c r="BD370">
        <f t="shared" si="248"/>
        <v>8103.2473358942352</v>
      </c>
      <c r="BE370">
        <f t="shared" si="249"/>
        <v>1425.8514148602771</v>
      </c>
      <c r="BF370">
        <f t="shared" si="250"/>
        <v>8680.0389262904991</v>
      </c>
      <c r="BG370">
        <f t="shared" si="251"/>
        <v>1198.3960441950649</v>
      </c>
      <c r="BH370">
        <f t="shared" si="252"/>
        <v>0</v>
      </c>
      <c r="BI370">
        <f t="shared" si="253"/>
        <v>0.20661476441639315</v>
      </c>
      <c r="BJ370">
        <f t="shared" si="254"/>
        <v>0.10445174071881524</v>
      </c>
      <c r="BK370">
        <f t="shared" si="255"/>
        <v>-8.158843526665234E-2</v>
      </c>
      <c r="BL370">
        <f t="shared" si="256"/>
        <v>-5.0868018941511543E-2</v>
      </c>
      <c r="BM370">
        <f t="shared" si="268"/>
        <v>119.99999999999829</v>
      </c>
      <c r="BN370">
        <f t="shared" si="269"/>
        <v>-119.99999999999829</v>
      </c>
      <c r="BO370">
        <f>Data!$H$2*(1-BI370)*(1-BI370/Data!$H$3)*BM370</f>
        <v>1.5107043169009112E-4</v>
      </c>
      <c r="BP370">
        <f t="shared" si="257"/>
        <v>-24.793771729966824</v>
      </c>
      <c r="BQ370">
        <f>Data!$H$2*(1-BJ370)*(1-BJ370/Data!$H$3)*BN370</f>
        <v>-1.924816043283717E-4</v>
      </c>
      <c r="BR370">
        <f t="shared" si="258"/>
        <v>12.534208886257652</v>
      </c>
      <c r="BS370">
        <f t="shared" si="259"/>
        <v>0</v>
      </c>
      <c r="BT370">
        <f t="shared" si="260"/>
        <v>0</v>
      </c>
      <c r="BU370">
        <f t="shared" si="261"/>
        <v>0</v>
      </c>
      <c r="BV370">
        <f t="shared" si="277"/>
        <v>0</v>
      </c>
      <c r="BW370">
        <f t="shared" si="270"/>
        <v>0</v>
      </c>
      <c r="BX370" t="str">
        <f t="shared" si="271"/>
        <v/>
      </c>
      <c r="BY370" s="66" t="str">
        <f t="shared" si="262"/>
        <v/>
      </c>
      <c r="BZ370" t="str">
        <f t="shared" si="263"/>
        <v/>
      </c>
      <c r="CA370" s="67" t="str">
        <f t="shared" si="278"/>
        <v/>
      </c>
    </row>
    <row r="371" spans="4:79" x14ac:dyDescent="0.25">
      <c r="D371" s="3" t="e">
        <f t="shared" si="274"/>
        <v>#DIV/0!</v>
      </c>
      <c r="E371" s="3" t="e">
        <f t="shared" si="274"/>
        <v>#DIV/0!</v>
      </c>
      <c r="F371" t="str">
        <f>IF(A371&gt;0,IF(F370=1,1,IF(B371=Data!$H$4,1,0)),"")</f>
        <v/>
      </c>
      <c r="Y371" s="4"/>
      <c r="Z371" s="4"/>
      <c r="AA371" s="4" t="str">
        <f t="shared" si="275"/>
        <v/>
      </c>
      <c r="AE371" s="4" t="str">
        <f t="shared" si="276"/>
        <v/>
      </c>
      <c r="AK371" s="4">
        <f t="shared" si="272"/>
        <v>61.900000000000524</v>
      </c>
      <c r="AL371">
        <f t="shared" si="264"/>
        <v>4429.0000000000628</v>
      </c>
      <c r="AM371">
        <f t="shared" si="265"/>
        <v>2745.3333333330156</v>
      </c>
      <c r="AN371">
        <f>IF($AK370+$AK$1&lt;=Data!$H$4-0.5,AVERAGE(AM369:AM373),AN370)</f>
        <v>2746.9933333330332</v>
      </c>
      <c r="AO371">
        <f t="shared" si="266"/>
        <v>6432.9999999999372</v>
      </c>
      <c r="AP371">
        <f t="shared" si="273"/>
        <v>1939.4333333331213</v>
      </c>
      <c r="AQ371">
        <f>IF($AK370+$AK$1&lt;=Data!$H$4-0.5,AVERAGE(AP369:AP373),AQ370)</f>
        <v>1941.6733333331445</v>
      </c>
      <c r="AR371">
        <f>IF($AK370+$AK$1&lt;=Data!$H$4-0.5,SLOPE($AN367:$AN375,$AK367:$AK375),AR370)</f>
        <v>-572.61666666660346</v>
      </c>
      <c r="AS371">
        <f>IF($AK370+$AK$1&lt;=Data!$H$4-0.5,SLOPE($AQ367:$AQ375,$AK367:$AK375),AS370)</f>
        <v>-365.13333333324391</v>
      </c>
      <c r="AT371">
        <f>IF(AND($AK371&gt;=Results!$G$13,$AK371&lt;=Results!$G$14),Curves!AR371,"")</f>
        <v>-572.61666666660346</v>
      </c>
      <c r="AU371">
        <f>IF(AND($AK371&gt;=Results!$G$13,$AK371&lt;=Results!$G$14),Curves!AS371,"")</f>
        <v>-365.13333333324391</v>
      </c>
      <c r="AV371" t="str">
        <f t="shared" si="267"/>
        <v/>
      </c>
      <c r="AW371" t="str">
        <f>IF(AND($AK371&lt;=Results!$I$21,$AK371&gt;=Results!$I$20,$AK371&lt;=Results!$F$4),$AN371,"")</f>
        <v/>
      </c>
      <c r="AX371" t="str">
        <f t="shared" si="267"/>
        <v/>
      </c>
      <c r="AY371" t="str">
        <f>IF(AND($AK371&lt;=Results!$I$23,$AK371&gt;=Results!$I$22,$AK371&gt;=Results!$F$4),$AN371,"")</f>
        <v/>
      </c>
      <c r="AZ371" t="str">
        <f t="shared" si="246"/>
        <v/>
      </c>
      <c r="BA371" t="str">
        <f>IF(AND($AK371&lt;=Results!$I$27,$AK371&gt;=Results!$I$26,$AK371&lt;=Results!$F$4),$AQ371,"")</f>
        <v/>
      </c>
      <c r="BB371" t="str">
        <f t="shared" si="247"/>
        <v/>
      </c>
      <c r="BC371" t="str">
        <f>IF(AND($AK371&lt;=Results!$I$29,$AK371&gt;=Results!$I$28,$AK371&gt;=Results!$F$4),$AQ371,"")</f>
        <v/>
      </c>
      <c r="BD371">
        <f t="shared" si="248"/>
        <v>8092.4771410963158</v>
      </c>
      <c r="BE371">
        <f t="shared" si="249"/>
        <v>1422.5356256109562</v>
      </c>
      <c r="BF371">
        <f t="shared" si="250"/>
        <v>8672.7489440576064</v>
      </c>
      <c r="BG371">
        <f t="shared" si="251"/>
        <v>1197.8452432355398</v>
      </c>
      <c r="BH371">
        <f t="shared" si="252"/>
        <v>0</v>
      </c>
      <c r="BI371">
        <f t="shared" si="253"/>
        <v>0.19857111260228166</v>
      </c>
      <c r="BJ371">
        <f t="shared" si="254"/>
        <v>9.9510056566454619E-2</v>
      </c>
      <c r="BK371">
        <f t="shared" si="255"/>
        <v>-7.9280734505692813E-2</v>
      </c>
      <c r="BL371">
        <f t="shared" si="256"/>
        <v>-4.7961735530885209E-2</v>
      </c>
      <c r="BM371">
        <f t="shared" si="268"/>
        <v>119.99999999999829</v>
      </c>
      <c r="BN371">
        <f t="shared" si="269"/>
        <v>-119.99999999999829</v>
      </c>
      <c r="BO371">
        <f>Data!$H$2*(1-BI371)*(1-BI371/Data!$H$3)*BM371</f>
        <v>1.5414918277332855E-4</v>
      </c>
      <c r="BP371">
        <f t="shared" si="257"/>
        <v>-23.828533512273459</v>
      </c>
      <c r="BQ371">
        <f>Data!$H$2*(1-BJ371)*(1-BJ371/Data!$H$3)*BN371</f>
        <v>-1.9461171317398517E-4</v>
      </c>
      <c r="BR371">
        <f t="shared" si="258"/>
        <v>11.941206787974384</v>
      </c>
      <c r="BS371">
        <f t="shared" si="259"/>
        <v>0</v>
      </c>
      <c r="BT371">
        <f t="shared" si="260"/>
        <v>0</v>
      </c>
      <c r="BU371">
        <f t="shared" si="261"/>
        <v>0</v>
      </c>
      <c r="BV371">
        <f t="shared" si="277"/>
        <v>0</v>
      </c>
      <c r="BW371">
        <f t="shared" si="270"/>
        <v>0</v>
      </c>
      <c r="BX371" t="str">
        <f t="shared" si="271"/>
        <v/>
      </c>
      <c r="BY371" s="66" t="str">
        <f t="shared" si="262"/>
        <v/>
      </c>
      <c r="BZ371" t="str">
        <f t="shared" si="263"/>
        <v/>
      </c>
      <c r="CA371" s="67" t="str">
        <f t="shared" si="278"/>
        <v/>
      </c>
    </row>
    <row r="372" spans="4:79" x14ac:dyDescent="0.25">
      <c r="D372" s="3" t="e">
        <f t="shared" si="274"/>
        <v>#DIV/0!</v>
      </c>
      <c r="E372" s="3" t="e">
        <f t="shared" si="274"/>
        <v>#DIV/0!</v>
      </c>
      <c r="F372" t="str">
        <f>IF(A372&gt;0,IF(F371=1,1,IF(B372=Data!$H$4,1,0)),"")</f>
        <v/>
      </c>
      <c r="Y372" s="4"/>
      <c r="Z372" s="4"/>
      <c r="AA372" s="4" t="str">
        <f t="shared" si="275"/>
        <v/>
      </c>
      <c r="AE372" s="4" t="str">
        <f t="shared" si="276"/>
        <v/>
      </c>
      <c r="AK372" s="4">
        <f t="shared" si="272"/>
        <v>62.000000000000526</v>
      </c>
      <c r="AL372">
        <f t="shared" si="264"/>
        <v>4441.0000000000628</v>
      </c>
      <c r="AM372">
        <f t="shared" si="265"/>
        <v>2685.1666666663914</v>
      </c>
      <c r="AN372">
        <f>IF($AK371+$AK$1&lt;=Data!$H$4-0.5,AVERAGE(AM370:AM374),AN371)</f>
        <v>2690.1466666663746</v>
      </c>
      <c r="AO372">
        <f t="shared" si="266"/>
        <v>6420.9999999999372</v>
      </c>
      <c r="AP372">
        <f t="shared" si="273"/>
        <v>1898.9999999998463</v>
      </c>
      <c r="AQ372">
        <f>IF($AK371+$AK$1&lt;=Data!$H$4-0.5,AVERAGE(AP370:AP374),AQ371)</f>
        <v>1905.7199999998229</v>
      </c>
      <c r="AR372">
        <f>IF($AK371+$AK$1&lt;=Data!$H$4-0.5,SLOPE($AN368:$AN376,$AK368:$AK376),AR371)</f>
        <v>-560.16666666660228</v>
      </c>
      <c r="AS372">
        <f>IF($AK371+$AK$1&lt;=Data!$H$4-0.5,SLOPE($AQ368:$AQ376,$AK368:$AK376),AS371)</f>
        <v>-348.33333333324384</v>
      </c>
      <c r="AT372">
        <f>IF(AND($AK372&gt;=Results!$G$13,$AK372&lt;=Results!$G$14),Curves!AR372,"")</f>
        <v>-560.16666666660228</v>
      </c>
      <c r="AU372">
        <f>IF(AND($AK372&gt;=Results!$G$13,$AK372&lt;=Results!$G$14),Curves!AS372,"")</f>
        <v>-348.33333333324384</v>
      </c>
      <c r="AV372" t="str">
        <f t="shared" si="267"/>
        <v/>
      </c>
      <c r="AW372" t="str">
        <f>IF(AND($AK372&lt;=Results!$I$21,$AK372&gt;=Results!$I$20,$AK372&lt;=Results!$F$4),$AN372,"")</f>
        <v/>
      </c>
      <c r="AX372" t="str">
        <f t="shared" si="267"/>
        <v/>
      </c>
      <c r="AY372" t="str">
        <f>IF(AND($AK372&lt;=Results!$I$23,$AK372&gt;=Results!$I$22,$AK372&gt;=Results!$F$4),$AN372,"")</f>
        <v/>
      </c>
      <c r="AZ372" t="str">
        <f t="shared" si="246"/>
        <v/>
      </c>
      <c r="BA372" t="str">
        <f>IF(AND($AK372&lt;=Results!$I$27,$AK372&gt;=Results!$I$26,$AK372&lt;=Results!$F$4),$AQ372,"")</f>
        <v/>
      </c>
      <c r="BB372" t="str">
        <f t="shared" si="247"/>
        <v/>
      </c>
      <c r="BC372" t="str">
        <f>IF(AND($AK372&lt;=Results!$I$29,$AK372&gt;=Results!$I$28,$AK372&gt;=Results!$F$4),$AQ372,"")</f>
        <v/>
      </c>
      <c r="BD372">
        <f t="shared" si="248"/>
        <v>8081.7069462983955</v>
      </c>
      <c r="BE372">
        <f t="shared" si="249"/>
        <v>1419.2198363616358</v>
      </c>
      <c r="BF372">
        <f t="shared" si="250"/>
        <v>8665.4589618247119</v>
      </c>
      <c r="BG372">
        <f t="shared" si="251"/>
        <v>1197.2944422760147</v>
      </c>
      <c r="BH372">
        <f t="shared" si="252"/>
        <v>0</v>
      </c>
      <c r="BI372">
        <f t="shared" si="253"/>
        <v>0.19075861751525436</v>
      </c>
      <c r="BJ372">
        <f t="shared" si="254"/>
        <v>9.4859393612638065E-2</v>
      </c>
      <c r="BK372">
        <f t="shared" si="255"/>
        <v>-7.6965283401221343E-2</v>
      </c>
      <c r="BL372">
        <f t="shared" si="256"/>
        <v>-4.5047580777429673E-2</v>
      </c>
      <c r="BM372">
        <f t="shared" si="268"/>
        <v>120.00000000000284</v>
      </c>
      <c r="BN372">
        <f t="shared" si="269"/>
        <v>-120.00000000000284</v>
      </c>
      <c r="BO372">
        <f>Data!$H$2*(1-BI372)*(1-BI372/Data!$H$3)*BM372</f>
        <v>1.5716918763020112E-4</v>
      </c>
      <c r="BP372">
        <f t="shared" si="257"/>
        <v>-22.891034101831064</v>
      </c>
      <c r="BQ372">
        <f>Data!$H$2*(1-BJ372)*(1-BJ372/Data!$H$3)*BN372</f>
        <v>-1.9662708415951215E-4</v>
      </c>
      <c r="BR372">
        <f t="shared" si="258"/>
        <v>11.383127233516838</v>
      </c>
      <c r="BS372">
        <f t="shared" si="259"/>
        <v>0</v>
      </c>
      <c r="BT372">
        <f t="shared" si="260"/>
        <v>0</v>
      </c>
      <c r="BU372">
        <f t="shared" si="261"/>
        <v>0</v>
      </c>
      <c r="BV372">
        <f t="shared" si="277"/>
        <v>0</v>
      </c>
      <c r="BW372">
        <f t="shared" si="270"/>
        <v>0</v>
      </c>
      <c r="BX372" t="str">
        <f t="shared" si="271"/>
        <v/>
      </c>
      <c r="BY372" s="66" t="str">
        <f t="shared" si="262"/>
        <v/>
      </c>
      <c r="BZ372" t="str">
        <f t="shared" si="263"/>
        <v/>
      </c>
      <c r="CA372" s="67" t="str">
        <f t="shared" si="278"/>
        <v/>
      </c>
    </row>
    <row r="373" spans="4:79" x14ac:dyDescent="0.25">
      <c r="D373" s="3" t="e">
        <f t="shared" si="274"/>
        <v>#DIV/0!</v>
      </c>
      <c r="E373" s="3" t="e">
        <f t="shared" si="274"/>
        <v>#DIV/0!</v>
      </c>
      <c r="F373" t="str">
        <f>IF(A373&gt;0,IF(F372=1,1,IF(B373=Data!$H$4,1,0)),"")</f>
        <v/>
      </c>
      <c r="Y373" s="4"/>
      <c r="Z373" s="4"/>
      <c r="AA373" s="4" t="str">
        <f t="shared" si="275"/>
        <v/>
      </c>
      <c r="AE373" s="4" t="str">
        <f t="shared" si="276"/>
        <v/>
      </c>
      <c r="AK373" s="4">
        <f t="shared" si="272"/>
        <v>62.100000000000527</v>
      </c>
      <c r="AL373">
        <f t="shared" si="264"/>
        <v>4453.0000000000637</v>
      </c>
      <c r="AM373">
        <f t="shared" si="265"/>
        <v>2633.2999999997242</v>
      </c>
      <c r="AN373">
        <f>IF($AK372+$AK$1&lt;=Data!$H$4-0.5,AVERAGE(AM371:AM375),AN372)</f>
        <v>2634.9599999997163</v>
      </c>
      <c r="AO373">
        <f t="shared" si="266"/>
        <v>6408.9999999999363</v>
      </c>
      <c r="AP373">
        <f t="shared" si="273"/>
        <v>1869.7666666665127</v>
      </c>
      <c r="AQ373">
        <f>IF($AK372+$AK$1&lt;=Data!$H$4-0.5,AVERAGE(AP371:AP375),AQ372)</f>
        <v>1872.0066666665011</v>
      </c>
      <c r="AR373">
        <f>IF($AK372+$AK$1&lt;=Data!$H$4-0.5,SLOPE($AN369:$AN377,$AK369:$AK377),AR372)</f>
        <v>-547.71666666660849</v>
      </c>
      <c r="AS373">
        <f>IF($AK372+$AK$1&lt;=Data!$H$4-0.5,SLOPE($AQ369:$AQ377,$AK369:$AK377),AS372)</f>
        <v>-331.53333333325372</v>
      </c>
      <c r="AT373">
        <f>IF(AND($AK373&gt;=Results!$G$13,$AK373&lt;=Results!$G$14),Curves!AR373,"")</f>
        <v>-547.71666666660849</v>
      </c>
      <c r="AU373">
        <f>IF(AND($AK373&gt;=Results!$G$13,$AK373&lt;=Results!$G$14),Curves!AS373,"")</f>
        <v>-331.53333333325372</v>
      </c>
      <c r="AV373" t="str">
        <f t="shared" si="267"/>
        <v/>
      </c>
      <c r="AW373" t="str">
        <f>IF(AND($AK373&lt;=Results!$I$21,$AK373&gt;=Results!$I$20,$AK373&lt;=Results!$F$4),$AN373,"")</f>
        <v/>
      </c>
      <c r="AX373" t="str">
        <f t="shared" si="267"/>
        <v/>
      </c>
      <c r="AY373" t="str">
        <f>IF(AND($AK373&lt;=Results!$I$23,$AK373&gt;=Results!$I$22,$AK373&gt;=Results!$F$4),$AN373,"")</f>
        <v/>
      </c>
      <c r="AZ373" t="str">
        <f t="shared" si="246"/>
        <v/>
      </c>
      <c r="BA373" t="str">
        <f>IF(AND($AK373&lt;=Results!$I$27,$AK373&gt;=Results!$I$26,$AK373&lt;=Results!$F$4),$AQ373,"")</f>
        <v/>
      </c>
      <c r="BB373" t="str">
        <f t="shared" si="247"/>
        <v/>
      </c>
      <c r="BC373" t="str">
        <f>IF(AND($AK373&lt;=Results!$I$29,$AK373&gt;=Results!$I$28,$AK373&gt;=Results!$F$4),$AQ373,"")</f>
        <v/>
      </c>
      <c r="BD373">
        <f t="shared" si="248"/>
        <v>8070.936751500476</v>
      </c>
      <c r="BE373">
        <f t="shared" si="249"/>
        <v>1415.9040471123149</v>
      </c>
      <c r="BF373">
        <f t="shared" si="250"/>
        <v>8658.168979591821</v>
      </c>
      <c r="BG373">
        <f t="shared" si="251"/>
        <v>1196.7436413164899</v>
      </c>
      <c r="BH373">
        <f t="shared" si="252"/>
        <v>0</v>
      </c>
      <c r="BI373">
        <f t="shared" si="253"/>
        <v>0.18317805592203718</v>
      </c>
      <c r="BJ373">
        <f t="shared" si="254"/>
        <v>9.0500540410968555E-2</v>
      </c>
      <c r="BK373">
        <f t="shared" si="255"/>
        <v>-7.4642047208605719E-2</v>
      </c>
      <c r="BL373">
        <f t="shared" si="256"/>
        <v>-4.2125526230588031E-2</v>
      </c>
      <c r="BM373">
        <f t="shared" si="268"/>
        <v>120.00000000000284</v>
      </c>
      <c r="BN373">
        <f t="shared" si="269"/>
        <v>-120.00000000000284</v>
      </c>
      <c r="BO373">
        <f>Data!$H$2*(1-BI373)*(1-BI373/Data!$H$3)*BM373</f>
        <v>1.6012754119855641E-4</v>
      </c>
      <c r="BP373">
        <f t="shared" si="257"/>
        <v>-21.981366710644981</v>
      </c>
      <c r="BQ373">
        <f>Data!$H$2*(1-BJ373)*(1-BJ373/Data!$H$3)*BN373</f>
        <v>-1.9852542407826232E-4</v>
      </c>
      <c r="BR373">
        <f t="shared" si="258"/>
        <v>10.860064849316483</v>
      </c>
      <c r="BS373">
        <f t="shared" si="259"/>
        <v>0</v>
      </c>
      <c r="BT373">
        <f t="shared" si="260"/>
        <v>0</v>
      </c>
      <c r="BU373">
        <f t="shared" si="261"/>
        <v>0</v>
      </c>
      <c r="BV373">
        <f t="shared" si="277"/>
        <v>0</v>
      </c>
      <c r="BW373">
        <f t="shared" si="270"/>
        <v>0</v>
      </c>
      <c r="BX373" t="str">
        <f t="shared" si="271"/>
        <v/>
      </c>
      <c r="BY373" s="66" t="str">
        <f t="shared" si="262"/>
        <v/>
      </c>
      <c r="BZ373" t="str">
        <f t="shared" si="263"/>
        <v/>
      </c>
      <c r="CA373" s="67" t="str">
        <f t="shared" si="278"/>
        <v/>
      </c>
    </row>
    <row r="374" spans="4:79" x14ac:dyDescent="0.25">
      <c r="D374" s="3" t="e">
        <f t="shared" si="274"/>
        <v>#DIV/0!</v>
      </c>
      <c r="E374" s="3" t="e">
        <f t="shared" si="274"/>
        <v>#DIV/0!</v>
      </c>
      <c r="F374" t="str">
        <f>IF(A374&gt;0,IF(F373=1,1,IF(B374=Data!$H$4,1,0)),"")</f>
        <v/>
      </c>
      <c r="Y374" s="4"/>
      <c r="Z374" s="4"/>
      <c r="AA374" s="4" t="str">
        <f t="shared" si="275"/>
        <v/>
      </c>
      <c r="AE374" s="4" t="str">
        <f t="shared" si="276"/>
        <v/>
      </c>
      <c r="AK374" s="4">
        <f t="shared" si="272"/>
        <v>62.200000000000529</v>
      </c>
      <c r="AL374">
        <f t="shared" si="264"/>
        <v>4465.0000000000637</v>
      </c>
      <c r="AM374">
        <f t="shared" si="265"/>
        <v>2581.4333333330574</v>
      </c>
      <c r="AN374">
        <f>IF($AK373+$AK$1&lt;=Data!$H$4-0.5,AVERAGE(AM372:AM376),AN373)</f>
        <v>2581.4333333330574</v>
      </c>
      <c r="AO374">
        <f t="shared" si="266"/>
        <v>6396.9999999999363</v>
      </c>
      <c r="AP374">
        <f t="shared" si="273"/>
        <v>1840.5333333331791</v>
      </c>
      <c r="AQ374">
        <f>IF($AK373+$AK$1&lt;=Data!$H$4-0.5,AVERAGE(AP372:AP376),AQ373)</f>
        <v>1840.5333333331789</v>
      </c>
      <c r="AR374">
        <f>IF($AK373+$AK$1&lt;=Data!$H$4-0.5,SLOPE($AN370:$AN378,$AK370:$AK378),AR373)</f>
        <v>-536.64999999995553</v>
      </c>
      <c r="AS374">
        <f>IF($AK373+$AK$1&lt;=Data!$H$4-0.5,SLOPE($AQ370:$AQ378,$AK370:$AK378),AS373)</f>
        <v>-316.59999999994017</v>
      </c>
      <c r="AT374">
        <f>IF(AND($AK374&gt;=Results!$G$13,$AK374&lt;=Results!$G$14),Curves!AR374,"")</f>
        <v>-536.64999999995553</v>
      </c>
      <c r="AU374">
        <f>IF(AND($AK374&gt;=Results!$G$13,$AK374&lt;=Results!$G$14),Curves!AS374,"")</f>
        <v>-316.59999999994017</v>
      </c>
      <c r="AV374" t="str">
        <f t="shared" si="267"/>
        <v/>
      </c>
      <c r="AW374" t="str">
        <f>IF(AND($AK374&lt;=Results!$I$21,$AK374&gt;=Results!$I$20,$AK374&lt;=Results!$F$4),$AN374,"")</f>
        <v/>
      </c>
      <c r="AX374" t="str">
        <f t="shared" si="267"/>
        <v/>
      </c>
      <c r="AY374" t="str">
        <f>IF(AND($AK374&lt;=Results!$I$23,$AK374&gt;=Results!$I$22,$AK374&gt;=Results!$F$4),$AN374,"")</f>
        <v/>
      </c>
      <c r="AZ374" t="str">
        <f t="shared" si="246"/>
        <v/>
      </c>
      <c r="BA374" t="str">
        <f>IF(AND($AK374&lt;=Results!$I$27,$AK374&gt;=Results!$I$26,$AK374&lt;=Results!$F$4),$AQ374,"")</f>
        <v/>
      </c>
      <c r="BB374" t="str">
        <f t="shared" si="247"/>
        <v/>
      </c>
      <c r="BC374" t="str">
        <f>IF(AND($AK374&lt;=Results!$I$29,$AK374&gt;=Results!$I$28,$AK374&gt;=Results!$F$4),$AQ374,"")</f>
        <v/>
      </c>
      <c r="BD374">
        <f t="shared" si="248"/>
        <v>8060.1665567025566</v>
      </c>
      <c r="BE374">
        <f t="shared" si="249"/>
        <v>1412.5882578629939</v>
      </c>
      <c r="BF374">
        <f t="shared" si="250"/>
        <v>8650.8789973589264</v>
      </c>
      <c r="BG374">
        <f t="shared" si="251"/>
        <v>1196.1928403569648</v>
      </c>
      <c r="BH374">
        <f t="shared" si="252"/>
        <v>0</v>
      </c>
      <c r="BI374">
        <f t="shared" si="253"/>
        <v>0.175830208073533</v>
      </c>
      <c r="BJ374">
        <f t="shared" si="254"/>
        <v>8.643428836652034E-2</v>
      </c>
      <c r="BK374">
        <f t="shared" si="255"/>
        <v>-7.2310990988297491E-2</v>
      </c>
      <c r="BL374">
        <f t="shared" si="256"/>
        <v>-3.9195543311154595E-2</v>
      </c>
      <c r="BM374">
        <f t="shared" si="268"/>
        <v>119.99999999999829</v>
      </c>
      <c r="BN374">
        <f t="shared" si="269"/>
        <v>-119.99999999999829</v>
      </c>
      <c r="BO374">
        <f>Data!$H$2*(1-BI374)*(1-BI374/Data!$H$3)*BM374</f>
        <v>1.6302140302178547E-4</v>
      </c>
      <c r="BP374">
        <f t="shared" si="257"/>
        <v>-21.099624968823662</v>
      </c>
      <c r="BQ374">
        <f>Data!$H$2*(1-BJ374)*(1-BJ374/Data!$H$3)*BN374</f>
        <v>-2.0030455427336982E-4</v>
      </c>
      <c r="BR374">
        <f t="shared" si="258"/>
        <v>10.372114603982293</v>
      </c>
      <c r="BS374">
        <f t="shared" si="259"/>
        <v>0</v>
      </c>
      <c r="BT374">
        <f t="shared" si="260"/>
        <v>0</v>
      </c>
      <c r="BU374">
        <f t="shared" si="261"/>
        <v>0</v>
      </c>
      <c r="BV374">
        <f t="shared" si="277"/>
        <v>0</v>
      </c>
      <c r="BW374">
        <f t="shared" si="270"/>
        <v>0</v>
      </c>
      <c r="BX374" t="str">
        <f t="shared" si="271"/>
        <v/>
      </c>
      <c r="BY374" s="66" t="str">
        <f t="shared" si="262"/>
        <v/>
      </c>
      <c r="BZ374" t="str">
        <f t="shared" si="263"/>
        <v/>
      </c>
      <c r="CA374" s="67" t="str">
        <f t="shared" si="278"/>
        <v/>
      </c>
    </row>
    <row r="375" spans="4:79" x14ac:dyDescent="0.25">
      <c r="D375" s="3" t="e">
        <f t="shared" si="274"/>
        <v>#DIV/0!</v>
      </c>
      <c r="E375" s="3" t="e">
        <f t="shared" si="274"/>
        <v>#DIV/0!</v>
      </c>
      <c r="F375" t="str">
        <f>IF(A375&gt;0,IF(F374=1,1,IF(B375=Data!$H$4,1,0)),"")</f>
        <v/>
      </c>
      <c r="Y375" s="4"/>
      <c r="Z375" s="4"/>
      <c r="AA375" s="4" t="str">
        <f t="shared" si="275"/>
        <v/>
      </c>
      <c r="AE375" s="4" t="str">
        <f t="shared" si="276"/>
        <v/>
      </c>
      <c r="AK375" s="4">
        <f t="shared" si="272"/>
        <v>62.30000000000053</v>
      </c>
      <c r="AL375">
        <f t="shared" si="264"/>
        <v>4477.0000000000637</v>
      </c>
      <c r="AM375">
        <f t="shared" si="265"/>
        <v>2529.5666666663901</v>
      </c>
      <c r="AN375">
        <f>IF($AK374+$AK$1&lt;=Data!$H$4-0.5,AVERAGE(AM373:AM377),AN374)</f>
        <v>2529.5666666663901</v>
      </c>
      <c r="AO375">
        <f t="shared" si="266"/>
        <v>6384.9999999999363</v>
      </c>
      <c r="AP375">
        <f t="shared" si="273"/>
        <v>1811.2999999998453</v>
      </c>
      <c r="AQ375">
        <f>IF($AK374+$AK$1&lt;=Data!$H$4-0.5,AVERAGE(AP373:AP377),AQ374)</f>
        <v>1811.2999999998453</v>
      </c>
      <c r="AR375">
        <f>IF($AK374+$AK$1&lt;=Data!$H$4-0.5,SLOPE($AN371:$AN379,$AK371:$AK379),AR374)</f>
        <v>-528.34999999996955</v>
      </c>
      <c r="AS375">
        <f>IF($AK374+$AK$1&lt;=Data!$H$4-0.5,SLOPE($AQ371:$AQ379,$AK371:$AK379),AS374)</f>
        <v>-305.39999999995945</v>
      </c>
      <c r="AT375">
        <f>IF(AND($AK375&gt;=Results!$G$13,$AK375&lt;=Results!$G$14),Curves!AR375,"")</f>
        <v>-528.34999999996955</v>
      </c>
      <c r="AU375">
        <f>IF(AND($AK375&gt;=Results!$G$13,$AK375&lt;=Results!$G$14),Curves!AS375,"")</f>
        <v>-305.39999999995945</v>
      </c>
      <c r="AV375" t="str">
        <f t="shared" si="267"/>
        <v/>
      </c>
      <c r="AW375" t="str">
        <f>IF(AND($AK375&lt;=Results!$I$21,$AK375&gt;=Results!$I$20,$AK375&lt;=Results!$F$4),$AN375,"")</f>
        <v/>
      </c>
      <c r="AX375" t="str">
        <f t="shared" si="267"/>
        <v/>
      </c>
      <c r="AY375" t="str">
        <f>IF(AND($AK375&lt;=Results!$I$23,$AK375&gt;=Results!$I$22,$AK375&gt;=Results!$F$4),$AN375,"")</f>
        <v/>
      </c>
      <c r="AZ375" t="str">
        <f t="shared" si="246"/>
        <v/>
      </c>
      <c r="BA375" t="str">
        <f>IF(AND($AK375&lt;=Results!$I$27,$AK375&gt;=Results!$I$26,$AK375&lt;=Results!$F$4),$AQ375,"")</f>
        <v/>
      </c>
      <c r="BB375" t="str">
        <f t="shared" si="247"/>
        <v/>
      </c>
      <c r="BC375" t="str">
        <f>IF(AND($AK375&lt;=Results!$I$29,$AK375&gt;=Results!$I$28,$AK375&gt;=Results!$F$4),$AQ375,"")</f>
        <v/>
      </c>
      <c r="BD375">
        <f t="shared" si="248"/>
        <v>8049.3963619046363</v>
      </c>
      <c r="BE375">
        <f t="shared" si="249"/>
        <v>1409.272468613673</v>
      </c>
      <c r="BF375">
        <f t="shared" si="250"/>
        <v>8643.5890151260337</v>
      </c>
      <c r="BG375">
        <f t="shared" si="251"/>
        <v>1195.6420393974399</v>
      </c>
      <c r="BH375">
        <f t="shared" si="252"/>
        <v>0</v>
      </c>
      <c r="BI375">
        <f t="shared" si="253"/>
        <v>0.16871585772437747</v>
      </c>
      <c r="BJ375">
        <f t="shared" si="254"/>
        <v>8.2661431748737524E-2</v>
      </c>
      <c r="BK375">
        <f t="shared" si="255"/>
        <v>-7.1223461120705309E-2</v>
      </c>
      <c r="BL375">
        <f t="shared" si="256"/>
        <v>-3.7762735314569321E-2</v>
      </c>
      <c r="BM375">
        <f t="shared" si="268"/>
        <v>119.99999999999829</v>
      </c>
      <c r="BN375">
        <f t="shared" si="269"/>
        <v>-119.99999999999829</v>
      </c>
      <c r="BO375">
        <f>Data!$H$2*(1-BI375)*(1-BI375/Data!$H$3)*BM375</f>
        <v>1.6584799804773782E-4</v>
      </c>
      <c r="BP375">
        <f t="shared" si="257"/>
        <v>-20.245902926925009</v>
      </c>
      <c r="BQ375">
        <f>Data!$H$2*(1-BJ375)*(1-BJ375/Data!$H$3)*BN375</f>
        <v>-2.0196241171230338E-4</v>
      </c>
      <c r="BR375">
        <f t="shared" si="258"/>
        <v>9.9193718098483625</v>
      </c>
      <c r="BS375">
        <f t="shared" si="259"/>
        <v>0</v>
      </c>
      <c r="BT375">
        <f t="shared" si="260"/>
        <v>0</v>
      </c>
      <c r="BU375">
        <f t="shared" si="261"/>
        <v>0</v>
      </c>
      <c r="BV375">
        <f t="shared" si="277"/>
        <v>0</v>
      </c>
      <c r="BW375">
        <f t="shared" si="270"/>
        <v>0</v>
      </c>
      <c r="BX375" t="str">
        <f t="shared" si="271"/>
        <v/>
      </c>
      <c r="BY375" s="66" t="str">
        <f t="shared" si="262"/>
        <v/>
      </c>
      <c r="BZ375" t="str">
        <f t="shared" si="263"/>
        <v/>
      </c>
      <c r="CA375" s="67" t="str">
        <f t="shared" si="278"/>
        <v/>
      </c>
    </row>
    <row r="376" spans="4:79" x14ac:dyDescent="0.25">
      <c r="D376" s="3" t="e">
        <f t="shared" si="274"/>
        <v>#DIV/0!</v>
      </c>
      <c r="E376" s="3" t="e">
        <f t="shared" si="274"/>
        <v>#DIV/0!</v>
      </c>
      <c r="F376" t="str">
        <f>IF(A376&gt;0,IF(F375=1,1,IF(B376=Data!$H$4,1,0)),"")</f>
        <v/>
      </c>
      <c r="Y376" s="4"/>
      <c r="Z376" s="4"/>
      <c r="AA376" s="4" t="e">
        <f t="shared" si="275"/>
        <v>#VALUE!</v>
      </c>
      <c r="AE376" s="4" t="str">
        <f t="shared" si="276"/>
        <v/>
      </c>
      <c r="AK376" s="4">
        <f t="shared" si="272"/>
        <v>62.400000000000531</v>
      </c>
      <c r="AL376">
        <f t="shared" si="264"/>
        <v>4489.0000000000637</v>
      </c>
      <c r="AM376">
        <f t="shared" si="265"/>
        <v>2477.6999999997229</v>
      </c>
      <c r="AN376">
        <f>IF($AK375+$AK$1&lt;=Data!$H$4-0.5,AVERAGE(AM374:AM378),AN375)</f>
        <v>2477.6999999997229</v>
      </c>
      <c r="AO376">
        <f t="shared" si="266"/>
        <v>6372.9999999999363</v>
      </c>
      <c r="AP376">
        <f t="shared" si="273"/>
        <v>1782.0666666665118</v>
      </c>
      <c r="AQ376">
        <f>IF($AK375+$AK$1&lt;=Data!$H$4-0.5,AVERAGE(AP374:AP378),AQ375)</f>
        <v>1782.0666666665118</v>
      </c>
      <c r="AR376">
        <f>IF($AK375+$AK$1&lt;=Data!$H$4-0.5,SLOPE($AN372:$AN380,$AK372:$AK380),AR375)</f>
        <v>-522.81666666664046</v>
      </c>
      <c r="AS376">
        <f>IF($AK375+$AK$1&lt;=Data!$H$4-0.5,SLOPE($AQ372:$AQ380,$AK372:$AK380),AS375)</f>
        <v>-297.93333333330384</v>
      </c>
      <c r="AT376">
        <f>IF(AND($AK376&gt;=Results!$G$13,$AK376&lt;=Results!$G$14),Curves!AR376,"")</f>
        <v>-522.81666666664046</v>
      </c>
      <c r="AU376">
        <f>IF(AND($AK376&gt;=Results!$G$13,$AK376&lt;=Results!$G$14),Curves!AS376,"")</f>
        <v>-297.93333333330384</v>
      </c>
      <c r="AV376" t="str">
        <f t="shared" si="267"/>
        <v/>
      </c>
      <c r="AW376" t="str">
        <f>IF(AND($AK376&lt;=Results!$I$21,$AK376&gt;=Results!$I$20,$AK376&lt;=Results!$F$4),$AN376,"")</f>
        <v/>
      </c>
      <c r="AX376" t="str">
        <f t="shared" si="267"/>
        <v/>
      </c>
      <c r="AY376" t="str">
        <f>IF(AND($AK376&lt;=Results!$I$23,$AK376&gt;=Results!$I$22,$AK376&gt;=Results!$F$4),$AN376,"")</f>
        <v/>
      </c>
      <c r="AZ376" t="str">
        <f t="shared" si="246"/>
        <v/>
      </c>
      <c r="BA376" t="str">
        <f>IF(AND($AK376&lt;=Results!$I$27,$AK376&gt;=Results!$I$26,$AK376&lt;=Results!$F$4),$AQ376,"")</f>
        <v/>
      </c>
      <c r="BB376" t="str">
        <f t="shared" si="247"/>
        <v/>
      </c>
      <c r="BC376" t="str">
        <f>IF(AND($AK376&lt;=Results!$I$29,$AK376&gt;=Results!$I$28,$AK376&gt;=Results!$F$4),$AQ376,"")</f>
        <v/>
      </c>
      <c r="BD376">
        <f t="shared" si="248"/>
        <v>8038.6261671067168</v>
      </c>
      <c r="BE376">
        <f t="shared" si="249"/>
        <v>1405.9566793643521</v>
      </c>
      <c r="BF376">
        <f t="shared" si="250"/>
        <v>8636.299032893141</v>
      </c>
      <c r="BG376">
        <f t="shared" si="251"/>
        <v>1195.0912384379149</v>
      </c>
      <c r="BH376">
        <f t="shared" si="252"/>
        <v>0</v>
      </c>
      <c r="BI376">
        <f t="shared" si="253"/>
        <v>0.16158551584939174</v>
      </c>
      <c r="BJ376">
        <f t="shared" si="254"/>
        <v>7.8881741303606367E-2</v>
      </c>
      <c r="BK376">
        <f t="shared" si="255"/>
        <v>-7.1383646273607368E-2</v>
      </c>
      <c r="BL376">
        <f t="shared" si="256"/>
        <v>-3.7831166508751637E-2</v>
      </c>
      <c r="BM376">
        <f t="shared" si="268"/>
        <v>119.99999999999829</v>
      </c>
      <c r="BN376">
        <f t="shared" si="269"/>
        <v>-119.99999999999829</v>
      </c>
      <c r="BO376">
        <f>Data!$H$2*(1-BI376)*(1-BI376/Data!$H$3)*BM376</f>
        <v>1.687053233360449E-4</v>
      </c>
      <c r="BP376">
        <f t="shared" si="257"/>
        <v>-19.390261901926731</v>
      </c>
      <c r="BQ376">
        <f>Data!$H$2*(1-BJ376)*(1-BJ376/Data!$H$3)*BN376</f>
        <v>-2.0363012316092742E-4</v>
      </c>
      <c r="BR376">
        <f t="shared" si="258"/>
        <v>9.46580895643263</v>
      </c>
      <c r="BS376">
        <f t="shared" si="259"/>
        <v>0</v>
      </c>
      <c r="BT376">
        <f t="shared" si="260"/>
        <v>0</v>
      </c>
      <c r="BU376">
        <f t="shared" si="261"/>
        <v>0</v>
      </c>
      <c r="BV376">
        <f t="shared" si="277"/>
        <v>0</v>
      </c>
      <c r="BW376">
        <f t="shared" si="270"/>
        <v>0</v>
      </c>
      <c r="BX376" t="str">
        <f t="shared" si="271"/>
        <v/>
      </c>
      <c r="BY376" s="66" t="str">
        <f t="shared" si="262"/>
        <v/>
      </c>
      <c r="BZ376" t="str">
        <f t="shared" si="263"/>
        <v/>
      </c>
      <c r="CA376" s="67" t="str">
        <f t="shared" si="278"/>
        <v/>
      </c>
    </row>
    <row r="377" spans="4:79" x14ac:dyDescent="0.25">
      <c r="D377" s="3" t="e">
        <f t="shared" si="274"/>
        <v>#DIV/0!</v>
      </c>
      <c r="E377" s="3" t="e">
        <f t="shared" si="274"/>
        <v>#DIV/0!</v>
      </c>
      <c r="F377" t="str">
        <f>IF(A377&gt;0,IF(F376=1,1,IF(B377=Data!$H$4,1,0)),"")</f>
        <v/>
      </c>
      <c r="Y377" s="4"/>
      <c r="Z377" s="4"/>
      <c r="AA377" s="4" t="e">
        <f t="shared" si="275"/>
        <v>#VALUE!</v>
      </c>
      <c r="AE377" s="4" t="str">
        <f t="shared" si="276"/>
        <v/>
      </c>
      <c r="AK377" s="4">
        <f t="shared" si="272"/>
        <v>62.500000000000533</v>
      </c>
      <c r="AL377">
        <f t="shared" si="264"/>
        <v>4501.0000000000637</v>
      </c>
      <c r="AM377">
        <f t="shared" si="265"/>
        <v>2425.8333333330556</v>
      </c>
      <c r="AN377">
        <f>IF($AK376+$AK$1&lt;=Data!$H$4-0.5,AVERAGE(AM375:AM379),AN376)</f>
        <v>2425.8333333330556</v>
      </c>
      <c r="AO377">
        <f t="shared" si="266"/>
        <v>6360.9999999999363</v>
      </c>
      <c r="AP377">
        <f t="shared" si="273"/>
        <v>1752.8333333331782</v>
      </c>
      <c r="AQ377">
        <f>IF($AK376+$AK$1&lt;=Data!$H$4-0.5,AVERAGE(AP375:AP379),AQ376)</f>
        <v>1752.8333333331782</v>
      </c>
      <c r="AR377">
        <f>IF($AK376+$AK$1&lt;=Data!$H$4-0.5,SLOPE($AN373:$AN381,$AK373:$AK381),AR376)</f>
        <v>-518.20444444441364</v>
      </c>
      <c r="AS377">
        <f>IF($AK376+$AK$1&lt;=Data!$H$4-0.5,SLOPE($AQ373:$AQ381,$AK373:$AK381),AS376)</f>
        <v>-292.54222222219403</v>
      </c>
      <c r="AT377">
        <f>IF(AND($AK377&gt;=Results!$G$13,$AK377&lt;=Results!$G$14),Curves!AR377,"")</f>
        <v>-518.20444444441364</v>
      </c>
      <c r="AU377">
        <f>IF(AND($AK377&gt;=Results!$G$13,$AK377&lt;=Results!$G$14),Curves!AS377,"")</f>
        <v>-292.54222222219403</v>
      </c>
      <c r="AV377" t="str">
        <f t="shared" si="267"/>
        <v/>
      </c>
      <c r="AW377" t="str">
        <f>IF(AND($AK377&lt;=Results!$I$21,$AK377&gt;=Results!$I$20,$AK377&lt;=Results!$F$4),$AN377,"")</f>
        <v/>
      </c>
      <c r="AX377" t="str">
        <f t="shared" si="267"/>
        <v/>
      </c>
      <c r="AY377" t="str">
        <f>IF(AND($AK377&lt;=Results!$I$23,$AK377&gt;=Results!$I$22,$AK377&gt;=Results!$F$4),$AN377,"")</f>
        <v/>
      </c>
      <c r="AZ377" t="str">
        <f t="shared" si="246"/>
        <v/>
      </c>
      <c r="BA377" t="str">
        <f>IF(AND($AK377&lt;=Results!$I$27,$AK377&gt;=Results!$I$26,$AK377&lt;=Results!$F$4),$AQ377,"")</f>
        <v/>
      </c>
      <c r="BB377" t="str">
        <f t="shared" si="247"/>
        <v/>
      </c>
      <c r="BC377" t="str">
        <f>IF(AND($AK377&lt;=Results!$I$29,$AK377&gt;=Results!$I$28,$AK377&gt;=Results!$F$4),$AQ377,"")</f>
        <v/>
      </c>
      <c r="BD377">
        <f t="shared" si="248"/>
        <v>8027.8559723087974</v>
      </c>
      <c r="BE377">
        <f t="shared" si="249"/>
        <v>1402.6408901150317</v>
      </c>
      <c r="BF377">
        <f t="shared" si="250"/>
        <v>8629.0090506602464</v>
      </c>
      <c r="BG377">
        <f t="shared" si="251"/>
        <v>1194.5404374783898</v>
      </c>
      <c r="BH377">
        <f t="shared" si="252"/>
        <v>0</v>
      </c>
      <c r="BI377">
        <f t="shared" si="253"/>
        <v>0.1544391284696558</v>
      </c>
      <c r="BJ377">
        <f t="shared" si="254"/>
        <v>7.5095198446987088E-2</v>
      </c>
      <c r="BK377">
        <f t="shared" si="255"/>
        <v>-7.1544372431773348E-2</v>
      </c>
      <c r="BL377">
        <f t="shared" si="256"/>
        <v>-3.7899783881561476E-2</v>
      </c>
      <c r="BM377">
        <f t="shared" si="268"/>
        <v>119.99999999999829</v>
      </c>
      <c r="BN377">
        <f t="shared" si="269"/>
        <v>-119.99999999999829</v>
      </c>
      <c r="BO377">
        <f>Data!$H$2*(1-BI377)*(1-BI377/Data!$H$3)*BM377</f>
        <v>1.7159356499115482E-4</v>
      </c>
      <c r="BP377">
        <f t="shared" si="257"/>
        <v>-18.532695416358433</v>
      </c>
      <c r="BQ377">
        <f>Data!$H$2*(1-BJ377)*(1-BJ377/Data!$H$3)*BN377</f>
        <v>-2.0530773406459343E-4</v>
      </c>
      <c r="BR377">
        <f t="shared" si="258"/>
        <v>9.0114238136383218</v>
      </c>
      <c r="BS377">
        <f t="shared" si="259"/>
        <v>0</v>
      </c>
      <c r="BT377">
        <f t="shared" si="260"/>
        <v>0</v>
      </c>
      <c r="BU377">
        <f t="shared" si="261"/>
        <v>0</v>
      </c>
      <c r="BV377">
        <f t="shared" si="277"/>
        <v>0</v>
      </c>
      <c r="BW377">
        <f t="shared" si="270"/>
        <v>0</v>
      </c>
      <c r="BX377" t="str">
        <f t="shared" si="271"/>
        <v/>
      </c>
      <c r="BY377" s="66" t="str">
        <f t="shared" si="262"/>
        <v/>
      </c>
      <c r="BZ377" t="str">
        <f t="shared" si="263"/>
        <v/>
      </c>
      <c r="CA377" s="67" t="str">
        <f t="shared" si="278"/>
        <v/>
      </c>
    </row>
    <row r="378" spans="4:79" x14ac:dyDescent="0.25">
      <c r="D378" s="3" t="e">
        <f t="shared" si="274"/>
        <v>#DIV/0!</v>
      </c>
      <c r="E378" s="3" t="e">
        <f t="shared" si="274"/>
        <v>#DIV/0!</v>
      </c>
      <c r="F378" t="str">
        <f>IF(A378&gt;0,IF(F377=1,1,IF(B378=Data!$H$4,1,0)),"")</f>
        <v/>
      </c>
      <c r="Y378" s="4"/>
      <c r="Z378" s="4"/>
      <c r="AA378" s="4" t="e">
        <f t="shared" si="275"/>
        <v>#VALUE!</v>
      </c>
      <c r="AE378" s="4" t="str">
        <f t="shared" si="276"/>
        <v/>
      </c>
      <c r="AK378" s="4">
        <f t="shared" si="272"/>
        <v>62.600000000000534</v>
      </c>
      <c r="AL378">
        <f t="shared" si="264"/>
        <v>4513.0000000000637</v>
      </c>
      <c r="AM378">
        <f t="shared" si="265"/>
        <v>2373.9666666663884</v>
      </c>
      <c r="AN378">
        <f>IF($AK377+$AK$1&lt;=Data!$H$4-0.5,AVERAGE(AM376:AM380),AN377)</f>
        <v>2373.9666666663884</v>
      </c>
      <c r="AO378">
        <f t="shared" si="266"/>
        <v>6348.9999999999363</v>
      </c>
      <c r="AP378">
        <f t="shared" si="273"/>
        <v>1723.5999999998446</v>
      </c>
      <c r="AQ378">
        <f>IF($AK377+$AK$1&lt;=Data!$H$4-0.5,AVERAGE(AP376:AP380),AQ377)</f>
        <v>1723.5999999998444</v>
      </c>
      <c r="AR378">
        <f>IF($AK377+$AK$1&lt;=Data!$H$4-0.5,SLOPE($AN374:$AN382,$AK374:$AK382),AR377)</f>
        <v>-512.78333333328851</v>
      </c>
      <c r="AS378">
        <f>IF($AK377+$AK$1&lt;=Data!$H$4-0.5,SLOPE($AQ374:$AQ382,$AK374:$AK382),AS377)</f>
        <v>-287.51666666663061</v>
      </c>
      <c r="AT378">
        <f>IF(AND($AK378&gt;=Results!$G$13,$AK378&lt;=Results!$G$14),Curves!AR378,"")</f>
        <v>-512.78333333328851</v>
      </c>
      <c r="AU378">
        <f>IF(AND($AK378&gt;=Results!$G$13,$AK378&lt;=Results!$G$14),Curves!AS378,"")</f>
        <v>-287.51666666663061</v>
      </c>
      <c r="AV378" t="str">
        <f t="shared" si="267"/>
        <v/>
      </c>
      <c r="AW378" t="str">
        <f>IF(AND($AK378&lt;=Results!$I$21,$AK378&gt;=Results!$I$20,$AK378&lt;=Results!$F$4),$AN378,"")</f>
        <v/>
      </c>
      <c r="AX378" t="str">
        <f t="shared" si="267"/>
        <v/>
      </c>
      <c r="AY378" t="str">
        <f>IF(AND($AK378&lt;=Results!$I$23,$AK378&gt;=Results!$I$22,$AK378&gt;=Results!$F$4),$AN378,"")</f>
        <v/>
      </c>
      <c r="AZ378" t="str">
        <f t="shared" si="246"/>
        <v/>
      </c>
      <c r="BA378" t="str">
        <f>IF(AND($AK378&lt;=Results!$I$27,$AK378&gt;=Results!$I$26,$AK378&lt;=Results!$F$4),$AQ378,"")</f>
        <v/>
      </c>
      <c r="BB378" t="str">
        <f t="shared" si="247"/>
        <v/>
      </c>
      <c r="BC378" t="str">
        <f>IF(AND($AK378&lt;=Results!$I$29,$AK378&gt;=Results!$I$28,$AK378&gt;=Results!$F$4),$AQ378,"")</f>
        <v/>
      </c>
      <c r="BD378">
        <f t="shared" si="248"/>
        <v>8017.085777510878</v>
      </c>
      <c r="BE378">
        <f t="shared" si="249"/>
        <v>1399.3251008657107</v>
      </c>
      <c r="BF378">
        <f t="shared" si="250"/>
        <v>8621.7190684273537</v>
      </c>
      <c r="BG378">
        <f t="shared" si="251"/>
        <v>1193.9896365188647</v>
      </c>
      <c r="BH378">
        <f t="shared" si="252"/>
        <v>0</v>
      </c>
      <c r="BI378">
        <f t="shared" si="253"/>
        <v>0.14727664136303686</v>
      </c>
      <c r="BJ378">
        <f t="shared" si="254"/>
        <v>7.1301784527293965E-2</v>
      </c>
      <c r="BK378">
        <f t="shared" si="255"/>
        <v>-7.1705642034189471E-2</v>
      </c>
      <c r="BL378">
        <f t="shared" si="256"/>
        <v>-3.7968588108983639E-2</v>
      </c>
      <c r="BM378">
        <f t="shared" si="268"/>
        <v>120.00000000000284</v>
      </c>
      <c r="BN378">
        <f t="shared" si="269"/>
        <v>-120.00000000000284</v>
      </c>
      <c r="BO378">
        <f>Data!$H$2*(1-BI378)*(1-BI378/Data!$H$3)*BM378</f>
        <v>1.7451291032762883E-4</v>
      </c>
      <c r="BP378">
        <f t="shared" si="257"/>
        <v>-17.673196963564841</v>
      </c>
      <c r="BQ378">
        <f>Data!$H$2*(1-BJ378)*(1-BJ378/Data!$H$3)*BN378</f>
        <v>-2.0699529010133018E-4</v>
      </c>
      <c r="BR378">
        <f t="shared" si="258"/>
        <v>8.5562141432754792</v>
      </c>
      <c r="BS378">
        <f t="shared" si="259"/>
        <v>0</v>
      </c>
      <c r="BT378">
        <f t="shared" si="260"/>
        <v>0</v>
      </c>
      <c r="BU378">
        <f t="shared" si="261"/>
        <v>0</v>
      </c>
      <c r="BV378">
        <f t="shared" si="277"/>
        <v>0</v>
      </c>
      <c r="BW378">
        <f t="shared" si="270"/>
        <v>0</v>
      </c>
      <c r="BX378" t="str">
        <f t="shared" si="271"/>
        <v/>
      </c>
      <c r="BY378" s="66" t="str">
        <f t="shared" si="262"/>
        <v/>
      </c>
      <c r="BZ378" t="str">
        <f t="shared" si="263"/>
        <v/>
      </c>
      <c r="CA378" s="67" t="str">
        <f t="shared" si="278"/>
        <v/>
      </c>
    </row>
    <row r="379" spans="4:79" x14ac:dyDescent="0.25">
      <c r="D379" s="3" t="e">
        <f t="shared" si="274"/>
        <v>#DIV/0!</v>
      </c>
      <c r="E379" s="3" t="e">
        <f t="shared" si="274"/>
        <v>#DIV/0!</v>
      </c>
      <c r="F379" t="str">
        <f>IF(A379&gt;0,IF(F378=1,1,IF(B379=Data!$H$4,1,0)),"")</f>
        <v/>
      </c>
      <c r="Y379" s="4"/>
      <c r="Z379" s="4"/>
      <c r="AA379" s="4" t="e">
        <f t="shared" si="275"/>
        <v>#VALUE!</v>
      </c>
      <c r="AE379" s="4" t="str">
        <f t="shared" si="276"/>
        <v/>
      </c>
      <c r="AK379" s="4">
        <f t="shared" si="272"/>
        <v>62.700000000000536</v>
      </c>
      <c r="AL379">
        <f t="shared" si="264"/>
        <v>4525.0000000000646</v>
      </c>
      <c r="AM379">
        <f t="shared" si="265"/>
        <v>2322.0999999997211</v>
      </c>
      <c r="AN379">
        <f>IF($AK378+$AK$1&lt;=Data!$H$4-0.5,AVERAGE(AM377:AM381),AN378)</f>
        <v>2322.0999999997211</v>
      </c>
      <c r="AO379">
        <f t="shared" si="266"/>
        <v>6336.9999999999354</v>
      </c>
      <c r="AP379">
        <f t="shared" si="273"/>
        <v>1694.3666666665108</v>
      </c>
      <c r="AQ379">
        <f>IF($AK378+$AK$1&lt;=Data!$H$4-0.5,AVERAGE(AP377:AP381),AQ378)</f>
        <v>1694.3666666665108</v>
      </c>
      <c r="AR379">
        <f>IF($AK378+$AK$1&lt;=Data!$H$4-0.5,SLOPE($AN375:$AN383,$AK375:$AK383),AR378)</f>
        <v>-504.93888888882265</v>
      </c>
      <c r="AS379">
        <f>IF($AK378+$AK$1&lt;=Data!$H$4-0.5,SLOPE($AQ375:$AQ383,$AK375:$AK383),AS378)</f>
        <v>-281.09444444439134</v>
      </c>
      <c r="AT379">
        <f>IF(AND($AK379&gt;=Results!$G$13,$AK379&lt;=Results!$G$14),Curves!AR379,"")</f>
        <v>-504.93888888882265</v>
      </c>
      <c r="AU379">
        <f>IF(AND($AK379&gt;=Results!$G$13,$AK379&lt;=Results!$G$14),Curves!AS379,"")</f>
        <v>-281.09444444439134</v>
      </c>
      <c r="AV379" t="str">
        <f t="shared" si="267"/>
        <v/>
      </c>
      <c r="AW379" t="str">
        <f>IF(AND($AK379&lt;=Results!$I$21,$AK379&gt;=Results!$I$20,$AK379&lt;=Results!$F$4),$AN379,"")</f>
        <v/>
      </c>
      <c r="AX379" t="str">
        <f t="shared" si="267"/>
        <v/>
      </c>
      <c r="AY379" t="str">
        <f>IF(AND($AK379&lt;=Results!$I$23,$AK379&gt;=Results!$I$22,$AK379&gt;=Results!$F$4),$AN379,"")</f>
        <v/>
      </c>
      <c r="AZ379" t="str">
        <f t="shared" si="246"/>
        <v/>
      </c>
      <c r="BA379" t="str">
        <f>IF(AND($AK379&lt;=Results!$I$27,$AK379&gt;=Results!$I$26,$AK379&lt;=Results!$F$4),$AQ379,"")</f>
        <v/>
      </c>
      <c r="BB379" t="str">
        <f t="shared" si="247"/>
        <v/>
      </c>
      <c r="BC379" t="str">
        <f>IF(AND($AK379&lt;=Results!$I$29,$AK379&gt;=Results!$I$28,$AK379&gt;=Results!$F$4),$AQ379,"")</f>
        <v/>
      </c>
      <c r="BD379">
        <f t="shared" si="248"/>
        <v>8006.3155827129576</v>
      </c>
      <c r="BE379">
        <f t="shared" si="249"/>
        <v>1396.0093116163898</v>
      </c>
      <c r="BF379">
        <f t="shared" si="250"/>
        <v>8614.429086194461</v>
      </c>
      <c r="BG379">
        <f t="shared" si="251"/>
        <v>1193.4388355593399</v>
      </c>
      <c r="BH379">
        <f t="shared" si="252"/>
        <v>0</v>
      </c>
      <c r="BI379">
        <f t="shared" si="253"/>
        <v>0.1400980000628177</v>
      </c>
      <c r="BJ379">
        <f t="shared" si="254"/>
        <v>6.7501480825190252E-2</v>
      </c>
      <c r="BK379">
        <f t="shared" si="255"/>
        <v>-7.186745753358767E-2</v>
      </c>
      <c r="BL379">
        <f t="shared" si="256"/>
        <v>-3.803757987006829E-2</v>
      </c>
      <c r="BM379">
        <f t="shared" si="268"/>
        <v>120.00000000000284</v>
      </c>
      <c r="BN379">
        <f t="shared" si="269"/>
        <v>-120.00000000000284</v>
      </c>
      <c r="BO379">
        <f>Data!$H$2*(1-BI379)*(1-BI379/Data!$H$3)*BM379</f>
        <v>1.7746354787903602E-4</v>
      </c>
      <c r="BP379">
        <f t="shared" si="257"/>
        <v>-16.811760007538521</v>
      </c>
      <c r="BQ379">
        <f>Data!$H$2*(1-BJ379)*(1-BJ379/Data!$H$3)*BN379</f>
        <v>-2.0869283718317607E-4</v>
      </c>
      <c r="BR379">
        <f t="shared" si="258"/>
        <v>8.100177699023023</v>
      </c>
      <c r="BS379">
        <f t="shared" si="259"/>
        <v>0</v>
      </c>
      <c r="BT379">
        <f t="shared" si="260"/>
        <v>0</v>
      </c>
      <c r="BU379">
        <f t="shared" si="261"/>
        <v>0</v>
      </c>
      <c r="BV379">
        <f t="shared" si="277"/>
        <v>0</v>
      </c>
      <c r="BW379">
        <f t="shared" si="270"/>
        <v>0</v>
      </c>
      <c r="BX379" t="str">
        <f t="shared" si="271"/>
        <v/>
      </c>
      <c r="BY379" s="66" t="str">
        <f t="shared" si="262"/>
        <v/>
      </c>
      <c r="BZ379" t="str">
        <f t="shared" si="263"/>
        <v/>
      </c>
      <c r="CA379" s="67" t="str">
        <f t="shared" si="278"/>
        <v/>
      </c>
    </row>
    <row r="380" spans="4:79" x14ac:dyDescent="0.25">
      <c r="D380" s="3" t="e">
        <f t="shared" si="274"/>
        <v>#DIV/0!</v>
      </c>
      <c r="E380" s="3" t="e">
        <f t="shared" si="274"/>
        <v>#DIV/0!</v>
      </c>
      <c r="F380" t="str">
        <f>IF(A380&gt;0,IF(F379=1,1,IF(B380=Data!$H$4,1,0)),"")</f>
        <v/>
      </c>
      <c r="Y380" s="4"/>
      <c r="Z380" s="4"/>
      <c r="AA380" s="4" t="e">
        <f t="shared" si="275"/>
        <v>#VALUE!</v>
      </c>
      <c r="AE380" s="4" t="str">
        <f t="shared" si="276"/>
        <v/>
      </c>
      <c r="AK380" s="4">
        <f t="shared" si="272"/>
        <v>62.800000000000537</v>
      </c>
      <c r="AL380">
        <f t="shared" si="264"/>
        <v>4537.0000000000646</v>
      </c>
      <c r="AM380">
        <f t="shared" si="265"/>
        <v>2270.2333333330544</v>
      </c>
      <c r="AN380">
        <f>IF($AK379+$AK$1&lt;=Data!$H$4-0.5,AVERAGE(AM378:AM382),AN379)</f>
        <v>2270.2333333330671</v>
      </c>
      <c r="AO380">
        <f t="shared" si="266"/>
        <v>6324.9999999999354</v>
      </c>
      <c r="AP380">
        <f t="shared" si="273"/>
        <v>1665.1333333331772</v>
      </c>
      <c r="AQ380">
        <f>IF($AK379+$AK$1&lt;=Data!$H$4-0.5,AVERAGE(AP378:AP382),AQ379)</f>
        <v>1665.1333333331877</v>
      </c>
      <c r="AR380">
        <f>IF($AK379+$AK$1&lt;=Data!$H$4-0.5,SLOPE($AN376:$AN384,$AK376:$AK384),AR379)</f>
        <v>-493.17222222213508</v>
      </c>
      <c r="AS380">
        <f>IF($AK379+$AK$1&lt;=Data!$H$4-0.5,SLOPE($AQ376:$AQ384,$AK376:$AK384),AS379)</f>
        <v>-271.46111111104113</v>
      </c>
      <c r="AT380">
        <f>IF(AND($AK380&gt;=Results!$G$13,$AK380&lt;=Results!$G$14),Curves!AR380,"")</f>
        <v>-493.17222222213508</v>
      </c>
      <c r="AU380">
        <f>IF(AND($AK380&gt;=Results!$G$13,$AK380&lt;=Results!$G$14),Curves!AS380,"")</f>
        <v>-271.46111111104113</v>
      </c>
      <c r="AV380" t="str">
        <f t="shared" si="267"/>
        <v/>
      </c>
      <c r="AW380" t="str">
        <f>IF(AND($AK380&lt;=Results!$I$21,$AK380&gt;=Results!$I$20,$AK380&lt;=Results!$F$4),$AN380,"")</f>
        <v/>
      </c>
      <c r="AX380" t="str">
        <f t="shared" si="267"/>
        <v/>
      </c>
      <c r="AY380" t="str">
        <f>IF(AND($AK380&lt;=Results!$I$23,$AK380&gt;=Results!$I$22,$AK380&gt;=Results!$F$4),$AN380,"")</f>
        <v/>
      </c>
      <c r="AZ380" t="str">
        <f t="shared" si="246"/>
        <v/>
      </c>
      <c r="BA380" t="str">
        <f>IF(AND($AK380&lt;=Results!$I$27,$AK380&gt;=Results!$I$26,$AK380&lt;=Results!$F$4),$AQ380,"")</f>
        <v/>
      </c>
      <c r="BB380" t="str">
        <f t="shared" si="247"/>
        <v/>
      </c>
      <c r="BC380" t="str">
        <f>IF(AND($AK380&lt;=Results!$I$29,$AK380&gt;=Results!$I$28,$AK380&gt;=Results!$F$4),$AQ380,"")</f>
        <v/>
      </c>
      <c r="BD380">
        <f t="shared" si="248"/>
        <v>7995.5453879150382</v>
      </c>
      <c r="BE380">
        <f t="shared" si="249"/>
        <v>1392.6935223670689</v>
      </c>
      <c r="BF380">
        <f t="shared" si="250"/>
        <v>8607.1391039615664</v>
      </c>
      <c r="BG380">
        <f t="shared" si="251"/>
        <v>1192.8880345998148</v>
      </c>
      <c r="BH380">
        <f t="shared" si="252"/>
        <v>0</v>
      </c>
      <c r="BI380">
        <f t="shared" si="253"/>
        <v>0.13290314985631912</v>
      </c>
      <c r="BJ380">
        <f t="shared" si="254"/>
        <v>6.3694268553280198E-2</v>
      </c>
      <c r="BK380">
        <f t="shared" si="255"/>
        <v>-7.0245748982738054E-2</v>
      </c>
      <c r="BL380">
        <f t="shared" si="256"/>
        <v>-3.6806278190122971E-2</v>
      </c>
      <c r="BM380">
        <f t="shared" si="268"/>
        <v>119.99999999999829</v>
      </c>
      <c r="BN380">
        <f t="shared" si="269"/>
        <v>-119.99999999999829</v>
      </c>
      <c r="BO380">
        <f>Data!$H$2*(1-BI380)*(1-BI380/Data!$H$3)*BM380</f>
        <v>1.8044566740697975E-4</v>
      </c>
      <c r="BP380">
        <f t="shared" si="257"/>
        <v>-15.948377982758068</v>
      </c>
      <c r="BQ380">
        <f>Data!$H$2*(1-BJ380)*(1-BJ380/Data!$H$3)*BN380</f>
        <v>-2.1040042145759147E-4</v>
      </c>
      <c r="BR380">
        <f t="shared" si="258"/>
        <v>7.6433122263935154</v>
      </c>
      <c r="BS380">
        <f t="shared" si="259"/>
        <v>0</v>
      </c>
      <c r="BT380">
        <f t="shared" si="260"/>
        <v>0</v>
      </c>
      <c r="BU380">
        <f t="shared" si="261"/>
        <v>0</v>
      </c>
      <c r="BV380">
        <f t="shared" si="277"/>
        <v>0</v>
      </c>
      <c r="BW380">
        <f t="shared" si="270"/>
        <v>0</v>
      </c>
      <c r="BX380" t="str">
        <f t="shared" si="271"/>
        <v/>
      </c>
      <c r="BY380" s="66" t="str">
        <f t="shared" si="262"/>
        <v/>
      </c>
      <c r="BZ380" t="str">
        <f t="shared" si="263"/>
        <v/>
      </c>
      <c r="CA380" s="67" t="str">
        <f t="shared" si="278"/>
        <v/>
      </c>
    </row>
    <row r="381" spans="4:79" x14ac:dyDescent="0.25">
      <c r="D381" s="3" t="e">
        <f t="shared" si="274"/>
        <v>#DIV/0!</v>
      </c>
      <c r="E381" s="3" t="e">
        <f t="shared" si="274"/>
        <v>#DIV/0!</v>
      </c>
      <c r="F381" t="str">
        <f>IF(A381&gt;0,IF(F380=1,1,IF(B381=Data!$H$4,1,0)),"")</f>
        <v/>
      </c>
      <c r="Y381" s="4"/>
      <c r="Z381" s="4"/>
      <c r="AA381" s="4" t="e">
        <f t="shared" si="275"/>
        <v>#VALUE!</v>
      </c>
      <c r="AE381" s="4" t="str">
        <f t="shared" si="276"/>
        <v/>
      </c>
      <c r="AK381" s="4">
        <f t="shared" si="272"/>
        <v>62.900000000000539</v>
      </c>
      <c r="AL381">
        <f t="shared" si="264"/>
        <v>4549.0000000000646</v>
      </c>
      <c r="AM381">
        <f t="shared" si="265"/>
        <v>2218.3666666663871</v>
      </c>
      <c r="AN381">
        <f>IF($AK380+$AK$1&lt;=Data!$H$4-0.5,AVERAGE(AM379:AM383),AN380)</f>
        <v>2220.7199999997456</v>
      </c>
      <c r="AO381">
        <f t="shared" si="266"/>
        <v>6312.9999999999354</v>
      </c>
      <c r="AP381">
        <f t="shared" si="273"/>
        <v>1635.8999999998437</v>
      </c>
      <c r="AQ381">
        <f>IF($AK380+$AK$1&lt;=Data!$H$4-0.5,AVERAGE(AP379:AP383),AQ380)</f>
        <v>1637.8266666665313</v>
      </c>
      <c r="AR381">
        <f>IF($AK380+$AK$1&lt;=Data!$H$4-0.5,SLOPE($AN377:$AN385,$AK377:$AK385),AR380)</f>
        <v>-477.48333333323632</v>
      </c>
      <c r="AS381">
        <f>IF($AK380+$AK$1&lt;=Data!$H$4-0.5,SLOPE($AQ377:$AQ385,$AK377:$AK385),AS380)</f>
        <v>-258.61666666658846</v>
      </c>
      <c r="AT381">
        <f>IF(AND($AK381&gt;=Results!$G$13,$AK381&lt;=Results!$G$14),Curves!AR381,"")</f>
        <v>-477.48333333323632</v>
      </c>
      <c r="AU381">
        <f>IF(AND($AK381&gt;=Results!$G$13,$AK381&lt;=Results!$G$14),Curves!AS381,"")</f>
        <v>-258.61666666658846</v>
      </c>
      <c r="AV381" t="str">
        <f t="shared" si="267"/>
        <v/>
      </c>
      <c r="AW381" t="str">
        <f>IF(AND($AK381&lt;=Results!$I$21,$AK381&gt;=Results!$I$20,$AK381&lt;=Results!$F$4),$AN381,"")</f>
        <v/>
      </c>
      <c r="AX381" t="str">
        <f t="shared" si="267"/>
        <v/>
      </c>
      <c r="AY381" t="str">
        <f>IF(AND($AK381&lt;=Results!$I$23,$AK381&gt;=Results!$I$22,$AK381&gt;=Results!$F$4),$AN381,"")</f>
        <v/>
      </c>
      <c r="AZ381" t="str">
        <f t="shared" si="246"/>
        <v/>
      </c>
      <c r="BA381" t="str">
        <f>IF(AND($AK381&lt;=Results!$I$27,$AK381&gt;=Results!$I$26,$AK381&lt;=Results!$F$4),$AQ381,"")</f>
        <v/>
      </c>
      <c r="BB381" t="str">
        <f t="shared" si="247"/>
        <v/>
      </c>
      <c r="BC381" t="str">
        <f>IF(AND($AK381&lt;=Results!$I$29,$AK381&gt;=Results!$I$28,$AK381&gt;=Results!$F$4),$AQ381,"")</f>
        <v/>
      </c>
      <c r="BD381">
        <f t="shared" si="248"/>
        <v>7984.7751931171188</v>
      </c>
      <c r="BE381">
        <f t="shared" si="249"/>
        <v>1389.377733117748</v>
      </c>
      <c r="BF381">
        <f t="shared" si="250"/>
        <v>8599.8491217286755</v>
      </c>
      <c r="BG381">
        <f t="shared" si="251"/>
        <v>1192.3372336402899</v>
      </c>
      <c r="BH381">
        <f t="shared" si="252"/>
        <v>0</v>
      </c>
      <c r="BI381">
        <f t="shared" si="253"/>
        <v>0.12604885026626989</v>
      </c>
      <c r="BJ381">
        <f t="shared" si="254"/>
        <v>6.0140225187165552E-2</v>
      </c>
      <c r="BK381">
        <f t="shared" si="255"/>
        <v>-6.6834462708160888E-2</v>
      </c>
      <c r="BL381">
        <f t="shared" si="256"/>
        <v>-3.4271131078768072E-2</v>
      </c>
      <c r="BM381">
        <f t="shared" si="268"/>
        <v>119.99999999999829</v>
      </c>
      <c r="BN381">
        <f t="shared" si="269"/>
        <v>-119.99999999999829</v>
      </c>
      <c r="BO381">
        <f>Data!$H$2*(1-BI381)*(1-BI381/Data!$H$3)*BM381</f>
        <v>1.8330974690901547E-4</v>
      </c>
      <c r="BP381">
        <f t="shared" si="257"/>
        <v>-15.12586203195217</v>
      </c>
      <c r="BQ381">
        <f>Data!$H$2*(1-BJ381)*(1-BJ381/Data!$H$3)*BN381</f>
        <v>-2.1200073511469262E-4</v>
      </c>
      <c r="BR381">
        <f t="shared" si="258"/>
        <v>7.2168270224597642</v>
      </c>
      <c r="BS381">
        <f t="shared" si="259"/>
        <v>0</v>
      </c>
      <c r="BT381">
        <f t="shared" si="260"/>
        <v>0</v>
      </c>
      <c r="BU381">
        <f t="shared" si="261"/>
        <v>0</v>
      </c>
      <c r="BV381">
        <f t="shared" si="277"/>
        <v>0</v>
      </c>
      <c r="BW381">
        <f t="shared" si="270"/>
        <v>0</v>
      </c>
      <c r="BX381" t="str">
        <f t="shared" si="271"/>
        <v/>
      </c>
      <c r="BY381" s="66" t="str">
        <f t="shared" si="262"/>
        <v/>
      </c>
      <c r="BZ381" t="str">
        <f t="shared" si="263"/>
        <v/>
      </c>
      <c r="CA381" s="67" t="str">
        <f t="shared" si="278"/>
        <v/>
      </c>
    </row>
    <row r="382" spans="4:79" x14ac:dyDescent="0.25">
      <c r="D382" s="3" t="e">
        <f t="shared" si="274"/>
        <v>#DIV/0!</v>
      </c>
      <c r="E382" s="3" t="e">
        <f t="shared" si="274"/>
        <v>#DIV/0!</v>
      </c>
      <c r="F382" t="str">
        <f>IF(A382&gt;0,IF(F381=1,1,IF(B382=Data!$H$4,1,0)),"")</f>
        <v/>
      </c>
      <c r="Y382" s="4"/>
      <c r="Z382" s="4"/>
      <c r="AA382" s="4" t="e">
        <f t="shared" si="275"/>
        <v>#VALUE!</v>
      </c>
      <c r="AE382" s="4" t="str">
        <f t="shared" si="276"/>
        <v/>
      </c>
      <c r="AK382" s="4">
        <f t="shared" si="272"/>
        <v>63.00000000000054</v>
      </c>
      <c r="AL382">
        <f t="shared" si="264"/>
        <v>4561.0000000000646</v>
      </c>
      <c r="AM382">
        <f t="shared" si="265"/>
        <v>2166.4999999997835</v>
      </c>
      <c r="AN382">
        <f>IF($AK381+$AK$1&lt;=Data!$H$4-0.5,AVERAGE(AM380:AM384),AN381)</f>
        <v>2173.5599999997585</v>
      </c>
      <c r="AO382">
        <f t="shared" si="266"/>
        <v>6300.9999999999354</v>
      </c>
      <c r="AP382">
        <f t="shared" si="273"/>
        <v>1606.6666666665619</v>
      </c>
      <c r="AQ382">
        <f>IF($AK381+$AK$1&lt;=Data!$H$4-0.5,AVERAGE(AP380:AP384),AQ381)</f>
        <v>1612.4466666665412</v>
      </c>
      <c r="AR382">
        <f>IF($AK381+$AK$1&lt;=Data!$H$4-0.5,SLOPE($AN378:$AN386,$AK378:$AK386),AR381)</f>
        <v>-459.83333333323657</v>
      </c>
      <c r="AS382">
        <f>IF($AK381+$AK$1&lt;=Data!$H$4-0.5,SLOPE($AQ378:$AQ386,$AK378:$AK386),AS381)</f>
        <v>-244.1666666665889</v>
      </c>
      <c r="AT382">
        <f>IF(AND($AK382&gt;=Results!$G$13,$AK382&lt;=Results!$G$14),Curves!AR382,"")</f>
        <v>-459.83333333323657</v>
      </c>
      <c r="AU382">
        <f>IF(AND($AK382&gt;=Results!$G$13,$AK382&lt;=Results!$G$14),Curves!AS382,"")</f>
        <v>-244.1666666665889</v>
      </c>
      <c r="AV382" t="str">
        <f t="shared" si="267"/>
        <v/>
      </c>
      <c r="AW382" t="str">
        <f>IF(AND($AK382&lt;=Results!$I$21,$AK382&gt;=Results!$I$20,$AK382&lt;=Results!$F$4),$AN382,"")</f>
        <v/>
      </c>
      <c r="AX382" t="str">
        <f t="shared" si="267"/>
        <v/>
      </c>
      <c r="AY382" t="str">
        <f>IF(AND($AK382&lt;=Results!$I$23,$AK382&gt;=Results!$I$22,$AK382&gt;=Results!$F$4),$AN382,"")</f>
        <v/>
      </c>
      <c r="AZ382" t="str">
        <f t="shared" si="246"/>
        <v/>
      </c>
      <c r="BA382" t="str">
        <f>IF(AND($AK382&lt;=Results!$I$27,$AK382&gt;=Results!$I$26,$AK382&lt;=Results!$F$4),$AQ382,"")</f>
        <v/>
      </c>
      <c r="BB382" t="str">
        <f t="shared" si="247"/>
        <v/>
      </c>
      <c r="BC382" t="str">
        <f>IF(AND($AK382&lt;=Results!$I$29,$AK382&gt;=Results!$I$28,$AK382&gt;=Results!$F$4),$AQ382,"")</f>
        <v/>
      </c>
      <c r="BD382">
        <f t="shared" si="248"/>
        <v>7974.0049983191984</v>
      </c>
      <c r="BE382">
        <f t="shared" si="249"/>
        <v>1386.0619438684275</v>
      </c>
      <c r="BF382">
        <f t="shared" si="250"/>
        <v>8592.559139495781</v>
      </c>
      <c r="BG382">
        <f t="shared" si="251"/>
        <v>1191.7864326807648</v>
      </c>
      <c r="BH382">
        <f t="shared" si="252"/>
        <v>0</v>
      </c>
      <c r="BI382">
        <f t="shared" si="253"/>
        <v>0.11953625731468676</v>
      </c>
      <c r="BJ382">
        <f t="shared" si="254"/>
        <v>5.6840042337526486E-2</v>
      </c>
      <c r="BK382">
        <f t="shared" si="255"/>
        <v>-6.3411590022485406E-2</v>
      </c>
      <c r="BL382">
        <f t="shared" si="256"/>
        <v>-3.1729055253445597E-2</v>
      </c>
      <c r="BM382">
        <f t="shared" si="268"/>
        <v>119.99999999999829</v>
      </c>
      <c r="BN382">
        <f t="shared" si="269"/>
        <v>-119.99999999999829</v>
      </c>
      <c r="BO382">
        <f>Data!$H$2*(1-BI382)*(1-BI382/Data!$H$3)*BM382</f>
        <v>1.8605193652402045E-4</v>
      </c>
      <c r="BP382">
        <f t="shared" si="257"/>
        <v>-14.344350877762206</v>
      </c>
      <c r="BQ382">
        <f>Data!$H$2*(1-BJ382)*(1-BJ382/Data!$H$3)*BN382</f>
        <v>-2.1349216937708787E-4</v>
      </c>
      <c r="BR382">
        <f t="shared" si="258"/>
        <v>6.8208050805030815</v>
      </c>
      <c r="BS382">
        <f t="shared" si="259"/>
        <v>0</v>
      </c>
      <c r="BT382">
        <f t="shared" si="260"/>
        <v>0</v>
      </c>
      <c r="BU382">
        <f t="shared" si="261"/>
        <v>0</v>
      </c>
      <c r="BV382">
        <f t="shared" si="277"/>
        <v>0</v>
      </c>
      <c r="BW382">
        <f t="shared" si="270"/>
        <v>0</v>
      </c>
      <c r="BX382" t="str">
        <f t="shared" si="271"/>
        <v/>
      </c>
      <c r="BY382" s="66" t="str">
        <f t="shared" si="262"/>
        <v/>
      </c>
      <c r="BZ382" t="str">
        <f t="shared" si="263"/>
        <v/>
      </c>
      <c r="CA382" s="67" t="str">
        <f t="shared" si="278"/>
        <v/>
      </c>
    </row>
    <row r="383" spans="4:79" x14ac:dyDescent="0.25">
      <c r="D383" s="3" t="e">
        <f t="shared" si="274"/>
        <v>#DIV/0!</v>
      </c>
      <c r="E383" s="3" t="e">
        <f t="shared" si="274"/>
        <v>#DIV/0!</v>
      </c>
      <c r="F383" t="str">
        <f>IF(A383&gt;0,IF(F382=1,1,IF(B383=Data!$H$4,1,0)),"")</f>
        <v/>
      </c>
      <c r="Y383" s="4"/>
      <c r="Z383" s="4"/>
      <c r="AA383" s="4" t="e">
        <f t="shared" si="275"/>
        <v>#VALUE!</v>
      </c>
      <c r="AE383" s="4" t="str">
        <f t="shared" si="276"/>
        <v/>
      </c>
      <c r="AK383" s="4">
        <f t="shared" si="272"/>
        <v>63.100000000000541</v>
      </c>
      <c r="AL383">
        <f t="shared" si="264"/>
        <v>4573.0000000000646</v>
      </c>
      <c r="AM383">
        <f t="shared" si="265"/>
        <v>2126.3999999997827</v>
      </c>
      <c r="AN383">
        <f>IF($AK382+$AK$1&lt;=Data!$H$4-0.5,AVERAGE(AM381:AM385),AN382)</f>
        <v>2128.7533333331039</v>
      </c>
      <c r="AO383">
        <f t="shared" si="266"/>
        <v>6288.9999999999354</v>
      </c>
      <c r="AP383">
        <f t="shared" si="273"/>
        <v>1587.0666666665616</v>
      </c>
      <c r="AQ383">
        <f>IF($AK382+$AK$1&lt;=Data!$H$4-0.5,AVERAGE(AP381:AP385),AQ382)</f>
        <v>1588.9933333332178</v>
      </c>
      <c r="AR383">
        <f>IF($AK382+$AK$1&lt;=Data!$H$4-0.5,SLOPE($AN379:$AN387,$AK379:$AK387),AR382)</f>
        <v>-442.18333333324773</v>
      </c>
      <c r="AS383">
        <f>IF($AK382+$AK$1&lt;=Data!$H$4-0.5,SLOPE($AQ379:$AQ387,$AK379:$AK387),AS382)</f>
        <v>-229.71666666659806</v>
      </c>
      <c r="AT383">
        <f>IF(AND($AK383&gt;=Results!$G$13,$AK383&lt;=Results!$G$14),Curves!AR383,"")</f>
        <v>-442.18333333324773</v>
      </c>
      <c r="AU383">
        <f>IF(AND($AK383&gt;=Results!$G$13,$AK383&lt;=Results!$G$14),Curves!AS383,"")</f>
        <v>-229.71666666659806</v>
      </c>
      <c r="AV383" t="str">
        <f t="shared" si="267"/>
        <v/>
      </c>
      <c r="AW383" t="str">
        <f>IF(AND($AK383&lt;=Results!$I$21,$AK383&gt;=Results!$I$20,$AK383&lt;=Results!$F$4),$AN383,"")</f>
        <v/>
      </c>
      <c r="AX383" t="str">
        <f t="shared" si="267"/>
        <v/>
      </c>
      <c r="AY383" t="str">
        <f>IF(AND($AK383&lt;=Results!$I$23,$AK383&gt;=Results!$I$22,$AK383&gt;=Results!$F$4),$AN383,"")</f>
        <v/>
      </c>
      <c r="AZ383" t="str">
        <f t="shared" si="246"/>
        <v/>
      </c>
      <c r="BA383" t="str">
        <f>IF(AND($AK383&lt;=Results!$I$27,$AK383&gt;=Results!$I$26,$AK383&lt;=Results!$F$4),$AQ383,"")</f>
        <v/>
      </c>
      <c r="BB383" t="str">
        <f t="shared" si="247"/>
        <v/>
      </c>
      <c r="BC383" t="str">
        <f>IF(AND($AK383&lt;=Results!$I$29,$AK383&gt;=Results!$I$28,$AK383&gt;=Results!$F$4),$AQ383,"")</f>
        <v/>
      </c>
      <c r="BD383">
        <f t="shared" si="248"/>
        <v>7963.234803521279</v>
      </c>
      <c r="BE383">
        <f t="shared" si="249"/>
        <v>1382.7461546191066</v>
      </c>
      <c r="BF383">
        <f t="shared" si="250"/>
        <v>8585.2691572628883</v>
      </c>
      <c r="BG383">
        <f t="shared" si="251"/>
        <v>1191.2356317212398</v>
      </c>
      <c r="BH383">
        <f t="shared" si="252"/>
        <v>0</v>
      </c>
      <c r="BI383">
        <f t="shared" si="253"/>
        <v>0.11336653226177262</v>
      </c>
      <c r="BJ383">
        <f t="shared" si="254"/>
        <v>5.3794414136476343E-2</v>
      </c>
      <c r="BK383">
        <f t="shared" si="255"/>
        <v>-5.9977078395330986E-2</v>
      </c>
      <c r="BL383">
        <f t="shared" si="256"/>
        <v>-2.9180025442320925E-2</v>
      </c>
      <c r="BM383">
        <f t="shared" si="268"/>
        <v>120.00000000000284</v>
      </c>
      <c r="BN383">
        <f t="shared" si="269"/>
        <v>-120.00000000000284</v>
      </c>
      <c r="BO383">
        <f>Data!$H$2*(1-BI383)*(1-BI383/Data!$H$3)*BM383</f>
        <v>1.8866853746724789E-4</v>
      </c>
      <c r="BP383">
        <f t="shared" si="257"/>
        <v>-13.603983871413037</v>
      </c>
      <c r="BQ383">
        <f>Data!$H$2*(1-BJ383)*(1-BJ383/Data!$H$3)*BN383</f>
        <v>-2.1487320257264524E-4</v>
      </c>
      <c r="BR383">
        <f t="shared" si="258"/>
        <v>6.4553296963773139</v>
      </c>
      <c r="BS383">
        <f t="shared" si="259"/>
        <v>0</v>
      </c>
      <c r="BT383">
        <f t="shared" si="260"/>
        <v>0</v>
      </c>
      <c r="BU383">
        <f t="shared" si="261"/>
        <v>0</v>
      </c>
      <c r="BV383">
        <f t="shared" si="277"/>
        <v>0</v>
      </c>
      <c r="BW383">
        <f t="shared" si="270"/>
        <v>0</v>
      </c>
      <c r="BX383" t="str">
        <f t="shared" si="271"/>
        <v/>
      </c>
      <c r="BY383" s="66" t="str">
        <f t="shared" si="262"/>
        <v/>
      </c>
      <c r="BZ383" t="str">
        <f t="shared" si="263"/>
        <v/>
      </c>
      <c r="CA383" s="67" t="str">
        <f t="shared" si="278"/>
        <v/>
      </c>
    </row>
    <row r="384" spans="4:79" x14ac:dyDescent="0.25">
      <c r="D384" s="3" t="e">
        <f t="shared" si="274"/>
        <v>#DIV/0!</v>
      </c>
      <c r="E384" s="3" t="e">
        <f t="shared" si="274"/>
        <v>#DIV/0!</v>
      </c>
      <c r="F384" t="str">
        <f>IF(A384&gt;0,IF(F383=1,1,IF(B384=Data!$H$4,1,0)),"")</f>
        <v/>
      </c>
      <c r="Y384" s="4"/>
      <c r="Z384" s="4"/>
      <c r="AA384" s="4" t="e">
        <f t="shared" si="275"/>
        <v>#VALUE!</v>
      </c>
      <c r="AE384" s="4" t="str">
        <f t="shared" si="276"/>
        <v/>
      </c>
      <c r="AK384" s="4">
        <f t="shared" si="272"/>
        <v>63.200000000000543</v>
      </c>
      <c r="AL384">
        <f t="shared" si="264"/>
        <v>4585.0000000000655</v>
      </c>
      <c r="AM384">
        <f t="shared" si="265"/>
        <v>2086.2999999997824</v>
      </c>
      <c r="AN384">
        <f>IF($AK383+$AK$1&lt;=Data!$H$4-0.5,AVERAGE(AM382:AM386),AN383)</f>
        <v>2086.2999999997824</v>
      </c>
      <c r="AO384">
        <f t="shared" si="266"/>
        <v>6276.9999999999345</v>
      </c>
      <c r="AP384">
        <f t="shared" si="273"/>
        <v>1567.4666666665612</v>
      </c>
      <c r="AQ384">
        <f>IF($AK383+$AK$1&lt;=Data!$H$4-0.5,AVERAGE(AP382:AP386),AQ383)</f>
        <v>1567.466666666561</v>
      </c>
      <c r="AR384">
        <f>IF($AK383+$AK$1&lt;=Data!$H$4-0.5,SLOPE($AN380:$AN388,$AK380:$AK388),AR383)</f>
        <v>-426.49444444438063</v>
      </c>
      <c r="AS384">
        <f>IF($AK383+$AK$1&lt;=Data!$H$4-0.5,SLOPE($AQ380:$AQ388,$AK380:$AK388),AS383)</f>
        <v>-216.87222222217144</v>
      </c>
      <c r="AT384">
        <f>IF(AND($AK384&gt;=Results!$G$13,$AK384&lt;=Results!$G$14),Curves!AR384,"")</f>
        <v>-426.49444444438063</v>
      </c>
      <c r="AU384">
        <f>IF(AND($AK384&gt;=Results!$G$13,$AK384&lt;=Results!$G$14),Curves!AS384,"")</f>
        <v>-216.87222222217144</v>
      </c>
      <c r="AV384" t="str">
        <f t="shared" si="267"/>
        <v/>
      </c>
      <c r="AW384" t="str">
        <f>IF(AND($AK384&lt;=Results!$I$21,$AK384&gt;=Results!$I$20,$AK384&lt;=Results!$F$4),$AN384,"")</f>
        <v/>
      </c>
      <c r="AX384" t="str">
        <f t="shared" si="267"/>
        <v/>
      </c>
      <c r="AY384" t="str">
        <f>IF(AND($AK384&lt;=Results!$I$23,$AK384&gt;=Results!$I$22,$AK384&gt;=Results!$F$4),$AN384,"")</f>
        <v/>
      </c>
      <c r="AZ384" t="str">
        <f t="shared" si="246"/>
        <v/>
      </c>
      <c r="BA384" t="str">
        <f>IF(AND($AK384&lt;=Results!$I$27,$AK384&gt;=Results!$I$26,$AK384&lt;=Results!$F$4),$AQ384,"")</f>
        <v/>
      </c>
      <c r="BB384" t="str">
        <f t="shared" si="247"/>
        <v/>
      </c>
      <c r="BC384" t="str">
        <f>IF(AND($AK384&lt;=Results!$I$29,$AK384&gt;=Results!$I$28,$AK384&gt;=Results!$F$4),$AQ384,"")</f>
        <v/>
      </c>
      <c r="BD384">
        <f t="shared" si="248"/>
        <v>7952.4646087233596</v>
      </c>
      <c r="BE384">
        <f t="shared" si="249"/>
        <v>1379.4303653697857</v>
      </c>
      <c r="BF384">
        <f t="shared" si="250"/>
        <v>8577.9791750299955</v>
      </c>
      <c r="BG384">
        <f t="shared" si="251"/>
        <v>1190.6848307617147</v>
      </c>
      <c r="BH384">
        <f t="shared" si="252"/>
        <v>0</v>
      </c>
      <c r="BI384">
        <f t="shared" si="253"/>
        <v>0.10754084163562039</v>
      </c>
      <c r="BJ384">
        <f t="shared" si="254"/>
        <v>5.1004037249062217E-2</v>
      </c>
      <c r="BK384">
        <f t="shared" si="255"/>
        <v>-5.6530874998285421E-2</v>
      </c>
      <c r="BL384">
        <f t="shared" si="256"/>
        <v>-2.6624016258241689E-2</v>
      </c>
      <c r="BM384">
        <f t="shared" si="268"/>
        <v>120.00000000000284</v>
      </c>
      <c r="BN384">
        <f t="shared" si="269"/>
        <v>-120.00000000000284</v>
      </c>
      <c r="BO384">
        <f>Data!$H$2*(1-BI384)*(1-BI384/Data!$H$3)*BM384</f>
        <v>1.9115600384363418E-4</v>
      </c>
      <c r="BP384">
        <f t="shared" si="257"/>
        <v>-12.904900996274753</v>
      </c>
      <c r="BQ384">
        <f>Data!$H$2*(1-BJ384)*(1-BJ384/Data!$H$3)*BN384</f>
        <v>-2.1614240095622412E-4</v>
      </c>
      <c r="BR384">
        <f t="shared" si="258"/>
        <v>6.1204844698876109</v>
      </c>
      <c r="BS384">
        <f t="shared" si="259"/>
        <v>0</v>
      </c>
      <c r="BT384">
        <f t="shared" si="260"/>
        <v>0</v>
      </c>
      <c r="BU384">
        <f t="shared" si="261"/>
        <v>0</v>
      </c>
      <c r="BV384">
        <f t="shared" si="277"/>
        <v>0</v>
      </c>
      <c r="BW384">
        <f t="shared" si="270"/>
        <v>0</v>
      </c>
      <c r="BX384" t="str">
        <f t="shared" si="271"/>
        <v/>
      </c>
      <c r="BY384" s="66" t="str">
        <f t="shared" si="262"/>
        <v/>
      </c>
      <c r="BZ384" t="str">
        <f t="shared" si="263"/>
        <v/>
      </c>
      <c r="CA384" s="67" t="str">
        <f t="shared" si="278"/>
        <v/>
      </c>
    </row>
    <row r="385" spans="4:79" x14ac:dyDescent="0.25">
      <c r="D385" s="3" t="e">
        <f t="shared" si="274"/>
        <v>#DIV/0!</v>
      </c>
      <c r="E385" s="3" t="e">
        <f t="shared" si="274"/>
        <v>#DIV/0!</v>
      </c>
      <c r="F385" t="str">
        <f>IF(A385&gt;0,IF(F384=1,1,IF(B385=Data!$H$4,1,0)),"")</f>
        <v/>
      </c>
      <c r="Y385" s="4"/>
      <c r="Z385" s="4"/>
      <c r="AA385" s="4" t="e">
        <f t="shared" si="275"/>
        <v>#VALUE!</v>
      </c>
      <c r="AE385" s="4" t="str">
        <f t="shared" si="276"/>
        <v/>
      </c>
      <c r="AK385" s="4">
        <f t="shared" si="272"/>
        <v>63.300000000000544</v>
      </c>
      <c r="AL385">
        <f t="shared" si="264"/>
        <v>4597.0000000000655</v>
      </c>
      <c r="AM385">
        <f t="shared" si="265"/>
        <v>2046.1999999997818</v>
      </c>
      <c r="AN385">
        <f>IF($AK384+$AK$1&lt;=Data!$H$4-0.5,AVERAGE(AM383:AM387),AN384)</f>
        <v>2046.1999999997813</v>
      </c>
      <c r="AO385">
        <f t="shared" si="266"/>
        <v>6264.9999999999345</v>
      </c>
      <c r="AP385">
        <f t="shared" si="273"/>
        <v>1547.8666666665606</v>
      </c>
      <c r="AQ385">
        <f>IF($AK384+$AK$1&lt;=Data!$H$4-0.5,AVERAGE(AP383:AP387),AQ384)</f>
        <v>1547.8666666665606</v>
      </c>
      <c r="AR385">
        <f>IF($AK384+$AK$1&lt;=Data!$H$4-0.5,SLOPE($AN381:$AN389,$AK381:$AK389),AR384)</f>
        <v>-414.72777777773518</v>
      </c>
      <c r="AS385">
        <f>IF($AK384+$AK$1&lt;=Data!$H$4-0.5,SLOPE($AQ381:$AQ389,$AK381:$AK389),AS384)</f>
        <v>-207.23888888885571</v>
      </c>
      <c r="AT385">
        <f>IF(AND($AK385&gt;=Results!$G$13,$AK385&lt;=Results!$G$14),Curves!AR385,"")</f>
        <v>-414.72777777773518</v>
      </c>
      <c r="AU385">
        <f>IF(AND($AK385&gt;=Results!$G$13,$AK385&lt;=Results!$G$14),Curves!AS385,"")</f>
        <v>-207.23888888885571</v>
      </c>
      <c r="AV385" t="str">
        <f t="shared" si="267"/>
        <v/>
      </c>
      <c r="AW385" t="str">
        <f>IF(AND($AK385&lt;=Results!$I$21,$AK385&gt;=Results!$I$20,$AK385&lt;=Results!$F$4),$AN385,"")</f>
        <v/>
      </c>
      <c r="AX385" t="str">
        <f t="shared" si="267"/>
        <v/>
      </c>
      <c r="AY385" t="str">
        <f>IF(AND($AK385&lt;=Results!$I$23,$AK385&gt;=Results!$I$22,$AK385&gt;=Results!$F$4),$AN385,"")</f>
        <v/>
      </c>
      <c r="AZ385" t="str">
        <f t="shared" si="246"/>
        <v/>
      </c>
      <c r="BA385" t="str">
        <f>IF(AND($AK385&lt;=Results!$I$27,$AK385&gt;=Results!$I$26,$AK385&lt;=Results!$F$4),$AQ385,"")</f>
        <v/>
      </c>
      <c r="BB385" t="str">
        <f t="shared" si="247"/>
        <v/>
      </c>
      <c r="BC385" t="str">
        <f>IF(AND($AK385&lt;=Results!$I$29,$AK385&gt;=Results!$I$28,$AK385&gt;=Results!$F$4),$AQ385,"")</f>
        <v/>
      </c>
      <c r="BD385">
        <f t="shared" si="248"/>
        <v>7941.6944139254392</v>
      </c>
      <c r="BE385">
        <f t="shared" si="249"/>
        <v>1376.1145761204648</v>
      </c>
      <c r="BF385">
        <f t="shared" si="250"/>
        <v>8570.689192797101</v>
      </c>
      <c r="BG385">
        <f t="shared" si="251"/>
        <v>1190.1340298021898</v>
      </c>
      <c r="BH385">
        <f t="shared" si="252"/>
        <v>0</v>
      </c>
      <c r="BI385">
        <f t="shared" si="253"/>
        <v>0.10206035726211538</v>
      </c>
      <c r="BJ385">
        <f t="shared" si="254"/>
        <v>4.8469610884827929E-2</v>
      </c>
      <c r="BK385">
        <f t="shared" si="255"/>
        <v>-5.4867138598947762E-2</v>
      </c>
      <c r="BL385">
        <f t="shared" si="256"/>
        <v>-2.5367426627065006E-2</v>
      </c>
      <c r="BM385">
        <f t="shared" si="268"/>
        <v>119.99999999999829</v>
      </c>
      <c r="BN385">
        <f t="shared" si="269"/>
        <v>-119.99999999999829</v>
      </c>
      <c r="BO385">
        <f>Data!$H$2*(1-BI385)*(1-BI385/Data!$H$3)*BM385</f>
        <v>1.9351094448005483E-4</v>
      </c>
      <c r="BP385">
        <f t="shared" si="257"/>
        <v>-12.247242871453672</v>
      </c>
      <c r="BQ385">
        <f>Data!$H$2*(1-BJ385)*(1-BJ385/Data!$H$3)*BN385</f>
        <v>-2.172984195383179E-4</v>
      </c>
      <c r="BR385">
        <f t="shared" si="258"/>
        <v>5.8163533061792689</v>
      </c>
      <c r="BS385">
        <f t="shared" si="259"/>
        <v>0</v>
      </c>
      <c r="BT385">
        <f t="shared" si="260"/>
        <v>0</v>
      </c>
      <c r="BU385">
        <f t="shared" si="261"/>
        <v>0</v>
      </c>
      <c r="BV385">
        <f t="shared" si="277"/>
        <v>0</v>
      </c>
      <c r="BW385">
        <f t="shared" si="270"/>
        <v>0</v>
      </c>
      <c r="BX385" t="str">
        <f t="shared" si="271"/>
        <v/>
      </c>
      <c r="BY385" s="66" t="str">
        <f t="shared" si="262"/>
        <v/>
      </c>
      <c r="BZ385" t="str">
        <f t="shared" si="263"/>
        <v/>
      </c>
      <c r="CA385" s="67" t="str">
        <f t="shared" si="278"/>
        <v/>
      </c>
    </row>
    <row r="386" spans="4:79" x14ac:dyDescent="0.25">
      <c r="D386" s="3" t="e">
        <f t="shared" si="274"/>
        <v>#DIV/0!</v>
      </c>
      <c r="E386" s="3" t="e">
        <f t="shared" si="274"/>
        <v>#DIV/0!</v>
      </c>
      <c r="F386" t="str">
        <f>IF(A386&gt;0,IF(F385=1,1,IF(B386=Data!$H$4,1,0)),"")</f>
        <v/>
      </c>
      <c r="Y386" s="4"/>
      <c r="Z386" s="4"/>
      <c r="AA386" s="4" t="e">
        <f t="shared" si="275"/>
        <v>#VALUE!</v>
      </c>
      <c r="AE386" s="4" t="str">
        <f t="shared" si="276"/>
        <v/>
      </c>
      <c r="AK386" s="4">
        <f t="shared" si="272"/>
        <v>63.400000000000546</v>
      </c>
      <c r="AL386">
        <f t="shared" si="264"/>
        <v>4609.0000000000655</v>
      </c>
      <c r="AM386">
        <f t="shared" si="265"/>
        <v>2006.0999999997812</v>
      </c>
      <c r="AN386">
        <f>IF($AK385+$AK$1&lt;=Data!$H$4-0.5,AVERAGE(AM384:AM388),AN385)</f>
        <v>2006.0999999997814</v>
      </c>
      <c r="AO386">
        <f t="shared" si="266"/>
        <v>6252.9999999999345</v>
      </c>
      <c r="AP386">
        <f t="shared" si="273"/>
        <v>1528.2666666665602</v>
      </c>
      <c r="AQ386">
        <f>IF($AK385+$AK$1&lt;=Data!$H$4-0.5,AVERAGE(AP384:AP388),AQ385)</f>
        <v>1528.2666666665602</v>
      </c>
      <c r="AR386">
        <f>IF($AK385+$AK$1&lt;=Data!$H$4-0.5,SLOPE($AN382:$AN390,$AK382:$AK390),AR385)</f>
        <v>-406.88333333330093</v>
      </c>
      <c r="AS386">
        <f>IF($AK385+$AK$1&lt;=Data!$H$4-0.5,SLOPE($AQ382:$AQ390,$AK382:$AK390),AS385)</f>
        <v>-200.8166666666433</v>
      </c>
      <c r="AT386">
        <f>IF(AND($AK386&gt;=Results!$G$13,$AK386&lt;=Results!$G$14),Curves!AR386,"")</f>
        <v>-406.88333333330093</v>
      </c>
      <c r="AU386">
        <f>IF(AND($AK386&gt;=Results!$G$13,$AK386&lt;=Results!$G$14),Curves!AS386,"")</f>
        <v>-200.8166666666433</v>
      </c>
      <c r="AV386" t="str">
        <f t="shared" si="267"/>
        <v/>
      </c>
      <c r="AW386" t="str">
        <f>IF(AND($AK386&lt;=Results!$I$21,$AK386&gt;=Results!$I$20,$AK386&lt;=Results!$F$4),$AN386,"")</f>
        <v/>
      </c>
      <c r="AX386" t="str">
        <f t="shared" si="267"/>
        <v/>
      </c>
      <c r="AY386" t="str">
        <f>IF(AND($AK386&lt;=Results!$I$23,$AK386&gt;=Results!$I$22,$AK386&gt;=Results!$F$4),$AN386,"")</f>
        <v/>
      </c>
      <c r="AZ386" t="str">
        <f t="shared" ref="AZ386:AZ449" si="279">IF(BA386="","",$AK386)</f>
        <v/>
      </c>
      <c r="BA386" t="str">
        <f>IF(AND($AK386&lt;=Results!$I$27,$AK386&gt;=Results!$I$26,$AK386&lt;=Results!$F$4),$AQ386,"")</f>
        <v/>
      </c>
      <c r="BB386" t="str">
        <f t="shared" ref="BB386:BB449" si="280">IF(BC386="","",$AK386)</f>
        <v/>
      </c>
      <c r="BC386" t="str">
        <f>IF(AND($AK386&lt;=Results!$I$29,$AK386&gt;=Results!$I$28,$AK386&gt;=Results!$F$4),$AQ386,"")</f>
        <v/>
      </c>
      <c r="BD386">
        <f t="shared" ref="BD386:BD449" si="281">IF($AV$513&gt;0,INTERCEPT($AW$2:$AW$512,$AV$2:$AV$512)+$AK386*SLOPE($AW$2:$AW$512,$AV$2:$AV$512),INTERCEPT($AN$2:$AN$30,$AK$2:$AK$30)+$AK386*SLOPE($AN$2:$AN$30,$AK$2:$AK$30))</f>
        <v>7930.9242191275198</v>
      </c>
      <c r="BE386">
        <f t="shared" ref="BE386:BE449" si="282">IF($AX$513&gt;0,INTERCEPT($AY$2:$AY$512,$AX$2:$AX$512)+$AK386*SLOPE($AY$2:$AY$512,$AX$2:$AX$512),INTERCEPT($AN$460:$AN$512,$AK$460:$AK$512)+$AK386*SLOPE($AN$460:$AN$512,$AK$460:$AK$512))</f>
        <v>1372.7987868711439</v>
      </c>
      <c r="BF386">
        <f t="shared" ref="BF386:BF449" si="283">IF($AZ$513&gt;0,INTERCEPT($BA$2:$BA$512,$AZ$2:$AZ$512)+$AK386*SLOPE($BA$2:$BA$512,$AZ$2:$AZ$512),INTERCEPT($AQ$2:$AQ$30,$AK$2:$AK$30)+$AK386*SLOPE($AQ$2:$AQ$30,$AK$2:$AK$30))</f>
        <v>8563.3992105642083</v>
      </c>
      <c r="BG386">
        <f t="shared" ref="BG386:BG449" si="284">IF($BB$513&gt;0,INTERCEPT($BC$2:$BC$512,$BB$2:$BB$512)+$AK386*SLOPE($BC$2:$BC$512,$BB$2:$BB$512),INTERCEPT($AQ$460:$AQ$512,$AK$460:$AK$512)+$AK386*SLOPE($AQ$460:$AQ$512,$AK$460:$AK$512))</f>
        <v>1189.5832288426648</v>
      </c>
      <c r="BH386">
        <f t="shared" ref="BH386:BH449" si="285">IF(OR(BJ386=0.5,AND(BJ386&gt;0.5,BJ387&lt;0.5)),$AK$1*(0.5-BJ386)/(BJ387-BJ386)+AK386,0)</f>
        <v>0</v>
      </c>
      <c r="BI386">
        <f t="shared" ref="BI386:BI449" si="286">1-(AN386-BD386)/(BE386-BD386)</f>
        <v>9.656741391583068E-2</v>
      </c>
      <c r="BJ386">
        <f t="shared" ref="BJ386:BJ449" si="287">1-(AQ386-BF386)/(BG386-BF386)</f>
        <v>4.5930551923649143E-2</v>
      </c>
      <c r="BK386">
        <f t="shared" ref="BK386:BK449" si="288">SLOPE($BI385:$BI387,$AK385:$AK387)</f>
        <v>-5.4991940994046688E-2</v>
      </c>
      <c r="BL386">
        <f t="shared" ref="BL386:BL449" si="289">SLOPE($BJ385:$BJ387,$AK385:$AK387)</f>
        <v>-2.5413816162923236E-2</v>
      </c>
      <c r="BM386">
        <f t="shared" si="268"/>
        <v>119.99999999999829</v>
      </c>
      <c r="BN386">
        <f t="shared" si="269"/>
        <v>-119.99999999999829</v>
      </c>
      <c r="BO386">
        <f>Data!$H$2*(1-BI386)*(1-BI386/Data!$H$3)*BM386</f>
        <v>1.9588570502369239E-4</v>
      </c>
      <c r="BP386">
        <f t="shared" ref="BP386:BP449" si="290">-BI386*BM386</f>
        <v>-11.588089669899517</v>
      </c>
      <c r="BQ386">
        <f>Data!$H$2*(1-BJ386)*(1-BJ386/Data!$H$3)*BN386</f>
        <v>-2.1845964282064792E-4</v>
      </c>
      <c r="BR386">
        <f t="shared" ref="BR386:BR449" si="291">-BJ386*BN386</f>
        <v>5.511666230837819</v>
      </c>
      <c r="BS386">
        <f t="shared" ref="BS386:BS449" si="292">IF(AND(BI386&gt;0.4,BI386&lt;0.6),(BL386-BT386*BR386)/BQ386,0)</f>
        <v>0</v>
      </c>
      <c r="BT386">
        <f t="shared" ref="BT386:BT449" si="293">IF(AND(BI386&gt;0.4,BI386&lt;0.6),(BQ386*BK386-BO386*BL386)/(BQ386*BP386-BO386*BR386),0)</f>
        <v>0</v>
      </c>
      <c r="BU386">
        <f t="shared" ref="BU386:BU449" si="294">IF(AND(BI386&gt;0.4,BI386&lt;0.6),1/(273.15+AK386),0)</f>
        <v>0</v>
      </c>
      <c r="BV386">
        <f t="shared" si="277"/>
        <v>0</v>
      </c>
      <c r="BW386">
        <f t="shared" si="270"/>
        <v>0</v>
      </c>
      <c r="BX386" t="str">
        <f t="shared" si="271"/>
        <v/>
      </c>
      <c r="BY386" s="66" t="str">
        <f t="shared" ref="BY386:BY449" si="295">IF(BU386=0,"",BI386)</f>
        <v/>
      </c>
      <c r="BZ386" t="str">
        <f t="shared" ref="BZ386:BZ449" si="296">IF(BU386=0,"",BV386)</f>
        <v/>
      </c>
      <c r="CA386" s="67" t="str">
        <f t="shared" si="278"/>
        <v/>
      </c>
    </row>
    <row r="387" spans="4:79" x14ac:dyDescent="0.25">
      <c r="D387" s="3" t="e">
        <f t="shared" si="274"/>
        <v>#DIV/0!</v>
      </c>
      <c r="E387" s="3" t="e">
        <f t="shared" si="274"/>
        <v>#DIV/0!</v>
      </c>
      <c r="F387" t="str">
        <f>IF(A387&gt;0,IF(F386=1,1,IF(B387=Data!$H$4,1,0)),"")</f>
        <v/>
      </c>
      <c r="Y387" s="4"/>
      <c r="Z387" s="4"/>
      <c r="AA387" s="4" t="e">
        <f t="shared" si="275"/>
        <v>#VALUE!</v>
      </c>
      <c r="AE387" s="4" t="str">
        <f t="shared" si="276"/>
        <v/>
      </c>
      <c r="AK387" s="4">
        <f t="shared" si="272"/>
        <v>63.500000000000547</v>
      </c>
      <c r="AL387">
        <f t="shared" ref="AL387:AL450" si="297">IF($AK387=ROUND($AK387,0),VLOOKUP($AK387,$AF$2:$AJ$112,2),($AK387-FLOOR($AK387,1))/(CEILING($AK387,1)-FLOOR($AK387,1))*(VLOOKUP(CEILING($AK387,1),$AF$2:$AJ$112,2,FALSE)-VLOOKUP(FLOOR($AK387,1),$AF$2:$AJ$112,2,FALSE))+VLOOKUP(FLOOR($AK387,1),$AF$2:$AJ$112,2,FALSE))</f>
        <v>4621.0000000000655</v>
      </c>
      <c r="AM387">
        <f t="shared" ref="AM387:AM450" si="298">IF($AK387=ROUND($AK387,0),VLOOKUP($AK387,$AF$2:$AJ$112,3),($AK387-FLOOR($AK387,1))/(CEILING($AK387,1)-FLOOR($AK387,1))*(VLOOKUP(CEILING($AK387,1),$AF$2:$AJ$112,3,FALSE)-VLOOKUP(FLOOR($AK387,1),$AF$2:$AJ$112,3,FALSE))+VLOOKUP(FLOOR($AK387,1),$AF$2:$AJ$112,3,FALSE))</f>
        <v>1965.9999999997806</v>
      </c>
      <c r="AN387">
        <f>IF($AK386+$AK$1&lt;=Data!$H$4-0.5,AVERAGE(AM385:AM389),AN386)</f>
        <v>1965.9999999997806</v>
      </c>
      <c r="AO387">
        <f t="shared" ref="AO387:AO450" si="299">IF($AK387=ROUND($AK387,0),VLOOKUP($AK387,$AF$2:$AJ$112,4),($AK387-FLOOR($AK387,1))/(CEILING($AK387,1)-FLOOR($AK387,1))*(VLOOKUP(CEILING($AK387,1),$AF$2:$AJ$112,4,FALSE)-VLOOKUP(FLOOR($AK387,1),$AF$2:$AJ$112,4,FALSE))+VLOOKUP(FLOOR($AK387,1),$AF$2:$AJ$112,4,FALSE))</f>
        <v>6240.9999999999345</v>
      </c>
      <c r="AP387">
        <f t="shared" si="273"/>
        <v>1508.6666666665596</v>
      </c>
      <c r="AQ387">
        <f>IF($AK386+$AK$1&lt;=Data!$H$4-0.5,AVERAGE(AP385:AP389),AQ386)</f>
        <v>1508.6666666665599</v>
      </c>
      <c r="AR387">
        <f>IF($AK386+$AK$1&lt;=Data!$H$4-0.5,SLOPE($AN383:$AN391,$AK383:$AK391),AR386)</f>
        <v>-400.87777777774352</v>
      </c>
      <c r="AS387">
        <f>IF($AK386+$AK$1&lt;=Data!$H$4-0.5,SLOPE($AQ383:$AQ391,$AK383:$AK391),AS386)</f>
        <v>-196.23555555553392</v>
      </c>
      <c r="AT387">
        <f>IF(AND($AK387&gt;=Results!$G$13,$AK387&lt;=Results!$G$14),Curves!AR387,"")</f>
        <v>-400.87777777774352</v>
      </c>
      <c r="AU387">
        <f>IF(AND($AK387&gt;=Results!$G$13,$AK387&lt;=Results!$G$14),Curves!AS387,"")</f>
        <v>-196.23555555553392</v>
      </c>
      <c r="AV387" t="str">
        <f t="shared" ref="AV387:AX450" si="300">IF(AW387="","",$AK387)</f>
        <v/>
      </c>
      <c r="AW387" t="str">
        <f>IF(AND($AK387&lt;=Results!$I$21,$AK387&gt;=Results!$I$20,$AK387&lt;=Results!$F$4),$AN387,"")</f>
        <v/>
      </c>
      <c r="AX387" t="str">
        <f t="shared" si="300"/>
        <v/>
      </c>
      <c r="AY387" t="str">
        <f>IF(AND($AK387&lt;=Results!$I$23,$AK387&gt;=Results!$I$22,$AK387&gt;=Results!$F$4),$AN387,"")</f>
        <v/>
      </c>
      <c r="AZ387" t="str">
        <f t="shared" si="279"/>
        <v/>
      </c>
      <c r="BA387" t="str">
        <f>IF(AND($AK387&lt;=Results!$I$27,$AK387&gt;=Results!$I$26,$AK387&lt;=Results!$F$4),$AQ387,"")</f>
        <v/>
      </c>
      <c r="BB387" t="str">
        <f t="shared" si="280"/>
        <v/>
      </c>
      <c r="BC387" t="str">
        <f>IF(AND($AK387&lt;=Results!$I$29,$AK387&gt;=Results!$I$28,$AK387&gt;=Results!$F$4),$AQ387,"")</f>
        <v/>
      </c>
      <c r="BD387">
        <f t="shared" si="281"/>
        <v>7920.1540243296004</v>
      </c>
      <c r="BE387">
        <f t="shared" si="282"/>
        <v>1369.4829976218234</v>
      </c>
      <c r="BF387">
        <f t="shared" si="283"/>
        <v>8556.1092283313155</v>
      </c>
      <c r="BG387">
        <f t="shared" si="284"/>
        <v>1189.0324278831399</v>
      </c>
      <c r="BH387">
        <f t="shared" si="285"/>
        <v>0</v>
      </c>
      <c r="BI387">
        <f t="shared" si="286"/>
        <v>9.1061969063305881E-2</v>
      </c>
      <c r="BJ387">
        <f t="shared" si="287"/>
        <v>4.338684765224321E-2</v>
      </c>
      <c r="BK387">
        <f t="shared" si="288"/>
        <v>-5.511716969288126E-2</v>
      </c>
      <c r="BL387">
        <f t="shared" si="289"/>
        <v>-2.5460333064417834E-2</v>
      </c>
      <c r="BM387">
        <f t="shared" ref="BM387:BM450" si="301">SLOPE(AL386:AL388,AK386:AK388)</f>
        <v>119.99999999999829</v>
      </c>
      <c r="BN387">
        <f t="shared" ref="BN387:BN450" si="302">SLOPE(AO386:AO388,AK386:AK388)</f>
        <v>-119.99999999999829</v>
      </c>
      <c r="BO387">
        <f>Data!$H$2*(1-BI387)*(1-BI387/Data!$H$3)*BM387</f>
        <v>1.9828040257993511E-4</v>
      </c>
      <c r="BP387">
        <f t="shared" si="290"/>
        <v>-10.927436287596551</v>
      </c>
      <c r="BQ387">
        <f>Data!$H$2*(1-BJ387)*(1-BJ387/Data!$H$3)*BN387</f>
        <v>-2.1962609357872788E-4</v>
      </c>
      <c r="BR387">
        <f t="shared" si="291"/>
        <v>5.2064217182691115</v>
      </c>
      <c r="BS387">
        <f t="shared" si="292"/>
        <v>0</v>
      </c>
      <c r="BT387">
        <f t="shared" si="293"/>
        <v>0</v>
      </c>
      <c r="BU387">
        <f t="shared" si="294"/>
        <v>0</v>
      </c>
      <c r="BV387">
        <f t="shared" si="277"/>
        <v>0</v>
      </c>
      <c r="BW387">
        <f t="shared" ref="BW387:BW450" si="303">IF(BT387&lt;=0,0,LN(BT387))</f>
        <v>0</v>
      </c>
      <c r="BX387" t="str">
        <f t="shared" ref="BX387:BX450" si="304">IF(BU387=0,"",BU387)</f>
        <v/>
      </c>
      <c r="BY387" s="66" t="str">
        <f t="shared" si="295"/>
        <v/>
      </c>
      <c r="BZ387" t="str">
        <f t="shared" si="296"/>
        <v/>
      </c>
      <c r="CA387" s="67" t="str">
        <f t="shared" si="278"/>
        <v/>
      </c>
    </row>
    <row r="388" spans="4:79" x14ac:dyDescent="0.25">
      <c r="D388" s="3" t="e">
        <f t="shared" si="274"/>
        <v>#DIV/0!</v>
      </c>
      <c r="E388" s="3" t="e">
        <f t="shared" si="274"/>
        <v>#DIV/0!</v>
      </c>
      <c r="F388" t="str">
        <f>IF(A388&gt;0,IF(F387=1,1,IF(B388=Data!$H$4,1,0)),"")</f>
        <v/>
      </c>
      <c r="Y388" s="4"/>
      <c r="Z388" s="4"/>
      <c r="AA388" s="4" t="e">
        <f t="shared" si="275"/>
        <v>#VALUE!</v>
      </c>
      <c r="AE388" s="4" t="str">
        <f t="shared" si="276"/>
        <v/>
      </c>
      <c r="AK388" s="4">
        <f t="shared" ref="AK388:AK451" si="305">IF($AK387+$AK$1&lt;=MAX($AF$2:$AF$113),AK387+$AK$1,AK387)</f>
        <v>63.600000000000549</v>
      </c>
      <c r="AL388">
        <f t="shared" si="297"/>
        <v>4633.0000000000655</v>
      </c>
      <c r="AM388">
        <f t="shared" si="298"/>
        <v>1925.89999999978</v>
      </c>
      <c r="AN388">
        <f>IF($AK387+$AK$1&lt;=Data!$H$4-0.5,AVERAGE(AM386:AM390),AN387)</f>
        <v>1925.89999999978</v>
      </c>
      <c r="AO388">
        <f t="shared" si="299"/>
        <v>6228.9999999999345</v>
      </c>
      <c r="AP388">
        <f t="shared" ref="AP388:AP451" si="306">IF($AK388=ROUND($AK387,0),VLOOKUP($AK387,$AF$2:$AJ$112,5),($AK388-FLOOR($AK388,1))/(CEILING($AK388,1)-FLOOR($AK388,1))*(VLOOKUP(CEILING($AK388,1),$AF$2:$AJ$112,5,FALSE)-VLOOKUP(FLOOR($AK388,1),$AF$2:$AJ$112,5,FALSE))+VLOOKUP(FLOOR($AK388,1),$AF$2:$AJ$112,5,FALSE))</f>
        <v>1489.0666666665593</v>
      </c>
      <c r="AQ388">
        <f>IF($AK387+$AK$1&lt;=Data!$H$4-0.5,AVERAGE(AP386:AP390),AQ387)</f>
        <v>1489.0666666665593</v>
      </c>
      <c r="AR388">
        <f>IF($AK387+$AK$1&lt;=Data!$H$4-0.5,SLOPE($AN384:$AN392,$AK384:$AK392),AR387)</f>
        <v>-394.65833333328538</v>
      </c>
      <c r="AS388">
        <f>IF($AK387+$AK$1&lt;=Data!$H$4-0.5,SLOPE($AQ384:$AQ392,$AK384:$AK392),AS387)</f>
        <v>-192.06666666663855</v>
      </c>
      <c r="AT388">
        <f>IF(AND($AK388&gt;=Results!$G$13,$AK388&lt;=Results!$G$14),Curves!AR388,"")</f>
        <v>-394.65833333328538</v>
      </c>
      <c r="AU388">
        <f>IF(AND($AK388&gt;=Results!$G$13,$AK388&lt;=Results!$G$14),Curves!AS388,"")</f>
        <v>-192.06666666663855</v>
      </c>
      <c r="AV388" t="str">
        <f t="shared" si="300"/>
        <v/>
      </c>
      <c r="AW388" t="str">
        <f>IF(AND($AK388&lt;=Results!$I$21,$AK388&gt;=Results!$I$20,$AK388&lt;=Results!$F$4),$AN388,"")</f>
        <v/>
      </c>
      <c r="AX388" t="str">
        <f t="shared" si="300"/>
        <v/>
      </c>
      <c r="AY388" t="str">
        <f>IF(AND($AK388&lt;=Results!$I$23,$AK388&gt;=Results!$I$22,$AK388&gt;=Results!$F$4),$AN388,"")</f>
        <v/>
      </c>
      <c r="AZ388" t="str">
        <f t="shared" si="279"/>
        <v/>
      </c>
      <c r="BA388" t="str">
        <f>IF(AND($AK388&lt;=Results!$I$27,$AK388&gt;=Results!$I$26,$AK388&lt;=Results!$F$4),$AQ388,"")</f>
        <v/>
      </c>
      <c r="BB388" t="str">
        <f t="shared" si="280"/>
        <v/>
      </c>
      <c r="BC388" t="str">
        <f>IF(AND($AK388&lt;=Results!$I$29,$AK388&gt;=Results!$I$28,$AK388&gt;=Results!$F$4),$AQ388,"")</f>
        <v/>
      </c>
      <c r="BD388">
        <f t="shared" si="281"/>
        <v>7909.3838295316809</v>
      </c>
      <c r="BE388">
        <f t="shared" si="282"/>
        <v>1366.1672083725025</v>
      </c>
      <c r="BF388">
        <f t="shared" si="283"/>
        <v>8548.8192460984228</v>
      </c>
      <c r="BG388">
        <f t="shared" si="284"/>
        <v>1188.4816269236148</v>
      </c>
      <c r="BH388">
        <f t="shared" si="285"/>
        <v>0</v>
      </c>
      <c r="BI388">
        <f t="shared" si="286"/>
        <v>8.554397997725427E-2</v>
      </c>
      <c r="BJ388">
        <f t="shared" si="287"/>
        <v>4.0838485310765504E-2</v>
      </c>
      <c r="BK388">
        <f t="shared" si="288"/>
        <v>-5.5242826639240496E-2</v>
      </c>
      <c r="BL388">
        <f t="shared" si="289"/>
        <v>-2.5506977798232161E-2</v>
      </c>
      <c r="BM388">
        <f t="shared" si="301"/>
        <v>120.00000000000284</v>
      </c>
      <c r="BN388">
        <f t="shared" si="302"/>
        <v>-120.00000000000284</v>
      </c>
      <c r="BO388">
        <f>Data!$H$2*(1-BI388)*(1-BI388/Data!$H$3)*BM388</f>
        <v>2.0069515501340644E-4</v>
      </c>
      <c r="BP388">
        <f t="shared" si="290"/>
        <v>-10.265277597270755</v>
      </c>
      <c r="BQ388">
        <f>Data!$H$2*(1-BJ388)*(1-BJ388/Data!$H$3)*BN388</f>
        <v>-2.207977947026324E-4</v>
      </c>
      <c r="BR388">
        <f t="shared" si="291"/>
        <v>4.9006182372919769</v>
      </c>
      <c r="BS388">
        <f t="shared" si="292"/>
        <v>0</v>
      </c>
      <c r="BT388">
        <f t="shared" si="293"/>
        <v>0</v>
      </c>
      <c r="BU388">
        <f t="shared" si="294"/>
        <v>0</v>
      </c>
      <c r="BV388">
        <f t="shared" si="277"/>
        <v>0</v>
      </c>
      <c r="BW388">
        <f t="shared" si="303"/>
        <v>0</v>
      </c>
      <c r="BX388" t="str">
        <f t="shared" si="304"/>
        <v/>
      </c>
      <c r="BY388" s="66" t="str">
        <f t="shared" si="295"/>
        <v/>
      </c>
      <c r="BZ388" t="str">
        <f t="shared" si="296"/>
        <v/>
      </c>
      <c r="CA388" s="67" t="str">
        <f t="shared" si="278"/>
        <v/>
      </c>
    </row>
    <row r="389" spans="4:79" x14ac:dyDescent="0.25">
      <c r="D389" s="3" t="e">
        <f t="shared" ref="D389:E452" si="307">SLOPE(B387:B391,$A387:$A391)</f>
        <v>#DIV/0!</v>
      </c>
      <c r="E389" s="3" t="e">
        <f t="shared" si="307"/>
        <v>#DIV/0!</v>
      </c>
      <c r="F389" t="str">
        <f>IF(A389&gt;0,IF(F388=1,1,IF(B389=Data!$H$4,1,0)),"")</f>
        <v/>
      </c>
      <c r="Y389" s="4"/>
      <c r="Z389" s="4"/>
      <c r="AA389" s="4" t="e">
        <f t="shared" si="275"/>
        <v>#VALUE!</v>
      </c>
      <c r="AE389" s="4" t="str">
        <f t="shared" si="276"/>
        <v/>
      </c>
      <c r="AK389" s="4">
        <f t="shared" si="305"/>
        <v>63.70000000000055</v>
      </c>
      <c r="AL389">
        <f t="shared" si="297"/>
        <v>4645.0000000000664</v>
      </c>
      <c r="AM389">
        <f t="shared" si="298"/>
        <v>1885.7999999997794</v>
      </c>
      <c r="AN389">
        <f>IF($AK388+$AK$1&lt;=Data!$H$4-0.5,AVERAGE(AM387:AM391),AN388)</f>
        <v>1885.7999999997796</v>
      </c>
      <c r="AO389">
        <f t="shared" si="299"/>
        <v>6216.9999999999336</v>
      </c>
      <c r="AP389">
        <f t="shared" si="306"/>
        <v>1469.4666666665589</v>
      </c>
      <c r="AQ389">
        <f>IF($AK388+$AK$1&lt;=Data!$H$4-0.5,AVERAGE(AP387:AP391),AQ388)</f>
        <v>1469.4666666665589</v>
      </c>
      <c r="AR389">
        <f>IF($AK388+$AK$1&lt;=Data!$H$4-0.5,SLOPE($AN385:$AN393,$AK385:$AK393),AR388)</f>
        <v>-386.20277777770707</v>
      </c>
      <c r="AS389">
        <f>IF($AK388+$AK$1&lt;=Data!$H$4-0.5,SLOPE($AQ385:$AQ393,$AK385:$AK393),AS388)</f>
        <v>-186.82222222218022</v>
      </c>
      <c r="AT389">
        <f>IF(AND($AK389&gt;=Results!$G$13,$AK389&lt;=Results!$G$14),Curves!AR389,"")</f>
        <v>-386.20277777770707</v>
      </c>
      <c r="AU389">
        <f>IF(AND($AK389&gt;=Results!$G$13,$AK389&lt;=Results!$G$14),Curves!AS389,"")</f>
        <v>-186.82222222218022</v>
      </c>
      <c r="AV389" t="str">
        <f t="shared" si="300"/>
        <v/>
      </c>
      <c r="AW389" t="str">
        <f>IF(AND($AK389&lt;=Results!$I$21,$AK389&gt;=Results!$I$20,$AK389&lt;=Results!$F$4),$AN389,"")</f>
        <v/>
      </c>
      <c r="AX389" t="str">
        <f t="shared" si="300"/>
        <v/>
      </c>
      <c r="AY389" t="str">
        <f>IF(AND($AK389&lt;=Results!$I$23,$AK389&gt;=Results!$I$22,$AK389&gt;=Results!$F$4),$AN389,"")</f>
        <v/>
      </c>
      <c r="AZ389" t="str">
        <f t="shared" si="279"/>
        <v/>
      </c>
      <c r="BA389" t="str">
        <f>IF(AND($AK389&lt;=Results!$I$27,$AK389&gt;=Results!$I$26,$AK389&lt;=Results!$F$4),$AQ389,"")</f>
        <v/>
      </c>
      <c r="BB389" t="str">
        <f t="shared" si="280"/>
        <v/>
      </c>
      <c r="BC389" t="str">
        <f>IF(AND($AK389&lt;=Results!$I$29,$AK389&gt;=Results!$I$28,$AK389&gt;=Results!$F$4),$AQ389,"")</f>
        <v/>
      </c>
      <c r="BD389">
        <f t="shared" si="281"/>
        <v>7898.6136347337606</v>
      </c>
      <c r="BE389">
        <f t="shared" si="282"/>
        <v>1362.8514191231816</v>
      </c>
      <c r="BF389">
        <f t="shared" si="283"/>
        <v>8541.5292638655301</v>
      </c>
      <c r="BG389">
        <f t="shared" si="284"/>
        <v>1187.9308259640898</v>
      </c>
      <c r="BH389">
        <f t="shared" si="285"/>
        <v>0</v>
      </c>
      <c r="BI389">
        <f t="shared" si="286"/>
        <v>8.0013403735457622E-2</v>
      </c>
      <c r="BJ389">
        <f t="shared" si="287"/>
        <v>3.8285452092596706E-2</v>
      </c>
      <c r="BK389">
        <f t="shared" si="288"/>
        <v>-5.5368913787993454E-2</v>
      </c>
      <c r="BL389">
        <f t="shared" si="289"/>
        <v>-2.5553750833180646E-2</v>
      </c>
      <c r="BM389">
        <f t="shared" si="301"/>
        <v>120.00000000000284</v>
      </c>
      <c r="BN389">
        <f t="shared" si="302"/>
        <v>-120.00000000000284</v>
      </c>
      <c r="BO389">
        <f>Data!$H$2*(1-BI389)*(1-BI389/Data!$H$3)*BM389</f>
        <v>2.0313008095354515E-4</v>
      </c>
      <c r="BP389">
        <f t="shared" si="290"/>
        <v>-9.601608448255142</v>
      </c>
      <c r="BQ389">
        <f>Data!$H$2*(1-BJ389)*(1-BJ389/Data!$H$3)*BN389</f>
        <v>-2.2197476919762313E-4</v>
      </c>
      <c r="BR389">
        <f t="shared" si="291"/>
        <v>4.5942542511117139</v>
      </c>
      <c r="BS389">
        <f t="shared" si="292"/>
        <v>0</v>
      </c>
      <c r="BT389">
        <f t="shared" si="293"/>
        <v>0</v>
      </c>
      <c r="BU389">
        <f t="shared" si="294"/>
        <v>0</v>
      </c>
      <c r="BV389">
        <f t="shared" si="277"/>
        <v>0</v>
      </c>
      <c r="BW389">
        <f t="shared" si="303"/>
        <v>0</v>
      </c>
      <c r="BX389" t="str">
        <f t="shared" si="304"/>
        <v/>
      </c>
      <c r="BY389" s="66" t="str">
        <f t="shared" si="295"/>
        <v/>
      </c>
      <c r="BZ389" t="str">
        <f t="shared" si="296"/>
        <v/>
      </c>
      <c r="CA389" s="67" t="str">
        <f t="shared" si="278"/>
        <v/>
      </c>
    </row>
    <row r="390" spans="4:79" x14ac:dyDescent="0.25">
      <c r="D390" s="3" t="e">
        <f t="shared" si="307"/>
        <v>#DIV/0!</v>
      </c>
      <c r="E390" s="3" t="e">
        <f t="shared" si="307"/>
        <v>#DIV/0!</v>
      </c>
      <c r="F390" t="str">
        <f>IF(A390&gt;0,IF(F389=1,1,IF(B390=Data!$H$4,1,0)),"")</f>
        <v/>
      </c>
      <c r="Y390" s="4"/>
      <c r="Z390" s="4"/>
      <c r="AA390" s="4" t="e">
        <f t="shared" si="275"/>
        <v>#VALUE!</v>
      </c>
      <c r="AE390" s="4" t="str">
        <f t="shared" si="276"/>
        <v/>
      </c>
      <c r="AK390" s="4">
        <f t="shared" si="305"/>
        <v>63.800000000000551</v>
      </c>
      <c r="AL390">
        <f t="shared" si="297"/>
        <v>4657.0000000000664</v>
      </c>
      <c r="AM390">
        <f t="shared" si="298"/>
        <v>1845.6999999997788</v>
      </c>
      <c r="AN390">
        <f>IF($AK389+$AK$1&lt;=Data!$H$4-0.5,AVERAGE(AM388:AM392),AN389)</f>
        <v>1845.6999999997929</v>
      </c>
      <c r="AO390">
        <f t="shared" si="299"/>
        <v>6204.9999999999336</v>
      </c>
      <c r="AP390">
        <f t="shared" si="306"/>
        <v>1449.8666666665583</v>
      </c>
      <c r="AQ390">
        <f>IF($AK389+$AK$1&lt;=Data!$H$4-0.5,AVERAGE(AP388:AP392),AQ389)</f>
        <v>1449.8666666665672</v>
      </c>
      <c r="AR390">
        <f>IF($AK389+$AK$1&lt;=Data!$H$4-0.5,SLOPE($AN386:$AN394,$AK386:$AK394),AR389)</f>
        <v>-373.51944444435196</v>
      </c>
      <c r="AS390">
        <f>IF($AK389+$AK$1&lt;=Data!$H$4-0.5,SLOPE($AQ386:$AQ394,$AK386:$AK394),AS389)</f>
        <v>-178.9555555554997</v>
      </c>
      <c r="AT390">
        <f>IF(AND($AK390&gt;=Results!$G$13,$AK390&lt;=Results!$G$14),Curves!AR390,"")</f>
        <v>-373.51944444435196</v>
      </c>
      <c r="AU390">
        <f>IF(AND($AK390&gt;=Results!$G$13,$AK390&lt;=Results!$G$14),Curves!AS390,"")</f>
        <v>-178.9555555554997</v>
      </c>
      <c r="AV390" t="str">
        <f t="shared" si="300"/>
        <v/>
      </c>
      <c r="AW390" t="str">
        <f>IF(AND($AK390&lt;=Results!$I$21,$AK390&gt;=Results!$I$20,$AK390&lt;=Results!$F$4),$AN390,"")</f>
        <v/>
      </c>
      <c r="AX390" t="str">
        <f t="shared" si="300"/>
        <v/>
      </c>
      <c r="AY390" t="str">
        <f>IF(AND($AK390&lt;=Results!$I$23,$AK390&gt;=Results!$I$22,$AK390&gt;=Results!$F$4),$AN390,"")</f>
        <v/>
      </c>
      <c r="AZ390" t="str">
        <f t="shared" si="279"/>
        <v/>
      </c>
      <c r="BA390" t="str">
        <f>IF(AND($AK390&lt;=Results!$I$27,$AK390&gt;=Results!$I$26,$AK390&lt;=Results!$F$4),$AQ390,"")</f>
        <v/>
      </c>
      <c r="BB390" t="str">
        <f t="shared" si="280"/>
        <v/>
      </c>
      <c r="BC390" t="str">
        <f>IF(AND($AK390&lt;=Results!$I$29,$AK390&gt;=Results!$I$28,$AK390&gt;=Results!$F$4),$AQ390,"")</f>
        <v/>
      </c>
      <c r="BD390">
        <f t="shared" si="281"/>
        <v>7887.8434399358412</v>
      </c>
      <c r="BE390">
        <f t="shared" si="282"/>
        <v>1359.5356298738607</v>
      </c>
      <c r="BF390">
        <f t="shared" si="283"/>
        <v>8534.2392816326355</v>
      </c>
      <c r="BG390">
        <f t="shared" si="284"/>
        <v>1187.3800250045647</v>
      </c>
      <c r="BH390">
        <f t="shared" si="285"/>
        <v>0</v>
      </c>
      <c r="BI390">
        <f t="shared" si="286"/>
        <v>7.4470197219655421E-2</v>
      </c>
      <c r="BJ390">
        <f t="shared" si="287"/>
        <v>3.5727735144129302E-2</v>
      </c>
      <c r="BK390">
        <f t="shared" si="288"/>
        <v>-5.3550391168730511E-2</v>
      </c>
      <c r="BL390">
        <f t="shared" si="289"/>
        <v>-2.4528917220941953E-2</v>
      </c>
      <c r="BM390">
        <f t="shared" si="301"/>
        <v>119.99999999999829</v>
      </c>
      <c r="BN390">
        <f t="shared" si="302"/>
        <v>-119.99999999999829</v>
      </c>
      <c r="BO390">
        <f>Data!$H$2*(1-BI390)*(1-BI390/Data!$H$3)*BM390</f>
        <v>2.0558529980030672E-4</v>
      </c>
      <c r="BP390">
        <f t="shared" si="290"/>
        <v>-8.9364236663585235</v>
      </c>
      <c r="BQ390">
        <f>Data!$H$2*(1-BJ390)*(1-BJ390/Data!$H$3)*BN390</f>
        <v>-2.2315704018486174E-4</v>
      </c>
      <c r="BR390">
        <f t="shared" si="291"/>
        <v>4.287328217295455</v>
      </c>
      <c r="BS390">
        <f t="shared" si="292"/>
        <v>0</v>
      </c>
      <c r="BT390">
        <f t="shared" si="293"/>
        <v>0</v>
      </c>
      <c r="BU390">
        <f t="shared" si="294"/>
        <v>0</v>
      </c>
      <c r="BV390">
        <f t="shared" si="277"/>
        <v>0</v>
      </c>
      <c r="BW390">
        <f t="shared" si="303"/>
        <v>0</v>
      </c>
      <c r="BX390" t="str">
        <f t="shared" si="304"/>
        <v/>
      </c>
      <c r="BY390" s="66" t="str">
        <f t="shared" si="295"/>
        <v/>
      </c>
      <c r="BZ390" t="str">
        <f t="shared" si="296"/>
        <v/>
      </c>
      <c r="CA390" s="67" t="str">
        <f t="shared" si="278"/>
        <v/>
      </c>
    </row>
    <row r="391" spans="4:79" x14ac:dyDescent="0.25">
      <c r="D391" s="3" t="e">
        <f t="shared" si="307"/>
        <v>#DIV/0!</v>
      </c>
      <c r="E391" s="3" t="e">
        <f t="shared" si="307"/>
        <v>#DIV/0!</v>
      </c>
      <c r="F391" t="str">
        <f>IF(A391&gt;0,IF(F390=1,1,IF(B391=Data!$H$4,1,0)),"")</f>
        <v/>
      </c>
      <c r="Y391" s="4"/>
      <c r="Z391" s="4"/>
      <c r="AA391" s="4" t="e">
        <f t="shared" si="275"/>
        <v>#VALUE!</v>
      </c>
      <c r="AE391" s="4" t="str">
        <f t="shared" si="276"/>
        <v/>
      </c>
      <c r="AK391" s="4">
        <f t="shared" si="305"/>
        <v>63.900000000000553</v>
      </c>
      <c r="AL391">
        <f t="shared" si="297"/>
        <v>4669.0000000000664</v>
      </c>
      <c r="AM391">
        <f t="shared" si="298"/>
        <v>1805.5999999997784</v>
      </c>
      <c r="AN391">
        <f>IF($AK390+$AK$1&lt;=Data!$H$4-0.5,AVERAGE(AM389:AM393),AN390)</f>
        <v>1808.1366666664733</v>
      </c>
      <c r="AO391">
        <f t="shared" si="299"/>
        <v>6192.9999999999336</v>
      </c>
      <c r="AP391">
        <f t="shared" si="306"/>
        <v>1430.266666666558</v>
      </c>
      <c r="AQ391">
        <f>IF($AK390+$AK$1&lt;=Data!$H$4-0.5,AVERAGE(AP389:AP393),AQ390)</f>
        <v>1431.8399999999092</v>
      </c>
      <c r="AR391">
        <f>IF($AK390+$AK$1&lt;=Data!$H$4-0.5,SLOPE($AN387:$AN395,$AK387:$AK395),AR390)</f>
        <v>-356.60833333323041</v>
      </c>
      <c r="AS391">
        <f>IF($AK390+$AK$1&lt;=Data!$H$4-0.5,SLOPE($AQ387:$AQ395,$AK387:$AK395),AS390)</f>
        <v>-168.46666666660383</v>
      </c>
      <c r="AT391">
        <f>IF(AND($AK391&gt;=Results!$G$13,$AK391&lt;=Results!$G$14),Curves!AR391,"")</f>
        <v>-356.60833333323041</v>
      </c>
      <c r="AU391">
        <f>IF(AND($AK391&gt;=Results!$G$13,$AK391&lt;=Results!$G$14),Curves!AS391,"")</f>
        <v>-168.46666666660383</v>
      </c>
      <c r="AV391" t="str">
        <f t="shared" si="300"/>
        <v/>
      </c>
      <c r="AW391" t="str">
        <f>IF(AND($AK391&lt;=Results!$I$21,$AK391&gt;=Results!$I$20,$AK391&lt;=Results!$F$4),$AN391,"")</f>
        <v/>
      </c>
      <c r="AX391" t="str">
        <f t="shared" si="300"/>
        <v/>
      </c>
      <c r="AY391" t="str">
        <f>IF(AND($AK391&lt;=Results!$I$23,$AK391&gt;=Results!$I$22,$AK391&gt;=Results!$F$4),$AN391,"")</f>
        <v/>
      </c>
      <c r="AZ391" t="str">
        <f t="shared" si="279"/>
        <v/>
      </c>
      <c r="BA391" t="str">
        <f>IF(AND($AK391&lt;=Results!$I$27,$AK391&gt;=Results!$I$26,$AK391&lt;=Results!$F$4),$AQ391,"")</f>
        <v/>
      </c>
      <c r="BB391" t="str">
        <f t="shared" si="280"/>
        <v/>
      </c>
      <c r="BC391" t="str">
        <f>IF(AND($AK391&lt;=Results!$I$29,$AK391&gt;=Results!$I$28,$AK391&gt;=Results!$F$4),$AQ391,"")</f>
        <v/>
      </c>
      <c r="BD391">
        <f t="shared" si="281"/>
        <v>7877.0732451379217</v>
      </c>
      <c r="BE391">
        <f t="shared" si="282"/>
        <v>1356.2198406245398</v>
      </c>
      <c r="BF391">
        <f t="shared" si="283"/>
        <v>8526.9492993997428</v>
      </c>
      <c r="BG391">
        <f t="shared" si="284"/>
        <v>1186.8292240450398</v>
      </c>
      <c r="BH391">
        <f t="shared" si="285"/>
        <v>0</v>
      </c>
      <c r="BI391">
        <f t="shared" si="286"/>
        <v>6.9303325501711366E-2</v>
      </c>
      <c r="BJ391">
        <f t="shared" si="287"/>
        <v>3.3379668648408245E-2</v>
      </c>
      <c r="BK391">
        <f t="shared" si="288"/>
        <v>-4.9780582618167271E-2</v>
      </c>
      <c r="BL391">
        <f t="shared" si="289"/>
        <v>-2.2429522745938912E-2</v>
      </c>
      <c r="BM391">
        <f t="shared" si="301"/>
        <v>119.99999999999829</v>
      </c>
      <c r="BN391">
        <f t="shared" si="302"/>
        <v>-119.99999999999829</v>
      </c>
      <c r="BO391">
        <f>Data!$H$2*(1-BI391)*(1-BI391/Data!$H$3)*BM391</f>
        <v>2.0788711198131864E-4</v>
      </c>
      <c r="BP391">
        <f t="shared" si="290"/>
        <v>-8.3163990602052458</v>
      </c>
      <c r="BQ391">
        <f>Data!$H$2*(1-BJ391)*(1-BJ391/Data!$H$3)*BN391</f>
        <v>-2.2424516759573946E-4</v>
      </c>
      <c r="BR391">
        <f t="shared" si="291"/>
        <v>4.0055602378089326</v>
      </c>
      <c r="BS391">
        <f t="shared" si="292"/>
        <v>0</v>
      </c>
      <c r="BT391">
        <f t="shared" si="293"/>
        <v>0</v>
      </c>
      <c r="BU391">
        <f t="shared" si="294"/>
        <v>0</v>
      </c>
      <c r="BV391">
        <f t="shared" si="277"/>
        <v>0</v>
      </c>
      <c r="BW391">
        <f t="shared" si="303"/>
        <v>0</v>
      </c>
      <c r="BX391" t="str">
        <f t="shared" si="304"/>
        <v/>
      </c>
      <c r="BY391" s="66" t="str">
        <f t="shared" si="295"/>
        <v/>
      </c>
      <c r="BZ391" t="str">
        <f t="shared" si="296"/>
        <v/>
      </c>
      <c r="CA391" s="67" t="str">
        <f t="shared" si="278"/>
        <v/>
      </c>
    </row>
    <row r="392" spans="4:79" x14ac:dyDescent="0.25">
      <c r="D392" s="3" t="e">
        <f t="shared" si="307"/>
        <v>#DIV/0!</v>
      </c>
      <c r="E392" s="3" t="e">
        <f t="shared" si="307"/>
        <v>#DIV/0!</v>
      </c>
      <c r="F392" t="str">
        <f>IF(A392&gt;0,IF(F391=1,1,IF(B392=Data!$H$4,1,0)),"")</f>
        <v/>
      </c>
      <c r="Y392" s="4"/>
      <c r="Z392" s="4"/>
      <c r="AA392" s="4" t="e">
        <f t="shared" si="275"/>
        <v>#VALUE!</v>
      </c>
      <c r="AE392" s="4" t="str">
        <f t="shared" si="276"/>
        <v/>
      </c>
      <c r="AK392" s="4">
        <f t="shared" si="305"/>
        <v>64.000000000000554</v>
      </c>
      <c r="AL392">
        <f t="shared" si="297"/>
        <v>4681.0000000000664</v>
      </c>
      <c r="AM392">
        <f t="shared" si="298"/>
        <v>1765.4999999998481</v>
      </c>
      <c r="AN392">
        <f>IF($AK391+$AK$1&lt;=Data!$H$4-0.5,AVERAGE(AM390:AM394),AN391)</f>
        <v>1773.1099999998212</v>
      </c>
      <c r="AO392">
        <f t="shared" si="299"/>
        <v>6180.9999999999336</v>
      </c>
      <c r="AP392">
        <f t="shared" si="306"/>
        <v>1410.666666666601</v>
      </c>
      <c r="AQ392">
        <f>IF($AK391+$AK$1&lt;=Data!$H$4-0.5,AVERAGE(AP390:AP394),AQ391)</f>
        <v>1415.3866666665842</v>
      </c>
      <c r="AR392">
        <f>IF($AK391+$AK$1&lt;=Data!$H$4-0.5,SLOPE($AN388:$AN396,$AK388:$AK396),AR391)</f>
        <v>-337.58333333323134</v>
      </c>
      <c r="AS392">
        <f>IF($AK391+$AK$1&lt;=Data!$H$4-0.5,SLOPE($AQ388:$AQ396,$AK388:$AK396),AS391)</f>
        <v>-156.66666666660379</v>
      </c>
      <c r="AT392">
        <f>IF(AND($AK392&gt;=Results!$G$13,$AK392&lt;=Results!$G$14),Curves!AR392,"")</f>
        <v>-337.58333333323134</v>
      </c>
      <c r="AU392">
        <f>IF(AND($AK392&gt;=Results!$G$13,$AK392&lt;=Results!$G$14),Curves!AS392,"")</f>
        <v>-156.66666666660379</v>
      </c>
      <c r="AV392" t="str">
        <f t="shared" si="300"/>
        <v/>
      </c>
      <c r="AW392" t="str">
        <f>IF(AND($AK392&lt;=Results!$I$21,$AK392&gt;=Results!$I$20,$AK392&lt;=Results!$F$4),$AN392,"")</f>
        <v/>
      </c>
      <c r="AX392" t="str">
        <f t="shared" si="300"/>
        <v/>
      </c>
      <c r="AY392" t="str">
        <f>IF(AND($AK392&lt;=Results!$I$23,$AK392&gt;=Results!$I$22,$AK392&gt;=Results!$F$4),$AN392,"")</f>
        <v/>
      </c>
      <c r="AZ392" t="str">
        <f t="shared" si="279"/>
        <v/>
      </c>
      <c r="BA392" t="str">
        <f>IF(AND($AK392&lt;=Results!$I$27,$AK392&gt;=Results!$I$26,$AK392&lt;=Results!$F$4),$AQ392,"")</f>
        <v/>
      </c>
      <c r="BB392" t="str">
        <f t="shared" si="280"/>
        <v/>
      </c>
      <c r="BC392" t="str">
        <f>IF(AND($AK392&lt;=Results!$I$29,$AK392&gt;=Results!$I$28,$AK392&gt;=Results!$F$4),$AQ392,"")</f>
        <v/>
      </c>
      <c r="BD392">
        <f t="shared" si="281"/>
        <v>7866.3030503400014</v>
      </c>
      <c r="BE392">
        <f t="shared" si="282"/>
        <v>1352.9040513752193</v>
      </c>
      <c r="BF392">
        <f t="shared" si="283"/>
        <v>8519.6593171668501</v>
      </c>
      <c r="BG392">
        <f t="shared" si="284"/>
        <v>1186.2784230855148</v>
      </c>
      <c r="BH392">
        <f t="shared" si="285"/>
        <v>0</v>
      </c>
      <c r="BI392">
        <f t="shared" si="286"/>
        <v>6.4514080696021825E-2</v>
      </c>
      <c r="BJ392">
        <f t="shared" si="287"/>
        <v>3.1241830594941455E-2</v>
      </c>
      <c r="BK392">
        <f t="shared" si="288"/>
        <v>-4.5997823313967845E-2</v>
      </c>
      <c r="BL392">
        <f t="shared" si="289"/>
        <v>-2.0324337742946175E-2</v>
      </c>
      <c r="BM392">
        <f t="shared" si="301"/>
        <v>119.99999999999798</v>
      </c>
      <c r="BN392">
        <f t="shared" si="302"/>
        <v>-119.99999999999798</v>
      </c>
      <c r="BO392">
        <f>Data!$H$2*(1-BI392)*(1-BI392/Data!$H$3)*BM392</f>
        <v>2.1003213725183866E-4</v>
      </c>
      <c r="BP392">
        <f t="shared" si="290"/>
        <v>-7.7416896835224884</v>
      </c>
      <c r="BQ392">
        <f>Data!$H$2*(1-BJ392)*(1-BJ392/Data!$H$3)*BN392</f>
        <v>-2.2523817378936582E-4</v>
      </c>
      <c r="BR392">
        <f t="shared" si="291"/>
        <v>3.7490196713929116</v>
      </c>
      <c r="BS392">
        <f t="shared" si="292"/>
        <v>0</v>
      </c>
      <c r="BT392">
        <f t="shared" si="293"/>
        <v>0</v>
      </c>
      <c r="BU392">
        <f t="shared" si="294"/>
        <v>0</v>
      </c>
      <c r="BV392">
        <f t="shared" si="277"/>
        <v>0</v>
      </c>
      <c r="BW392">
        <f t="shared" si="303"/>
        <v>0</v>
      </c>
      <c r="BX392" t="str">
        <f t="shared" si="304"/>
        <v/>
      </c>
      <c r="BY392" s="66" t="str">
        <f t="shared" si="295"/>
        <v/>
      </c>
      <c r="BZ392" t="str">
        <f t="shared" si="296"/>
        <v/>
      </c>
      <c r="CA392" s="67" t="str">
        <f t="shared" si="278"/>
        <v/>
      </c>
    </row>
    <row r="393" spans="4:79" x14ac:dyDescent="0.25">
      <c r="D393" s="3" t="e">
        <f t="shared" si="307"/>
        <v>#DIV/0!</v>
      </c>
      <c r="E393" s="3" t="e">
        <f t="shared" si="307"/>
        <v>#DIV/0!</v>
      </c>
      <c r="F393" t="str">
        <f>IF(A393&gt;0,IF(F392=1,1,IF(B393=Data!$H$4,1,0)),"")</f>
        <v/>
      </c>
      <c r="Y393" s="4"/>
      <c r="Z393" s="4"/>
      <c r="AA393" s="4" t="e">
        <f t="shared" si="275"/>
        <v>#VALUE!</v>
      </c>
      <c r="AE393" s="4" t="str">
        <f t="shared" si="276"/>
        <v/>
      </c>
      <c r="AK393" s="4">
        <f t="shared" si="305"/>
        <v>64.100000000000549</v>
      </c>
      <c r="AL393">
        <f t="shared" si="297"/>
        <v>4693.0000000000655</v>
      </c>
      <c r="AM393">
        <f t="shared" si="298"/>
        <v>1738.0833333331827</v>
      </c>
      <c r="AN393">
        <f>IF($AK392+$AK$1&lt;=Data!$H$4-0.5,AVERAGE(AM391:AM395),AN392)</f>
        <v>1740.619999999836</v>
      </c>
      <c r="AO393">
        <f t="shared" si="299"/>
        <v>6168.9999999999345</v>
      </c>
      <c r="AP393">
        <f t="shared" si="306"/>
        <v>1398.9333333332684</v>
      </c>
      <c r="AQ393">
        <f>IF($AK392+$AK$1&lt;=Data!$H$4-0.5,AVERAGE(AP391:AP395),AQ392)</f>
        <v>1400.506666666593</v>
      </c>
      <c r="AR393">
        <f>IF($AK392+$AK$1&lt;=Data!$H$4-0.5,SLOPE($AN389:$AN397,$AK389:$AK397),AR392)</f>
        <v>-318.5583333332433</v>
      </c>
      <c r="AS393">
        <f>IF($AK392+$AK$1&lt;=Data!$H$4-0.5,SLOPE($AQ389:$AQ397,$AK389:$AK397),AS392)</f>
        <v>-144.86666666661074</v>
      </c>
      <c r="AT393">
        <f>IF(AND($AK393&gt;=Results!$G$13,$AK393&lt;=Results!$G$14),Curves!AR393,"")</f>
        <v>-318.5583333332433</v>
      </c>
      <c r="AU393">
        <f>IF(AND($AK393&gt;=Results!$G$13,$AK393&lt;=Results!$G$14),Curves!AS393,"")</f>
        <v>-144.86666666661074</v>
      </c>
      <c r="AV393" t="str">
        <f t="shared" si="300"/>
        <v/>
      </c>
      <c r="AW393" t="str">
        <f>IF(AND($AK393&lt;=Results!$I$21,$AK393&gt;=Results!$I$20,$AK393&lt;=Results!$F$4),$AN393,"")</f>
        <v/>
      </c>
      <c r="AX393" t="str">
        <f t="shared" si="300"/>
        <v/>
      </c>
      <c r="AY393" t="str">
        <f>IF(AND($AK393&lt;=Results!$I$23,$AK393&gt;=Results!$I$22,$AK393&gt;=Results!$F$4),$AN393,"")</f>
        <v/>
      </c>
      <c r="AZ393" t="str">
        <f t="shared" si="279"/>
        <v/>
      </c>
      <c r="BA393" t="str">
        <f>IF(AND($AK393&lt;=Results!$I$27,$AK393&gt;=Results!$I$26,$AK393&lt;=Results!$F$4),$AQ393,"")</f>
        <v/>
      </c>
      <c r="BB393" t="str">
        <f t="shared" si="280"/>
        <v/>
      </c>
      <c r="BC393" t="str">
        <f>IF(AND($AK393&lt;=Results!$I$29,$AK393&gt;=Results!$I$28,$AK393&gt;=Results!$F$4),$AQ393,"")</f>
        <v/>
      </c>
      <c r="BD393">
        <f t="shared" si="281"/>
        <v>7855.5328555420829</v>
      </c>
      <c r="BE393">
        <f t="shared" si="282"/>
        <v>1349.5882621258984</v>
      </c>
      <c r="BF393">
        <f t="shared" si="283"/>
        <v>8512.3693349339574</v>
      </c>
      <c r="BG393">
        <f t="shared" si="284"/>
        <v>1185.7276221259899</v>
      </c>
      <c r="BH393">
        <f t="shared" si="285"/>
        <v>0</v>
      </c>
      <c r="BI393">
        <f t="shared" si="286"/>
        <v>6.0103760838917997E-2</v>
      </c>
      <c r="BJ393">
        <f t="shared" si="287"/>
        <v>2.9314801099819099E-2</v>
      </c>
      <c r="BK393">
        <f t="shared" si="288"/>
        <v>-4.2202053866958918E-2</v>
      </c>
      <c r="BL393">
        <f t="shared" si="289"/>
        <v>-1.8213340897196208E-2</v>
      </c>
      <c r="BM393">
        <f t="shared" si="301"/>
        <v>120.00000000000226</v>
      </c>
      <c r="BN393">
        <f t="shared" si="302"/>
        <v>-120.00000000000226</v>
      </c>
      <c r="BO393">
        <f>Data!$H$2*(1-BI393)*(1-BI393/Data!$H$3)*BM393</f>
        <v>2.1201718569339897E-4</v>
      </c>
      <c r="BP393">
        <f t="shared" si="290"/>
        <v>-7.2124513006702955</v>
      </c>
      <c r="BQ393">
        <f>Data!$H$2*(1-BJ393)*(1-BJ393/Data!$H$3)*BN393</f>
        <v>-2.2613514128733633E-4</v>
      </c>
      <c r="BR393">
        <f t="shared" si="291"/>
        <v>3.517776131978358</v>
      </c>
      <c r="BS393">
        <f t="shared" si="292"/>
        <v>0</v>
      </c>
      <c r="BT393">
        <f t="shared" si="293"/>
        <v>0</v>
      </c>
      <c r="BU393">
        <f t="shared" si="294"/>
        <v>0</v>
      </c>
      <c r="BV393">
        <f t="shared" si="277"/>
        <v>0</v>
      </c>
      <c r="BW393">
        <f t="shared" si="303"/>
        <v>0</v>
      </c>
      <c r="BX393" t="str">
        <f t="shared" si="304"/>
        <v/>
      </c>
      <c r="BY393" s="66" t="str">
        <f t="shared" si="295"/>
        <v/>
      </c>
      <c r="BZ393" t="str">
        <f t="shared" si="296"/>
        <v/>
      </c>
      <c r="CA393" s="67" t="str">
        <f t="shared" si="278"/>
        <v/>
      </c>
    </row>
    <row r="394" spans="4:79" x14ac:dyDescent="0.25">
      <c r="D394" s="3" t="e">
        <f t="shared" si="307"/>
        <v>#DIV/0!</v>
      </c>
      <c r="E394" s="3" t="e">
        <f t="shared" si="307"/>
        <v>#DIV/0!</v>
      </c>
      <c r="F394" t="str">
        <f>IF(A394&gt;0,IF(F393=1,1,IF(B394=Data!$H$4,1,0)),"")</f>
        <v/>
      </c>
      <c r="Y394" s="4"/>
      <c r="Z394" s="4"/>
      <c r="AA394" s="4" t="e">
        <f t="shared" si="275"/>
        <v>#VALUE!</v>
      </c>
      <c r="AE394" s="4" t="str">
        <f t="shared" si="276"/>
        <v/>
      </c>
      <c r="AK394" s="4">
        <f t="shared" si="305"/>
        <v>64.200000000000543</v>
      </c>
      <c r="AL394">
        <f t="shared" si="297"/>
        <v>4705.0000000000655</v>
      </c>
      <c r="AM394">
        <f t="shared" si="298"/>
        <v>1710.6666666665176</v>
      </c>
      <c r="AN394">
        <f>IF($AK393+$AK$1&lt;=Data!$H$4-0.5,AVERAGE(AM392:AM396),AN393)</f>
        <v>1710.6666666665176</v>
      </c>
      <c r="AO394">
        <f t="shared" si="299"/>
        <v>6156.9999999999345</v>
      </c>
      <c r="AP394">
        <f t="shared" si="306"/>
        <v>1387.1999999999357</v>
      </c>
      <c r="AQ394">
        <f>IF($AK393+$AK$1&lt;=Data!$H$4-0.5,AVERAGE(AP392:AP396),AQ393)</f>
        <v>1387.1999999999357</v>
      </c>
      <c r="AR394">
        <f>IF($AK393+$AK$1&lt;=Data!$H$4-0.5,SLOPE($AN390:$AN398,$AK390:$AK398),AR393)</f>
        <v>-301.64722222215539</v>
      </c>
      <c r="AS394">
        <f>IF($AK393+$AK$1&lt;=Data!$H$4-0.5,SLOPE($AQ390:$AQ398,$AK390:$AK398),AS393)</f>
        <v>-134.37777777773582</v>
      </c>
      <c r="AT394">
        <f>IF(AND($AK394&gt;=Results!$G$13,$AK394&lt;=Results!$G$14),Curves!AR394,"")</f>
        <v>-301.64722222215539</v>
      </c>
      <c r="AU394">
        <f>IF(AND($AK394&gt;=Results!$G$13,$AK394&lt;=Results!$G$14),Curves!AS394,"")</f>
        <v>-134.37777777773582</v>
      </c>
      <c r="AV394" t="str">
        <f t="shared" si="300"/>
        <v/>
      </c>
      <c r="AW394" t="str">
        <f>IF(AND($AK394&lt;=Results!$I$21,$AK394&gt;=Results!$I$20,$AK394&lt;=Results!$F$4),$AN394,"")</f>
        <v/>
      </c>
      <c r="AX394" t="str">
        <f t="shared" si="300"/>
        <v/>
      </c>
      <c r="AY394" t="str">
        <f>IF(AND($AK394&lt;=Results!$I$23,$AK394&gt;=Results!$I$22,$AK394&gt;=Results!$F$4),$AN394,"")</f>
        <v/>
      </c>
      <c r="AZ394" t="str">
        <f t="shared" si="279"/>
        <v/>
      </c>
      <c r="BA394" t="str">
        <f>IF(AND($AK394&lt;=Results!$I$27,$AK394&gt;=Results!$I$26,$AK394&lt;=Results!$F$4),$AQ394,"")</f>
        <v/>
      </c>
      <c r="BB394" t="str">
        <f t="shared" si="280"/>
        <v/>
      </c>
      <c r="BC394" t="str">
        <f>IF(AND($AK394&lt;=Results!$I$29,$AK394&gt;=Results!$I$28,$AK394&gt;=Results!$F$4),$AQ394,"")</f>
        <v/>
      </c>
      <c r="BD394">
        <f t="shared" si="281"/>
        <v>7844.7626607441634</v>
      </c>
      <c r="BE394">
        <f t="shared" si="282"/>
        <v>1346.2724728765779</v>
      </c>
      <c r="BF394">
        <f t="shared" si="283"/>
        <v>8505.0793527010646</v>
      </c>
      <c r="BG394">
        <f t="shared" si="284"/>
        <v>1185.1768211664648</v>
      </c>
      <c r="BH394">
        <f t="shared" si="285"/>
        <v>0</v>
      </c>
      <c r="BI394">
        <f t="shared" si="286"/>
        <v>5.607366992263052E-2</v>
      </c>
      <c r="BJ394">
        <f t="shared" si="287"/>
        <v>2.7599162415502421E-2</v>
      </c>
      <c r="BK394">
        <f t="shared" si="288"/>
        <v>-3.8393214547154907E-2</v>
      </c>
      <c r="BL394">
        <f t="shared" si="289"/>
        <v>-1.609651079576371E-2</v>
      </c>
      <c r="BM394">
        <f t="shared" si="301"/>
        <v>120.00000000000226</v>
      </c>
      <c r="BN394">
        <f t="shared" si="302"/>
        <v>-120.00000000000226</v>
      </c>
      <c r="BO394">
        <f>Data!$H$2*(1-BI394)*(1-BI394/Data!$H$3)*BM394</f>
        <v>2.1383925998720346E-4</v>
      </c>
      <c r="BP394">
        <f t="shared" si="290"/>
        <v>-6.7288403907157894</v>
      </c>
      <c r="BQ394">
        <f>Data!$H$2*(1-BJ394)*(1-BJ394/Data!$H$3)*BN394</f>
        <v>-2.2693521334441206E-4</v>
      </c>
      <c r="BR394">
        <f t="shared" si="291"/>
        <v>3.3118994898603527</v>
      </c>
      <c r="BS394">
        <f t="shared" si="292"/>
        <v>0</v>
      </c>
      <c r="BT394">
        <f t="shared" si="293"/>
        <v>0</v>
      </c>
      <c r="BU394">
        <f t="shared" si="294"/>
        <v>0</v>
      </c>
      <c r="BV394">
        <f t="shared" si="277"/>
        <v>0</v>
      </c>
      <c r="BW394">
        <f t="shared" si="303"/>
        <v>0</v>
      </c>
      <c r="BX394" t="str">
        <f t="shared" si="304"/>
        <v/>
      </c>
      <c r="BY394" s="66" t="str">
        <f t="shared" si="295"/>
        <v/>
      </c>
      <c r="BZ394" t="str">
        <f t="shared" si="296"/>
        <v/>
      </c>
      <c r="CA394" s="67" t="str">
        <f t="shared" si="278"/>
        <v/>
      </c>
    </row>
    <row r="395" spans="4:79" x14ac:dyDescent="0.25">
      <c r="D395" s="3" t="e">
        <f t="shared" si="307"/>
        <v>#DIV/0!</v>
      </c>
      <c r="E395" s="3" t="e">
        <f t="shared" si="307"/>
        <v>#DIV/0!</v>
      </c>
      <c r="F395" t="str">
        <f>IF(A395&gt;0,IF(F394=1,1,IF(B395=Data!$H$4,1,0)),"")</f>
        <v/>
      </c>
      <c r="Y395" s="4"/>
      <c r="Z395" s="4"/>
      <c r="AA395" s="4" t="e">
        <f t="shared" si="275"/>
        <v>#VALUE!</v>
      </c>
      <c r="AE395" s="4" t="str">
        <f t="shared" si="276"/>
        <v/>
      </c>
      <c r="AK395" s="4">
        <f t="shared" si="305"/>
        <v>64.300000000000537</v>
      </c>
      <c r="AL395">
        <f t="shared" si="297"/>
        <v>4717.0000000000646</v>
      </c>
      <c r="AM395">
        <f t="shared" si="298"/>
        <v>1683.2499999998524</v>
      </c>
      <c r="AN395">
        <f>IF($AK394+$AK$1&lt;=Data!$H$4-0.5,AVERAGE(AM393:AM397),AN394)</f>
        <v>1683.2499999998522</v>
      </c>
      <c r="AO395">
        <f t="shared" si="299"/>
        <v>6144.9999999999354</v>
      </c>
      <c r="AP395">
        <f t="shared" si="306"/>
        <v>1375.466666666603</v>
      </c>
      <c r="AQ395">
        <f>IF($AK394+$AK$1&lt;=Data!$H$4-0.5,AVERAGE(AP393:AP397),AQ394)</f>
        <v>1375.4666666666033</v>
      </c>
      <c r="AR395">
        <f>IF($AK394+$AK$1&lt;=Data!$H$4-0.5,SLOPE($AN391:$AN399,$AK391:$AK399),AR394)</f>
        <v>-288.96388888884519</v>
      </c>
      <c r="AS395">
        <f>IF($AK394+$AK$1&lt;=Data!$H$4-0.5,SLOPE($AQ391:$AQ399,$AK391:$AK399),AS394)</f>
        <v>-126.51111111108308</v>
      </c>
      <c r="AT395">
        <f>IF(AND($AK395&gt;=Results!$G$13,$AK395&lt;=Results!$G$14),Curves!AR395,"")</f>
        <v>-288.96388888884519</v>
      </c>
      <c r="AU395">
        <f>IF(AND($AK395&gt;=Results!$G$13,$AK395&lt;=Results!$G$14),Curves!AS395,"")</f>
        <v>-126.51111111108308</v>
      </c>
      <c r="AV395" t="str">
        <f t="shared" si="300"/>
        <v/>
      </c>
      <c r="AW395" t="str">
        <f>IF(AND($AK395&lt;=Results!$I$21,$AK395&gt;=Results!$I$20,$AK395&lt;=Results!$F$4),$AN395,"")</f>
        <v/>
      </c>
      <c r="AX395" t="str">
        <f t="shared" si="300"/>
        <v/>
      </c>
      <c r="AY395" t="str">
        <f>IF(AND($AK395&lt;=Results!$I$23,$AK395&gt;=Results!$I$22,$AK395&gt;=Results!$F$4),$AN395,"")</f>
        <v/>
      </c>
      <c r="AZ395" t="str">
        <f t="shared" si="279"/>
        <v/>
      </c>
      <c r="BA395" t="str">
        <f>IF(AND($AK395&lt;=Results!$I$27,$AK395&gt;=Results!$I$26,$AK395&lt;=Results!$F$4),$AQ395,"")</f>
        <v/>
      </c>
      <c r="BB395" t="str">
        <f t="shared" si="280"/>
        <v/>
      </c>
      <c r="BC395" t="str">
        <f>IF(AND($AK395&lt;=Results!$I$29,$AK395&gt;=Results!$I$28,$AK395&gt;=Results!$F$4),$AQ395,"")</f>
        <v/>
      </c>
      <c r="BD395">
        <f t="shared" si="281"/>
        <v>7833.9924659462449</v>
      </c>
      <c r="BE395">
        <f t="shared" si="282"/>
        <v>1342.9566836272575</v>
      </c>
      <c r="BF395">
        <f t="shared" si="283"/>
        <v>8497.7893704681719</v>
      </c>
      <c r="BG395">
        <f t="shared" si="284"/>
        <v>1184.6260202069398</v>
      </c>
      <c r="BH395">
        <f t="shared" si="285"/>
        <v>0</v>
      </c>
      <c r="BI395">
        <f t="shared" si="286"/>
        <v>5.2425117929487453E-2</v>
      </c>
      <c r="BJ395">
        <f t="shared" si="287"/>
        <v>2.6095498940666539E-2</v>
      </c>
      <c r="BK395">
        <f t="shared" si="288"/>
        <v>-3.6527468639472725E-2</v>
      </c>
      <c r="BL395">
        <f t="shared" si="289"/>
        <v>-1.505050399615656E-2</v>
      </c>
      <c r="BM395">
        <f t="shared" si="301"/>
        <v>119.99999999999771</v>
      </c>
      <c r="BN395">
        <f t="shared" si="302"/>
        <v>-119.99999999999771</v>
      </c>
      <c r="BO395">
        <f>Data!$H$2*(1-BI395)*(1-BI395/Data!$H$3)*BM395</f>
        <v>2.1549555771142284E-4</v>
      </c>
      <c r="BP395">
        <f t="shared" si="290"/>
        <v>-6.2910141515383744</v>
      </c>
      <c r="BQ395">
        <f>Data!$H$2*(1-BJ395)*(1-BJ395/Data!$H$3)*BN395</f>
        <v>-2.2763759452406666E-4</v>
      </c>
      <c r="BR395">
        <f t="shared" si="291"/>
        <v>3.1314598728799252</v>
      </c>
      <c r="BS395">
        <f t="shared" si="292"/>
        <v>0</v>
      </c>
      <c r="BT395">
        <f t="shared" si="293"/>
        <v>0</v>
      </c>
      <c r="BU395">
        <f t="shared" si="294"/>
        <v>0</v>
      </c>
      <c r="BV395">
        <f t="shared" si="277"/>
        <v>0</v>
      </c>
      <c r="BW395">
        <f t="shared" si="303"/>
        <v>0</v>
      </c>
      <c r="BX395" t="str">
        <f t="shared" si="304"/>
        <v/>
      </c>
      <c r="BY395" s="66" t="str">
        <f t="shared" si="295"/>
        <v/>
      </c>
      <c r="BZ395" t="str">
        <f t="shared" si="296"/>
        <v/>
      </c>
      <c r="CA395" s="67" t="str">
        <f t="shared" si="278"/>
        <v/>
      </c>
    </row>
    <row r="396" spans="4:79" x14ac:dyDescent="0.25">
      <c r="D396" s="3" t="e">
        <f t="shared" si="307"/>
        <v>#DIV/0!</v>
      </c>
      <c r="E396" s="3" t="e">
        <f t="shared" si="307"/>
        <v>#DIV/0!</v>
      </c>
      <c r="F396" t="str">
        <f>IF(A396&gt;0,IF(F395=1,1,IF(B396=Data!$H$4,1,0)),"")</f>
        <v/>
      </c>
      <c r="Y396" s="4"/>
      <c r="Z396" s="4"/>
      <c r="AA396" s="4" t="e">
        <f t="shared" si="275"/>
        <v>#VALUE!</v>
      </c>
      <c r="AE396" s="4" t="str">
        <f t="shared" si="276"/>
        <v/>
      </c>
      <c r="AK396" s="4">
        <f t="shared" si="305"/>
        <v>64.400000000000531</v>
      </c>
      <c r="AL396">
        <f t="shared" si="297"/>
        <v>4729.0000000000637</v>
      </c>
      <c r="AM396">
        <f t="shared" si="298"/>
        <v>1655.8333333331871</v>
      </c>
      <c r="AN396">
        <f>IF($AK395+$AK$1&lt;=Data!$H$4-0.5,AVERAGE(AM394:AM398),AN395)</f>
        <v>1655.8333333331871</v>
      </c>
      <c r="AO396">
        <f t="shared" si="299"/>
        <v>6132.9999999999363</v>
      </c>
      <c r="AP396">
        <f t="shared" si="306"/>
        <v>1363.7333333332706</v>
      </c>
      <c r="AQ396">
        <f>IF($AK395+$AK$1&lt;=Data!$H$4-0.5,AVERAGE(AP394:AP398),AQ395)</f>
        <v>1363.7333333332706</v>
      </c>
      <c r="AR396">
        <f>IF($AK395+$AK$1&lt;=Data!$H$4-0.5,SLOPE($AN392:$AN400,$AK392:$AK400),AR395)</f>
        <v>-280.5083333333028</v>
      </c>
      <c r="AS396">
        <f>IF($AK395+$AK$1&lt;=Data!$H$4-0.5,SLOPE($AQ392:$AQ400,$AK392:$AK400),AS395)</f>
        <v>-121.26666666664765</v>
      </c>
      <c r="AT396">
        <f>IF(AND($AK396&gt;=Results!$G$13,$AK396&lt;=Results!$G$14),Curves!AR396,"")</f>
        <v>-280.5083333333028</v>
      </c>
      <c r="AU396">
        <f>IF(AND($AK396&gt;=Results!$G$13,$AK396&lt;=Results!$G$14),Curves!AS396,"")</f>
        <v>-121.26666666664765</v>
      </c>
      <c r="AV396" t="str">
        <f t="shared" si="300"/>
        <v/>
      </c>
      <c r="AW396" t="str">
        <f>IF(AND($AK396&lt;=Results!$I$21,$AK396&gt;=Results!$I$20,$AK396&lt;=Results!$F$4),$AN396,"")</f>
        <v/>
      </c>
      <c r="AX396" t="str">
        <f t="shared" si="300"/>
        <v/>
      </c>
      <c r="AY396" t="str">
        <f>IF(AND($AK396&lt;=Results!$I$23,$AK396&gt;=Results!$I$22,$AK396&gt;=Results!$F$4),$AN396,"")</f>
        <v/>
      </c>
      <c r="AZ396" t="str">
        <f t="shared" si="279"/>
        <v/>
      </c>
      <c r="BA396" t="str">
        <f>IF(AND($AK396&lt;=Results!$I$27,$AK396&gt;=Results!$I$26,$AK396&lt;=Results!$F$4),$AQ396,"")</f>
        <v/>
      </c>
      <c r="BB396" t="str">
        <f t="shared" si="280"/>
        <v/>
      </c>
      <c r="BC396" t="str">
        <f>IF(AND($AK396&lt;=Results!$I$29,$AK396&gt;=Results!$I$28,$AK396&gt;=Results!$F$4),$AQ396,"")</f>
        <v/>
      </c>
      <c r="BD396">
        <f t="shared" si="281"/>
        <v>7823.2222711483264</v>
      </c>
      <c r="BE396">
        <f t="shared" si="282"/>
        <v>1339.6408943779365</v>
      </c>
      <c r="BF396">
        <f t="shared" si="283"/>
        <v>8490.4993882352792</v>
      </c>
      <c r="BG396">
        <f t="shared" si="284"/>
        <v>1184.0752192474149</v>
      </c>
      <c r="BH396">
        <f t="shared" si="285"/>
        <v>0</v>
      </c>
      <c r="BI396">
        <f t="shared" si="286"/>
        <v>4.876817619473639E-2</v>
      </c>
      <c r="BJ396">
        <f t="shared" si="287"/>
        <v>2.4589061616271279E-2</v>
      </c>
      <c r="BK396">
        <f t="shared" si="288"/>
        <v>-3.6611510911889605E-2</v>
      </c>
      <c r="BL396">
        <f t="shared" si="289"/>
        <v>-1.5078280904659314E-2</v>
      </c>
      <c r="BM396">
        <f t="shared" si="301"/>
        <v>119.99999999999771</v>
      </c>
      <c r="BN396">
        <f t="shared" si="302"/>
        <v>-119.99999999999771</v>
      </c>
      <c r="BO396">
        <f>Data!$H$2*(1-BI396)*(1-BI396/Data!$H$3)*BM396</f>
        <v>2.1716207582876898E-4</v>
      </c>
      <c r="BP396">
        <f t="shared" si="290"/>
        <v>-5.8521811433682549</v>
      </c>
      <c r="BQ396">
        <f>Data!$H$2*(1-BJ396)*(1-BJ396/Data!$H$3)*BN396</f>
        <v>-2.2834235969246592E-4</v>
      </c>
      <c r="BR396">
        <f t="shared" si="291"/>
        <v>2.9506873939524971</v>
      </c>
      <c r="BS396">
        <f t="shared" si="292"/>
        <v>0</v>
      </c>
      <c r="BT396">
        <f t="shared" si="293"/>
        <v>0</v>
      </c>
      <c r="BU396">
        <f t="shared" si="294"/>
        <v>0</v>
      </c>
      <c r="BV396">
        <f t="shared" si="277"/>
        <v>0</v>
      </c>
      <c r="BW396">
        <f t="shared" si="303"/>
        <v>0</v>
      </c>
      <c r="BX396" t="str">
        <f t="shared" si="304"/>
        <v/>
      </c>
      <c r="BY396" s="66" t="str">
        <f t="shared" si="295"/>
        <v/>
      </c>
      <c r="BZ396" t="str">
        <f t="shared" si="296"/>
        <v/>
      </c>
      <c r="CA396" s="67" t="str">
        <f t="shared" si="278"/>
        <v/>
      </c>
    </row>
    <row r="397" spans="4:79" x14ac:dyDescent="0.25">
      <c r="D397" s="3" t="e">
        <f t="shared" si="307"/>
        <v>#DIV/0!</v>
      </c>
      <c r="E397" s="3" t="e">
        <f t="shared" si="307"/>
        <v>#DIV/0!</v>
      </c>
      <c r="F397" t="str">
        <f>IF(A397&gt;0,IF(F396=1,1,IF(B397=Data!$H$4,1,0)),"")</f>
        <v/>
      </c>
      <c r="Y397" s="4"/>
      <c r="Z397" s="4"/>
      <c r="AA397" s="4" t="e">
        <f t="shared" si="275"/>
        <v>#VALUE!</v>
      </c>
      <c r="AE397" s="4" t="str">
        <f t="shared" si="276"/>
        <v/>
      </c>
      <c r="AK397" s="4">
        <f t="shared" si="305"/>
        <v>64.500000000000526</v>
      </c>
      <c r="AL397">
        <f t="shared" si="297"/>
        <v>4741.0000000000628</v>
      </c>
      <c r="AM397">
        <f t="shared" si="298"/>
        <v>1628.4166666665219</v>
      </c>
      <c r="AN397">
        <f>IF($AK396+$AK$1&lt;=Data!$H$4-0.5,AVERAGE(AM395:AM399),AN396)</f>
        <v>1628.4166666665219</v>
      </c>
      <c r="AO397">
        <f t="shared" si="299"/>
        <v>6120.9999999999372</v>
      </c>
      <c r="AP397">
        <f t="shared" si="306"/>
        <v>1351.9999999999379</v>
      </c>
      <c r="AQ397">
        <f>IF($AK396+$AK$1&lt;=Data!$H$4-0.5,AVERAGE(AP395:AP399),AQ396)</f>
        <v>1351.9999999999379</v>
      </c>
      <c r="AR397">
        <f>IF($AK396+$AK$1&lt;=Data!$H$4-0.5,SLOPE($AN393:$AN401,$AK393:$AK401),AR396)</f>
        <v>-274.35777777774962</v>
      </c>
      <c r="AS397">
        <f>IF($AK396+$AK$1&lt;=Data!$H$4-0.5,SLOPE($AQ393:$AQ401,$AK393:$AK401),AS396)</f>
        <v>-117.72444444442937</v>
      </c>
      <c r="AT397">
        <f>IF(AND($AK397&gt;=Results!$G$13,$AK397&lt;=Results!$G$14),Curves!AR397,"")</f>
        <v>-274.35777777774962</v>
      </c>
      <c r="AU397">
        <f>IF(AND($AK397&gt;=Results!$G$13,$AK397&lt;=Results!$G$14),Curves!AS397,"")</f>
        <v>-117.72444444442937</v>
      </c>
      <c r="AV397" t="str">
        <f t="shared" si="300"/>
        <v/>
      </c>
      <c r="AW397" t="str">
        <f>IF(AND($AK397&lt;=Results!$I$21,$AK397&gt;=Results!$I$20,$AK397&lt;=Results!$F$4),$AN397,"")</f>
        <v/>
      </c>
      <c r="AX397" t="str">
        <f t="shared" si="300"/>
        <v/>
      </c>
      <c r="AY397" t="str">
        <f>IF(AND($AK397&lt;=Results!$I$23,$AK397&gt;=Results!$I$22,$AK397&gt;=Results!$F$4),$AN397,"")</f>
        <v/>
      </c>
      <c r="AZ397" t="str">
        <f t="shared" si="279"/>
        <v/>
      </c>
      <c r="BA397" t="str">
        <f>IF(AND($AK397&lt;=Results!$I$27,$AK397&gt;=Results!$I$26,$AK397&lt;=Results!$F$4),$AQ397,"")</f>
        <v/>
      </c>
      <c r="BB397" t="str">
        <f t="shared" si="280"/>
        <v/>
      </c>
      <c r="BC397" t="str">
        <f>IF(AND($AK397&lt;=Results!$I$29,$AK397&gt;=Results!$I$28,$AK397&gt;=Results!$F$4),$AQ397,"")</f>
        <v/>
      </c>
      <c r="BD397">
        <f t="shared" si="281"/>
        <v>7812.452076350407</v>
      </c>
      <c r="BE397">
        <f t="shared" si="282"/>
        <v>1336.3251051286161</v>
      </c>
      <c r="BF397">
        <f t="shared" si="283"/>
        <v>8483.2094060023865</v>
      </c>
      <c r="BG397">
        <f t="shared" si="284"/>
        <v>1183.5244182878901</v>
      </c>
      <c r="BH397">
        <f t="shared" si="285"/>
        <v>0</v>
      </c>
      <c r="BI397">
        <f t="shared" si="286"/>
        <v>4.5102815747109948E-2</v>
      </c>
      <c r="BJ397">
        <f t="shared" si="287"/>
        <v>2.3079842759734848E-2</v>
      </c>
      <c r="BK397">
        <f t="shared" si="288"/>
        <v>-3.6695843564706204E-2</v>
      </c>
      <c r="BL397">
        <f t="shared" si="289"/>
        <v>-1.5106134780961422E-2</v>
      </c>
      <c r="BM397">
        <f t="shared" si="301"/>
        <v>120.00000000000226</v>
      </c>
      <c r="BN397">
        <f t="shared" si="302"/>
        <v>-120.00000000000226</v>
      </c>
      <c r="BO397">
        <f>Data!$H$2*(1-BI397)*(1-BI397/Data!$H$3)*BM397</f>
        <v>2.1883887179858759E-4</v>
      </c>
      <c r="BP397">
        <f t="shared" si="290"/>
        <v>-5.4123378896532959</v>
      </c>
      <c r="BQ397">
        <f>Data!$H$2*(1-BJ397)*(1-BJ397/Data!$H$3)*BN397</f>
        <v>-2.2904951846936696E-4</v>
      </c>
      <c r="BR397">
        <f t="shared" si="291"/>
        <v>2.7695811311682337</v>
      </c>
      <c r="BS397">
        <f t="shared" si="292"/>
        <v>0</v>
      </c>
      <c r="BT397">
        <f t="shared" si="293"/>
        <v>0</v>
      </c>
      <c r="BU397">
        <f t="shared" si="294"/>
        <v>0</v>
      </c>
      <c r="BV397">
        <f t="shared" si="277"/>
        <v>0</v>
      </c>
      <c r="BW397">
        <f t="shared" si="303"/>
        <v>0</v>
      </c>
      <c r="BX397" t="str">
        <f t="shared" si="304"/>
        <v/>
      </c>
      <c r="BY397" s="66" t="str">
        <f t="shared" si="295"/>
        <v/>
      </c>
      <c r="BZ397" t="str">
        <f t="shared" si="296"/>
        <v/>
      </c>
      <c r="CA397" s="67" t="str">
        <f t="shared" si="278"/>
        <v/>
      </c>
    </row>
    <row r="398" spans="4:79" x14ac:dyDescent="0.25">
      <c r="D398" s="3" t="e">
        <f t="shared" si="307"/>
        <v>#DIV/0!</v>
      </c>
      <c r="E398" s="3" t="e">
        <f t="shared" si="307"/>
        <v>#DIV/0!</v>
      </c>
      <c r="F398" t="str">
        <f>IF(A398&gt;0,IF(F397=1,1,IF(B398=Data!$H$4,1,0)),"")</f>
        <v/>
      </c>
      <c r="Y398" s="4"/>
      <c r="Z398" s="4"/>
      <c r="AA398" s="4" t="e">
        <f t="shared" si="275"/>
        <v>#VALUE!</v>
      </c>
      <c r="AE398" s="4" t="str">
        <f t="shared" si="276"/>
        <v/>
      </c>
      <c r="AK398" s="4">
        <f t="shared" si="305"/>
        <v>64.60000000000052</v>
      </c>
      <c r="AL398">
        <f t="shared" si="297"/>
        <v>4753.0000000000628</v>
      </c>
      <c r="AM398">
        <f t="shared" si="298"/>
        <v>1600.9999999998568</v>
      </c>
      <c r="AN398">
        <f>IF($AK397+$AK$1&lt;=Data!$H$4-0.5,AVERAGE(AM396:AM400),AN397)</f>
        <v>1600.9999999998565</v>
      </c>
      <c r="AO398">
        <f t="shared" si="299"/>
        <v>6108.9999999999372</v>
      </c>
      <c r="AP398">
        <f t="shared" si="306"/>
        <v>1340.2666666666053</v>
      </c>
      <c r="AQ398">
        <f>IF($AK397+$AK$1&lt;=Data!$H$4-0.5,AVERAGE(AP396:AP400),AQ397)</f>
        <v>1340.2666666666053</v>
      </c>
      <c r="AR398">
        <f>IF($AK397+$AK$1&lt;=Data!$H$4-0.5,SLOPE($AN394:$AN402,$AK394:$AK402),AR397)</f>
        <v>-268.54166666663042</v>
      </c>
      <c r="AS398">
        <f>IF($AK397+$AK$1&lt;=Data!$H$4-0.5,SLOPE($AQ394:$AQ402,$AK394:$AK402),AS397)</f>
        <v>-114.86666666665009</v>
      </c>
      <c r="AT398">
        <f>IF(AND($AK398&gt;=Results!$G$13,$AK398&lt;=Results!$G$14),Curves!AR398,"")</f>
        <v>-268.54166666663042</v>
      </c>
      <c r="AU398">
        <f>IF(AND($AK398&gt;=Results!$G$13,$AK398&lt;=Results!$G$14),Curves!AS398,"")</f>
        <v>-114.86666666665009</v>
      </c>
      <c r="AV398" t="str">
        <f t="shared" si="300"/>
        <v/>
      </c>
      <c r="AW398" t="str">
        <f>IF(AND($AK398&lt;=Results!$I$21,$AK398&gt;=Results!$I$20,$AK398&lt;=Results!$F$4),$AN398,"")</f>
        <v/>
      </c>
      <c r="AX398" t="str">
        <f t="shared" si="300"/>
        <v/>
      </c>
      <c r="AY398" t="str">
        <f>IF(AND($AK398&lt;=Results!$I$23,$AK398&gt;=Results!$I$22,$AK398&gt;=Results!$F$4),$AN398,"")</f>
        <v/>
      </c>
      <c r="AZ398" t="str">
        <f t="shared" si="279"/>
        <v/>
      </c>
      <c r="BA398" t="str">
        <f>IF(AND($AK398&lt;=Results!$I$27,$AK398&gt;=Results!$I$26,$AK398&lt;=Results!$F$4),$AQ398,"")</f>
        <v/>
      </c>
      <c r="BB398" t="str">
        <f t="shared" si="280"/>
        <v/>
      </c>
      <c r="BC398" t="str">
        <f>IF(AND($AK398&lt;=Results!$I$29,$AK398&gt;=Results!$I$28,$AK398&gt;=Results!$F$4),$AQ398,"")</f>
        <v/>
      </c>
      <c r="BD398">
        <f t="shared" si="281"/>
        <v>7801.6818815524884</v>
      </c>
      <c r="BE398">
        <f t="shared" si="282"/>
        <v>1333.0093158792956</v>
      </c>
      <c r="BF398">
        <f t="shared" si="283"/>
        <v>8475.9194237694937</v>
      </c>
      <c r="BG398">
        <f t="shared" si="284"/>
        <v>1182.973617328365</v>
      </c>
      <c r="BH398">
        <f t="shared" si="285"/>
        <v>0</v>
      </c>
      <c r="BI398">
        <f t="shared" si="286"/>
        <v>4.1429007481795566E-2</v>
      </c>
      <c r="BJ398">
        <f t="shared" si="287"/>
        <v>2.1567834660079166E-2</v>
      </c>
      <c r="BK398">
        <f t="shared" si="288"/>
        <v>-3.6780467937218432E-2</v>
      </c>
      <c r="BL398">
        <f t="shared" si="289"/>
        <v>-1.5134065909687992E-2</v>
      </c>
      <c r="BM398">
        <f t="shared" si="301"/>
        <v>120.00000000000226</v>
      </c>
      <c r="BN398">
        <f t="shared" si="302"/>
        <v>-120.00000000000226</v>
      </c>
      <c r="BO398">
        <f>Data!$H$2*(1-BI398)*(1-BI398/Data!$H$3)*BM398</f>
        <v>2.2052600344736468E-4</v>
      </c>
      <c r="BP398">
        <f t="shared" si="290"/>
        <v>-4.9714808978155611</v>
      </c>
      <c r="BQ398">
        <f>Data!$H$2*(1-BJ398)*(1-BJ398/Data!$H$3)*BN398</f>
        <v>-2.2975908052122823E-4</v>
      </c>
      <c r="BR398">
        <f t="shared" si="291"/>
        <v>2.5881401592095488</v>
      </c>
      <c r="BS398">
        <f t="shared" si="292"/>
        <v>0</v>
      </c>
      <c r="BT398">
        <f t="shared" si="293"/>
        <v>0</v>
      </c>
      <c r="BU398">
        <f t="shared" si="294"/>
        <v>0</v>
      </c>
      <c r="BV398">
        <f t="shared" si="277"/>
        <v>0</v>
      </c>
      <c r="BW398">
        <f t="shared" si="303"/>
        <v>0</v>
      </c>
      <c r="BX398" t="str">
        <f t="shared" si="304"/>
        <v/>
      </c>
      <c r="BY398" s="66" t="str">
        <f t="shared" si="295"/>
        <v/>
      </c>
      <c r="BZ398" t="str">
        <f t="shared" si="296"/>
        <v/>
      </c>
      <c r="CA398" s="67" t="str">
        <f t="shared" si="278"/>
        <v/>
      </c>
    </row>
    <row r="399" spans="4:79" x14ac:dyDescent="0.25">
      <c r="D399" s="3" t="e">
        <f t="shared" si="307"/>
        <v>#DIV/0!</v>
      </c>
      <c r="E399" s="3" t="e">
        <f t="shared" si="307"/>
        <v>#DIV/0!</v>
      </c>
      <c r="F399" t="str">
        <f>IF(A399&gt;0,IF(F398=1,1,IF(B399=Data!$H$4,1,0)),"")</f>
        <v/>
      </c>
      <c r="Y399" s="4"/>
      <c r="Z399" s="4"/>
      <c r="AA399" s="4" t="e">
        <f t="shared" si="275"/>
        <v>#VALUE!</v>
      </c>
      <c r="AE399" s="4" t="str">
        <f t="shared" si="276"/>
        <v/>
      </c>
      <c r="AK399" s="4">
        <f t="shared" si="305"/>
        <v>64.700000000000514</v>
      </c>
      <c r="AL399">
        <f t="shared" si="297"/>
        <v>4765.0000000000618</v>
      </c>
      <c r="AM399">
        <f t="shared" si="298"/>
        <v>1573.5833333331914</v>
      </c>
      <c r="AN399">
        <f>IF($AK398+$AK$1&lt;=Data!$H$4-0.5,AVERAGE(AM397:AM401),AN398)</f>
        <v>1573.5833333331914</v>
      </c>
      <c r="AO399">
        <f t="shared" si="299"/>
        <v>6096.9999999999382</v>
      </c>
      <c r="AP399">
        <f t="shared" si="306"/>
        <v>1328.5333333332726</v>
      </c>
      <c r="AQ399">
        <f>IF($AK398+$AK$1&lt;=Data!$H$4-0.5,AVERAGE(AP397:AP401),AQ398)</f>
        <v>1328.5333333332726</v>
      </c>
      <c r="AR399">
        <f>IF($AK398+$AK$1&lt;=Data!$H$4-0.5,SLOPE($AN395:$AN403,$AK395:$AK403),AR398)</f>
        <v>-261.04166666661143</v>
      </c>
      <c r="AS399">
        <f>IF($AK398+$AK$1&lt;=Data!$H$4-0.5,SLOPE($AQ395:$AQ403,$AK395:$AK403),AS398)</f>
        <v>-111.57777777775311</v>
      </c>
      <c r="AT399">
        <f>IF(AND($AK399&gt;=Results!$G$13,$AK399&lt;=Results!$G$14),Curves!AR399,"")</f>
        <v>-261.04166666661143</v>
      </c>
      <c r="AU399">
        <f>IF(AND($AK399&gt;=Results!$G$13,$AK399&lt;=Results!$G$14),Curves!AS399,"")</f>
        <v>-111.57777777775311</v>
      </c>
      <c r="AV399" t="str">
        <f t="shared" si="300"/>
        <v/>
      </c>
      <c r="AW399" t="str">
        <f>IF(AND($AK399&lt;=Results!$I$21,$AK399&gt;=Results!$I$20,$AK399&lt;=Results!$F$4),$AN399,"")</f>
        <v/>
      </c>
      <c r="AX399" t="str">
        <f t="shared" si="300"/>
        <v/>
      </c>
      <c r="AY399" t="str">
        <f>IF(AND($AK399&lt;=Results!$I$23,$AK399&gt;=Results!$I$22,$AK399&gt;=Results!$F$4),$AN399,"")</f>
        <v/>
      </c>
      <c r="AZ399" t="str">
        <f t="shared" si="279"/>
        <v/>
      </c>
      <c r="BA399" t="str">
        <f>IF(AND($AK399&lt;=Results!$I$27,$AK399&gt;=Results!$I$26,$AK399&lt;=Results!$F$4),$AQ399,"")</f>
        <v/>
      </c>
      <c r="BB399" t="str">
        <f t="shared" si="280"/>
        <v/>
      </c>
      <c r="BC399" t="str">
        <f>IF(AND($AK399&lt;=Results!$I$29,$AK399&gt;=Results!$I$28,$AK399&gt;=Results!$F$4),$AQ399,"")</f>
        <v/>
      </c>
      <c r="BD399">
        <f t="shared" si="281"/>
        <v>7790.911686754569</v>
      </c>
      <c r="BE399">
        <f t="shared" si="282"/>
        <v>1329.6935266299752</v>
      </c>
      <c r="BF399">
        <f t="shared" si="283"/>
        <v>8468.629441536601</v>
      </c>
      <c r="BG399">
        <f t="shared" si="284"/>
        <v>1182.4228163688399</v>
      </c>
      <c r="BH399">
        <f t="shared" si="285"/>
        <v>0</v>
      </c>
      <c r="BI399">
        <f t="shared" si="286"/>
        <v>3.7746722159666679E-2</v>
      </c>
      <c r="BJ399">
        <f t="shared" si="287"/>
        <v>2.0053029577797421E-2</v>
      </c>
      <c r="BK399">
        <f t="shared" si="288"/>
        <v>-3.6865385376441004E-2</v>
      </c>
      <c r="BL399">
        <f t="shared" si="289"/>
        <v>-1.5162074576780843E-2</v>
      </c>
      <c r="BM399">
        <f t="shared" si="301"/>
        <v>119.99999999999771</v>
      </c>
      <c r="BN399">
        <f t="shared" si="302"/>
        <v>-119.99999999999771</v>
      </c>
      <c r="BO399">
        <f>Data!$H$2*(1-BI399)*(1-BI399/Data!$H$3)*BM399</f>
        <v>2.222235289714675E-4</v>
      </c>
      <c r="BP399">
        <f t="shared" si="290"/>
        <v>-4.5296066591599153</v>
      </c>
      <c r="BQ399">
        <f>Data!$H$2*(1-BJ399)*(1-BJ399/Data!$H$3)*BN399</f>
        <v>-2.3047105556151239E-4</v>
      </c>
      <c r="BR399">
        <f t="shared" si="291"/>
        <v>2.4063635493356448</v>
      </c>
      <c r="BS399">
        <f t="shared" si="292"/>
        <v>0</v>
      </c>
      <c r="BT399">
        <f t="shared" si="293"/>
        <v>0</v>
      </c>
      <c r="BU399">
        <f t="shared" si="294"/>
        <v>0</v>
      </c>
      <c r="BV399">
        <f t="shared" si="277"/>
        <v>0</v>
      </c>
      <c r="BW399">
        <f t="shared" si="303"/>
        <v>0</v>
      </c>
      <c r="BX399" t="str">
        <f t="shared" si="304"/>
        <v/>
      </c>
      <c r="BY399" s="66" t="str">
        <f t="shared" si="295"/>
        <v/>
      </c>
      <c r="BZ399" t="str">
        <f t="shared" si="296"/>
        <v/>
      </c>
      <c r="CA399" s="67" t="str">
        <f t="shared" si="278"/>
        <v/>
      </c>
    </row>
    <row r="400" spans="4:79" x14ac:dyDescent="0.25">
      <c r="D400" s="3" t="e">
        <f t="shared" si="307"/>
        <v>#DIV/0!</v>
      </c>
      <c r="E400" s="3" t="e">
        <f t="shared" si="307"/>
        <v>#DIV/0!</v>
      </c>
      <c r="F400" t="str">
        <f>IF(A400&gt;0,IF(F399=1,1,IF(B400=Data!$H$4,1,0)),"")</f>
        <v/>
      </c>
      <c r="Y400" s="4"/>
      <c r="Z400" s="4"/>
      <c r="AA400" s="4" t="e">
        <f t="shared" si="275"/>
        <v>#VALUE!</v>
      </c>
      <c r="AE400" s="4" t="str">
        <f t="shared" si="276"/>
        <v/>
      </c>
      <c r="AK400" s="4">
        <f t="shared" si="305"/>
        <v>64.800000000000509</v>
      </c>
      <c r="AL400">
        <f t="shared" si="297"/>
        <v>4777.0000000000609</v>
      </c>
      <c r="AM400">
        <f t="shared" si="298"/>
        <v>1546.1666666665262</v>
      </c>
      <c r="AN400">
        <f>IF($AK399+$AK$1&lt;=Data!$H$4-0.5,AVERAGE(AM398:AM402),AN399)</f>
        <v>1546.1666666665374</v>
      </c>
      <c r="AO400">
        <f t="shared" si="299"/>
        <v>6084.9999999999391</v>
      </c>
      <c r="AP400">
        <f t="shared" si="306"/>
        <v>1316.7999999999399</v>
      </c>
      <c r="AQ400">
        <f>IF($AK399+$AK$1&lt;=Data!$H$4-0.5,AVERAGE(AP398:AP402),AQ399)</f>
        <v>1316.7999999999449</v>
      </c>
      <c r="AR400">
        <f>IF($AK399+$AK$1&lt;=Data!$H$4-0.5,SLOPE($AN396:$AN404,$AK396:$AK404),AR399)</f>
        <v>-249.79166666659265</v>
      </c>
      <c r="AS400">
        <f>IF($AK399+$AK$1&lt;=Data!$H$4-0.5,SLOPE($AQ396:$AQ404,$AK396:$AK404),AS399)</f>
        <v>-106.64444444441165</v>
      </c>
      <c r="AT400">
        <f>IF(AND($AK400&gt;=Results!$G$13,$AK400&lt;=Results!$G$14),Curves!AR400,"")</f>
        <v>-249.79166666659265</v>
      </c>
      <c r="AU400">
        <f>IF(AND($AK400&gt;=Results!$G$13,$AK400&lt;=Results!$G$14),Curves!AS400,"")</f>
        <v>-106.64444444441165</v>
      </c>
      <c r="AV400" t="str">
        <f t="shared" si="300"/>
        <v/>
      </c>
      <c r="AW400" t="str">
        <f>IF(AND($AK400&lt;=Results!$I$21,$AK400&gt;=Results!$I$20,$AK400&lt;=Results!$F$4),$AN400,"")</f>
        <v/>
      </c>
      <c r="AX400" t="str">
        <f t="shared" si="300"/>
        <v/>
      </c>
      <c r="AY400" t="str">
        <f>IF(AND($AK400&lt;=Results!$I$23,$AK400&gt;=Results!$I$22,$AK400&gt;=Results!$F$4),$AN400,"")</f>
        <v/>
      </c>
      <c r="AZ400" t="str">
        <f t="shared" si="279"/>
        <v/>
      </c>
      <c r="BA400" t="str">
        <f>IF(AND($AK400&lt;=Results!$I$27,$AK400&gt;=Results!$I$26,$AK400&lt;=Results!$F$4),$AQ400,"")</f>
        <v/>
      </c>
      <c r="BB400" t="str">
        <f t="shared" si="280"/>
        <v/>
      </c>
      <c r="BC400" t="str">
        <f>IF(AND($AK400&lt;=Results!$I$29,$AK400&gt;=Results!$I$28,$AK400&gt;=Results!$F$4),$AQ400,"")</f>
        <v/>
      </c>
      <c r="BD400">
        <f t="shared" si="281"/>
        <v>7780.1414919566505</v>
      </c>
      <c r="BE400">
        <f t="shared" si="282"/>
        <v>1326.3777373806543</v>
      </c>
      <c r="BF400">
        <f t="shared" si="283"/>
        <v>8461.3394593037083</v>
      </c>
      <c r="BG400">
        <f t="shared" si="284"/>
        <v>1181.8720154093151</v>
      </c>
      <c r="BH400">
        <f t="shared" si="285"/>
        <v>0</v>
      </c>
      <c r="BI400">
        <f t="shared" si="286"/>
        <v>3.4055930406507784E-2</v>
      </c>
      <c r="BJ400">
        <f t="shared" si="287"/>
        <v>1.8535419744723169E-2</v>
      </c>
      <c r="BK400">
        <f t="shared" si="288"/>
        <v>-3.520541260659571E-2</v>
      </c>
      <c r="BL400">
        <f t="shared" si="289"/>
        <v>-1.4511827828503623E-2</v>
      </c>
      <c r="BM400">
        <f t="shared" si="301"/>
        <v>119.99999999999771</v>
      </c>
      <c r="BN400">
        <f t="shared" si="302"/>
        <v>-119.99999999999771</v>
      </c>
      <c r="BO400">
        <f>Data!$H$2*(1-BI400)*(1-BI400/Data!$H$3)*BM400</f>
        <v>2.2393150693987665E-4</v>
      </c>
      <c r="BP400">
        <f t="shared" si="290"/>
        <v>-4.0867116487808559</v>
      </c>
      <c r="BQ400">
        <f>Data!$H$2*(1-BJ400)*(1-BJ400/Data!$H$3)*BN400</f>
        <v>-2.3118545335095559E-4</v>
      </c>
      <c r="BR400">
        <f t="shared" si="291"/>
        <v>2.2242503693667381</v>
      </c>
      <c r="BS400">
        <f t="shared" si="292"/>
        <v>0</v>
      </c>
      <c r="BT400">
        <f t="shared" si="293"/>
        <v>0</v>
      </c>
      <c r="BU400">
        <f t="shared" si="294"/>
        <v>0</v>
      </c>
      <c r="BV400">
        <f t="shared" si="277"/>
        <v>0</v>
      </c>
      <c r="BW400">
        <f t="shared" si="303"/>
        <v>0</v>
      </c>
      <c r="BX400" t="str">
        <f t="shared" si="304"/>
        <v/>
      </c>
      <c r="BY400" s="66" t="str">
        <f t="shared" si="295"/>
        <v/>
      </c>
      <c r="BZ400" t="str">
        <f t="shared" si="296"/>
        <v/>
      </c>
      <c r="CA400" s="67" t="str">
        <f t="shared" si="278"/>
        <v/>
      </c>
    </row>
    <row r="401" spans="4:79" x14ac:dyDescent="0.25">
      <c r="D401" s="3" t="e">
        <f t="shared" si="307"/>
        <v>#DIV/0!</v>
      </c>
      <c r="E401" s="3" t="e">
        <f t="shared" si="307"/>
        <v>#DIV/0!</v>
      </c>
      <c r="F401" t="str">
        <f>IF(A401&gt;0,IF(F400=1,1,IF(B401=Data!$H$4,1,0)),"")</f>
        <v/>
      </c>
      <c r="Y401" s="4"/>
      <c r="Z401" s="4"/>
      <c r="AA401" s="4" t="e">
        <f t="shared" si="275"/>
        <v>#VALUE!</v>
      </c>
      <c r="AE401" s="4" t="str">
        <f t="shared" si="276"/>
        <v/>
      </c>
      <c r="AK401" s="4">
        <f t="shared" si="305"/>
        <v>64.900000000000503</v>
      </c>
      <c r="AL401">
        <f t="shared" si="297"/>
        <v>4789.00000000006</v>
      </c>
      <c r="AM401">
        <f t="shared" si="298"/>
        <v>1518.7499999998611</v>
      </c>
      <c r="AN401">
        <f>IF($AK400+$AK$1&lt;=Data!$H$4-0.5,AVERAGE(AM399:AM403),AN400)</f>
        <v>1520.9999999998831</v>
      </c>
      <c r="AO401">
        <f t="shared" si="299"/>
        <v>6072.99999999994</v>
      </c>
      <c r="AP401">
        <f t="shared" si="306"/>
        <v>1305.0666666666073</v>
      </c>
      <c r="AQ401">
        <f>IF($AK400+$AK$1&lt;=Data!$H$4-0.5,AVERAGE(AP399:AP403),AQ400)</f>
        <v>1306.0533333332837</v>
      </c>
      <c r="AR401">
        <f>IF($AK400+$AK$1&lt;=Data!$H$4-0.5,SLOPE($AN397:$AN405,$AK397:$AK405),AR400)</f>
        <v>-234.79166666658318</v>
      </c>
      <c r="AS401">
        <f>IF($AK400+$AK$1&lt;=Data!$H$4-0.5,SLOPE($AQ397:$AQ405,$AK397:$AK405),AS400)</f>
        <v>-100.06666666662989</v>
      </c>
      <c r="AT401">
        <f>IF(AND($AK401&gt;=Results!$G$13,$AK401&lt;=Results!$G$14),Curves!AR401,"")</f>
        <v>-234.79166666658318</v>
      </c>
      <c r="AU401">
        <f>IF(AND($AK401&gt;=Results!$G$13,$AK401&lt;=Results!$G$14),Curves!AS401,"")</f>
        <v>-100.06666666662989</v>
      </c>
      <c r="AV401" t="str">
        <f t="shared" si="300"/>
        <v/>
      </c>
      <c r="AW401" t="str">
        <f>IF(AND($AK401&lt;=Results!$I$21,$AK401&gt;=Results!$I$20,$AK401&lt;=Results!$F$4),$AN401,"")</f>
        <v/>
      </c>
      <c r="AX401" t="str">
        <f t="shared" si="300"/>
        <v/>
      </c>
      <c r="AY401" t="str">
        <f>IF(AND($AK401&lt;=Results!$I$23,$AK401&gt;=Results!$I$22,$AK401&gt;=Results!$F$4),$AN401,"")</f>
        <v/>
      </c>
      <c r="AZ401" t="str">
        <f t="shared" si="279"/>
        <v/>
      </c>
      <c r="BA401" t="str">
        <f>IF(AND($AK401&lt;=Results!$I$27,$AK401&gt;=Results!$I$26,$AK401&lt;=Results!$F$4),$AQ401,"")</f>
        <v/>
      </c>
      <c r="BB401" t="str">
        <f t="shared" si="280"/>
        <v/>
      </c>
      <c r="BC401" t="str">
        <f>IF(AND($AK401&lt;=Results!$I$29,$AK401&gt;=Results!$I$28,$AK401&gt;=Results!$F$4),$AQ401,"")</f>
        <v/>
      </c>
      <c r="BD401">
        <f t="shared" si="281"/>
        <v>7769.3712971587311</v>
      </c>
      <c r="BE401">
        <f t="shared" si="282"/>
        <v>1323.0619481313338</v>
      </c>
      <c r="BF401">
        <f t="shared" si="283"/>
        <v>8454.0494770708156</v>
      </c>
      <c r="BG401">
        <f t="shared" si="284"/>
        <v>1181.3212144497902</v>
      </c>
      <c r="BH401">
        <f t="shared" si="285"/>
        <v>0</v>
      </c>
      <c r="BI401">
        <f t="shared" si="286"/>
        <v>3.0705639638347937E-2</v>
      </c>
      <c r="BJ401">
        <f t="shared" si="287"/>
        <v>1.7150664012096861E-2</v>
      </c>
      <c r="BK401">
        <f t="shared" si="288"/>
        <v>-3.1794489673172693E-2</v>
      </c>
      <c r="BL401">
        <f t="shared" si="289"/>
        <v>-1.3181438497825351E-2</v>
      </c>
      <c r="BM401">
        <f t="shared" si="301"/>
        <v>120.00000000000226</v>
      </c>
      <c r="BN401">
        <f t="shared" si="302"/>
        <v>-120.00000000000226</v>
      </c>
      <c r="BO401">
        <f>Data!$H$2*(1-BI401)*(1-BI401/Data!$H$3)*BM401</f>
        <v>2.2548757368694123E-4</v>
      </c>
      <c r="BP401">
        <f t="shared" si="290"/>
        <v>-3.6846767566018217</v>
      </c>
      <c r="BQ401">
        <f>Data!$H$2*(1-BJ401)*(1-BJ401/Data!$H$3)*BN401</f>
        <v>-2.3183827614045127E-4</v>
      </c>
      <c r="BR401">
        <f t="shared" si="291"/>
        <v>2.058079681451662</v>
      </c>
      <c r="BS401">
        <f t="shared" si="292"/>
        <v>0</v>
      </c>
      <c r="BT401">
        <f t="shared" si="293"/>
        <v>0</v>
      </c>
      <c r="BU401">
        <f t="shared" si="294"/>
        <v>0</v>
      </c>
      <c r="BV401">
        <f t="shared" si="277"/>
        <v>0</v>
      </c>
      <c r="BW401">
        <f t="shared" si="303"/>
        <v>0</v>
      </c>
      <c r="BX401" t="str">
        <f t="shared" si="304"/>
        <v/>
      </c>
      <c r="BY401" s="66" t="str">
        <f t="shared" si="295"/>
        <v/>
      </c>
      <c r="BZ401" t="str">
        <f t="shared" si="296"/>
        <v/>
      </c>
      <c r="CA401" s="67" t="str">
        <f t="shared" si="278"/>
        <v/>
      </c>
    </row>
    <row r="402" spans="4:79" x14ac:dyDescent="0.25">
      <c r="D402" s="3" t="e">
        <f t="shared" si="307"/>
        <v>#DIV/0!</v>
      </c>
      <c r="E402" s="3" t="e">
        <f t="shared" si="307"/>
        <v>#DIV/0!</v>
      </c>
      <c r="F402" t="str">
        <f>IF(A402&gt;0,IF(F401=1,1,IF(B402=Data!$H$4,1,0)),"")</f>
        <v/>
      </c>
      <c r="Y402" s="4"/>
      <c r="Z402" s="4"/>
      <c r="AA402" s="4" t="e">
        <f t="shared" si="275"/>
        <v>#VALUE!</v>
      </c>
      <c r="AE402" s="4" t="str">
        <f t="shared" si="276"/>
        <v/>
      </c>
      <c r="AK402" s="4">
        <f t="shared" si="305"/>
        <v>65.000000000000497</v>
      </c>
      <c r="AL402">
        <f t="shared" si="297"/>
        <v>4801.00000000006</v>
      </c>
      <c r="AM402">
        <f t="shared" si="298"/>
        <v>1491.3333333332516</v>
      </c>
      <c r="AN402">
        <f>IF($AK401+$AK$1&lt;=Data!$H$4-0.5,AVERAGE(AM400:AM404),AN401)</f>
        <v>1498.0833333332291</v>
      </c>
      <c r="AO402">
        <f t="shared" si="299"/>
        <v>6060.99999999994</v>
      </c>
      <c r="AP402">
        <f t="shared" si="306"/>
        <v>1293.3333333332992</v>
      </c>
      <c r="AQ402">
        <f>IF($AK401+$AK$1&lt;=Data!$H$4-0.5,AVERAGE(AP400:AP404),AQ401)</f>
        <v>1296.2933333332892</v>
      </c>
      <c r="AR402">
        <f>IF($AK401+$AK$1&lt;=Data!$H$4-0.5,SLOPE($AN398:$AN406,$AK398:$AK406),AR401)</f>
        <v>-217.91666666658281</v>
      </c>
      <c r="AS402">
        <f>IF($AK401+$AK$1&lt;=Data!$H$4-0.5,SLOPE($AQ398:$AQ406,$AK398:$AK406),AS401)</f>
        <v>-92.666666666629752</v>
      </c>
      <c r="AT402">
        <f>IF(AND($AK402&gt;=Results!$G$13,$AK402&lt;=Results!$G$14),Curves!AR402,"")</f>
        <v>-217.91666666658281</v>
      </c>
      <c r="AU402">
        <f>IF(AND($AK402&gt;=Results!$G$13,$AK402&lt;=Results!$G$14),Curves!AS402,"")</f>
        <v>-92.666666666629752</v>
      </c>
      <c r="AV402" t="str">
        <f t="shared" si="300"/>
        <v/>
      </c>
      <c r="AW402" t="str">
        <f>IF(AND($AK402&lt;=Results!$I$21,$AK402&gt;=Results!$I$20,$AK402&lt;=Results!$F$4),$AN402,"")</f>
        <v/>
      </c>
      <c r="AX402" t="str">
        <f t="shared" si="300"/>
        <v/>
      </c>
      <c r="AY402" t="str">
        <f>IF(AND($AK402&lt;=Results!$I$23,$AK402&gt;=Results!$I$22,$AK402&gt;=Results!$F$4),$AN402,"")</f>
        <v/>
      </c>
      <c r="AZ402" t="str">
        <f t="shared" si="279"/>
        <v/>
      </c>
      <c r="BA402" t="str">
        <f>IF(AND($AK402&lt;=Results!$I$27,$AK402&gt;=Results!$I$26,$AK402&lt;=Results!$F$4),$AQ402,"")</f>
        <v/>
      </c>
      <c r="BB402" t="str">
        <f t="shared" si="280"/>
        <v/>
      </c>
      <c r="BC402" t="str">
        <f>IF(AND($AK402&lt;=Results!$I$29,$AK402&gt;=Results!$I$28,$AK402&gt;=Results!$F$4),$AQ402,"")</f>
        <v/>
      </c>
      <c r="BD402">
        <f t="shared" si="281"/>
        <v>7758.6011023608125</v>
      </c>
      <c r="BE402">
        <f t="shared" si="282"/>
        <v>1319.7461588820133</v>
      </c>
      <c r="BF402">
        <f t="shared" si="283"/>
        <v>8446.7594948379228</v>
      </c>
      <c r="BG402">
        <f t="shared" si="284"/>
        <v>1180.7704134902651</v>
      </c>
      <c r="BH402">
        <f t="shared" si="285"/>
        <v>0</v>
      </c>
      <c r="BI402">
        <f t="shared" si="286"/>
        <v>2.7697032471873606E-2</v>
      </c>
      <c r="BJ402">
        <f t="shared" si="287"/>
        <v>1.5899132045158249E-2</v>
      </c>
      <c r="BK402">
        <f t="shared" si="288"/>
        <v>-2.8371713158317716E-2</v>
      </c>
      <c r="BL402">
        <f t="shared" si="289"/>
        <v>-1.1847345651116009E-2</v>
      </c>
      <c r="BM402">
        <f t="shared" si="301"/>
        <v>120.00000000000226</v>
      </c>
      <c r="BN402">
        <f t="shared" si="302"/>
        <v>-120.00000000000226</v>
      </c>
      <c r="BO402">
        <f>Data!$H$2*(1-BI402)*(1-BI402/Data!$H$3)*BM402</f>
        <v>2.2688953455936444E-4</v>
      </c>
      <c r="BP402">
        <f t="shared" si="290"/>
        <v>-3.3236438966248953</v>
      </c>
      <c r="BQ402">
        <f>Data!$H$2*(1-BJ402)*(1-BJ402/Data!$H$3)*BN402</f>
        <v>-2.3242908439427787E-4</v>
      </c>
      <c r="BR402">
        <f t="shared" si="291"/>
        <v>1.9078958454190258</v>
      </c>
      <c r="BS402">
        <f t="shared" si="292"/>
        <v>0</v>
      </c>
      <c r="BT402">
        <f t="shared" si="293"/>
        <v>0</v>
      </c>
      <c r="BU402">
        <f t="shared" si="294"/>
        <v>0</v>
      </c>
      <c r="BV402">
        <f t="shared" si="277"/>
        <v>0</v>
      </c>
      <c r="BW402">
        <f t="shared" si="303"/>
        <v>0</v>
      </c>
      <c r="BX402" t="str">
        <f t="shared" si="304"/>
        <v/>
      </c>
      <c r="BY402" s="66" t="str">
        <f t="shared" si="295"/>
        <v/>
      </c>
      <c r="BZ402" t="str">
        <f t="shared" si="296"/>
        <v/>
      </c>
      <c r="CA402" s="67" t="str">
        <f t="shared" si="278"/>
        <v/>
      </c>
    </row>
    <row r="403" spans="4:79" x14ac:dyDescent="0.25">
      <c r="D403" s="3" t="e">
        <f t="shared" si="307"/>
        <v>#DIV/0!</v>
      </c>
      <c r="E403" s="3" t="e">
        <f t="shared" si="307"/>
        <v>#DIV/0!</v>
      </c>
      <c r="F403" t="str">
        <f>IF(A403&gt;0,IF(F402=1,1,IF(B403=Data!$H$4,1,0)),"")</f>
        <v/>
      </c>
      <c r="Y403" s="4"/>
      <c r="Z403" s="4"/>
      <c r="AA403" s="4" t="e">
        <f t="shared" si="275"/>
        <v>#VALUE!</v>
      </c>
      <c r="AE403" s="4" t="str">
        <f t="shared" si="276"/>
        <v/>
      </c>
      <c r="AK403" s="4">
        <f t="shared" si="305"/>
        <v>65.100000000000492</v>
      </c>
      <c r="AL403">
        <f t="shared" si="297"/>
        <v>4813.0000000000591</v>
      </c>
      <c r="AM403">
        <f t="shared" si="298"/>
        <v>1475.166666666586</v>
      </c>
      <c r="AN403">
        <f>IF($AK402+$AK$1&lt;=Data!$H$4-0.5,AVERAGE(AM401:AM405),AN402)</f>
        <v>1477.4166666665749</v>
      </c>
      <c r="AO403">
        <f t="shared" si="299"/>
        <v>6048.9999999999409</v>
      </c>
      <c r="AP403">
        <f t="shared" si="306"/>
        <v>1286.5333333332997</v>
      </c>
      <c r="AQ403">
        <f>IF($AK402+$AK$1&lt;=Data!$H$4-0.5,AVERAGE(AP401:AP405),AQ402)</f>
        <v>1287.5199999999613</v>
      </c>
      <c r="AR403">
        <f>IF($AK402+$AK$1&lt;=Data!$H$4-0.5,SLOPE($AN399:$AN407,$AK399:$AK407),AR402)</f>
        <v>-201.04166666659208</v>
      </c>
      <c r="AS403">
        <f>IF($AK402+$AK$1&lt;=Data!$H$4-0.5,SLOPE($AQ399:$AQ407,$AK399:$AK407),AS402)</f>
        <v>-85.266666666633981</v>
      </c>
      <c r="AT403">
        <f>IF(AND($AK403&gt;=Results!$G$13,$AK403&lt;=Results!$G$14),Curves!AR403,"")</f>
        <v>-201.04166666659208</v>
      </c>
      <c r="AU403">
        <f>IF(AND($AK403&gt;=Results!$G$13,$AK403&lt;=Results!$G$14),Curves!AS403,"")</f>
        <v>-85.266666666633981</v>
      </c>
      <c r="AV403" t="str">
        <f t="shared" si="300"/>
        <v/>
      </c>
      <c r="AW403" t="str">
        <f>IF(AND($AK403&lt;=Results!$I$21,$AK403&gt;=Results!$I$20,$AK403&lt;=Results!$F$4),$AN403,"")</f>
        <v/>
      </c>
      <c r="AX403" t="str">
        <f t="shared" si="300"/>
        <v/>
      </c>
      <c r="AY403" t="str">
        <f>IF(AND($AK403&lt;=Results!$I$23,$AK403&gt;=Results!$I$22,$AK403&gt;=Results!$F$4),$AN403,"")</f>
        <v/>
      </c>
      <c r="AZ403" t="str">
        <f t="shared" si="279"/>
        <v/>
      </c>
      <c r="BA403" t="str">
        <f>IF(AND($AK403&lt;=Results!$I$27,$AK403&gt;=Results!$I$26,$AK403&lt;=Results!$F$4),$AQ403,"")</f>
        <v/>
      </c>
      <c r="BB403" t="str">
        <f t="shared" si="280"/>
        <v/>
      </c>
      <c r="BC403" t="str">
        <f>IF(AND($AK403&lt;=Results!$I$29,$AK403&gt;=Results!$I$28,$AK403&gt;=Results!$F$4),$AQ403,"")</f>
        <v/>
      </c>
      <c r="BD403">
        <f t="shared" si="281"/>
        <v>7747.8309075628931</v>
      </c>
      <c r="BE403">
        <f t="shared" si="282"/>
        <v>1316.4303696326924</v>
      </c>
      <c r="BF403">
        <f t="shared" si="283"/>
        <v>8439.4695126050301</v>
      </c>
      <c r="BG403">
        <f t="shared" si="284"/>
        <v>1180.2196125307401</v>
      </c>
      <c r="BH403">
        <f t="shared" si="285"/>
        <v>0</v>
      </c>
      <c r="BI403">
        <f t="shared" si="286"/>
        <v>2.5031297006684716E-2</v>
      </c>
      <c r="BJ403">
        <f t="shared" si="287"/>
        <v>1.4781194881873794E-2</v>
      </c>
      <c r="BK403">
        <f t="shared" si="288"/>
        <v>-2.4937028073829554E-2</v>
      </c>
      <c r="BL403">
        <f t="shared" si="289"/>
        <v>-1.0509535529220113E-2</v>
      </c>
      <c r="BM403">
        <f t="shared" si="301"/>
        <v>119.99999999999771</v>
      </c>
      <c r="BN403">
        <f t="shared" si="302"/>
        <v>-119.99999999999771</v>
      </c>
      <c r="BO403">
        <f>Data!$H$2*(1-BI403)*(1-BI403/Data!$H$3)*BM403</f>
        <v>2.2813535323594784E-4</v>
      </c>
      <c r="BP403">
        <f t="shared" si="290"/>
        <v>-3.0037556408021087</v>
      </c>
      <c r="BQ403">
        <f>Data!$H$2*(1-BJ403)*(1-BJ403/Data!$H$3)*BN403</f>
        <v>-2.3295746255000874E-4</v>
      </c>
      <c r="BR403">
        <f t="shared" si="291"/>
        <v>1.7737433858248215</v>
      </c>
      <c r="BS403">
        <f t="shared" si="292"/>
        <v>0</v>
      </c>
      <c r="BT403">
        <f t="shared" si="293"/>
        <v>0</v>
      </c>
      <c r="BU403">
        <f t="shared" si="294"/>
        <v>0</v>
      </c>
      <c r="BV403">
        <f t="shared" si="277"/>
        <v>0</v>
      </c>
      <c r="BW403">
        <f t="shared" si="303"/>
        <v>0</v>
      </c>
      <c r="BX403" t="str">
        <f t="shared" si="304"/>
        <v/>
      </c>
      <c r="BY403" s="66" t="str">
        <f t="shared" si="295"/>
        <v/>
      </c>
      <c r="BZ403" t="str">
        <f t="shared" si="296"/>
        <v/>
      </c>
      <c r="CA403" s="67" t="str">
        <f t="shared" si="278"/>
        <v/>
      </c>
    </row>
    <row r="404" spans="4:79" x14ac:dyDescent="0.25">
      <c r="D404" s="3" t="e">
        <f t="shared" si="307"/>
        <v>#DIV/0!</v>
      </c>
      <c r="E404" s="3" t="e">
        <f t="shared" si="307"/>
        <v>#DIV/0!</v>
      </c>
      <c r="F404" t="str">
        <f>IF(A404&gt;0,IF(F403=1,1,IF(B404=Data!$H$4,1,0)),"")</f>
        <v/>
      </c>
      <c r="Y404" s="4"/>
      <c r="Z404" s="4"/>
      <c r="AA404" s="4" t="e">
        <f t="shared" si="275"/>
        <v>#VALUE!</v>
      </c>
      <c r="AE404" s="4" t="str">
        <f t="shared" si="276"/>
        <v/>
      </c>
      <c r="AK404" s="4">
        <f t="shared" si="305"/>
        <v>65.200000000000486</v>
      </c>
      <c r="AL404">
        <f t="shared" si="297"/>
        <v>4825.0000000000582</v>
      </c>
      <c r="AM404">
        <f t="shared" si="298"/>
        <v>1458.9999999999204</v>
      </c>
      <c r="AN404">
        <f>IF($AK403+$AK$1&lt;=Data!$H$4-0.5,AVERAGE(AM402:AM406),AN403)</f>
        <v>1458.9999999999204</v>
      </c>
      <c r="AO404">
        <f t="shared" si="299"/>
        <v>6036.9999999999418</v>
      </c>
      <c r="AP404">
        <f t="shared" si="306"/>
        <v>1279.7333333332999</v>
      </c>
      <c r="AQ404">
        <f>IF($AK403+$AK$1&lt;=Data!$H$4-0.5,AVERAGE(AP402:AP406),AQ403)</f>
        <v>1279.7333333332999</v>
      </c>
      <c r="AR404">
        <f>IF($AK403+$AK$1&lt;=Data!$H$4-0.5,SLOPE($AN400:$AN408,$AK400:$AK408),AR403)</f>
        <v>-186.04166666661038</v>
      </c>
      <c r="AS404">
        <f>IF($AK403+$AK$1&lt;=Data!$H$4-0.5,SLOPE($AQ400:$AQ408,$AK400:$AK408),AS403)</f>
        <v>-78.688888888864426</v>
      </c>
      <c r="AT404">
        <f>IF(AND($AK404&gt;=Results!$G$13,$AK404&lt;=Results!$G$14),Curves!AR404,"")</f>
        <v>-186.04166666661038</v>
      </c>
      <c r="AU404">
        <f>IF(AND($AK404&gt;=Results!$G$13,$AK404&lt;=Results!$G$14),Curves!AS404,"")</f>
        <v>-78.688888888864426</v>
      </c>
      <c r="AV404" t="str">
        <f t="shared" si="300"/>
        <v/>
      </c>
      <c r="AW404" t="str">
        <f>IF(AND($AK404&lt;=Results!$I$21,$AK404&gt;=Results!$I$20,$AK404&lt;=Results!$F$4),$AN404,"")</f>
        <v/>
      </c>
      <c r="AX404" t="str">
        <f t="shared" si="300"/>
        <v/>
      </c>
      <c r="AY404" t="str">
        <f>IF(AND($AK404&lt;=Results!$I$23,$AK404&gt;=Results!$I$22,$AK404&gt;=Results!$F$4),$AN404,"")</f>
        <v/>
      </c>
      <c r="AZ404" t="str">
        <f t="shared" si="279"/>
        <v/>
      </c>
      <c r="BA404" t="str">
        <f>IF(AND($AK404&lt;=Results!$I$27,$AK404&gt;=Results!$I$26,$AK404&lt;=Results!$F$4),$AQ404,"")</f>
        <v/>
      </c>
      <c r="BB404" t="str">
        <f t="shared" si="280"/>
        <v/>
      </c>
      <c r="BC404" t="str">
        <f>IF(AND($AK404&lt;=Results!$I$29,$AK404&gt;=Results!$I$28,$AK404&gt;=Results!$F$4),$AQ404,"")</f>
        <v/>
      </c>
      <c r="BD404">
        <f t="shared" si="281"/>
        <v>7737.0607127649746</v>
      </c>
      <c r="BE404">
        <f t="shared" si="282"/>
        <v>1313.114580383372</v>
      </c>
      <c r="BF404">
        <f t="shared" si="283"/>
        <v>8432.1795303721374</v>
      </c>
      <c r="BG404">
        <f t="shared" si="284"/>
        <v>1179.6688115712152</v>
      </c>
      <c r="BH404">
        <f t="shared" si="285"/>
        <v>0</v>
      </c>
      <c r="BI404">
        <f t="shared" si="286"/>
        <v>2.2709626857107978E-2</v>
      </c>
      <c r="BJ404">
        <f t="shared" si="287"/>
        <v>1.3797224939314345E-2</v>
      </c>
      <c r="BK404">
        <f t="shared" si="288"/>
        <v>-2.1490379112280689E-2</v>
      </c>
      <c r="BL404">
        <f t="shared" si="289"/>
        <v>-9.1679943090322222E-3</v>
      </c>
      <c r="BM404">
        <f t="shared" si="301"/>
        <v>119.99999999999771</v>
      </c>
      <c r="BN404">
        <f t="shared" si="302"/>
        <v>-119.99999999999771</v>
      </c>
      <c r="BO404">
        <f>Data!$H$2*(1-BI404)*(1-BI404/Data!$H$3)*BM404</f>
        <v>2.2922315362506118E-4</v>
      </c>
      <c r="BP404">
        <f t="shared" si="290"/>
        <v>-2.7251552228529055</v>
      </c>
      <c r="BQ404">
        <f>Data!$H$2*(1-BJ404)*(1-BJ404/Data!$H$3)*BN404</f>
        <v>-2.3342301924897092E-4</v>
      </c>
      <c r="BR404">
        <f t="shared" si="291"/>
        <v>1.6556669927176899</v>
      </c>
      <c r="BS404">
        <f t="shared" si="292"/>
        <v>0</v>
      </c>
      <c r="BT404">
        <f t="shared" si="293"/>
        <v>0</v>
      </c>
      <c r="BU404">
        <f t="shared" si="294"/>
        <v>0</v>
      </c>
      <c r="BV404">
        <f t="shared" si="277"/>
        <v>0</v>
      </c>
      <c r="BW404">
        <f t="shared" si="303"/>
        <v>0</v>
      </c>
      <c r="BX404" t="str">
        <f t="shared" si="304"/>
        <v/>
      </c>
      <c r="BY404" s="66" t="str">
        <f t="shared" si="295"/>
        <v/>
      </c>
      <c r="BZ404" t="str">
        <f t="shared" si="296"/>
        <v/>
      </c>
      <c r="CA404" s="67" t="str">
        <f t="shared" si="278"/>
        <v/>
      </c>
    </row>
    <row r="405" spans="4:79" x14ac:dyDescent="0.25">
      <c r="D405" s="3" t="e">
        <f t="shared" si="307"/>
        <v>#DIV/0!</v>
      </c>
      <c r="E405" s="3" t="e">
        <f t="shared" si="307"/>
        <v>#DIV/0!</v>
      </c>
      <c r="F405" t="str">
        <f>IF(A405&gt;0,IF(F404=1,1,IF(B405=Data!$H$4,1,0)),"")</f>
        <v/>
      </c>
      <c r="Y405" s="4"/>
      <c r="Z405" s="4"/>
      <c r="AA405" s="4" t="e">
        <f t="shared" si="275"/>
        <v>#VALUE!</v>
      </c>
      <c r="AE405" s="4" t="str">
        <f t="shared" si="276"/>
        <v/>
      </c>
      <c r="AK405" s="4">
        <f t="shared" si="305"/>
        <v>65.30000000000048</v>
      </c>
      <c r="AL405">
        <f t="shared" si="297"/>
        <v>4837.0000000000573</v>
      </c>
      <c r="AM405">
        <f t="shared" si="298"/>
        <v>1442.8333333332546</v>
      </c>
      <c r="AN405">
        <f>IF($AK404+$AK$1&lt;=Data!$H$4-0.5,AVERAGE(AM403:AM407),AN404)</f>
        <v>1442.8333333332546</v>
      </c>
      <c r="AO405">
        <f t="shared" si="299"/>
        <v>6024.9999999999427</v>
      </c>
      <c r="AP405">
        <f t="shared" si="306"/>
        <v>1272.9333333333004</v>
      </c>
      <c r="AQ405">
        <f>IF($AK404+$AK$1&lt;=Data!$H$4-0.5,AVERAGE(AP403:AP407),AQ404)</f>
        <v>1272.9333333333002</v>
      </c>
      <c r="AR405">
        <f>IF($AK404+$AK$1&lt;=Data!$H$4-0.5,SLOPE($AN401:$AN409,$AK401:$AK409),AR404)</f>
        <v>-174.79166666662888</v>
      </c>
      <c r="AS405">
        <f>IF($AK404+$AK$1&lt;=Data!$H$4-0.5,SLOPE($AQ401:$AQ409,$AK401:$AK409),AS404)</f>
        <v>-73.755555555539161</v>
      </c>
      <c r="AT405">
        <f>IF(AND($AK405&gt;=Results!$G$13,$AK405&lt;=Results!$G$14),Curves!AR405,"")</f>
        <v>-174.79166666662888</v>
      </c>
      <c r="AU405">
        <f>IF(AND($AK405&gt;=Results!$G$13,$AK405&lt;=Results!$G$14),Curves!AS405,"")</f>
        <v>-73.755555555539161</v>
      </c>
      <c r="AV405" t="str">
        <f t="shared" si="300"/>
        <v/>
      </c>
      <c r="AW405" t="str">
        <f>IF(AND($AK405&lt;=Results!$I$21,$AK405&gt;=Results!$I$20,$AK405&lt;=Results!$F$4),$AN405,"")</f>
        <v/>
      </c>
      <c r="AX405" t="str">
        <f t="shared" si="300"/>
        <v/>
      </c>
      <c r="AY405" t="str">
        <f>IF(AND($AK405&lt;=Results!$I$23,$AK405&gt;=Results!$I$22,$AK405&gt;=Results!$F$4),$AN405,"")</f>
        <v/>
      </c>
      <c r="AZ405" t="str">
        <f t="shared" si="279"/>
        <v/>
      </c>
      <c r="BA405" t="str">
        <f>IF(AND($AK405&lt;=Results!$I$27,$AK405&gt;=Results!$I$26,$AK405&lt;=Results!$F$4),$AQ405,"")</f>
        <v/>
      </c>
      <c r="BB405" t="str">
        <f t="shared" si="280"/>
        <v/>
      </c>
      <c r="BC405" t="str">
        <f>IF(AND($AK405&lt;=Results!$I$29,$AK405&gt;=Results!$I$28,$AK405&gt;=Results!$F$4),$AQ405,"")</f>
        <v/>
      </c>
      <c r="BD405">
        <f t="shared" si="281"/>
        <v>7726.2905179670552</v>
      </c>
      <c r="BE405">
        <f t="shared" si="282"/>
        <v>1309.7987911340515</v>
      </c>
      <c r="BF405">
        <f t="shared" si="283"/>
        <v>8424.8895481392465</v>
      </c>
      <c r="BG405">
        <f t="shared" si="284"/>
        <v>1179.1180106116904</v>
      </c>
      <c r="BH405">
        <f t="shared" si="285"/>
        <v>0</v>
      </c>
      <c r="BI405">
        <f t="shared" si="286"/>
        <v>2.0733221184228823E-2</v>
      </c>
      <c r="BJ405">
        <f t="shared" si="287"/>
        <v>1.2947596020067453E-2</v>
      </c>
      <c r="BK405">
        <f t="shared" si="288"/>
        <v>-1.9787044470438456E-2</v>
      </c>
      <c r="BL405">
        <f t="shared" si="289"/>
        <v>-8.5041988177064036E-3</v>
      </c>
      <c r="BM405">
        <f t="shared" si="301"/>
        <v>120.00000000000226</v>
      </c>
      <c r="BN405">
        <f t="shared" si="302"/>
        <v>-120.00000000000226</v>
      </c>
      <c r="BO405">
        <f>Data!$H$2*(1-BI405)*(1-BI405/Data!$H$3)*BM405</f>
        <v>2.3015122178213628E-4</v>
      </c>
      <c r="BP405">
        <f t="shared" si="290"/>
        <v>-2.4879865421075054</v>
      </c>
      <c r="BQ405">
        <f>Data!$H$2*(1-BJ405)*(1-BJ405/Data!$H$3)*BN405</f>
        <v>-2.3382538756861973E-4</v>
      </c>
      <c r="BR405">
        <f t="shared" si="291"/>
        <v>1.5537115224081237</v>
      </c>
      <c r="BS405">
        <f t="shared" si="292"/>
        <v>0</v>
      </c>
      <c r="BT405">
        <f t="shared" si="293"/>
        <v>0</v>
      </c>
      <c r="BU405">
        <f t="shared" si="294"/>
        <v>0</v>
      </c>
      <c r="BV405">
        <f t="shared" si="277"/>
        <v>0</v>
      </c>
      <c r="BW405">
        <f t="shared" si="303"/>
        <v>0</v>
      </c>
      <c r="BX405" t="str">
        <f t="shared" si="304"/>
        <v/>
      </c>
      <c r="BY405" s="66" t="str">
        <f t="shared" si="295"/>
        <v/>
      </c>
      <c r="BZ405" t="str">
        <f t="shared" si="296"/>
        <v/>
      </c>
      <c r="CA405" s="67" t="str">
        <f t="shared" si="278"/>
        <v/>
      </c>
    </row>
    <row r="406" spans="4:79" x14ac:dyDescent="0.25">
      <c r="D406" s="3" t="e">
        <f t="shared" si="307"/>
        <v>#DIV/0!</v>
      </c>
      <c r="E406" s="3" t="e">
        <f t="shared" si="307"/>
        <v>#DIV/0!</v>
      </c>
      <c r="F406" t="str">
        <f>IF(A406&gt;0,IF(F405=1,1,IF(B406=Data!$H$4,1,0)),"")</f>
        <v/>
      </c>
      <c r="Y406" s="4"/>
      <c r="Z406" s="4"/>
      <c r="AA406" s="4" t="e">
        <f t="shared" si="275"/>
        <v>#VALUE!</v>
      </c>
      <c r="AE406" s="4" t="str">
        <f t="shared" si="276"/>
        <v/>
      </c>
      <c r="AK406" s="4">
        <f t="shared" si="305"/>
        <v>65.400000000000475</v>
      </c>
      <c r="AL406">
        <f t="shared" si="297"/>
        <v>4849.0000000000573</v>
      </c>
      <c r="AM406">
        <f t="shared" si="298"/>
        <v>1426.666666666589</v>
      </c>
      <c r="AN406">
        <f>IF($AK405+$AK$1&lt;=Data!$H$4-0.5,AVERAGE(AM404:AM408),AN405)</f>
        <v>1426.666666666589</v>
      </c>
      <c r="AO406">
        <f t="shared" si="299"/>
        <v>6012.9999999999427</v>
      </c>
      <c r="AP406">
        <f t="shared" si="306"/>
        <v>1266.1333333333007</v>
      </c>
      <c r="AQ406">
        <f>IF($AK405+$AK$1&lt;=Data!$H$4-0.5,AVERAGE(AP404:AP408),AQ405)</f>
        <v>1266.1333333333009</v>
      </c>
      <c r="AR406">
        <f>IF($AK405+$AK$1&lt;=Data!$H$4-0.5,SLOPE($AN402:$AN410,$AK402:$AK410),AR405)</f>
        <v>-167.29166666664122</v>
      </c>
      <c r="AS406">
        <f>IF($AK405+$AK$1&lt;=Data!$H$4-0.5,SLOPE($AQ402:$AQ410,$AK402:$AK410),AS405)</f>
        <v>-70.46666666665584</v>
      </c>
      <c r="AT406">
        <f>IF(AND($AK406&gt;=Results!$G$13,$AK406&lt;=Results!$G$14),Curves!AR406,"")</f>
        <v>-167.29166666664122</v>
      </c>
      <c r="AU406">
        <f>IF(AND($AK406&gt;=Results!$G$13,$AK406&lt;=Results!$G$14),Curves!AS406,"")</f>
        <v>-70.46666666665584</v>
      </c>
      <c r="AV406" t="str">
        <f t="shared" si="300"/>
        <v/>
      </c>
      <c r="AW406" t="str">
        <f>IF(AND($AK406&lt;=Results!$I$21,$AK406&gt;=Results!$I$20,$AK406&lt;=Results!$F$4),$AN406,"")</f>
        <v/>
      </c>
      <c r="AX406" t="str">
        <f t="shared" si="300"/>
        <v/>
      </c>
      <c r="AY406" t="str">
        <f>IF(AND($AK406&lt;=Results!$I$23,$AK406&gt;=Results!$I$22,$AK406&gt;=Results!$F$4),$AN406,"")</f>
        <v/>
      </c>
      <c r="AZ406" t="str">
        <f t="shared" si="279"/>
        <v/>
      </c>
      <c r="BA406" t="str">
        <f>IF(AND($AK406&lt;=Results!$I$27,$AK406&gt;=Results!$I$26,$AK406&lt;=Results!$F$4),$AQ406,"")</f>
        <v/>
      </c>
      <c r="BB406" t="str">
        <f t="shared" si="280"/>
        <v/>
      </c>
      <c r="BC406" t="str">
        <f>IF(AND($AK406&lt;=Results!$I$29,$AK406&gt;=Results!$I$28,$AK406&gt;=Results!$F$4),$AQ406,"")</f>
        <v/>
      </c>
      <c r="BD406">
        <f t="shared" si="281"/>
        <v>7715.5203231691366</v>
      </c>
      <c r="BE406">
        <f t="shared" si="282"/>
        <v>1306.483001884731</v>
      </c>
      <c r="BF406">
        <f t="shared" si="283"/>
        <v>8417.5995659063519</v>
      </c>
      <c r="BG406">
        <f t="shared" si="284"/>
        <v>1178.5672096521653</v>
      </c>
      <c r="BH406">
        <f t="shared" si="285"/>
        <v>0</v>
      </c>
      <c r="BI406">
        <f t="shared" si="286"/>
        <v>1.8752217963020512E-2</v>
      </c>
      <c r="BJ406">
        <f t="shared" si="287"/>
        <v>1.2096385175773161E-2</v>
      </c>
      <c r="BK406">
        <f t="shared" si="288"/>
        <v>-1.983310025884534E-2</v>
      </c>
      <c r="BL406">
        <f t="shared" si="289"/>
        <v>-8.5200401791751083E-3</v>
      </c>
      <c r="BM406">
        <f t="shared" si="301"/>
        <v>120.00000000000226</v>
      </c>
      <c r="BN406">
        <f t="shared" si="302"/>
        <v>-120.00000000000226</v>
      </c>
      <c r="BO406">
        <f>Data!$H$2*(1-BI406)*(1-BI406/Data!$H$3)*BM406</f>
        <v>2.3108333034060232E-4</v>
      </c>
      <c r="BP406">
        <f t="shared" si="290"/>
        <v>-2.2502661555625036</v>
      </c>
      <c r="BQ406">
        <f>Data!$H$2*(1-BJ406)*(1-BJ406/Data!$H$3)*BN406</f>
        <v>-2.3422885252387027E-4</v>
      </c>
      <c r="BR406">
        <f t="shared" si="291"/>
        <v>1.4515662210928066</v>
      </c>
      <c r="BS406">
        <f t="shared" si="292"/>
        <v>0</v>
      </c>
      <c r="BT406">
        <f t="shared" si="293"/>
        <v>0</v>
      </c>
      <c r="BU406">
        <f t="shared" si="294"/>
        <v>0</v>
      </c>
      <c r="BV406">
        <f t="shared" si="277"/>
        <v>0</v>
      </c>
      <c r="BW406">
        <f t="shared" si="303"/>
        <v>0</v>
      </c>
      <c r="BX406" t="str">
        <f t="shared" si="304"/>
        <v/>
      </c>
      <c r="BY406" s="66" t="str">
        <f t="shared" si="295"/>
        <v/>
      </c>
      <c r="BZ406" t="str">
        <f t="shared" si="296"/>
        <v/>
      </c>
      <c r="CA406" s="67" t="str">
        <f t="shared" si="278"/>
        <v/>
      </c>
    </row>
    <row r="407" spans="4:79" x14ac:dyDescent="0.25">
      <c r="D407" s="3" t="e">
        <f t="shared" si="307"/>
        <v>#DIV/0!</v>
      </c>
      <c r="E407" s="3" t="e">
        <f t="shared" si="307"/>
        <v>#DIV/0!</v>
      </c>
      <c r="F407" t="str">
        <f>IF(A407&gt;0,IF(F406=1,1,IF(B407=Data!$H$4,1,0)),"")</f>
        <v/>
      </c>
      <c r="Y407" s="4"/>
      <c r="Z407" s="4"/>
      <c r="AA407" s="4" t="e">
        <f t="shared" si="275"/>
        <v>#VALUE!</v>
      </c>
      <c r="AE407" s="4" t="str">
        <f t="shared" si="276"/>
        <v/>
      </c>
      <c r="AK407" s="4">
        <f t="shared" si="305"/>
        <v>65.500000000000469</v>
      </c>
      <c r="AL407">
        <f t="shared" si="297"/>
        <v>4861.0000000000564</v>
      </c>
      <c r="AM407">
        <f t="shared" si="298"/>
        <v>1410.4999999999234</v>
      </c>
      <c r="AN407">
        <f>IF($AK406+$AK$1&lt;=Data!$H$4-0.5,AVERAGE(AM405:AM409),AN406)</f>
        <v>1410.4999999999231</v>
      </c>
      <c r="AO407">
        <f t="shared" si="299"/>
        <v>6000.9999999999436</v>
      </c>
      <c r="AP407">
        <f t="shared" si="306"/>
        <v>1259.3333333333012</v>
      </c>
      <c r="AQ407">
        <f>IF($AK406+$AK$1&lt;=Data!$H$4-0.5,AVERAGE(AP405:AP409),AQ406)</f>
        <v>1259.333333333301</v>
      </c>
      <c r="AR407">
        <f>IF($AK406+$AK$1&lt;=Data!$H$4-0.5,SLOPE($AN403:$AN411,$AK403:$AK411),AR406)</f>
        <v>-162.16888888886871</v>
      </c>
      <c r="AS407">
        <f>IF($AK406+$AK$1&lt;=Data!$H$4-0.5,SLOPE($AQ403:$AQ411,$AK403:$AK411),AS406)</f>
        <v>-68.244444444436169</v>
      </c>
      <c r="AT407">
        <f>IF(AND($AK407&gt;=Results!$G$13,$AK407&lt;=Results!$G$14),Curves!AR407,"")</f>
        <v>-162.16888888886871</v>
      </c>
      <c r="AU407">
        <f>IF(AND($AK407&gt;=Results!$G$13,$AK407&lt;=Results!$G$14),Curves!AS407,"")</f>
        <v>-68.244444444436169</v>
      </c>
      <c r="AV407" t="str">
        <f t="shared" si="300"/>
        <v/>
      </c>
      <c r="AW407" t="str">
        <f>IF(AND($AK407&lt;=Results!$I$21,$AK407&gt;=Results!$I$20,$AK407&lt;=Results!$F$4),$AN407,"")</f>
        <v/>
      </c>
      <c r="AX407" t="str">
        <f t="shared" si="300"/>
        <v/>
      </c>
      <c r="AY407" t="str">
        <f>IF(AND($AK407&lt;=Results!$I$23,$AK407&gt;=Results!$I$22,$AK407&gt;=Results!$F$4),$AN407,"")</f>
        <v/>
      </c>
      <c r="AZ407" t="str">
        <f t="shared" si="279"/>
        <v/>
      </c>
      <c r="BA407" t="str">
        <f>IF(AND($AK407&lt;=Results!$I$27,$AK407&gt;=Results!$I$26,$AK407&lt;=Results!$F$4),$AQ407,"")</f>
        <v/>
      </c>
      <c r="BB407" t="str">
        <f t="shared" si="280"/>
        <v/>
      </c>
      <c r="BC407" t="str">
        <f>IF(AND($AK407&lt;=Results!$I$29,$AK407&gt;=Results!$I$28,$AK407&gt;=Results!$F$4),$AQ407,"")</f>
        <v/>
      </c>
      <c r="BD407">
        <f t="shared" si="281"/>
        <v>7704.7501283712181</v>
      </c>
      <c r="BE407">
        <f t="shared" si="282"/>
        <v>1303.1672126354101</v>
      </c>
      <c r="BF407">
        <f t="shared" si="283"/>
        <v>8410.309583673461</v>
      </c>
      <c r="BG407">
        <f t="shared" si="284"/>
        <v>1178.0164086926402</v>
      </c>
      <c r="BH407">
        <f t="shared" si="285"/>
        <v>0</v>
      </c>
      <c r="BI407">
        <f t="shared" si="286"/>
        <v>1.676660113245998E-2</v>
      </c>
      <c r="BJ407">
        <f t="shared" si="287"/>
        <v>1.1243587984232528E-2</v>
      </c>
      <c r="BK407">
        <f t="shared" si="288"/>
        <v>-1.9879317031965014E-2</v>
      </c>
      <c r="BL407">
        <f t="shared" si="289"/>
        <v>-8.5359258451244546E-3</v>
      </c>
      <c r="BM407">
        <f t="shared" si="301"/>
        <v>119.99999999999771</v>
      </c>
      <c r="BN407">
        <f t="shared" si="302"/>
        <v>-119.99999999999771</v>
      </c>
      <c r="BO407">
        <f>Data!$H$2*(1-BI407)*(1-BI407/Data!$H$3)*BM407</f>
        <v>2.3201949999566317E-4</v>
      </c>
      <c r="BP407">
        <f t="shared" si="290"/>
        <v>-2.0119921358951594</v>
      </c>
      <c r="BQ407">
        <f>Data!$H$2*(1-BJ407)*(1-BJ407/Data!$H$3)*BN407</f>
        <v>-2.3463341815254608E-4</v>
      </c>
      <c r="BR407">
        <f t="shared" si="291"/>
        <v>1.3492305581078776</v>
      </c>
      <c r="BS407">
        <f t="shared" si="292"/>
        <v>0</v>
      </c>
      <c r="BT407">
        <f t="shared" si="293"/>
        <v>0</v>
      </c>
      <c r="BU407">
        <f t="shared" si="294"/>
        <v>0</v>
      </c>
      <c r="BV407">
        <f t="shared" si="277"/>
        <v>0</v>
      </c>
      <c r="BW407">
        <f t="shared" si="303"/>
        <v>0</v>
      </c>
      <c r="BX407" t="str">
        <f t="shared" si="304"/>
        <v/>
      </c>
      <c r="BY407" s="66" t="str">
        <f t="shared" si="295"/>
        <v/>
      </c>
      <c r="BZ407" t="str">
        <f t="shared" si="296"/>
        <v/>
      </c>
      <c r="CA407" s="67" t="str">
        <f t="shared" si="278"/>
        <v/>
      </c>
    </row>
    <row r="408" spans="4:79" x14ac:dyDescent="0.25">
      <c r="D408" s="3" t="e">
        <f t="shared" si="307"/>
        <v>#DIV/0!</v>
      </c>
      <c r="E408" s="3" t="e">
        <f t="shared" si="307"/>
        <v>#DIV/0!</v>
      </c>
      <c r="F408" t="str">
        <f>IF(A408&gt;0,IF(F407=1,1,IF(B408=Data!$H$4,1,0)),"")</f>
        <v/>
      </c>
      <c r="Y408" s="4"/>
      <c r="Z408" s="4"/>
      <c r="AA408" s="4" t="e">
        <f t="shared" si="275"/>
        <v>#VALUE!</v>
      </c>
      <c r="AE408" s="4" t="str">
        <f t="shared" si="276"/>
        <v/>
      </c>
      <c r="AK408" s="4">
        <f t="shared" si="305"/>
        <v>65.600000000000463</v>
      </c>
      <c r="AL408">
        <f t="shared" si="297"/>
        <v>4873.0000000000555</v>
      </c>
      <c r="AM408">
        <f t="shared" si="298"/>
        <v>1394.3333333332575</v>
      </c>
      <c r="AN408">
        <f>IF($AK407+$AK$1&lt;=Data!$H$4-0.5,AVERAGE(AM406:AM410),AN407)</f>
        <v>1394.3333333332578</v>
      </c>
      <c r="AO408">
        <f t="shared" si="299"/>
        <v>5988.9999999999445</v>
      </c>
      <c r="AP408">
        <f t="shared" si="306"/>
        <v>1252.5333333333015</v>
      </c>
      <c r="AQ408">
        <f>IF($AK407+$AK$1&lt;=Data!$H$4-0.5,AVERAGE(AP406:AP410),AQ407)</f>
        <v>1252.5333333333015</v>
      </c>
      <c r="AR408">
        <f>IF($AK407+$AK$1&lt;=Data!$H$4-0.5,SLOPE($AN404:$AN412,$AK404:$AK412),AR407)</f>
        <v>-157.92499999997727</v>
      </c>
      <c r="AS408">
        <f>IF($AK407+$AK$1&lt;=Data!$H$4-0.5,SLOPE($AQ404:$AQ412,$AK404:$AK412),AS407)</f>
        <v>-66.449999999990865</v>
      </c>
      <c r="AT408">
        <f>IF(AND($AK408&gt;=Results!$G$13,$AK408&lt;=Results!$G$14),Curves!AR408,"")</f>
        <v>-157.92499999997727</v>
      </c>
      <c r="AU408">
        <f>IF(AND($AK408&gt;=Results!$G$13,$AK408&lt;=Results!$G$14),Curves!AS408,"")</f>
        <v>-66.449999999990865</v>
      </c>
      <c r="AV408" t="str">
        <f t="shared" si="300"/>
        <v/>
      </c>
      <c r="AW408" t="str">
        <f>IF(AND($AK408&lt;=Results!$I$21,$AK408&gt;=Results!$I$20,$AK408&lt;=Results!$F$4),$AN408,"")</f>
        <v/>
      </c>
      <c r="AX408" t="str">
        <f t="shared" si="300"/>
        <v/>
      </c>
      <c r="AY408" t="str">
        <f>IF(AND($AK408&lt;=Results!$I$23,$AK408&gt;=Results!$I$22,$AK408&gt;=Results!$F$4),$AN408,"")</f>
        <v/>
      </c>
      <c r="AZ408" t="str">
        <f t="shared" si="279"/>
        <v/>
      </c>
      <c r="BA408" t="str">
        <f>IF(AND($AK408&lt;=Results!$I$27,$AK408&gt;=Results!$I$26,$AK408&lt;=Results!$F$4),$AQ408,"")</f>
        <v/>
      </c>
      <c r="BB408" t="str">
        <f t="shared" si="280"/>
        <v/>
      </c>
      <c r="BC408" t="str">
        <f>IF(AND($AK408&lt;=Results!$I$29,$AK408&gt;=Results!$I$28,$AK408&gt;=Results!$F$4),$AQ408,"")</f>
        <v/>
      </c>
      <c r="BD408">
        <f t="shared" si="281"/>
        <v>7693.9799335732987</v>
      </c>
      <c r="BE408">
        <f t="shared" si="282"/>
        <v>1299.8514233860897</v>
      </c>
      <c r="BF408">
        <f t="shared" si="283"/>
        <v>8403.0196014405665</v>
      </c>
      <c r="BG408">
        <f t="shared" si="284"/>
        <v>1177.4656077331153</v>
      </c>
      <c r="BH408">
        <f t="shared" si="285"/>
        <v>0</v>
      </c>
      <c r="BI408">
        <f t="shared" si="286"/>
        <v>1.4776354556627735E-2</v>
      </c>
      <c r="BJ408">
        <f t="shared" si="287"/>
        <v>1.0389200006748367E-2</v>
      </c>
      <c r="BK408">
        <f t="shared" si="288"/>
        <v>-1.9925695540954934E-2</v>
      </c>
      <c r="BL408">
        <f t="shared" si="289"/>
        <v>-8.5518559809193827E-3</v>
      </c>
      <c r="BM408">
        <f t="shared" si="301"/>
        <v>119.99999999999771</v>
      </c>
      <c r="BN408">
        <f t="shared" si="302"/>
        <v>-119.99999999999771</v>
      </c>
      <c r="BO408">
        <f>Data!$H$2*(1-BI408)*(1-BI408/Data!$H$3)*BM408</f>
        <v>2.3295975156977021E-4</v>
      </c>
      <c r="BP408">
        <f t="shared" si="290"/>
        <v>-1.7731625467952945</v>
      </c>
      <c r="BQ408">
        <f>Data!$H$2*(1-BJ408)*(1-BJ408/Data!$H$3)*BN408</f>
        <v>-2.3503908851118353E-4</v>
      </c>
      <c r="BR408">
        <f t="shared" si="291"/>
        <v>1.2467040008097803</v>
      </c>
      <c r="BS408">
        <f t="shared" si="292"/>
        <v>0</v>
      </c>
      <c r="BT408">
        <f t="shared" si="293"/>
        <v>0</v>
      </c>
      <c r="BU408">
        <f t="shared" si="294"/>
        <v>0</v>
      </c>
      <c r="BV408">
        <f t="shared" si="277"/>
        <v>0</v>
      </c>
      <c r="BW408">
        <f t="shared" si="303"/>
        <v>0</v>
      </c>
      <c r="BX408" t="str">
        <f t="shared" si="304"/>
        <v/>
      </c>
      <c r="BY408" s="66" t="str">
        <f t="shared" si="295"/>
        <v/>
      </c>
      <c r="BZ408" t="str">
        <f t="shared" si="296"/>
        <v/>
      </c>
      <c r="CA408" s="67" t="str">
        <f t="shared" si="278"/>
        <v/>
      </c>
    </row>
    <row r="409" spans="4:79" x14ac:dyDescent="0.25">
      <c r="D409" s="3" t="e">
        <f t="shared" si="307"/>
        <v>#DIV/0!</v>
      </c>
      <c r="E409" s="3" t="e">
        <f t="shared" si="307"/>
        <v>#DIV/0!</v>
      </c>
      <c r="F409" t="str">
        <f>IF(A409&gt;0,IF(F408=1,1,IF(B409=Data!$H$4,1,0)),"")</f>
        <v/>
      </c>
      <c r="Y409" s="4"/>
      <c r="Z409" s="4"/>
      <c r="AA409" s="4" t="e">
        <f t="shared" si="275"/>
        <v>#VALUE!</v>
      </c>
      <c r="AE409" s="4" t="str">
        <f t="shared" si="276"/>
        <v/>
      </c>
      <c r="AK409" s="4">
        <f t="shared" si="305"/>
        <v>65.700000000000458</v>
      </c>
      <c r="AL409">
        <f t="shared" si="297"/>
        <v>4885.0000000000546</v>
      </c>
      <c r="AM409">
        <f t="shared" si="298"/>
        <v>1378.1666666665919</v>
      </c>
      <c r="AN409">
        <f>IF($AK408+$AK$1&lt;=Data!$H$4-0.5,AVERAGE(AM407:AM411),AN408)</f>
        <v>1378.1666666665919</v>
      </c>
      <c r="AO409">
        <f t="shared" si="299"/>
        <v>5976.9999999999454</v>
      </c>
      <c r="AP409">
        <f t="shared" si="306"/>
        <v>1245.733333333302</v>
      </c>
      <c r="AQ409">
        <f>IF($AK408+$AK$1&lt;=Data!$H$4-0.5,AVERAGE(AP407:AP411),AQ408)</f>
        <v>1245.733333333302</v>
      </c>
      <c r="AR409">
        <f>IF($AK408+$AK$1&lt;=Data!$H$4-0.5,SLOPE($AN405:$AN413,$AK405:$AK413),AR408)</f>
        <v>-152.93611111107739</v>
      </c>
      <c r="AS409">
        <f>IF($AK408+$AK$1&lt;=Data!$H$4-0.5,SLOPE($AQ405:$AQ413,$AK405:$AK413),AS408)</f>
        <v>-64.383333333319584</v>
      </c>
      <c r="AT409">
        <f>IF(AND($AK409&gt;=Results!$G$13,$AK409&lt;=Results!$G$14),Curves!AR409,"")</f>
        <v>-152.93611111107739</v>
      </c>
      <c r="AU409">
        <f>IF(AND($AK409&gt;=Results!$G$13,$AK409&lt;=Results!$G$14),Curves!AS409,"")</f>
        <v>-64.383333333319584</v>
      </c>
      <c r="AV409" t="str">
        <f t="shared" si="300"/>
        <v/>
      </c>
      <c r="AW409" t="str">
        <f>IF(AND($AK409&lt;=Results!$I$21,$AK409&gt;=Results!$I$20,$AK409&lt;=Results!$F$4),$AN409,"")</f>
        <v/>
      </c>
      <c r="AX409" t="str">
        <f t="shared" si="300"/>
        <v/>
      </c>
      <c r="AY409" t="str">
        <f>IF(AND($AK409&lt;=Results!$I$23,$AK409&gt;=Results!$I$22,$AK409&gt;=Results!$F$4),$AN409,"")</f>
        <v/>
      </c>
      <c r="AZ409" t="str">
        <f t="shared" si="279"/>
        <v/>
      </c>
      <c r="BA409" t="str">
        <f>IF(AND($AK409&lt;=Results!$I$27,$AK409&gt;=Results!$I$26,$AK409&lt;=Results!$F$4),$AQ409,"")</f>
        <v/>
      </c>
      <c r="BB409" t="str">
        <f t="shared" si="280"/>
        <v/>
      </c>
      <c r="BC409" t="str">
        <f>IF(AND($AK409&lt;=Results!$I$29,$AK409&gt;=Results!$I$28,$AK409&gt;=Results!$F$4),$AQ409,"")</f>
        <v/>
      </c>
      <c r="BD409">
        <f t="shared" si="281"/>
        <v>7683.2097387753802</v>
      </c>
      <c r="BE409">
        <f t="shared" si="282"/>
        <v>1296.5356341367692</v>
      </c>
      <c r="BF409">
        <f t="shared" si="283"/>
        <v>8395.7296192076756</v>
      </c>
      <c r="BG409">
        <f t="shared" si="284"/>
        <v>1176.9148067735905</v>
      </c>
      <c r="BH409">
        <f t="shared" si="285"/>
        <v>0</v>
      </c>
      <c r="BI409">
        <f t="shared" si="286"/>
        <v>1.2781462024269219E-2</v>
      </c>
      <c r="BJ409">
        <f t="shared" si="287"/>
        <v>9.5332167880487484E-3</v>
      </c>
      <c r="BK409">
        <f t="shared" si="288"/>
        <v>-1.9972236541351853E-2</v>
      </c>
      <c r="BL409">
        <f t="shared" si="289"/>
        <v>-8.5678307526958902E-3</v>
      </c>
      <c r="BM409">
        <f t="shared" si="301"/>
        <v>120.00000000000226</v>
      </c>
      <c r="BN409">
        <f t="shared" si="302"/>
        <v>-120.00000000000226</v>
      </c>
      <c r="BO409">
        <f>Data!$H$2*(1-BI409)*(1-BI409/Data!$H$3)*BM409</f>
        <v>2.3390410601350985E-4</v>
      </c>
      <c r="BP409">
        <f t="shared" si="290"/>
        <v>-1.5337754429123351</v>
      </c>
      <c r="BQ409">
        <f>Data!$H$2*(1-BJ409)*(1-BJ409/Data!$H$3)*BN409</f>
        <v>-2.3544586767509974E-4</v>
      </c>
      <c r="BR409">
        <f t="shared" si="291"/>
        <v>1.1439860145658713</v>
      </c>
      <c r="BS409">
        <f t="shared" si="292"/>
        <v>0</v>
      </c>
      <c r="BT409">
        <f t="shared" si="293"/>
        <v>0</v>
      </c>
      <c r="BU409">
        <f t="shared" si="294"/>
        <v>0</v>
      </c>
      <c r="BV409">
        <f t="shared" si="277"/>
        <v>0</v>
      </c>
      <c r="BW409">
        <f t="shared" si="303"/>
        <v>0</v>
      </c>
      <c r="BX409" t="str">
        <f t="shared" si="304"/>
        <v/>
      </c>
      <c r="BY409" s="66" t="str">
        <f t="shared" si="295"/>
        <v/>
      </c>
      <c r="BZ409" t="str">
        <f t="shared" si="296"/>
        <v/>
      </c>
      <c r="CA409" s="67" t="str">
        <f t="shared" si="278"/>
        <v/>
      </c>
    </row>
    <row r="410" spans="4:79" x14ac:dyDescent="0.25">
      <c r="D410" s="3" t="e">
        <f t="shared" si="307"/>
        <v>#DIV/0!</v>
      </c>
      <c r="E410" s="3" t="e">
        <f t="shared" si="307"/>
        <v>#DIV/0!</v>
      </c>
      <c r="F410" t="str">
        <f>IF(A410&gt;0,IF(F409=1,1,IF(B410=Data!$H$4,1,0)),"")</f>
        <v/>
      </c>
      <c r="Y410" s="4"/>
      <c r="Z410" s="4"/>
      <c r="AA410" s="4" t="e">
        <f t="shared" si="275"/>
        <v>#VALUE!</v>
      </c>
      <c r="AE410" s="4" t="str">
        <f t="shared" si="276"/>
        <v/>
      </c>
      <c r="AK410" s="4">
        <f t="shared" si="305"/>
        <v>65.800000000000452</v>
      </c>
      <c r="AL410">
        <f t="shared" si="297"/>
        <v>4897.0000000000546</v>
      </c>
      <c r="AM410">
        <f t="shared" si="298"/>
        <v>1361.9999999999263</v>
      </c>
      <c r="AN410">
        <f>IF($AK409+$AK$1&lt;=Data!$H$4-0.5,AVERAGE(AM408:AM412),AN409)</f>
        <v>1361.9999999999329</v>
      </c>
      <c r="AO410">
        <f t="shared" si="299"/>
        <v>5964.9999999999454</v>
      </c>
      <c r="AP410">
        <f t="shared" si="306"/>
        <v>1238.9333333333022</v>
      </c>
      <c r="AQ410">
        <f>IF($AK409+$AK$1&lt;=Data!$H$4-0.5,AVERAGE(AP408:AP412),AQ409)</f>
        <v>1238.933333333305</v>
      </c>
      <c r="AR410">
        <f>IF($AK409+$AK$1&lt;=Data!$H$4-0.5,SLOPE($AN406:$AN414,$AK406:$AK414),AR409)</f>
        <v>-145.45277777773325</v>
      </c>
      <c r="AS410">
        <f>IF($AK409+$AK$1&lt;=Data!$H$4-0.5,SLOPE($AQ406:$AQ414,$AK406:$AK414),AS409)</f>
        <v>-61.28333333331522</v>
      </c>
      <c r="AT410">
        <f>IF(AND($AK410&gt;=Results!$G$13,$AK410&lt;=Results!$G$14),Curves!AR410,"")</f>
        <v>-145.45277777773325</v>
      </c>
      <c r="AU410">
        <f>IF(AND($AK410&gt;=Results!$G$13,$AK410&lt;=Results!$G$14),Curves!AS410,"")</f>
        <v>-61.28333333331522</v>
      </c>
      <c r="AV410" t="str">
        <f t="shared" si="300"/>
        <v/>
      </c>
      <c r="AW410" t="str">
        <f>IF(AND($AK410&lt;=Results!$I$21,$AK410&gt;=Results!$I$20,$AK410&lt;=Results!$F$4),$AN410,"")</f>
        <v/>
      </c>
      <c r="AX410" t="str">
        <f t="shared" si="300"/>
        <v/>
      </c>
      <c r="AY410" t="str">
        <f>IF(AND($AK410&lt;=Results!$I$23,$AK410&gt;=Results!$I$22,$AK410&gt;=Results!$F$4),$AN410,"")</f>
        <v/>
      </c>
      <c r="AZ410" t="str">
        <f t="shared" si="279"/>
        <v/>
      </c>
      <c r="BA410" t="str">
        <f>IF(AND($AK410&lt;=Results!$I$27,$AK410&gt;=Results!$I$26,$AK410&lt;=Results!$F$4),$AQ410,"")</f>
        <v/>
      </c>
      <c r="BB410" t="str">
        <f t="shared" si="280"/>
        <v/>
      </c>
      <c r="BC410" t="str">
        <f>IF(AND($AK410&lt;=Results!$I$29,$AK410&gt;=Results!$I$28,$AK410&gt;=Results!$F$4),$AQ410,"")</f>
        <v/>
      </c>
      <c r="BD410">
        <f t="shared" si="281"/>
        <v>7672.4395439774607</v>
      </c>
      <c r="BE410">
        <f t="shared" si="282"/>
        <v>1293.2198448874483</v>
      </c>
      <c r="BF410">
        <f t="shared" si="283"/>
        <v>8388.439636974781</v>
      </c>
      <c r="BG410">
        <f t="shared" si="284"/>
        <v>1176.3640058140654</v>
      </c>
      <c r="BH410">
        <f t="shared" si="285"/>
        <v>0</v>
      </c>
      <c r="BI410">
        <f t="shared" si="286"/>
        <v>1.0781907248357592E-2</v>
      </c>
      <c r="BJ410">
        <f t="shared" si="287"/>
        <v>8.6756338562092861E-3</v>
      </c>
      <c r="BK410">
        <f t="shared" si="288"/>
        <v>-1.884448866116158E-2</v>
      </c>
      <c r="BL410">
        <f t="shared" si="289"/>
        <v>-8.153613651879962E-3</v>
      </c>
      <c r="BM410">
        <f t="shared" si="301"/>
        <v>120.00000000000226</v>
      </c>
      <c r="BN410">
        <f t="shared" si="302"/>
        <v>-120.00000000000226</v>
      </c>
      <c r="BO410">
        <f>Data!$H$2*(1-BI410)*(1-BI410/Data!$H$3)*BM410</f>
        <v>2.3485258440653168E-4</v>
      </c>
      <c r="BP410">
        <f t="shared" si="290"/>
        <v>-1.2938288698029354</v>
      </c>
      <c r="BQ410">
        <f>Data!$H$2*(1-BJ410)*(1-BJ410/Data!$H$3)*BN410</f>
        <v>-2.3585375973849765E-4</v>
      </c>
      <c r="BR410">
        <f t="shared" si="291"/>
        <v>1.0410760627451339</v>
      </c>
      <c r="BS410">
        <f t="shared" si="292"/>
        <v>0</v>
      </c>
      <c r="BT410">
        <f t="shared" si="293"/>
        <v>0</v>
      </c>
      <c r="BU410">
        <f t="shared" si="294"/>
        <v>0</v>
      </c>
      <c r="BV410">
        <f t="shared" si="277"/>
        <v>0</v>
      </c>
      <c r="BW410">
        <f t="shared" si="303"/>
        <v>0</v>
      </c>
      <c r="BX410" t="str">
        <f t="shared" si="304"/>
        <v/>
      </c>
      <c r="BY410" s="66" t="str">
        <f t="shared" si="295"/>
        <v/>
      </c>
      <c r="BZ410" t="str">
        <f t="shared" si="296"/>
        <v/>
      </c>
      <c r="CA410" s="67" t="str">
        <f t="shared" si="278"/>
        <v/>
      </c>
    </row>
    <row r="411" spans="4:79" x14ac:dyDescent="0.25">
      <c r="D411" s="3" t="e">
        <f t="shared" si="307"/>
        <v>#DIV/0!</v>
      </c>
      <c r="E411" s="3" t="e">
        <f t="shared" si="307"/>
        <v>#DIV/0!</v>
      </c>
      <c r="F411" t="str">
        <f>IF(A411&gt;0,IF(F410=1,1,IF(B411=Data!$H$4,1,0)),"")</f>
        <v/>
      </c>
      <c r="Y411" s="4"/>
      <c r="Z411" s="4"/>
      <c r="AA411" s="4" t="e">
        <f t="shared" si="275"/>
        <v>#VALUE!</v>
      </c>
      <c r="AE411" s="4" t="str">
        <f t="shared" si="276"/>
        <v/>
      </c>
      <c r="AK411" s="4">
        <f t="shared" si="305"/>
        <v>65.900000000000446</v>
      </c>
      <c r="AL411">
        <f t="shared" si="297"/>
        <v>4909.0000000000537</v>
      </c>
      <c r="AM411">
        <f t="shared" si="298"/>
        <v>1345.8333333332605</v>
      </c>
      <c r="AN411">
        <f>IF($AK410+$AK$1&lt;=Data!$H$4-0.5,AVERAGE(AM409:AM413),AN410)</f>
        <v>1347.3299999999404</v>
      </c>
      <c r="AO411">
        <f t="shared" si="299"/>
        <v>5952.9999999999463</v>
      </c>
      <c r="AP411">
        <f t="shared" si="306"/>
        <v>1232.1333333333027</v>
      </c>
      <c r="AQ411">
        <f>IF($AK410+$AK$1&lt;=Data!$H$4-0.5,AVERAGE(AP409:AP413),AQ410)</f>
        <v>1232.7533333333081</v>
      </c>
      <c r="AR411">
        <f>IF($AK410+$AK$1&lt;=Data!$H$4-0.5,SLOPE($AN407:$AN415,$AK407:$AK415),AR410)</f>
        <v>-135.47499999995011</v>
      </c>
      <c r="AS411">
        <f>IF($AK410+$AK$1&lt;=Data!$H$4-0.5,SLOPE($AQ407:$AQ415,$AK407:$AK415),AS410)</f>
        <v>-57.149999999979542</v>
      </c>
      <c r="AT411">
        <f>IF(AND($AK411&gt;=Results!$G$13,$AK411&lt;=Results!$G$14),Curves!AR411,"")</f>
        <v>-135.47499999995011</v>
      </c>
      <c r="AU411">
        <f>IF(AND($AK411&gt;=Results!$G$13,$AK411&lt;=Results!$G$14),Curves!AS411,"")</f>
        <v>-57.149999999979542</v>
      </c>
      <c r="AV411" t="str">
        <f t="shared" si="300"/>
        <v/>
      </c>
      <c r="AW411" t="str">
        <f>IF(AND($AK411&lt;=Results!$I$21,$AK411&gt;=Results!$I$20,$AK411&lt;=Results!$F$4),$AN411,"")</f>
        <v/>
      </c>
      <c r="AX411" t="str">
        <f t="shared" si="300"/>
        <v/>
      </c>
      <c r="AY411" t="str">
        <f>IF(AND($AK411&lt;=Results!$I$23,$AK411&gt;=Results!$I$22,$AK411&gt;=Results!$F$4),$AN411,"")</f>
        <v/>
      </c>
      <c r="AZ411" t="str">
        <f t="shared" si="279"/>
        <v/>
      </c>
      <c r="BA411" t="str">
        <f>IF(AND($AK411&lt;=Results!$I$27,$AK411&gt;=Results!$I$26,$AK411&lt;=Results!$F$4),$AQ411,"")</f>
        <v/>
      </c>
      <c r="BB411" t="str">
        <f t="shared" si="280"/>
        <v/>
      </c>
      <c r="BC411" t="str">
        <f>IF(AND($AK411&lt;=Results!$I$29,$AK411&gt;=Results!$I$28,$AK411&gt;=Results!$F$4),$AQ411,"")</f>
        <v/>
      </c>
      <c r="BD411">
        <f t="shared" si="281"/>
        <v>7661.6693491795422</v>
      </c>
      <c r="BE411">
        <f t="shared" si="282"/>
        <v>1289.9040556381278</v>
      </c>
      <c r="BF411">
        <f t="shared" si="283"/>
        <v>8381.1496547418901</v>
      </c>
      <c r="BG411">
        <f t="shared" si="284"/>
        <v>1175.8132048545403</v>
      </c>
      <c r="BH411">
        <f t="shared" si="285"/>
        <v>0</v>
      </c>
      <c r="BI411">
        <f t="shared" si="286"/>
        <v>9.0125642920371174E-3</v>
      </c>
      <c r="BJ411">
        <f t="shared" si="287"/>
        <v>7.9024940576728486E-3</v>
      </c>
      <c r="BK411">
        <f t="shared" si="288"/>
        <v>-1.6538325819343939E-2</v>
      </c>
      <c r="BL411">
        <f t="shared" si="289"/>
        <v>-7.3079965095294835E-3</v>
      </c>
      <c r="BM411">
        <f t="shared" si="301"/>
        <v>119.99999999999771</v>
      </c>
      <c r="BN411">
        <f t="shared" si="302"/>
        <v>-119.99999999999771</v>
      </c>
      <c r="BO411">
        <f>Data!$H$2*(1-BI411)*(1-BI411/Data!$H$3)*BM411</f>
        <v>2.3569346345544601E-4</v>
      </c>
      <c r="BP411">
        <f t="shared" si="290"/>
        <v>-1.0815077150444334</v>
      </c>
      <c r="BQ411">
        <f>Data!$H$2*(1-BJ411)*(1-BJ411/Data!$H$3)*BN411</f>
        <v>-2.3622179071127209E-4</v>
      </c>
      <c r="BR411">
        <f t="shared" si="291"/>
        <v>0.94829928692072374</v>
      </c>
      <c r="BS411">
        <f t="shared" si="292"/>
        <v>0</v>
      </c>
      <c r="BT411">
        <f t="shared" si="293"/>
        <v>0</v>
      </c>
      <c r="BU411">
        <f t="shared" si="294"/>
        <v>0</v>
      </c>
      <c r="BV411">
        <f t="shared" si="277"/>
        <v>0</v>
      </c>
      <c r="BW411">
        <f t="shared" si="303"/>
        <v>0</v>
      </c>
      <c r="BX411" t="str">
        <f t="shared" si="304"/>
        <v/>
      </c>
      <c r="BY411" s="66" t="str">
        <f t="shared" si="295"/>
        <v/>
      </c>
      <c r="BZ411" t="str">
        <f t="shared" si="296"/>
        <v/>
      </c>
      <c r="CA411" s="67" t="str">
        <f t="shared" si="278"/>
        <v/>
      </c>
    </row>
    <row r="412" spans="4:79" x14ac:dyDescent="0.25">
      <c r="D412" s="3" t="e">
        <f t="shared" si="307"/>
        <v>#DIV/0!</v>
      </c>
      <c r="E412" s="3" t="e">
        <f t="shared" si="307"/>
        <v>#DIV/0!</v>
      </c>
      <c r="F412" t="str">
        <f>IF(A412&gt;0,IF(F411=1,1,IF(B412=Data!$H$4,1,0)),"")</f>
        <v/>
      </c>
      <c r="Y412" s="4"/>
      <c r="Z412" s="4"/>
      <c r="AA412" s="4" t="e">
        <f t="shared" si="275"/>
        <v>#VALUE!</v>
      </c>
      <c r="AE412" s="4" t="str">
        <f t="shared" si="276"/>
        <v/>
      </c>
      <c r="AK412" s="4">
        <f t="shared" si="305"/>
        <v>66.000000000000441</v>
      </c>
      <c r="AL412">
        <f t="shared" si="297"/>
        <v>4921.0000000000528</v>
      </c>
      <c r="AM412">
        <f t="shared" si="298"/>
        <v>1329.6666666666279</v>
      </c>
      <c r="AN412">
        <f>IF($AK411+$AK$1&lt;=Data!$H$4-0.5,AVERAGE(AM410:AM414),AN411)</f>
        <v>1334.1566666666145</v>
      </c>
      <c r="AO412">
        <f t="shared" si="299"/>
        <v>5940.9999999999472</v>
      </c>
      <c r="AP412">
        <f t="shared" si="306"/>
        <v>1225.3333333333167</v>
      </c>
      <c r="AQ412">
        <f>IF($AK411+$AK$1&lt;=Data!$H$4-0.5,AVERAGE(AP410:AP414),AQ411)</f>
        <v>1227.1933333333111</v>
      </c>
      <c r="AR412">
        <f>IF($AK411+$AK$1&lt;=Data!$H$4-0.5,SLOPE($AN408:$AN416,$AK408:$AK416),AR411)</f>
        <v>-124.24999999995033</v>
      </c>
      <c r="AS412">
        <f>IF($AK411+$AK$1&lt;=Data!$H$4-0.5,SLOPE($AQ408:$AQ416,$AK408:$AK416),AS411)</f>
        <v>-52.499999999979565</v>
      </c>
      <c r="AT412">
        <f>IF(AND($AK412&gt;=Results!$G$13,$AK412&lt;=Results!$G$14),Curves!AR412,"")</f>
        <v>-124.24999999995033</v>
      </c>
      <c r="AU412">
        <f>IF(AND($AK412&gt;=Results!$G$13,$AK412&lt;=Results!$G$14),Curves!AS412,"")</f>
        <v>-52.499999999979565</v>
      </c>
      <c r="AV412" t="str">
        <f t="shared" si="300"/>
        <v/>
      </c>
      <c r="AW412" t="str">
        <f>IF(AND($AK412&lt;=Results!$I$21,$AK412&gt;=Results!$I$20,$AK412&lt;=Results!$F$4),$AN412,"")</f>
        <v/>
      </c>
      <c r="AX412">
        <f t="shared" si="300"/>
        <v>66.000000000000441</v>
      </c>
      <c r="AY412">
        <f>IF(AND($AK412&lt;=Results!$I$23,$AK412&gt;=Results!$I$22,$AK412&gt;=Results!$F$4),$AN412,"")</f>
        <v>1334.1566666666145</v>
      </c>
      <c r="AZ412" t="str">
        <f t="shared" si="279"/>
        <v/>
      </c>
      <c r="BA412" t="str">
        <f>IF(AND($AK412&lt;=Results!$I$27,$AK412&gt;=Results!$I$26,$AK412&lt;=Results!$F$4),$AQ412,"")</f>
        <v/>
      </c>
      <c r="BB412" t="str">
        <f t="shared" si="280"/>
        <v/>
      </c>
      <c r="BC412" t="str">
        <f>IF(AND($AK412&lt;=Results!$I$29,$AK412&gt;=Results!$I$28,$AK412&gt;=Results!$F$4),$AQ412,"")</f>
        <v/>
      </c>
      <c r="BD412">
        <f t="shared" si="281"/>
        <v>7650.8991543816228</v>
      </c>
      <c r="BE412">
        <f t="shared" si="282"/>
        <v>1286.5882663888074</v>
      </c>
      <c r="BF412">
        <f t="shared" si="283"/>
        <v>8373.8596725089956</v>
      </c>
      <c r="BG412">
        <f t="shared" si="284"/>
        <v>1175.2624038950155</v>
      </c>
      <c r="BH412">
        <f t="shared" si="285"/>
        <v>0</v>
      </c>
      <c r="BI412">
        <f t="shared" si="286"/>
        <v>7.4742420844889912E-3</v>
      </c>
      <c r="BJ412">
        <f t="shared" si="287"/>
        <v>7.2140345543034723E-3</v>
      </c>
      <c r="BK412">
        <f t="shared" si="288"/>
        <v>-1.4224054713801979E-2</v>
      </c>
      <c r="BL412">
        <f t="shared" si="289"/>
        <v>-6.4600033038534682E-3</v>
      </c>
      <c r="BM412">
        <f t="shared" si="301"/>
        <v>119.99999999999771</v>
      </c>
      <c r="BN412">
        <f t="shared" si="302"/>
        <v>-119.99999999999771</v>
      </c>
      <c r="BO412">
        <f>Data!$H$2*(1-BI412)*(1-BI412/Data!$H$3)*BM412</f>
        <v>2.3642577123017774E-4</v>
      </c>
      <c r="BP412">
        <f t="shared" si="290"/>
        <v>-0.89690905013866185</v>
      </c>
      <c r="BQ412">
        <f>Data!$H$2*(1-BJ412)*(1-BJ412/Data!$H$3)*BN412</f>
        <v>-2.3654975356462201E-4</v>
      </c>
      <c r="BR412">
        <f t="shared" si="291"/>
        <v>0.86568414651640013</v>
      </c>
      <c r="BS412">
        <f t="shared" si="292"/>
        <v>0</v>
      </c>
      <c r="BT412">
        <f t="shared" si="293"/>
        <v>0</v>
      </c>
      <c r="BU412">
        <f t="shared" si="294"/>
        <v>0</v>
      </c>
      <c r="BV412">
        <f t="shared" si="277"/>
        <v>0</v>
      </c>
      <c r="BW412">
        <f t="shared" si="303"/>
        <v>0</v>
      </c>
      <c r="BX412" t="str">
        <f t="shared" si="304"/>
        <v/>
      </c>
      <c r="BY412" s="66" t="str">
        <f t="shared" si="295"/>
        <v/>
      </c>
      <c r="BZ412" t="str">
        <f t="shared" si="296"/>
        <v/>
      </c>
      <c r="CA412" s="67" t="str">
        <f t="shared" si="278"/>
        <v/>
      </c>
    </row>
    <row r="413" spans="4:79" x14ac:dyDescent="0.25">
      <c r="D413" s="3" t="e">
        <f t="shared" si="307"/>
        <v>#DIV/0!</v>
      </c>
      <c r="E413" s="3" t="e">
        <f t="shared" si="307"/>
        <v>#DIV/0!</v>
      </c>
      <c r="F413" t="str">
        <f>IF(A413&gt;0,IF(F412=1,1,IF(B413=Data!$H$4,1,0)),"")</f>
        <v/>
      </c>
      <c r="AA413" t="e">
        <f t="shared" si="275"/>
        <v>#VALUE!</v>
      </c>
      <c r="AE413" t="str">
        <f t="shared" si="276"/>
        <v/>
      </c>
      <c r="AK413" s="4">
        <f t="shared" si="305"/>
        <v>66.100000000000435</v>
      </c>
      <c r="AL413">
        <f t="shared" si="297"/>
        <v>4933.0000000000518</v>
      </c>
      <c r="AM413">
        <f t="shared" si="298"/>
        <v>1320.9833333332949</v>
      </c>
      <c r="AN413">
        <f>IF($AK412+$AK$1&lt;=Data!$H$4-0.5,AVERAGE(AM411:AM415),AN412)</f>
        <v>1322.479999999955</v>
      </c>
      <c r="AO413">
        <f t="shared" si="299"/>
        <v>5928.9999999999482</v>
      </c>
      <c r="AP413">
        <f t="shared" si="306"/>
        <v>1221.6333333333168</v>
      </c>
      <c r="AQ413">
        <f>IF($AK412+$AK$1&lt;=Data!$H$4-0.5,AVERAGE(AP411:AP415),AQ412)</f>
        <v>1222.2533333333142</v>
      </c>
      <c r="AR413">
        <f>IF($AK412+$AK$1&lt;=Data!$H$4-0.5,SLOPE($AN409:$AN417,$AK409:$AK417),AR412)</f>
        <v>-113.02499999995588</v>
      </c>
      <c r="AS413">
        <f>IF($AK412+$AK$1&lt;=Data!$H$4-0.5,SLOPE($AQ409:$AQ417,$AK409:$AK417),AS412)</f>
        <v>-47.849999999981826</v>
      </c>
      <c r="AT413">
        <f>IF(AND($AK413&gt;=Results!$G$13,$AK413&lt;=Results!$G$14),Curves!AR413,"")</f>
        <v>-113.02499999995588</v>
      </c>
      <c r="AU413">
        <f>IF(AND($AK413&gt;=Results!$G$13,$AK413&lt;=Results!$G$14),Curves!AS413,"")</f>
        <v>-47.849999999981826</v>
      </c>
      <c r="AV413" t="str">
        <f t="shared" si="300"/>
        <v/>
      </c>
      <c r="AW413" t="str">
        <f>IF(AND($AK413&lt;=Results!$I$21,$AK413&gt;=Results!$I$20,$AK413&lt;=Results!$F$4),$AN413,"")</f>
        <v/>
      </c>
      <c r="AX413">
        <f t="shared" si="300"/>
        <v>66.100000000000435</v>
      </c>
      <c r="AY413">
        <f>IF(AND($AK413&lt;=Results!$I$23,$AK413&gt;=Results!$I$22,$AK413&gt;=Results!$F$4),$AN413,"")</f>
        <v>1322.479999999955</v>
      </c>
      <c r="AZ413" t="str">
        <f t="shared" si="279"/>
        <v/>
      </c>
      <c r="BA413" t="str">
        <f>IF(AND($AK413&lt;=Results!$I$27,$AK413&gt;=Results!$I$26,$AK413&lt;=Results!$F$4),$AQ413,"")</f>
        <v/>
      </c>
      <c r="BB413" t="str">
        <f t="shared" si="280"/>
        <v/>
      </c>
      <c r="BC413" t="str">
        <f>IF(AND($AK413&lt;=Results!$I$29,$AK413&gt;=Results!$I$28,$AK413&gt;=Results!$F$4),$AQ413,"")</f>
        <v/>
      </c>
      <c r="BD413">
        <f t="shared" si="281"/>
        <v>7640.1289595837043</v>
      </c>
      <c r="BE413">
        <f t="shared" si="282"/>
        <v>1283.2724771394869</v>
      </c>
      <c r="BF413">
        <f t="shared" si="283"/>
        <v>8366.5696902761047</v>
      </c>
      <c r="BG413">
        <f t="shared" si="284"/>
        <v>1174.7116029354906</v>
      </c>
      <c r="BH413">
        <f t="shared" si="285"/>
        <v>0</v>
      </c>
      <c r="BI413">
        <f t="shared" si="286"/>
        <v>6.1677533492768832E-3</v>
      </c>
      <c r="BJ413">
        <f t="shared" si="287"/>
        <v>6.6104933969022284E-3</v>
      </c>
      <c r="BK413">
        <f t="shared" si="288"/>
        <v>-1.1901637289341134E-2</v>
      </c>
      <c r="BL413">
        <f t="shared" si="289"/>
        <v>-5.6096251246382373E-3</v>
      </c>
      <c r="BM413">
        <f t="shared" si="301"/>
        <v>120.00000000000226</v>
      </c>
      <c r="BN413">
        <f t="shared" si="302"/>
        <v>-120.00000000000226</v>
      </c>
      <c r="BO413">
        <f>Data!$H$2*(1-BI413)*(1-BI413/Data!$H$3)*BM413</f>
        <v>2.3704860827588218E-4</v>
      </c>
      <c r="BP413">
        <f t="shared" si="290"/>
        <v>-0.74013040191323998</v>
      </c>
      <c r="BQ413">
        <f>Data!$H$2*(1-BJ413)*(1-BJ413/Data!$H$3)*BN413</f>
        <v>-2.3683745083899951E-4</v>
      </c>
      <c r="BR413">
        <f t="shared" si="291"/>
        <v>0.79325920762828239</v>
      </c>
      <c r="BS413">
        <f t="shared" si="292"/>
        <v>0</v>
      </c>
      <c r="BT413">
        <f t="shared" si="293"/>
        <v>0</v>
      </c>
      <c r="BU413">
        <f t="shared" si="294"/>
        <v>0</v>
      </c>
      <c r="BV413">
        <f t="shared" si="277"/>
        <v>0</v>
      </c>
      <c r="BW413">
        <f t="shared" si="303"/>
        <v>0</v>
      </c>
      <c r="BX413" t="str">
        <f t="shared" si="304"/>
        <v/>
      </c>
      <c r="BY413" s="66" t="str">
        <f t="shared" si="295"/>
        <v/>
      </c>
      <c r="BZ413" t="str">
        <f t="shared" si="296"/>
        <v/>
      </c>
      <c r="CA413" s="67" t="str">
        <f t="shared" si="278"/>
        <v/>
      </c>
    </row>
    <row r="414" spans="4:79" x14ac:dyDescent="0.25">
      <c r="D414" s="3" t="e">
        <f t="shared" si="307"/>
        <v>#DIV/0!</v>
      </c>
      <c r="E414" s="3" t="e">
        <f t="shared" si="307"/>
        <v>#DIV/0!</v>
      </c>
      <c r="F414" t="str">
        <f>IF(A414&gt;0,IF(F413=1,1,IF(B414=Data!$H$4,1,0)),"")</f>
        <v/>
      </c>
      <c r="AA414" t="e">
        <f t="shared" si="275"/>
        <v>#VALUE!</v>
      </c>
      <c r="AE414" t="str">
        <f t="shared" si="276"/>
        <v/>
      </c>
      <c r="AK414" s="4">
        <f t="shared" si="305"/>
        <v>66.200000000000429</v>
      </c>
      <c r="AL414">
        <f t="shared" si="297"/>
        <v>4945.0000000000518</v>
      </c>
      <c r="AM414">
        <f t="shared" si="298"/>
        <v>1312.2999999999622</v>
      </c>
      <c r="AN414">
        <f>IF($AK413+$AK$1&lt;=Data!$H$4-0.5,AVERAGE(AM412:AM416),AN413)</f>
        <v>1312.2999999999622</v>
      </c>
      <c r="AO414">
        <f t="shared" si="299"/>
        <v>5916.9999999999482</v>
      </c>
      <c r="AP414">
        <f t="shared" si="306"/>
        <v>1217.9333333333173</v>
      </c>
      <c r="AQ414">
        <f>IF($AK413+$AK$1&lt;=Data!$H$4-0.5,AVERAGE(AP412:AP416),AQ413)</f>
        <v>1217.933333333317</v>
      </c>
      <c r="AR414">
        <f>IF($AK413+$AK$1&lt;=Data!$H$4-0.5,SLOPE($AN410:$AN418,$AK410:$AK418),AR413)</f>
        <v>-103.04722222218915</v>
      </c>
      <c r="AS414">
        <f>IF($AK413+$AK$1&lt;=Data!$H$4-0.5,SLOPE($AQ410:$AQ418,$AK410:$AK418),AS413)</f>
        <v>-43.716666666652962</v>
      </c>
      <c r="AT414">
        <f>IF(AND($AK414&gt;=Results!$G$13,$AK414&lt;=Results!$G$14),Curves!AR414,"")</f>
        <v>-103.04722222218915</v>
      </c>
      <c r="AU414">
        <f>IF(AND($AK414&gt;=Results!$G$13,$AK414&lt;=Results!$G$14),Curves!AS414,"")</f>
        <v>-43.716666666652962</v>
      </c>
      <c r="AV414" t="str">
        <f t="shared" si="300"/>
        <v/>
      </c>
      <c r="AW414" t="str">
        <f>IF(AND($AK414&lt;=Results!$I$21,$AK414&gt;=Results!$I$20,$AK414&lt;=Results!$F$4),$AN414,"")</f>
        <v/>
      </c>
      <c r="AX414">
        <f t="shared" si="300"/>
        <v>66.200000000000429</v>
      </c>
      <c r="AY414">
        <f>IF(AND($AK414&lt;=Results!$I$23,$AK414&gt;=Results!$I$22,$AK414&gt;=Results!$F$4),$AN414,"")</f>
        <v>1312.2999999999622</v>
      </c>
      <c r="AZ414" t="str">
        <f t="shared" si="279"/>
        <v/>
      </c>
      <c r="BA414" t="str">
        <f>IF(AND($AK414&lt;=Results!$I$27,$AK414&gt;=Results!$I$26,$AK414&lt;=Results!$F$4),$AQ414,"")</f>
        <v/>
      </c>
      <c r="BB414" t="str">
        <f t="shared" si="280"/>
        <v/>
      </c>
      <c r="BC414" t="str">
        <f>IF(AND($AK414&lt;=Results!$I$29,$AK414&gt;=Results!$I$28,$AK414&gt;=Results!$F$4),$AQ414,"")</f>
        <v/>
      </c>
      <c r="BD414">
        <f t="shared" si="281"/>
        <v>7629.3587647857848</v>
      </c>
      <c r="BE414">
        <f t="shared" si="282"/>
        <v>1279.956687890166</v>
      </c>
      <c r="BF414">
        <f t="shared" si="283"/>
        <v>8359.2797080432101</v>
      </c>
      <c r="BG414">
        <f t="shared" si="284"/>
        <v>1174.1608019759656</v>
      </c>
      <c r="BH414">
        <f t="shared" si="285"/>
        <v>0</v>
      </c>
      <c r="BI414">
        <f t="shared" si="286"/>
        <v>5.093914626620899E-3</v>
      </c>
      <c r="BJ414">
        <f t="shared" si="287"/>
        <v>6.0921095293758887E-3</v>
      </c>
      <c r="BK414">
        <f t="shared" si="288"/>
        <v>-9.5710352672517696E-3</v>
      </c>
      <c r="BL414">
        <f t="shared" si="289"/>
        <v>-4.7568530198691039E-3</v>
      </c>
      <c r="BM414">
        <f t="shared" si="301"/>
        <v>120.00000000000226</v>
      </c>
      <c r="BN414">
        <f t="shared" si="302"/>
        <v>-120.00000000000226</v>
      </c>
      <c r="BO414">
        <f>Data!$H$2*(1-BI414)*(1-BI414/Data!$H$3)*BM414</f>
        <v>2.3756114849112005E-4</v>
      </c>
      <c r="BP414">
        <f t="shared" si="290"/>
        <v>-0.61126975519451943</v>
      </c>
      <c r="BQ414">
        <f>Data!$H$2*(1-BJ414)*(1-BJ414/Data!$H$3)*BN414</f>
        <v>-2.3708469473754837E-4</v>
      </c>
      <c r="BR414">
        <f t="shared" si="291"/>
        <v>0.73105314352512041</v>
      </c>
      <c r="BS414">
        <f t="shared" si="292"/>
        <v>0</v>
      </c>
      <c r="BT414">
        <f t="shared" si="293"/>
        <v>0</v>
      </c>
      <c r="BU414">
        <f t="shared" si="294"/>
        <v>0</v>
      </c>
      <c r="BV414">
        <f t="shared" si="277"/>
        <v>0</v>
      </c>
      <c r="BW414">
        <f t="shared" si="303"/>
        <v>0</v>
      </c>
      <c r="BX414" t="str">
        <f t="shared" si="304"/>
        <v/>
      </c>
      <c r="BY414" s="66" t="str">
        <f t="shared" si="295"/>
        <v/>
      </c>
      <c r="BZ414" t="str">
        <f t="shared" si="296"/>
        <v/>
      </c>
      <c r="CA414" s="67" t="str">
        <f t="shared" si="278"/>
        <v/>
      </c>
    </row>
    <row r="415" spans="4:79" x14ac:dyDescent="0.25">
      <c r="D415" s="3" t="e">
        <f t="shared" si="307"/>
        <v>#DIV/0!</v>
      </c>
      <c r="E415" s="3" t="e">
        <f t="shared" si="307"/>
        <v>#DIV/0!</v>
      </c>
      <c r="F415" t="str">
        <f>IF(A415&gt;0,IF(F414=1,1,IF(B415=Data!$H$4,1,0)),"")</f>
        <v/>
      </c>
      <c r="AA415" t="e">
        <f t="shared" si="275"/>
        <v>#VALUE!</v>
      </c>
      <c r="AE415" t="str">
        <f t="shared" si="276"/>
        <v/>
      </c>
      <c r="AK415" s="4">
        <f t="shared" si="305"/>
        <v>66.300000000000423</v>
      </c>
      <c r="AL415">
        <f t="shared" si="297"/>
        <v>4957.0000000000509</v>
      </c>
      <c r="AM415">
        <f t="shared" si="298"/>
        <v>1303.6166666666293</v>
      </c>
      <c r="AN415">
        <f>IF($AK414+$AK$1&lt;=Data!$H$4-0.5,AVERAGE(AM413:AM417),AN414)</f>
        <v>1303.6166666666293</v>
      </c>
      <c r="AO415">
        <f t="shared" si="299"/>
        <v>5904.9999999999491</v>
      </c>
      <c r="AP415">
        <f t="shared" si="306"/>
        <v>1214.2333333333174</v>
      </c>
      <c r="AQ415">
        <f>IF($AK414+$AK$1&lt;=Data!$H$4-0.5,AVERAGE(AP413:AP417),AQ414)</f>
        <v>1214.2333333333172</v>
      </c>
      <c r="AR415">
        <f>IF($AK414+$AK$1&lt;=Data!$H$4-0.5,SLOPE($AN411:$AN419,$AK411:$AK419),AR414)</f>
        <v>-95.5638888888667</v>
      </c>
      <c r="AS415">
        <f>IF($AK414+$AK$1&lt;=Data!$H$4-0.5,SLOPE($AQ411:$AQ419,$AK411:$AK419),AS414)</f>
        <v>-40.616666666657544</v>
      </c>
      <c r="AT415">
        <f>IF(AND($AK415&gt;=Results!$G$13,$AK415&lt;=Results!$G$14),Curves!AR415,"")</f>
        <v>-95.5638888888667</v>
      </c>
      <c r="AU415">
        <f>IF(AND($AK415&gt;=Results!$G$13,$AK415&lt;=Results!$G$14),Curves!AS415,"")</f>
        <v>-40.616666666657544</v>
      </c>
      <c r="AV415" t="str">
        <f t="shared" si="300"/>
        <v/>
      </c>
      <c r="AW415" t="str">
        <f>IF(AND($AK415&lt;=Results!$I$21,$AK415&gt;=Results!$I$20,$AK415&lt;=Results!$F$4),$AN415,"")</f>
        <v/>
      </c>
      <c r="AX415">
        <f t="shared" si="300"/>
        <v>66.300000000000423</v>
      </c>
      <c r="AY415">
        <f>IF(AND($AK415&lt;=Results!$I$23,$AK415&gt;=Results!$I$22,$AK415&gt;=Results!$F$4),$AN415,"")</f>
        <v>1303.6166666666293</v>
      </c>
      <c r="AZ415" t="str">
        <f t="shared" si="279"/>
        <v/>
      </c>
      <c r="BA415" t="str">
        <f>IF(AND($AK415&lt;=Results!$I$27,$AK415&gt;=Results!$I$26,$AK415&lt;=Results!$F$4),$AQ415,"")</f>
        <v/>
      </c>
      <c r="BB415" t="str">
        <f t="shared" si="280"/>
        <v/>
      </c>
      <c r="BC415" t="str">
        <f>IF(AND($AK415&lt;=Results!$I$29,$AK415&gt;=Results!$I$28,$AK415&gt;=Results!$F$4),$AQ415,"")</f>
        <v/>
      </c>
      <c r="BD415">
        <f t="shared" si="281"/>
        <v>7618.5885699878663</v>
      </c>
      <c r="BE415">
        <f t="shared" si="282"/>
        <v>1276.6408986408455</v>
      </c>
      <c r="BF415">
        <f t="shared" si="283"/>
        <v>8351.9897258103192</v>
      </c>
      <c r="BG415">
        <f t="shared" si="284"/>
        <v>1173.6100010164407</v>
      </c>
      <c r="BH415">
        <f t="shared" si="285"/>
        <v>0</v>
      </c>
      <c r="BI415">
        <f t="shared" si="286"/>
        <v>4.2535462958266379E-3</v>
      </c>
      <c r="BJ415">
        <f t="shared" si="287"/>
        <v>5.6591227929284615E-3</v>
      </c>
      <c r="BK415">
        <f t="shared" si="288"/>
        <v>-8.413572727800557E-3</v>
      </c>
      <c r="BL415">
        <f t="shared" si="289"/>
        <v>-4.3339361351948614E-3</v>
      </c>
      <c r="BM415">
        <f t="shared" si="301"/>
        <v>119.99999999999771</v>
      </c>
      <c r="BN415">
        <f t="shared" si="302"/>
        <v>-119.99999999999771</v>
      </c>
      <c r="BO415">
        <f>Data!$H$2*(1-BI415)*(1-BI415/Data!$H$3)*BM415</f>
        <v>2.3796264001546045E-4</v>
      </c>
      <c r="BP415">
        <f t="shared" si="290"/>
        <v>-0.51042555549918678</v>
      </c>
      <c r="BQ415">
        <f>Data!$H$2*(1-BJ415)*(1-BJ415/Data!$H$3)*BN415</f>
        <v>-2.3729130722037833E-4</v>
      </c>
      <c r="BR415">
        <f t="shared" si="291"/>
        <v>0.6790947351514024</v>
      </c>
      <c r="BS415">
        <f t="shared" si="292"/>
        <v>0</v>
      </c>
      <c r="BT415">
        <f t="shared" si="293"/>
        <v>0</v>
      </c>
      <c r="BU415">
        <f t="shared" si="294"/>
        <v>0</v>
      </c>
      <c r="BV415">
        <f t="shared" si="277"/>
        <v>0</v>
      </c>
      <c r="BW415">
        <f t="shared" si="303"/>
        <v>0</v>
      </c>
      <c r="BX415" t="str">
        <f t="shared" si="304"/>
        <v/>
      </c>
      <c r="BY415" s="66" t="str">
        <f t="shared" si="295"/>
        <v/>
      </c>
      <c r="BZ415" t="str">
        <f t="shared" si="296"/>
        <v/>
      </c>
      <c r="CA415" s="67" t="str">
        <f t="shared" si="278"/>
        <v/>
      </c>
    </row>
    <row r="416" spans="4:79" x14ac:dyDescent="0.25">
      <c r="D416" s="3" t="e">
        <f t="shared" si="307"/>
        <v>#DIV/0!</v>
      </c>
      <c r="E416" s="3" t="e">
        <f t="shared" si="307"/>
        <v>#DIV/0!</v>
      </c>
      <c r="F416" t="str">
        <f>IF(A416&gt;0,IF(F415=1,1,IF(B416=Data!$H$4,1,0)),"")</f>
        <v/>
      </c>
      <c r="AA416" t="e">
        <f t="shared" si="275"/>
        <v>#VALUE!</v>
      </c>
      <c r="AE416" t="str">
        <f t="shared" si="276"/>
        <v/>
      </c>
      <c r="AK416" s="4">
        <f t="shared" si="305"/>
        <v>66.400000000000418</v>
      </c>
      <c r="AL416">
        <f t="shared" si="297"/>
        <v>4969.00000000005</v>
      </c>
      <c r="AM416">
        <f t="shared" si="298"/>
        <v>1294.9333333332966</v>
      </c>
      <c r="AN416">
        <f>IF($AK415+$AK$1&lt;=Data!$H$4-0.5,AVERAGE(AM414:AM418),AN415)</f>
        <v>1294.9333333332966</v>
      </c>
      <c r="AO416">
        <f t="shared" si="299"/>
        <v>5892.99999999995</v>
      </c>
      <c r="AP416">
        <f t="shared" si="306"/>
        <v>1210.5333333333176</v>
      </c>
      <c r="AQ416">
        <f>IF($AK415+$AK$1&lt;=Data!$H$4-0.5,AVERAGE(AP414:AP418),AQ415)</f>
        <v>1210.5333333333176</v>
      </c>
      <c r="AR416">
        <f>IF($AK415+$AK$1&lt;=Data!$H$4-0.5,SLOPE($AN412:$AN420,$AK412:$AK420),AR415)</f>
        <v>-90.574999999985607</v>
      </c>
      <c r="AS416">
        <f>IF($AK415+$AK$1&lt;=Data!$H$4-0.5,SLOPE($AQ412:$AQ420,$AK412:$AK420),AS415)</f>
        <v>-38.549999999994228</v>
      </c>
      <c r="AT416">
        <f>IF(AND($AK416&gt;=Results!$G$13,$AK416&lt;=Results!$G$14),Curves!AR416,"")</f>
        <v>-90.574999999985607</v>
      </c>
      <c r="AU416">
        <f>IF(AND($AK416&gt;=Results!$G$13,$AK416&lt;=Results!$G$14),Curves!AS416,"")</f>
        <v>-38.549999999994228</v>
      </c>
      <c r="AV416" t="str">
        <f t="shared" si="300"/>
        <v/>
      </c>
      <c r="AW416" t="str">
        <f>IF(AND($AK416&lt;=Results!$I$21,$AK416&gt;=Results!$I$20,$AK416&lt;=Results!$F$4),$AN416,"")</f>
        <v/>
      </c>
      <c r="AX416">
        <f t="shared" si="300"/>
        <v>66.400000000000418</v>
      </c>
      <c r="AY416">
        <f>IF(AND($AK416&lt;=Results!$I$23,$AK416&gt;=Results!$I$22,$AK416&gt;=Results!$F$4),$AN416,"")</f>
        <v>1294.9333333332966</v>
      </c>
      <c r="AZ416" t="str">
        <f t="shared" si="279"/>
        <v/>
      </c>
      <c r="BA416" t="str">
        <f>IF(AND($AK416&lt;=Results!$I$27,$AK416&gt;=Results!$I$26,$AK416&lt;=Results!$F$4),$AQ416,"")</f>
        <v/>
      </c>
      <c r="BB416" t="str">
        <f t="shared" si="280"/>
        <v/>
      </c>
      <c r="BC416" t="str">
        <f>IF(AND($AK416&lt;=Results!$I$29,$AK416&gt;=Results!$I$28,$AK416&gt;=Results!$F$4),$AQ416,"")</f>
        <v/>
      </c>
      <c r="BD416">
        <f t="shared" si="281"/>
        <v>7607.8183751899469</v>
      </c>
      <c r="BE416">
        <f t="shared" si="282"/>
        <v>1273.3251093915251</v>
      </c>
      <c r="BF416">
        <f t="shared" si="283"/>
        <v>8344.6997435774265</v>
      </c>
      <c r="BG416">
        <f t="shared" si="284"/>
        <v>1173.0592000569156</v>
      </c>
      <c r="BH416">
        <f t="shared" si="285"/>
        <v>0</v>
      </c>
      <c r="BI416">
        <f t="shared" si="286"/>
        <v>3.4112000810608833E-3</v>
      </c>
      <c r="BJ416">
        <f t="shared" si="287"/>
        <v>5.2253223023369655E-3</v>
      </c>
      <c r="BK416">
        <f t="shared" si="288"/>
        <v>-8.4333865221324703E-3</v>
      </c>
      <c r="BL416">
        <f t="shared" si="289"/>
        <v>-4.34208515768E-3</v>
      </c>
      <c r="BM416">
        <f t="shared" si="301"/>
        <v>119.99999999999771</v>
      </c>
      <c r="BN416">
        <f t="shared" si="302"/>
        <v>-119.99999999999771</v>
      </c>
      <c r="BO416">
        <f>Data!$H$2*(1-BI416)*(1-BI416/Data!$H$3)*BM416</f>
        <v>2.3836541666972453E-4</v>
      </c>
      <c r="BP416">
        <f t="shared" si="290"/>
        <v>-0.40934400972729817</v>
      </c>
      <c r="BQ416">
        <f>Data!$H$2*(1-BJ416)*(1-BJ416/Data!$H$3)*BN416</f>
        <v>-2.3749839825323296E-4</v>
      </c>
      <c r="BR416">
        <f t="shared" si="291"/>
        <v>0.62703867628042387</v>
      </c>
      <c r="BS416">
        <f t="shared" si="292"/>
        <v>0</v>
      </c>
      <c r="BT416">
        <f t="shared" si="293"/>
        <v>0</v>
      </c>
      <c r="BU416">
        <f t="shared" si="294"/>
        <v>0</v>
      </c>
      <c r="BV416">
        <f t="shared" si="277"/>
        <v>0</v>
      </c>
      <c r="BW416">
        <f t="shared" si="303"/>
        <v>0</v>
      </c>
      <c r="BX416" t="str">
        <f t="shared" si="304"/>
        <v/>
      </c>
      <c r="BY416" s="66" t="str">
        <f t="shared" si="295"/>
        <v/>
      </c>
      <c r="BZ416" t="str">
        <f t="shared" si="296"/>
        <v/>
      </c>
      <c r="CA416" s="67" t="str">
        <f t="shared" si="278"/>
        <v/>
      </c>
    </row>
    <row r="417" spans="4:79" x14ac:dyDescent="0.25">
      <c r="D417" s="3" t="e">
        <f t="shared" si="307"/>
        <v>#DIV/0!</v>
      </c>
      <c r="E417" s="3" t="e">
        <f t="shared" si="307"/>
        <v>#DIV/0!</v>
      </c>
      <c r="F417" t="str">
        <f>IF(A417&gt;0,IF(F416=1,1,IF(B417=Data!$H$4,1,0)),"")</f>
        <v/>
      </c>
      <c r="AA417" t="e">
        <f t="shared" si="275"/>
        <v>#VALUE!</v>
      </c>
      <c r="AE417" t="str">
        <f t="shared" si="276"/>
        <v/>
      </c>
      <c r="AK417" s="4">
        <f t="shared" si="305"/>
        <v>66.500000000000412</v>
      </c>
      <c r="AL417">
        <f t="shared" si="297"/>
        <v>4981.0000000000491</v>
      </c>
      <c r="AM417">
        <f t="shared" si="298"/>
        <v>1286.2499999999638</v>
      </c>
      <c r="AN417">
        <f>IF($AK416+$AK$1&lt;=Data!$H$4-0.5,AVERAGE(AM415:AM419),AN416)</f>
        <v>1286.2499999999636</v>
      </c>
      <c r="AO417">
        <f t="shared" si="299"/>
        <v>5880.9999999999509</v>
      </c>
      <c r="AP417">
        <f t="shared" si="306"/>
        <v>1206.8333333333178</v>
      </c>
      <c r="AQ417">
        <f>IF($AK416+$AK$1&lt;=Data!$H$4-0.5,AVERAGE(AP415:AP419),AQ416)</f>
        <v>1206.8333333333178</v>
      </c>
      <c r="AR417">
        <f>IF($AK416+$AK$1&lt;=Data!$H$4-0.5,SLOPE($AN413:$AN421,$AK413:$AK421),AR416)</f>
        <v>-87.275555555545026</v>
      </c>
      <c r="AS417">
        <f>IF($AK416+$AK$1&lt;=Data!$H$4-0.5,SLOPE($AQ413:$AQ421,$AK413:$AK421),AS416)</f>
        <v>-37.204444444440462</v>
      </c>
      <c r="AT417">
        <f>IF(AND($AK417&gt;=Results!$G$13,$AK417&lt;=Results!$G$14),Curves!AR417,"")</f>
        <v>-87.275555555545026</v>
      </c>
      <c r="AU417">
        <f>IF(AND($AK417&gt;=Results!$G$13,$AK417&lt;=Results!$G$14),Curves!AS417,"")</f>
        <v>-37.204444444440462</v>
      </c>
      <c r="AV417" t="str">
        <f t="shared" si="300"/>
        <v/>
      </c>
      <c r="AW417" t="str">
        <f>IF(AND($AK417&lt;=Results!$I$21,$AK417&gt;=Results!$I$20,$AK417&lt;=Results!$F$4),$AN417,"")</f>
        <v/>
      </c>
      <c r="AX417">
        <f t="shared" si="300"/>
        <v>66.500000000000412</v>
      </c>
      <c r="AY417">
        <f>IF(AND($AK417&lt;=Results!$I$23,$AK417&gt;=Results!$I$22,$AK417&gt;=Results!$F$4),$AN417,"")</f>
        <v>1286.2499999999636</v>
      </c>
      <c r="AZ417" t="str">
        <f t="shared" si="279"/>
        <v/>
      </c>
      <c r="BA417" t="str">
        <f>IF(AND($AK417&lt;=Results!$I$27,$AK417&gt;=Results!$I$26,$AK417&lt;=Results!$F$4),$AQ417,"")</f>
        <v/>
      </c>
      <c r="BB417" t="str">
        <f t="shared" si="280"/>
        <v/>
      </c>
      <c r="BC417" t="str">
        <f>IF(AND($AK417&lt;=Results!$I$29,$AK417&gt;=Results!$I$28,$AK417&gt;=Results!$F$4),$AQ417,"")</f>
        <v/>
      </c>
      <c r="BD417">
        <f t="shared" si="281"/>
        <v>7597.0481803920284</v>
      </c>
      <c r="BE417">
        <f t="shared" si="282"/>
        <v>1270.0093201422042</v>
      </c>
      <c r="BF417">
        <f t="shared" si="283"/>
        <v>8337.4097613445338</v>
      </c>
      <c r="BG417">
        <f t="shared" si="284"/>
        <v>1172.5083990973908</v>
      </c>
      <c r="BH417">
        <f t="shared" si="285"/>
        <v>0</v>
      </c>
      <c r="BI417">
        <f t="shared" si="286"/>
        <v>2.5668689914002396E-3</v>
      </c>
      <c r="BJ417">
        <f t="shared" si="287"/>
        <v>4.7907057613925108E-3</v>
      </c>
      <c r="BK417">
        <f t="shared" si="288"/>
        <v>-8.4532703906286324E-3</v>
      </c>
      <c r="BL417">
        <f t="shared" si="289"/>
        <v>-4.3502571854888948E-3</v>
      </c>
      <c r="BM417">
        <f t="shared" si="301"/>
        <v>120.00000000000226</v>
      </c>
      <c r="BN417">
        <f t="shared" si="302"/>
        <v>-120.00000000000229</v>
      </c>
      <c r="BO417">
        <f>Data!$H$2*(1-BI417)*(1-BI417/Data!$H$3)*BM417</f>
        <v>2.3876948420007292E-4</v>
      </c>
      <c r="BP417">
        <f t="shared" si="290"/>
        <v>-0.30802427896803453</v>
      </c>
      <c r="BQ417">
        <f>Data!$H$2*(1-BJ417)*(1-BJ417/Data!$H$3)*BN417</f>
        <v>-2.3770596944134228E-4</v>
      </c>
      <c r="BR417">
        <f t="shared" si="291"/>
        <v>0.57488469136711229</v>
      </c>
      <c r="BS417">
        <f t="shared" si="292"/>
        <v>0</v>
      </c>
      <c r="BT417">
        <f t="shared" si="293"/>
        <v>0</v>
      </c>
      <c r="BU417">
        <f t="shared" si="294"/>
        <v>0</v>
      </c>
      <c r="BV417">
        <f t="shared" si="277"/>
        <v>0</v>
      </c>
      <c r="BW417">
        <f t="shared" si="303"/>
        <v>0</v>
      </c>
      <c r="BX417" t="str">
        <f t="shared" si="304"/>
        <v/>
      </c>
      <c r="BY417" s="66" t="str">
        <f t="shared" si="295"/>
        <v/>
      </c>
      <c r="BZ417" t="str">
        <f t="shared" si="296"/>
        <v/>
      </c>
      <c r="CA417" s="67" t="str">
        <f t="shared" si="278"/>
        <v/>
      </c>
    </row>
    <row r="418" spans="4:79" x14ac:dyDescent="0.25">
      <c r="D418" s="3" t="e">
        <f t="shared" si="307"/>
        <v>#DIV/0!</v>
      </c>
      <c r="E418" s="3" t="e">
        <f t="shared" si="307"/>
        <v>#DIV/0!</v>
      </c>
      <c r="F418" t="str">
        <f>IF(A418&gt;0,IF(F417=1,1,IF(B418=Data!$H$4,1,0)),"")</f>
        <v/>
      </c>
      <c r="AA418" t="e">
        <f t="shared" si="275"/>
        <v>#VALUE!</v>
      </c>
      <c r="AE418" t="str">
        <f t="shared" si="276"/>
        <v/>
      </c>
      <c r="AK418" s="4">
        <f t="shared" si="305"/>
        <v>66.600000000000406</v>
      </c>
      <c r="AL418">
        <f t="shared" si="297"/>
        <v>4993.0000000000491</v>
      </c>
      <c r="AM418">
        <f t="shared" si="298"/>
        <v>1277.5666666666309</v>
      </c>
      <c r="AN418">
        <f>IF($AK417+$AK$1&lt;=Data!$H$4-0.5,AVERAGE(AM416:AM420),AN417)</f>
        <v>1277.5666666666309</v>
      </c>
      <c r="AO418">
        <f t="shared" si="299"/>
        <v>5868.9999999999509</v>
      </c>
      <c r="AP418">
        <f t="shared" si="306"/>
        <v>1203.133333333318</v>
      </c>
      <c r="AQ418">
        <f>IF($AK417+$AK$1&lt;=Data!$H$4-0.5,AVERAGE(AP416:AP420),AQ417)</f>
        <v>1203.133333333318</v>
      </c>
      <c r="AR418">
        <f>IF($AK417+$AK$1&lt;=Data!$H$4-0.5,SLOPE($AN414:$AN422,$AK414:$AK422),AR417)</f>
        <v>-84.749999999989015</v>
      </c>
      <c r="AS418">
        <f>IF($AK417+$AK$1&lt;=Data!$H$4-0.5,SLOPE($AQ414:$AQ422,$AK414:$AK422),AS417)</f>
        <v>-36.216666666662576</v>
      </c>
      <c r="AT418">
        <f>IF(AND($AK418&gt;=Results!$G$13,$AK418&lt;=Results!$G$14),Curves!AR418,"")</f>
        <v>-84.749999999989015</v>
      </c>
      <c r="AU418">
        <f>IF(AND($AK418&gt;=Results!$G$13,$AK418&lt;=Results!$G$14),Curves!AS418,"")</f>
        <v>-36.216666666662576</v>
      </c>
      <c r="AV418" t="str">
        <f t="shared" si="300"/>
        <v/>
      </c>
      <c r="AW418" t="str">
        <f>IF(AND($AK418&lt;=Results!$I$21,$AK418&gt;=Results!$I$20,$AK418&lt;=Results!$F$4),$AN418,"")</f>
        <v/>
      </c>
      <c r="AX418">
        <f t="shared" si="300"/>
        <v>66.600000000000406</v>
      </c>
      <c r="AY418">
        <f>IF(AND($AK418&lt;=Results!$I$23,$AK418&gt;=Results!$I$22,$AK418&gt;=Results!$F$4),$AN418,"")</f>
        <v>1277.5666666666309</v>
      </c>
      <c r="AZ418" t="str">
        <f t="shared" si="279"/>
        <v/>
      </c>
      <c r="BA418" t="str">
        <f>IF(AND($AK418&lt;=Results!$I$27,$AK418&gt;=Results!$I$26,$AK418&lt;=Results!$F$4),$AQ418,"")</f>
        <v/>
      </c>
      <c r="BB418" t="str">
        <f t="shared" si="280"/>
        <v/>
      </c>
      <c r="BC418" t="str">
        <f>IF(AND($AK418&lt;=Results!$I$29,$AK418&gt;=Results!$I$28,$AK418&gt;=Results!$F$4),$AQ418,"")</f>
        <v/>
      </c>
      <c r="BD418">
        <f t="shared" si="281"/>
        <v>7586.2779855941089</v>
      </c>
      <c r="BE418">
        <f t="shared" si="282"/>
        <v>1266.6935308928837</v>
      </c>
      <c r="BF418">
        <f t="shared" si="283"/>
        <v>8330.119779111641</v>
      </c>
      <c r="BG418">
        <f t="shared" si="284"/>
        <v>1171.9575981378657</v>
      </c>
      <c r="BH418">
        <f t="shared" si="285"/>
        <v>0</v>
      </c>
      <c r="BI418">
        <f t="shared" si="286"/>
        <v>1.7205460029352526E-3</v>
      </c>
      <c r="BJ418">
        <f t="shared" si="287"/>
        <v>4.3552708652392358E-3</v>
      </c>
      <c r="BK418">
        <f t="shared" si="288"/>
        <v>-8.4732246641194085E-3</v>
      </c>
      <c r="BL418">
        <f t="shared" si="289"/>
        <v>-4.3584523052988796E-3</v>
      </c>
      <c r="BM418">
        <f t="shared" si="301"/>
        <v>120.00000000000226</v>
      </c>
      <c r="BN418">
        <f t="shared" si="302"/>
        <v>-120.00000000000226</v>
      </c>
      <c r="BO418">
        <f>Data!$H$2*(1-BI418)*(1-BI418/Data!$H$3)*BM418</f>
        <v>2.3917484838544711E-4</v>
      </c>
      <c r="BP418">
        <f t="shared" si="290"/>
        <v>-0.2064655203522342</v>
      </c>
      <c r="BQ418">
        <f>Data!$H$2*(1-BJ418)*(1-BJ418/Data!$H$3)*BN418</f>
        <v>-2.3791402239692396E-4</v>
      </c>
      <c r="BR418">
        <f t="shared" si="291"/>
        <v>0.52263250382871818</v>
      </c>
      <c r="BS418">
        <f t="shared" si="292"/>
        <v>0</v>
      </c>
      <c r="BT418">
        <f t="shared" si="293"/>
        <v>0</v>
      </c>
      <c r="BU418">
        <f t="shared" si="294"/>
        <v>0</v>
      </c>
      <c r="BV418">
        <f t="shared" si="277"/>
        <v>0</v>
      </c>
      <c r="BW418">
        <f t="shared" si="303"/>
        <v>0</v>
      </c>
      <c r="BX418" t="str">
        <f t="shared" si="304"/>
        <v/>
      </c>
      <c r="BY418" s="66" t="str">
        <f t="shared" si="295"/>
        <v/>
      </c>
      <c r="BZ418" t="str">
        <f t="shared" si="296"/>
        <v/>
      </c>
      <c r="CA418" s="67" t="str">
        <f t="shared" si="278"/>
        <v/>
      </c>
    </row>
    <row r="419" spans="4:79" x14ac:dyDescent="0.25">
      <c r="D419" s="3" t="e">
        <f t="shared" si="307"/>
        <v>#DIV/0!</v>
      </c>
      <c r="E419" s="3" t="e">
        <f t="shared" si="307"/>
        <v>#DIV/0!</v>
      </c>
      <c r="F419" t="str">
        <f>IF(A419&gt;0,IF(F418=1,1,IF(B419=Data!$H$4,1,0)),"")</f>
        <v/>
      </c>
      <c r="AA419" t="e">
        <f t="shared" si="275"/>
        <v>#VALUE!</v>
      </c>
      <c r="AE419" t="str">
        <f t="shared" si="276"/>
        <v/>
      </c>
      <c r="AK419" s="4">
        <f t="shared" si="305"/>
        <v>66.700000000000401</v>
      </c>
      <c r="AL419">
        <f t="shared" si="297"/>
        <v>5005.0000000000482</v>
      </c>
      <c r="AM419">
        <f t="shared" si="298"/>
        <v>1268.8833333332982</v>
      </c>
      <c r="AN419">
        <f>IF($AK418+$AK$1&lt;=Data!$H$4-0.5,AVERAGE(AM417:AM421),AN418)</f>
        <v>1268.8833333332982</v>
      </c>
      <c r="AO419">
        <f t="shared" si="299"/>
        <v>5856.9999999999518</v>
      </c>
      <c r="AP419">
        <f t="shared" si="306"/>
        <v>1199.4333333333182</v>
      </c>
      <c r="AQ419">
        <f>IF($AK418+$AK$1&lt;=Data!$H$4-0.5,AVERAGE(AP417:AP421),AQ418)</f>
        <v>1199.4333333333182</v>
      </c>
      <c r="AR419">
        <f>IF($AK418+$AK$1&lt;=Data!$H$4-0.5,SLOPE($AN415:$AN423,$AK415:$AK423),AR418)</f>
        <v>-81.972222222205829</v>
      </c>
      <c r="AS419">
        <f>IF($AK418+$AK$1&lt;=Data!$H$4-0.5,SLOPE($AQ415:$AQ423,$AK415:$AK423),AS418)</f>
        <v>-35.172222222216142</v>
      </c>
      <c r="AT419">
        <f>IF(AND($AK419&gt;=Results!$G$13,$AK419&lt;=Results!$G$14),Curves!AR419,"")</f>
        <v>-81.972222222205829</v>
      </c>
      <c r="AU419">
        <f>IF(AND($AK419&gt;=Results!$G$13,$AK419&lt;=Results!$G$14),Curves!AS419,"")</f>
        <v>-35.172222222216142</v>
      </c>
      <c r="AV419" t="str">
        <f t="shared" si="300"/>
        <v/>
      </c>
      <c r="AW419" t="str">
        <f>IF(AND($AK419&lt;=Results!$I$21,$AK419&gt;=Results!$I$20,$AK419&lt;=Results!$F$4),$AN419,"")</f>
        <v/>
      </c>
      <c r="AX419">
        <f t="shared" si="300"/>
        <v>66.700000000000401</v>
      </c>
      <c r="AY419">
        <f>IF(AND($AK419&lt;=Results!$I$23,$AK419&gt;=Results!$I$22,$AK419&gt;=Results!$F$4),$AN419,"")</f>
        <v>1268.8833333332982</v>
      </c>
      <c r="AZ419" t="str">
        <f t="shared" si="279"/>
        <v/>
      </c>
      <c r="BA419" t="str">
        <f>IF(AND($AK419&lt;=Results!$I$27,$AK419&gt;=Results!$I$26,$AK419&lt;=Results!$F$4),$AQ419,"")</f>
        <v/>
      </c>
      <c r="BB419" t="str">
        <f t="shared" si="280"/>
        <v/>
      </c>
      <c r="BC419" t="str">
        <f>IF(AND($AK419&lt;=Results!$I$29,$AK419&gt;=Results!$I$28,$AK419&gt;=Results!$F$4),$AQ419,"")</f>
        <v/>
      </c>
      <c r="BD419">
        <f t="shared" si="281"/>
        <v>7575.5077907961904</v>
      </c>
      <c r="BE419">
        <f t="shared" si="282"/>
        <v>1263.3777416435632</v>
      </c>
      <c r="BF419">
        <f t="shared" si="283"/>
        <v>8322.8297968787483</v>
      </c>
      <c r="BG419">
        <f t="shared" si="284"/>
        <v>1171.4067971783409</v>
      </c>
      <c r="BH419">
        <f t="shared" si="285"/>
        <v>0</v>
      </c>
      <c r="BI419">
        <f t="shared" si="286"/>
        <v>8.7222405857645402E-4</v>
      </c>
      <c r="BJ419">
        <f t="shared" si="287"/>
        <v>3.9190153003327843E-3</v>
      </c>
      <c r="BK419">
        <f t="shared" si="288"/>
        <v>-8.4932496753780482E-3</v>
      </c>
      <c r="BL419">
        <f t="shared" si="289"/>
        <v>-4.3666706041947372E-3</v>
      </c>
      <c r="BM419">
        <f t="shared" si="301"/>
        <v>119.99999999999771</v>
      </c>
      <c r="BN419">
        <f t="shared" si="302"/>
        <v>-119.99999999999771</v>
      </c>
      <c r="BO419">
        <f>Data!$H$2*(1-BI419)*(1-BI419/Data!$H$3)*BM419</f>
        <v>2.3958151503783272E-4</v>
      </c>
      <c r="BP419">
        <f t="shared" si="290"/>
        <v>-0.10466688702917248</v>
      </c>
      <c r="BQ419">
        <f>Data!$H$2*(1-BJ419)*(1-BJ419/Data!$H$3)*BN419</f>
        <v>-2.3812255873925753E-4</v>
      </c>
      <c r="BR419">
        <f t="shared" si="291"/>
        <v>0.47028183603992513</v>
      </c>
      <c r="BS419">
        <f t="shared" si="292"/>
        <v>0</v>
      </c>
      <c r="BT419">
        <f t="shared" si="293"/>
        <v>0</v>
      </c>
      <c r="BU419">
        <f t="shared" si="294"/>
        <v>0</v>
      </c>
      <c r="BV419">
        <f t="shared" si="277"/>
        <v>0</v>
      </c>
      <c r="BW419">
        <f t="shared" si="303"/>
        <v>0</v>
      </c>
      <c r="BX419" t="str">
        <f t="shared" si="304"/>
        <v/>
      </c>
      <c r="BY419" s="66" t="str">
        <f t="shared" si="295"/>
        <v/>
      </c>
      <c r="BZ419" t="str">
        <f t="shared" si="296"/>
        <v/>
      </c>
      <c r="CA419" s="67" t="str">
        <f t="shared" si="278"/>
        <v/>
      </c>
    </row>
    <row r="420" spans="4:79" x14ac:dyDescent="0.25">
      <c r="D420" s="3" t="e">
        <f t="shared" si="307"/>
        <v>#DIV/0!</v>
      </c>
      <c r="E420" s="3" t="e">
        <f t="shared" si="307"/>
        <v>#DIV/0!</v>
      </c>
      <c r="F420" t="str">
        <f>IF(A420&gt;0,IF(F419=1,1,IF(B420=Data!$H$4,1,0)),"")</f>
        <v/>
      </c>
      <c r="AA420" t="e">
        <f t="shared" si="275"/>
        <v>#VALUE!</v>
      </c>
      <c r="AE420" t="str">
        <f t="shared" si="276"/>
        <v/>
      </c>
      <c r="AK420" s="4">
        <f t="shared" si="305"/>
        <v>66.800000000000395</v>
      </c>
      <c r="AL420">
        <f t="shared" si="297"/>
        <v>5017.0000000000473</v>
      </c>
      <c r="AM420">
        <f t="shared" si="298"/>
        <v>1260.1999999999653</v>
      </c>
      <c r="AN420">
        <f>IF($AK419+$AK$1&lt;=Data!$H$4-0.5,AVERAGE(AM418:AM422),AN419)</f>
        <v>1260.1999999999684</v>
      </c>
      <c r="AO420">
        <f t="shared" si="299"/>
        <v>5844.9999999999527</v>
      </c>
      <c r="AP420">
        <f t="shared" si="306"/>
        <v>1195.7333333333183</v>
      </c>
      <c r="AQ420">
        <f>IF($AK419+$AK$1&lt;=Data!$H$4-0.5,AVERAGE(AP418:AP422),AQ419)</f>
        <v>1195.7333333333195</v>
      </c>
      <c r="AR420">
        <f>IF($AK419+$AK$1&lt;=Data!$H$4-0.5,SLOPE($AN416:$AN424,$AK416:$AK424),AR419)</f>
        <v>-77.805555555533871</v>
      </c>
      <c r="AS420">
        <f>IF($AK419+$AK$1&lt;=Data!$H$4-0.5,SLOPE($AQ416:$AQ424,$AK416:$AK424),AS419)</f>
        <v>-33.605555555547561</v>
      </c>
      <c r="AT420">
        <f>IF(AND($AK420&gt;=Results!$G$13,$AK420&lt;=Results!$G$14),Curves!AR420,"")</f>
        <v>-77.805555555533871</v>
      </c>
      <c r="AU420">
        <f>IF(AND($AK420&gt;=Results!$G$13,$AK420&lt;=Results!$G$14),Curves!AS420,"")</f>
        <v>-33.605555555547561</v>
      </c>
      <c r="AV420" t="str">
        <f t="shared" si="300"/>
        <v/>
      </c>
      <c r="AW420" t="str">
        <f>IF(AND($AK420&lt;=Results!$I$21,$AK420&gt;=Results!$I$20,$AK420&lt;=Results!$F$4),$AN420,"")</f>
        <v/>
      </c>
      <c r="AX420">
        <f t="shared" si="300"/>
        <v>66.800000000000395</v>
      </c>
      <c r="AY420">
        <f>IF(AND($AK420&lt;=Results!$I$23,$AK420&gt;=Results!$I$22,$AK420&gt;=Results!$F$4),$AN420,"")</f>
        <v>1260.1999999999684</v>
      </c>
      <c r="AZ420" t="str">
        <f t="shared" si="279"/>
        <v/>
      </c>
      <c r="BA420" t="str">
        <f>IF(AND($AK420&lt;=Results!$I$27,$AK420&gt;=Results!$I$26,$AK420&lt;=Results!$F$4),$AQ420,"")</f>
        <v/>
      </c>
      <c r="BB420" t="str">
        <f t="shared" si="280"/>
        <v/>
      </c>
      <c r="BC420" t="str">
        <f>IF(AND($AK420&lt;=Results!$I$29,$AK420&gt;=Results!$I$28,$AK420&gt;=Results!$F$4),$AQ420,"")</f>
        <v/>
      </c>
      <c r="BD420">
        <f t="shared" si="281"/>
        <v>7564.7375959982719</v>
      </c>
      <c r="BE420">
        <f t="shared" si="282"/>
        <v>1260.0619523942428</v>
      </c>
      <c r="BF420">
        <f t="shared" si="283"/>
        <v>8315.5398146458556</v>
      </c>
      <c r="BG420">
        <f t="shared" si="284"/>
        <v>1170.8559962188158</v>
      </c>
      <c r="BH420">
        <f t="shared" si="285"/>
        <v>0</v>
      </c>
      <c r="BI420">
        <f t="shared" si="286"/>
        <v>2.1896067859739077E-5</v>
      </c>
      <c r="BJ420">
        <f t="shared" si="287"/>
        <v>3.481936744400338E-3</v>
      </c>
      <c r="BK420">
        <f t="shared" si="288"/>
        <v>-7.8516782538949909E-3</v>
      </c>
      <c r="BL420">
        <f t="shared" si="289"/>
        <v>-4.1554278858454557E-3</v>
      </c>
      <c r="BM420">
        <f t="shared" si="301"/>
        <v>119.99999999999771</v>
      </c>
      <c r="BN420">
        <f t="shared" si="302"/>
        <v>-119.99999999999771</v>
      </c>
      <c r="BO420">
        <f>Data!$H$2*(1-BI420)*(1-BI420/Data!$H$3)*BM420</f>
        <v>2.399894900024878E-4</v>
      </c>
      <c r="BP420">
        <f t="shared" si="290"/>
        <v>-2.6275281431686389E-3</v>
      </c>
      <c r="BQ420">
        <f>Data!$H$2*(1-BJ420)*(1-BJ420/Data!$H$3)*BN420</f>
        <v>-2.3833158009472136E-4</v>
      </c>
      <c r="BR420">
        <f t="shared" si="291"/>
        <v>0.41783240932803256</v>
      </c>
      <c r="BS420">
        <f t="shared" si="292"/>
        <v>0</v>
      </c>
      <c r="BT420">
        <f t="shared" si="293"/>
        <v>0</v>
      </c>
      <c r="BU420">
        <f t="shared" si="294"/>
        <v>0</v>
      </c>
      <c r="BV420">
        <f t="shared" si="277"/>
        <v>0</v>
      </c>
      <c r="BW420">
        <f t="shared" si="303"/>
        <v>0</v>
      </c>
      <c r="BX420" t="str">
        <f t="shared" si="304"/>
        <v/>
      </c>
      <c r="BY420" s="66" t="str">
        <f t="shared" si="295"/>
        <v/>
      </c>
      <c r="BZ420" t="str">
        <f t="shared" si="296"/>
        <v/>
      </c>
      <c r="CA420" s="67" t="str">
        <f t="shared" si="278"/>
        <v/>
      </c>
    </row>
    <row r="421" spans="4:79" x14ac:dyDescent="0.25">
      <c r="D421" s="3" t="e">
        <f t="shared" si="307"/>
        <v>#DIV/0!</v>
      </c>
      <c r="E421" s="3" t="e">
        <f t="shared" si="307"/>
        <v>#DIV/0!</v>
      </c>
      <c r="F421" t="str">
        <f>IF(A421&gt;0,IF(F420=1,1,IF(B421=Data!$H$4,1,0)),"")</f>
        <v/>
      </c>
      <c r="AA421" t="e">
        <f t="shared" si="275"/>
        <v>#VALUE!</v>
      </c>
      <c r="AE421" t="str">
        <f t="shared" si="276"/>
        <v/>
      </c>
      <c r="AK421" s="4">
        <f t="shared" si="305"/>
        <v>66.900000000000389</v>
      </c>
      <c r="AL421">
        <f t="shared" si="297"/>
        <v>5029.0000000000464</v>
      </c>
      <c r="AM421">
        <f t="shared" si="298"/>
        <v>1251.5166666666325</v>
      </c>
      <c r="AN421">
        <f>IF($AK420+$AK$1&lt;=Data!$H$4-0.5,AVERAGE(AM419:AM423),AN420)</f>
        <v>1252.3499999999722</v>
      </c>
      <c r="AO421">
        <f t="shared" si="299"/>
        <v>5832.9999999999536</v>
      </c>
      <c r="AP421">
        <f t="shared" si="306"/>
        <v>1192.0333333333185</v>
      </c>
      <c r="AQ421">
        <f>IF($AK420+$AK$1&lt;=Data!$H$4-0.5,AVERAGE(AP419:AP423),AQ420)</f>
        <v>1192.3466666666543</v>
      </c>
      <c r="AR421">
        <f>IF($AK420+$AK$1&lt;=Data!$H$4-0.5,SLOPE($AN417:$AN425,$AK417:$AK425),AR420)</f>
        <v>-72.249999999975685</v>
      </c>
      <c r="AS421">
        <f>IF($AK420+$AK$1&lt;=Data!$H$4-0.5,SLOPE($AQ417:$AQ425,$AK417:$AK425),AS420)</f>
        <v>-31.516666666657606</v>
      </c>
      <c r="AT421">
        <f>IF(AND($AK421&gt;=Results!$G$13,$AK421&lt;=Results!$G$14),Curves!AR421,"")</f>
        <v>-72.249999999975685</v>
      </c>
      <c r="AU421">
        <f>IF(AND($AK421&gt;=Results!$G$13,$AK421&lt;=Results!$G$14),Curves!AS421,"")</f>
        <v>-31.516666666657606</v>
      </c>
      <c r="AV421" t="str">
        <f t="shared" si="300"/>
        <v/>
      </c>
      <c r="AW421" t="str">
        <f>IF(AND($AK421&lt;=Results!$I$21,$AK421&gt;=Results!$I$20,$AK421&lt;=Results!$F$4),$AN421,"")</f>
        <v/>
      </c>
      <c r="AX421">
        <f t="shared" si="300"/>
        <v>66.900000000000389</v>
      </c>
      <c r="AY421">
        <f>IF(AND($AK421&lt;=Results!$I$23,$AK421&gt;=Results!$I$22,$AK421&gt;=Results!$F$4),$AN421,"")</f>
        <v>1252.3499999999722</v>
      </c>
      <c r="AZ421" t="str">
        <f t="shared" si="279"/>
        <v/>
      </c>
      <c r="BA421" t="str">
        <f>IF(AND($AK421&lt;=Results!$I$27,$AK421&gt;=Results!$I$26,$AK421&lt;=Results!$F$4),$AQ421,"")</f>
        <v/>
      </c>
      <c r="BB421" t="str">
        <f t="shared" si="280"/>
        <v/>
      </c>
      <c r="BC421" t="str">
        <f>IF(AND($AK421&lt;=Results!$I$29,$AK421&gt;=Results!$I$28,$AK421&gt;=Results!$F$4),$AQ421,"")</f>
        <v/>
      </c>
      <c r="BD421">
        <f t="shared" si="281"/>
        <v>7553.9674012003525</v>
      </c>
      <c r="BE421">
        <f t="shared" si="282"/>
        <v>1256.7461631449219</v>
      </c>
      <c r="BF421">
        <f t="shared" si="283"/>
        <v>8308.2498324129629</v>
      </c>
      <c r="BG421">
        <f t="shared" si="284"/>
        <v>1170.3051952592909</v>
      </c>
      <c r="BH421">
        <f t="shared" si="285"/>
        <v>0</v>
      </c>
      <c r="BI421">
        <f t="shared" si="286"/>
        <v>-6.98111592202455E-4</v>
      </c>
      <c r="BJ421">
        <f t="shared" si="287"/>
        <v>3.0879297231637404E-3</v>
      </c>
      <c r="BK421">
        <f t="shared" si="288"/>
        <v>-6.5461581827800765E-3</v>
      </c>
      <c r="BL421">
        <f t="shared" si="289"/>
        <v>-3.7241019824781783E-3</v>
      </c>
      <c r="BM421">
        <f t="shared" si="301"/>
        <v>120.00000000000226</v>
      </c>
      <c r="BN421">
        <f t="shared" si="302"/>
        <v>-120.00000000000226</v>
      </c>
      <c r="BO421">
        <f>Data!$H$2*(1-BI421)*(1-BI421/Data!$H$3)*BM421</f>
        <v>2.4033521053061252E-4</v>
      </c>
      <c r="BP421">
        <f t="shared" si="290"/>
        <v>8.3773391064296182E-2</v>
      </c>
      <c r="BQ421">
        <f>Data!$H$2*(1-BJ421)*(1-BJ421/Data!$H$3)*BN421</f>
        <v>-2.3852008220727995E-4</v>
      </c>
      <c r="BR421">
        <f t="shared" si="291"/>
        <v>0.37055156677965584</v>
      </c>
      <c r="BS421">
        <f t="shared" si="292"/>
        <v>0</v>
      </c>
      <c r="BT421">
        <f t="shared" si="293"/>
        <v>0</v>
      </c>
      <c r="BU421">
        <f t="shared" si="294"/>
        <v>0</v>
      </c>
      <c r="BV421">
        <f t="shared" si="277"/>
        <v>0</v>
      </c>
      <c r="BW421">
        <f t="shared" si="303"/>
        <v>0</v>
      </c>
      <c r="BX421" t="str">
        <f t="shared" si="304"/>
        <v/>
      </c>
      <c r="BY421" s="66" t="str">
        <f t="shared" si="295"/>
        <v/>
      </c>
      <c r="BZ421" t="str">
        <f t="shared" si="296"/>
        <v/>
      </c>
      <c r="CA421" s="67" t="str">
        <f t="shared" si="278"/>
        <v/>
      </c>
    </row>
    <row r="422" spans="4:79" x14ac:dyDescent="0.25">
      <c r="D422" s="3" t="e">
        <f t="shared" si="307"/>
        <v>#DIV/0!</v>
      </c>
      <c r="E422" s="3" t="e">
        <f t="shared" si="307"/>
        <v>#DIV/0!</v>
      </c>
      <c r="F422" t="str">
        <f>IF(A422&gt;0,IF(F421=1,1,IF(B422=Data!$H$4,1,0)),"")</f>
        <v/>
      </c>
      <c r="AA422" t="e">
        <f t="shared" si="275"/>
        <v>#VALUE!</v>
      </c>
      <c r="AE422" t="str">
        <f t="shared" si="276"/>
        <v/>
      </c>
      <c r="AK422" s="4">
        <f t="shared" si="305"/>
        <v>67.000000000000384</v>
      </c>
      <c r="AL422">
        <f t="shared" si="297"/>
        <v>5041.0000000000464</v>
      </c>
      <c r="AM422">
        <f t="shared" si="298"/>
        <v>1242.8333333333157</v>
      </c>
      <c r="AN422">
        <f>IF($AK421+$AK$1&lt;=Data!$H$4-0.5,AVERAGE(AM420:AM424),AN421)</f>
        <v>1245.3333333333092</v>
      </c>
      <c r="AO422">
        <f t="shared" si="299"/>
        <v>5820.9999999999536</v>
      </c>
      <c r="AP422">
        <f t="shared" si="306"/>
        <v>1188.3333333333248</v>
      </c>
      <c r="AQ422">
        <f>IF($AK421+$AK$1&lt;=Data!$H$4-0.5,AVERAGE(AP420:AP424),AQ421)</f>
        <v>1189.2733333333224</v>
      </c>
      <c r="AR422">
        <f>IF($AK421+$AK$1&lt;=Data!$H$4-0.5,SLOPE($AN418:$AN426,$AK418:$AK426),AR421)</f>
        <v>-65.999999999975827</v>
      </c>
      <c r="AS422">
        <f>IF($AK421+$AK$1&lt;=Data!$H$4-0.5,SLOPE($AQ418:$AQ426,$AK418:$AK426),AS421)</f>
        <v>-29.166666666657566</v>
      </c>
      <c r="AT422">
        <f>IF(AND($AK422&gt;=Results!$G$13,$AK422&lt;=Results!$G$14),Curves!AR422,"")</f>
        <v>-65.999999999975827</v>
      </c>
      <c r="AU422">
        <f>IF(AND($AK422&gt;=Results!$G$13,$AK422&lt;=Results!$G$14),Curves!AS422,"")</f>
        <v>-29.166666666657566</v>
      </c>
      <c r="AV422" t="str">
        <f t="shared" si="300"/>
        <v/>
      </c>
      <c r="AW422" t="str">
        <f>IF(AND($AK422&lt;=Results!$I$21,$AK422&gt;=Results!$I$20,$AK422&lt;=Results!$F$4),$AN422,"")</f>
        <v/>
      </c>
      <c r="AX422">
        <f t="shared" si="300"/>
        <v>67.000000000000384</v>
      </c>
      <c r="AY422">
        <f>IF(AND($AK422&lt;=Results!$I$23,$AK422&gt;=Results!$I$22,$AK422&gt;=Results!$F$4),$AN422,"")</f>
        <v>1245.3333333333092</v>
      </c>
      <c r="AZ422" t="str">
        <f t="shared" si="279"/>
        <v/>
      </c>
      <c r="BA422" t="str">
        <f>IF(AND($AK422&lt;=Results!$I$27,$AK422&gt;=Results!$I$26,$AK422&lt;=Results!$F$4),$AQ422,"")</f>
        <v/>
      </c>
      <c r="BB422" t="str">
        <f t="shared" si="280"/>
        <v/>
      </c>
      <c r="BC422" t="str">
        <f>IF(AND($AK422&lt;=Results!$I$29,$AK422&gt;=Results!$I$28,$AK422&gt;=Results!$F$4),$AQ422,"")</f>
        <v/>
      </c>
      <c r="BD422">
        <f t="shared" si="281"/>
        <v>7543.1972064024339</v>
      </c>
      <c r="BE422">
        <f t="shared" si="282"/>
        <v>1253.4303738956014</v>
      </c>
      <c r="BF422">
        <f t="shared" si="283"/>
        <v>8300.9598501800701</v>
      </c>
      <c r="BG422">
        <f t="shared" si="284"/>
        <v>1169.7543942997659</v>
      </c>
      <c r="BH422">
        <f t="shared" si="285"/>
        <v>0</v>
      </c>
      <c r="BI422">
        <f t="shared" si="286"/>
        <v>-1.2873355686962018E-3</v>
      </c>
      <c r="BJ422">
        <f t="shared" si="287"/>
        <v>2.7371163479047445E-3</v>
      </c>
      <c r="BK422">
        <f t="shared" si="288"/>
        <v>-5.2359935865134632E-3</v>
      </c>
      <c r="BL422">
        <f t="shared" si="289"/>
        <v>-3.2915526561413033E-3</v>
      </c>
      <c r="BM422">
        <f t="shared" si="301"/>
        <v>120.00000000000226</v>
      </c>
      <c r="BN422">
        <f t="shared" si="302"/>
        <v>-120.00000000000226</v>
      </c>
      <c r="BO422">
        <f>Data!$H$2*(1-BI422)*(1-BI422/Data!$H$3)*BM422</f>
        <v>2.4061831880886665E-4</v>
      </c>
      <c r="BP422">
        <f t="shared" si="290"/>
        <v>0.15448026824354713</v>
      </c>
      <c r="BQ422">
        <f>Data!$H$2*(1-BJ422)*(1-BJ422/Data!$H$3)*BN422</f>
        <v>-2.3868798218642669E-4</v>
      </c>
      <c r="BR422">
        <f t="shared" si="291"/>
        <v>0.3284539617485755</v>
      </c>
      <c r="BS422">
        <f t="shared" si="292"/>
        <v>0</v>
      </c>
      <c r="BT422">
        <f t="shared" si="293"/>
        <v>0</v>
      </c>
      <c r="BU422">
        <f t="shared" si="294"/>
        <v>0</v>
      </c>
      <c r="BV422">
        <f t="shared" si="277"/>
        <v>0</v>
      </c>
      <c r="BW422">
        <f t="shared" si="303"/>
        <v>0</v>
      </c>
      <c r="BX422" t="str">
        <f t="shared" si="304"/>
        <v/>
      </c>
      <c r="BY422" s="66" t="str">
        <f t="shared" si="295"/>
        <v/>
      </c>
      <c r="BZ422" t="str">
        <f t="shared" si="296"/>
        <v/>
      </c>
      <c r="CA422" s="67" t="str">
        <f t="shared" si="278"/>
        <v/>
      </c>
    </row>
    <row r="423" spans="4:79" x14ac:dyDescent="0.25">
      <c r="D423" s="3" t="e">
        <f t="shared" si="307"/>
        <v>#DIV/0!</v>
      </c>
      <c r="E423" s="3" t="e">
        <f t="shared" si="307"/>
        <v>#DIV/0!</v>
      </c>
      <c r="F423" t="str">
        <f>IF(A423&gt;0,IF(F422=1,1,IF(B423=Data!$H$4,1,0)),"")</f>
        <v/>
      </c>
      <c r="AA423" t="e">
        <f t="shared" si="275"/>
        <v>#VALUE!</v>
      </c>
      <c r="AE423" t="str">
        <f t="shared" si="276"/>
        <v/>
      </c>
      <c r="AK423" s="4">
        <f t="shared" si="305"/>
        <v>67.100000000000378</v>
      </c>
      <c r="AL423">
        <f t="shared" si="297"/>
        <v>5053.0000000000455</v>
      </c>
      <c r="AM423">
        <f t="shared" si="298"/>
        <v>1238.3166666666493</v>
      </c>
      <c r="AN423">
        <f>IF($AK422+$AK$1&lt;=Data!$H$4-0.5,AVERAGE(AM421:AM425),AN422)</f>
        <v>1239.1499999999794</v>
      </c>
      <c r="AO423">
        <f t="shared" si="299"/>
        <v>5808.9999999999545</v>
      </c>
      <c r="AP423">
        <f t="shared" si="306"/>
        <v>1186.1999999999916</v>
      </c>
      <c r="AQ423">
        <f>IF($AK422+$AK$1&lt;=Data!$H$4-0.5,AVERAGE(AP421:AP425),AQ422)</f>
        <v>1186.5133333333238</v>
      </c>
      <c r="AR423">
        <f>IF($AK422+$AK$1&lt;=Data!$H$4-0.5,SLOPE($AN419:$AN427,$AK419:$AK427),AR422)</f>
        <v>-59.749999999978264</v>
      </c>
      <c r="AS423">
        <f>IF($AK422+$AK$1&lt;=Data!$H$4-0.5,SLOPE($AQ419:$AQ427,$AK419:$AK427),AS422)</f>
        <v>-26.816666666658541</v>
      </c>
      <c r="AT423">
        <f>IF(AND($AK423&gt;=Results!$G$13,$AK423&lt;=Results!$G$14),Curves!AR423,"")</f>
        <v>-59.749999999978264</v>
      </c>
      <c r="AU423">
        <f>IF(AND($AK423&gt;=Results!$G$13,$AK423&lt;=Results!$G$14),Curves!AS423,"")</f>
        <v>-26.816666666658541</v>
      </c>
      <c r="AV423" t="str">
        <f t="shared" si="300"/>
        <v/>
      </c>
      <c r="AW423" t="str">
        <f>IF(AND($AK423&lt;=Results!$I$21,$AK423&gt;=Results!$I$20,$AK423&lt;=Results!$F$4),$AN423,"")</f>
        <v/>
      </c>
      <c r="AX423">
        <f t="shared" si="300"/>
        <v>67.100000000000378</v>
      </c>
      <c r="AY423">
        <f>IF(AND($AK423&lt;=Results!$I$23,$AK423&gt;=Results!$I$22,$AK423&gt;=Results!$F$4),$AN423,"")</f>
        <v>1239.1499999999794</v>
      </c>
      <c r="AZ423" t="str">
        <f t="shared" si="279"/>
        <v/>
      </c>
      <c r="BA423" t="str">
        <f>IF(AND($AK423&lt;=Results!$I$27,$AK423&gt;=Results!$I$26,$AK423&lt;=Results!$F$4),$AQ423,"")</f>
        <v/>
      </c>
      <c r="BB423" t="str">
        <f t="shared" si="280"/>
        <v/>
      </c>
      <c r="BC423" t="str">
        <f>IF(AND($AK423&lt;=Results!$I$29,$AK423&gt;=Results!$I$28,$AK423&gt;=Results!$F$4),$AQ423,"")</f>
        <v/>
      </c>
      <c r="BD423">
        <f t="shared" si="281"/>
        <v>7532.4270116045145</v>
      </c>
      <c r="BE423">
        <f t="shared" si="282"/>
        <v>1250.1145846462809</v>
      </c>
      <c r="BF423">
        <f t="shared" si="283"/>
        <v>8293.6698679471774</v>
      </c>
      <c r="BG423">
        <f t="shared" si="284"/>
        <v>1169.203593340241</v>
      </c>
      <c r="BH423">
        <f t="shared" si="285"/>
        <v>0</v>
      </c>
      <c r="BI423">
        <f t="shared" si="286"/>
        <v>-1.7453103095050881E-3</v>
      </c>
      <c r="BJ423">
        <f t="shared" si="287"/>
        <v>2.429619191935517E-3</v>
      </c>
      <c r="BK423">
        <f t="shared" si="288"/>
        <v>-3.9211624077453164E-3</v>
      </c>
      <c r="BL423">
        <f t="shared" si="289"/>
        <v>-2.8577752755905529E-3</v>
      </c>
      <c r="BM423">
        <f t="shared" si="301"/>
        <v>119.99999999999771</v>
      </c>
      <c r="BN423">
        <f t="shared" si="302"/>
        <v>-119.99999999999771</v>
      </c>
      <c r="BO423">
        <f>Data!$H$2*(1-BI423)*(1-BI423/Data!$H$3)*BM423</f>
        <v>2.408384800144962E-4</v>
      </c>
      <c r="BP423">
        <f t="shared" si="290"/>
        <v>0.20943723714060658</v>
      </c>
      <c r="BQ423">
        <f>Data!$H$2*(1-BJ423)*(1-BJ423/Data!$H$3)*BN423</f>
        <v>-2.3883519951972665E-4</v>
      </c>
      <c r="BR423">
        <f t="shared" si="291"/>
        <v>0.29155430303225649</v>
      </c>
      <c r="BS423">
        <f t="shared" si="292"/>
        <v>0</v>
      </c>
      <c r="BT423">
        <f t="shared" si="293"/>
        <v>0</v>
      </c>
      <c r="BU423">
        <f t="shared" si="294"/>
        <v>0</v>
      </c>
      <c r="BV423">
        <f t="shared" si="277"/>
        <v>0</v>
      </c>
      <c r="BW423">
        <f t="shared" si="303"/>
        <v>0</v>
      </c>
      <c r="BX423" t="str">
        <f t="shared" si="304"/>
        <v/>
      </c>
      <c r="BY423" s="66" t="str">
        <f t="shared" si="295"/>
        <v/>
      </c>
      <c r="BZ423" t="str">
        <f t="shared" si="296"/>
        <v/>
      </c>
      <c r="CA423" s="67" t="str">
        <f t="shared" si="278"/>
        <v/>
      </c>
    </row>
    <row r="424" spans="4:79" x14ac:dyDescent="0.25">
      <c r="D424" s="3" t="e">
        <f t="shared" si="307"/>
        <v>#DIV/0!</v>
      </c>
      <c r="E424" s="3" t="e">
        <f t="shared" si="307"/>
        <v>#DIV/0!</v>
      </c>
      <c r="F424" t="str">
        <f>IF(A424&gt;0,IF(F423=1,1,IF(B424=Data!$H$4,1,0)),"")</f>
        <v/>
      </c>
      <c r="AA424" t="e">
        <f t="shared" si="275"/>
        <v>#VALUE!</v>
      </c>
      <c r="AE424" t="str">
        <f t="shared" si="276"/>
        <v/>
      </c>
      <c r="AK424" s="4">
        <f t="shared" si="305"/>
        <v>67.200000000000372</v>
      </c>
      <c r="AL424">
        <f t="shared" si="297"/>
        <v>5065.0000000000446</v>
      </c>
      <c r="AM424">
        <f t="shared" si="298"/>
        <v>1233.7999999999829</v>
      </c>
      <c r="AN424">
        <f>IF($AK423+$AK$1&lt;=Data!$H$4-0.5,AVERAGE(AM422:AM426),AN423)</f>
        <v>1233.7999999999829</v>
      </c>
      <c r="AO424">
        <f t="shared" si="299"/>
        <v>5796.9999999999554</v>
      </c>
      <c r="AP424">
        <f t="shared" si="306"/>
        <v>1184.0666666666584</v>
      </c>
      <c r="AQ424">
        <f>IF($AK423+$AK$1&lt;=Data!$H$4-0.5,AVERAGE(AP422:AP426),AQ423)</f>
        <v>1184.0666666666584</v>
      </c>
      <c r="AR424">
        <f>IF($AK423+$AK$1&lt;=Data!$H$4-0.5,SLOPE($AN420:$AN428,$AK420:$AK428),AR423)</f>
        <v>-54.19444444442783</v>
      </c>
      <c r="AS424">
        <f>IF($AK423+$AK$1&lt;=Data!$H$4-0.5,SLOPE($AQ420:$AQ428,$AK420:$AK428),AS423)</f>
        <v>-24.727777777771511</v>
      </c>
      <c r="AT424">
        <f>IF(AND($AK424&gt;=Results!$G$13,$AK424&lt;=Results!$G$14),Curves!AR424,"")</f>
        <v>-54.19444444442783</v>
      </c>
      <c r="AU424">
        <f>IF(AND($AK424&gt;=Results!$G$13,$AK424&lt;=Results!$G$14),Curves!AS424,"")</f>
        <v>-24.727777777771511</v>
      </c>
      <c r="AV424" t="str">
        <f t="shared" si="300"/>
        <v/>
      </c>
      <c r="AW424" t="str">
        <f>IF(AND($AK424&lt;=Results!$I$21,$AK424&gt;=Results!$I$20,$AK424&lt;=Results!$F$4),$AN424,"")</f>
        <v/>
      </c>
      <c r="AX424">
        <f t="shared" si="300"/>
        <v>67.200000000000372</v>
      </c>
      <c r="AY424">
        <f>IF(AND($AK424&lt;=Results!$I$23,$AK424&gt;=Results!$I$22,$AK424&gt;=Results!$F$4),$AN424,"")</f>
        <v>1233.7999999999829</v>
      </c>
      <c r="AZ424" t="str">
        <f t="shared" si="279"/>
        <v/>
      </c>
      <c r="BA424" t="str">
        <f>IF(AND($AK424&lt;=Results!$I$27,$AK424&gt;=Results!$I$26,$AK424&lt;=Results!$F$4),$AQ424,"")</f>
        <v/>
      </c>
      <c r="BB424" t="str">
        <f t="shared" si="280"/>
        <v/>
      </c>
      <c r="BC424" t="str">
        <f>IF(AND($AK424&lt;=Results!$I$29,$AK424&gt;=Results!$I$28,$AK424&gt;=Results!$F$4),$AQ424,"")</f>
        <v/>
      </c>
      <c r="BD424">
        <f t="shared" si="281"/>
        <v>7521.656816806596</v>
      </c>
      <c r="BE424">
        <f t="shared" si="282"/>
        <v>1246.7987953969605</v>
      </c>
      <c r="BF424">
        <f t="shared" si="283"/>
        <v>8286.3798857142847</v>
      </c>
      <c r="BG424">
        <f t="shared" si="284"/>
        <v>1168.6527923807159</v>
      </c>
      <c r="BH424">
        <f t="shared" si="285"/>
        <v>0</v>
      </c>
      <c r="BI424">
        <f t="shared" si="286"/>
        <v>-2.0715680502452205E-3</v>
      </c>
      <c r="BJ424">
        <f t="shared" si="287"/>
        <v>2.1655612927866663E-3</v>
      </c>
      <c r="BK424">
        <f t="shared" si="288"/>
        <v>-2.601642458033441E-3</v>
      </c>
      <c r="BL424">
        <f t="shared" si="289"/>
        <v>-2.4227651876508592E-3</v>
      </c>
      <c r="BM424">
        <f t="shared" si="301"/>
        <v>119.99999999999771</v>
      </c>
      <c r="BN424">
        <f t="shared" si="302"/>
        <v>-119.99999999999771</v>
      </c>
      <c r="BO424">
        <f>Data!$H$2*(1-BI424)*(1-BI424/Data!$H$3)*BM424</f>
        <v>2.4099538259871793E-4</v>
      </c>
      <c r="BP424">
        <f t="shared" si="290"/>
        <v>0.24858816602942171</v>
      </c>
      <c r="BQ424">
        <f>Data!$H$2*(1-BJ424)*(1-BJ424/Data!$H$3)*BN424</f>
        <v>-2.389616560968289E-4</v>
      </c>
      <c r="BR424">
        <f t="shared" si="291"/>
        <v>0.25986735513439502</v>
      </c>
      <c r="BS424">
        <f t="shared" si="292"/>
        <v>0</v>
      </c>
      <c r="BT424">
        <f t="shared" si="293"/>
        <v>0</v>
      </c>
      <c r="BU424">
        <f t="shared" si="294"/>
        <v>0</v>
      </c>
      <c r="BV424">
        <f t="shared" si="277"/>
        <v>0</v>
      </c>
      <c r="BW424">
        <f t="shared" si="303"/>
        <v>0</v>
      </c>
      <c r="BX424" t="str">
        <f t="shared" si="304"/>
        <v/>
      </c>
      <c r="BY424" s="66" t="str">
        <f t="shared" si="295"/>
        <v/>
      </c>
      <c r="BZ424" t="str">
        <f t="shared" si="296"/>
        <v/>
      </c>
      <c r="CA424" s="67" t="str">
        <f t="shared" si="278"/>
        <v/>
      </c>
    </row>
    <row r="425" spans="4:79" x14ac:dyDescent="0.25">
      <c r="D425" s="3" t="e">
        <f t="shared" si="307"/>
        <v>#DIV/0!</v>
      </c>
      <c r="E425" s="3" t="e">
        <f t="shared" si="307"/>
        <v>#DIV/0!</v>
      </c>
      <c r="F425" t="str">
        <f>IF(A425&gt;0,IF(F424=1,1,IF(B425=Data!$H$4,1,0)),"")</f>
        <v/>
      </c>
      <c r="AA425" t="e">
        <f t="shared" si="275"/>
        <v>#VALUE!</v>
      </c>
      <c r="AE425" t="str">
        <f t="shared" si="276"/>
        <v/>
      </c>
      <c r="AK425" s="4">
        <f t="shared" si="305"/>
        <v>67.300000000000367</v>
      </c>
      <c r="AL425">
        <f t="shared" si="297"/>
        <v>5077.0000000000437</v>
      </c>
      <c r="AM425">
        <f t="shared" si="298"/>
        <v>1229.2833333333167</v>
      </c>
      <c r="AN425">
        <f>IF($AK424+$AK$1&lt;=Data!$H$4-0.5,AVERAGE(AM423:AM427),AN424)</f>
        <v>1229.2833333333165</v>
      </c>
      <c r="AO425">
        <f t="shared" si="299"/>
        <v>5784.9999999999563</v>
      </c>
      <c r="AP425">
        <f t="shared" si="306"/>
        <v>1181.9333333333252</v>
      </c>
      <c r="AQ425">
        <f>IF($AK424+$AK$1&lt;=Data!$H$4-0.5,AVERAGE(AP423:AP427),AQ424)</f>
        <v>1181.9333333333252</v>
      </c>
      <c r="AR425">
        <f>IF($AK424+$AK$1&lt;=Data!$H$4-0.5,SLOPE($AN421:$AN429,$AK421:$AK429),AR424)</f>
        <v>-50.02777777776646</v>
      </c>
      <c r="AS425">
        <f>IF($AK424+$AK$1&lt;=Data!$H$4-0.5,SLOPE($AQ421:$AQ429,$AK421:$AK429),AS424)</f>
        <v>-23.16111111110682</v>
      </c>
      <c r="AT425">
        <f>IF(AND($AK425&gt;=Results!$G$13,$AK425&lt;=Results!$G$14),Curves!AR425,"")</f>
        <v>-50.02777777776646</v>
      </c>
      <c r="AU425">
        <f>IF(AND($AK425&gt;=Results!$G$13,$AK425&lt;=Results!$G$14),Curves!AS425,"")</f>
        <v>-23.16111111110682</v>
      </c>
      <c r="AV425" t="str">
        <f t="shared" si="300"/>
        <v/>
      </c>
      <c r="AW425" t="str">
        <f>IF(AND($AK425&lt;=Results!$I$21,$AK425&gt;=Results!$I$20,$AK425&lt;=Results!$F$4),$AN425,"")</f>
        <v/>
      </c>
      <c r="AX425">
        <f t="shared" si="300"/>
        <v>67.300000000000367</v>
      </c>
      <c r="AY425">
        <f>IF(AND($AK425&lt;=Results!$I$23,$AK425&gt;=Results!$I$22,$AK425&gt;=Results!$F$4),$AN425,"")</f>
        <v>1229.2833333333165</v>
      </c>
      <c r="AZ425" t="str">
        <f t="shared" si="279"/>
        <v/>
      </c>
      <c r="BA425" t="str">
        <f>IF(AND($AK425&lt;=Results!$I$27,$AK425&gt;=Results!$I$26,$AK425&lt;=Results!$F$4),$AQ425,"")</f>
        <v/>
      </c>
      <c r="BB425" t="str">
        <f t="shared" si="280"/>
        <v/>
      </c>
      <c r="BC425" t="str">
        <f>IF(AND($AK425&lt;=Results!$I$29,$AK425&gt;=Results!$I$28,$AK425&gt;=Results!$F$4),$AQ425,"")</f>
        <v/>
      </c>
      <c r="BD425">
        <f t="shared" si="281"/>
        <v>7510.8866220086766</v>
      </c>
      <c r="BE425">
        <f t="shared" si="282"/>
        <v>1243.4830061476396</v>
      </c>
      <c r="BF425">
        <f t="shared" si="283"/>
        <v>8279.089903481392</v>
      </c>
      <c r="BG425">
        <f t="shared" si="284"/>
        <v>1168.1019914211911</v>
      </c>
      <c r="BH425">
        <f t="shared" si="285"/>
        <v>0</v>
      </c>
      <c r="BI425">
        <f t="shared" si="286"/>
        <v>-2.2656388011117468E-3</v>
      </c>
      <c r="BJ425">
        <f t="shared" si="287"/>
        <v>1.9450661544053727E-3</v>
      </c>
      <c r="BK425">
        <f t="shared" si="288"/>
        <v>-1.9430185211567468E-3</v>
      </c>
      <c r="BL425">
        <f t="shared" si="289"/>
        <v>-2.2070430289168473E-3</v>
      </c>
      <c r="BM425">
        <f t="shared" si="301"/>
        <v>120.00000000000226</v>
      </c>
      <c r="BN425">
        <f t="shared" si="302"/>
        <v>-120.00000000000226</v>
      </c>
      <c r="BO425">
        <f>Data!$H$2*(1-BI425)*(1-BI425/Data!$H$3)*BM425</f>
        <v>2.410887385731407E-4</v>
      </c>
      <c r="BP425">
        <f t="shared" si="290"/>
        <v>0.27187665613341472</v>
      </c>
      <c r="BQ425">
        <f>Data!$H$2*(1-BJ425)*(1-BJ425/Data!$H$3)*BN425</f>
        <v>-2.3906727623365271E-4</v>
      </c>
      <c r="BR425">
        <f t="shared" si="291"/>
        <v>0.23340793852864911</v>
      </c>
      <c r="BS425">
        <f t="shared" si="292"/>
        <v>0</v>
      </c>
      <c r="BT425">
        <f t="shared" si="293"/>
        <v>0</v>
      </c>
      <c r="BU425">
        <f t="shared" si="294"/>
        <v>0</v>
      </c>
      <c r="BV425">
        <f t="shared" si="277"/>
        <v>0</v>
      </c>
      <c r="BW425">
        <f t="shared" si="303"/>
        <v>0</v>
      </c>
      <c r="BX425" t="str">
        <f t="shared" si="304"/>
        <v/>
      </c>
      <c r="BY425" s="66" t="str">
        <f t="shared" si="295"/>
        <v/>
      </c>
      <c r="BZ425" t="str">
        <f t="shared" si="296"/>
        <v/>
      </c>
      <c r="CA425" s="67" t="str">
        <f t="shared" si="278"/>
        <v/>
      </c>
    </row>
    <row r="426" spans="4:79" x14ac:dyDescent="0.25">
      <c r="D426" s="3" t="e">
        <f t="shared" si="307"/>
        <v>#DIV/0!</v>
      </c>
      <c r="E426" s="3" t="e">
        <f t="shared" si="307"/>
        <v>#DIV/0!</v>
      </c>
      <c r="F426" t="str">
        <f>IF(A426&gt;0,IF(F425=1,1,IF(B426=Data!$H$4,1,0)),"")</f>
        <v/>
      </c>
      <c r="AA426" t="e">
        <f t="shared" si="275"/>
        <v>#VALUE!</v>
      </c>
      <c r="AE426" t="str">
        <f t="shared" si="276"/>
        <v/>
      </c>
      <c r="AK426" s="4">
        <f t="shared" si="305"/>
        <v>67.400000000000361</v>
      </c>
      <c r="AL426">
        <f t="shared" si="297"/>
        <v>5089.0000000000437</v>
      </c>
      <c r="AM426">
        <f t="shared" si="298"/>
        <v>1224.7666666666503</v>
      </c>
      <c r="AN426">
        <f>IF($AK425+$AK$1&lt;=Data!$H$4-0.5,AVERAGE(AM424:AM428),AN425)</f>
        <v>1224.7666666666501</v>
      </c>
      <c r="AO426">
        <f t="shared" si="299"/>
        <v>5772.9999999999563</v>
      </c>
      <c r="AP426">
        <f t="shared" si="306"/>
        <v>1179.7999999999922</v>
      </c>
      <c r="AQ426">
        <f>IF($AK425+$AK$1&lt;=Data!$H$4-0.5,AVERAGE(AP424:AP428),AQ425)</f>
        <v>1179.799999999992</v>
      </c>
      <c r="AR426">
        <f>IF($AK425+$AK$1&lt;=Data!$H$4-0.5,SLOPE($AN422:$AN430,$AK422:$AK430),AR425)</f>
        <v>-47.24999999999271</v>
      </c>
      <c r="AS426">
        <f>IF($AK425+$AK$1&lt;=Data!$H$4-0.5,SLOPE($AQ422:$AQ430,$AK422:$AK430),AS425)</f>
        <v>-22.116666666663686</v>
      </c>
      <c r="AT426">
        <f>IF(AND($AK426&gt;=Results!$G$13,$AK426&lt;=Results!$G$14),Curves!AR426,"")</f>
        <v>-47.24999999999271</v>
      </c>
      <c r="AU426">
        <f>IF(AND($AK426&gt;=Results!$G$13,$AK426&lt;=Results!$G$14),Curves!AS426,"")</f>
        <v>-22.116666666663686</v>
      </c>
      <c r="AV426" t="str">
        <f t="shared" si="300"/>
        <v/>
      </c>
      <c r="AW426" t="str">
        <f>IF(AND($AK426&lt;=Results!$I$21,$AK426&gt;=Results!$I$20,$AK426&lt;=Results!$F$4),$AN426,"")</f>
        <v/>
      </c>
      <c r="AX426">
        <f t="shared" si="300"/>
        <v>67.400000000000361</v>
      </c>
      <c r="AY426">
        <f>IF(AND($AK426&lt;=Results!$I$23,$AK426&gt;=Results!$I$22,$AK426&gt;=Results!$F$4),$AN426,"")</f>
        <v>1224.7666666666501</v>
      </c>
      <c r="AZ426" t="str">
        <f t="shared" si="279"/>
        <v/>
      </c>
      <c r="BA426" t="str">
        <f>IF(AND($AK426&lt;=Results!$I$27,$AK426&gt;=Results!$I$26,$AK426&lt;=Results!$F$4),$AQ426,"")</f>
        <v/>
      </c>
      <c r="BB426" t="str">
        <f t="shared" si="280"/>
        <v/>
      </c>
      <c r="BC426" t="str">
        <f>IF(AND($AK426&lt;=Results!$I$29,$AK426&gt;=Results!$I$28,$AK426&gt;=Results!$F$4),$AQ426,"")</f>
        <v/>
      </c>
      <c r="BD426">
        <f t="shared" si="281"/>
        <v>7500.116427210758</v>
      </c>
      <c r="BE426">
        <f t="shared" si="282"/>
        <v>1240.1672168983191</v>
      </c>
      <c r="BF426">
        <f t="shared" si="283"/>
        <v>8271.7999212484992</v>
      </c>
      <c r="BG426">
        <f t="shared" si="284"/>
        <v>1167.551190461666</v>
      </c>
      <c r="BH426">
        <f t="shared" si="285"/>
        <v>0</v>
      </c>
      <c r="BI426">
        <f t="shared" si="286"/>
        <v>-2.4601717544765478E-3</v>
      </c>
      <c r="BJ426">
        <f t="shared" si="287"/>
        <v>1.7241526870033219E-3</v>
      </c>
      <c r="BK426">
        <f t="shared" si="288"/>
        <v>-1.9476488119075648E-3</v>
      </c>
      <c r="BL426">
        <f t="shared" si="289"/>
        <v>-2.2112322772606251E-3</v>
      </c>
      <c r="BM426">
        <f t="shared" si="301"/>
        <v>120.00000000000226</v>
      </c>
      <c r="BN426">
        <f t="shared" si="302"/>
        <v>-120.00000000000226</v>
      </c>
      <c r="BO426">
        <f>Data!$H$2*(1-BI426)*(1-BI426/Data!$H$3)*BM426</f>
        <v>2.4118233502896808E-4</v>
      </c>
      <c r="BP426">
        <f t="shared" si="290"/>
        <v>0.29522061053719129</v>
      </c>
      <c r="BQ426">
        <f>Data!$H$2*(1-BJ426)*(1-BJ426/Data!$H$3)*BN426</f>
        <v>-2.3917312015884004E-4</v>
      </c>
      <c r="BR426">
        <f t="shared" si="291"/>
        <v>0.20689832244040252</v>
      </c>
      <c r="BS426">
        <f t="shared" si="292"/>
        <v>0</v>
      </c>
      <c r="BT426">
        <f t="shared" si="293"/>
        <v>0</v>
      </c>
      <c r="BU426">
        <f t="shared" si="294"/>
        <v>0</v>
      </c>
      <c r="BV426">
        <f t="shared" si="277"/>
        <v>0</v>
      </c>
      <c r="BW426">
        <f t="shared" si="303"/>
        <v>0</v>
      </c>
      <c r="BX426" t="str">
        <f t="shared" si="304"/>
        <v/>
      </c>
      <c r="BY426" s="66" t="str">
        <f t="shared" si="295"/>
        <v/>
      </c>
      <c r="BZ426" t="str">
        <f t="shared" si="296"/>
        <v/>
      </c>
      <c r="CA426" s="67" t="str">
        <f t="shared" si="278"/>
        <v/>
      </c>
    </row>
    <row r="427" spans="4:79" x14ac:dyDescent="0.25">
      <c r="D427" s="3" t="e">
        <f t="shared" si="307"/>
        <v>#DIV/0!</v>
      </c>
      <c r="E427" s="3" t="e">
        <f t="shared" si="307"/>
        <v>#DIV/0!</v>
      </c>
      <c r="F427" t="str">
        <f>IF(A427&gt;0,IF(F426=1,1,IF(B427=Data!$H$4,1,0)),"")</f>
        <v/>
      </c>
      <c r="AA427" t="e">
        <f t="shared" si="275"/>
        <v>#VALUE!</v>
      </c>
      <c r="AE427" t="str">
        <f t="shared" si="276"/>
        <v/>
      </c>
      <c r="AK427" s="4">
        <f t="shared" si="305"/>
        <v>67.500000000000355</v>
      </c>
      <c r="AL427">
        <f t="shared" si="297"/>
        <v>5101.0000000000427</v>
      </c>
      <c r="AM427">
        <f t="shared" si="298"/>
        <v>1220.2499999999839</v>
      </c>
      <c r="AN427">
        <f>IF($AK426+$AK$1&lt;=Data!$H$4-0.5,AVERAGE(AM425:AM429),AN426)</f>
        <v>1220.2499999999841</v>
      </c>
      <c r="AO427">
        <f t="shared" si="299"/>
        <v>5760.9999999999573</v>
      </c>
      <c r="AP427">
        <f t="shared" si="306"/>
        <v>1177.666666666659</v>
      </c>
      <c r="AQ427">
        <f>IF($AK426+$AK$1&lt;=Data!$H$4-0.5,AVERAGE(AP425:AP429),AQ426)</f>
        <v>1177.6666666666588</v>
      </c>
      <c r="AR427">
        <f>IF($AK426+$AK$1&lt;=Data!$H$4-0.5,SLOPE($AN423:$AN431,$AK423:$AK431),AR426)</f>
        <v>-45.486666666661719</v>
      </c>
      <c r="AS427">
        <f>IF($AK426+$AK$1&lt;=Data!$H$4-0.5,SLOPE($AQ423:$AQ431,$AK423:$AK431),AS426)</f>
        <v>-21.404444444441996</v>
      </c>
      <c r="AT427">
        <f>IF(AND($AK427&gt;=Results!$G$13,$AK427&lt;=Results!$G$14),Curves!AR427,"")</f>
        <v>-45.486666666661719</v>
      </c>
      <c r="AU427">
        <f>IF(AND($AK427&gt;=Results!$G$13,$AK427&lt;=Results!$G$14),Curves!AS427,"")</f>
        <v>-21.404444444441996</v>
      </c>
      <c r="AV427" t="str">
        <f t="shared" si="300"/>
        <v/>
      </c>
      <c r="AW427" t="str">
        <f>IF(AND($AK427&lt;=Results!$I$21,$AK427&gt;=Results!$I$20,$AK427&lt;=Results!$F$4),$AN427,"")</f>
        <v/>
      </c>
      <c r="AX427">
        <f t="shared" si="300"/>
        <v>67.500000000000355</v>
      </c>
      <c r="AY427">
        <f>IF(AND($AK427&lt;=Results!$I$23,$AK427&gt;=Results!$I$22,$AK427&gt;=Results!$F$4),$AN427,"")</f>
        <v>1220.2499999999841</v>
      </c>
      <c r="AZ427" t="str">
        <f t="shared" si="279"/>
        <v/>
      </c>
      <c r="BA427" t="str">
        <f>IF(AND($AK427&lt;=Results!$I$27,$AK427&gt;=Results!$I$26,$AK427&lt;=Results!$F$4),$AQ427,"")</f>
        <v/>
      </c>
      <c r="BB427" t="str">
        <f t="shared" si="280"/>
        <v/>
      </c>
      <c r="BC427" t="str">
        <f>IF(AND($AK427&lt;=Results!$I$29,$AK427&gt;=Results!$I$28,$AK427&gt;=Results!$F$4),$AQ427,"")</f>
        <v/>
      </c>
      <c r="BD427">
        <f t="shared" si="281"/>
        <v>7489.3462324128386</v>
      </c>
      <c r="BE427">
        <f t="shared" si="282"/>
        <v>1236.8514276489987</v>
      </c>
      <c r="BF427">
        <f t="shared" si="283"/>
        <v>8264.5099390156065</v>
      </c>
      <c r="BG427">
        <f t="shared" si="284"/>
        <v>1167.0003895021412</v>
      </c>
      <c r="BH427">
        <f t="shared" si="285"/>
        <v>0</v>
      </c>
      <c r="BI427">
        <f t="shared" si="286"/>
        <v>-2.6551685634932376E-3</v>
      </c>
      <c r="BJ427">
        <f t="shared" si="287"/>
        <v>1.5028196989532727E-3</v>
      </c>
      <c r="BK427">
        <f t="shared" si="288"/>
        <v>-1.9522956736607309E-3</v>
      </c>
      <c r="BL427">
        <f t="shared" si="289"/>
        <v>-2.2154334645270316E-3</v>
      </c>
      <c r="BM427">
        <f t="shared" si="301"/>
        <v>119.99999999999771</v>
      </c>
      <c r="BN427">
        <f t="shared" si="302"/>
        <v>-119.99999999999771</v>
      </c>
      <c r="BO427">
        <f>Data!$H$2*(1-BI427)*(1-BI427/Data!$H$3)*BM427</f>
        <v>2.4127617289129629E-4</v>
      </c>
      <c r="BP427">
        <f t="shared" si="290"/>
        <v>0.31862022761918246</v>
      </c>
      <c r="BQ427">
        <f>Data!$H$2*(1-BJ427)*(1-BJ427/Data!$H$3)*BN427</f>
        <v>-2.3927918857658928E-4</v>
      </c>
      <c r="BR427">
        <f t="shared" si="291"/>
        <v>0.18033836387438928</v>
      </c>
      <c r="BS427">
        <f t="shared" si="292"/>
        <v>0</v>
      </c>
      <c r="BT427">
        <f t="shared" si="293"/>
        <v>0</v>
      </c>
      <c r="BU427">
        <f t="shared" si="294"/>
        <v>0</v>
      </c>
      <c r="BV427">
        <f t="shared" si="277"/>
        <v>0</v>
      </c>
      <c r="BW427">
        <f t="shared" si="303"/>
        <v>0</v>
      </c>
      <c r="BX427" t="str">
        <f t="shared" si="304"/>
        <v/>
      </c>
      <c r="BY427" s="66" t="str">
        <f t="shared" si="295"/>
        <v/>
      </c>
      <c r="BZ427" t="str">
        <f t="shared" si="296"/>
        <v/>
      </c>
      <c r="CA427" s="67" t="str">
        <f t="shared" si="278"/>
        <v/>
      </c>
    </row>
    <row r="428" spans="4:79" x14ac:dyDescent="0.25">
      <c r="D428" s="3" t="e">
        <f t="shared" si="307"/>
        <v>#DIV/0!</v>
      </c>
      <c r="E428" s="3" t="e">
        <f t="shared" si="307"/>
        <v>#DIV/0!</v>
      </c>
      <c r="F428" t="str">
        <f>IF(A428&gt;0,IF(F427=1,1,IF(B428=Data!$H$4,1,0)),"")</f>
        <v/>
      </c>
      <c r="AA428" t="e">
        <f t="shared" si="275"/>
        <v>#VALUE!</v>
      </c>
      <c r="AE428" t="str">
        <f t="shared" si="276"/>
        <v/>
      </c>
      <c r="AK428" s="4">
        <f t="shared" si="305"/>
        <v>67.60000000000035</v>
      </c>
      <c r="AL428">
        <f t="shared" si="297"/>
        <v>5113.0000000000418</v>
      </c>
      <c r="AM428">
        <f t="shared" si="298"/>
        <v>1215.7333333333177</v>
      </c>
      <c r="AN428">
        <f>IF($AK427+$AK$1&lt;=Data!$H$4-0.5,AVERAGE(AM426:AM430),AN427)</f>
        <v>1215.7333333333177</v>
      </c>
      <c r="AO428">
        <f t="shared" si="299"/>
        <v>5748.9999999999582</v>
      </c>
      <c r="AP428">
        <f t="shared" si="306"/>
        <v>1175.5333333333258</v>
      </c>
      <c r="AQ428">
        <f>IF($AK427+$AK$1&lt;=Data!$H$4-0.5,AVERAGE(AP426:AP430),AQ427)</f>
        <v>1175.5333333333258</v>
      </c>
      <c r="AR428">
        <f>IF($AK427+$AK$1&lt;=Data!$H$4-0.5,SLOPE($AN424:$AN432,$AK424:$AK432),AR427)</f>
        <v>-44.283333333328919</v>
      </c>
      <c r="AS428">
        <f>IF($AK427+$AK$1&lt;=Data!$H$4-0.5,SLOPE($AQ424:$AQ432,$AK424:$AK432),AS427)</f>
        <v>-20.816666666664034</v>
      </c>
      <c r="AT428">
        <f>IF(AND($AK428&gt;=Results!$G$13,$AK428&lt;=Results!$G$14),Curves!AR428,"")</f>
        <v>-44.283333333328919</v>
      </c>
      <c r="AU428">
        <f>IF(AND($AK428&gt;=Results!$G$13,$AK428&lt;=Results!$G$14),Curves!AS428,"")</f>
        <v>-20.816666666664034</v>
      </c>
      <c r="AV428" t="str">
        <f t="shared" si="300"/>
        <v/>
      </c>
      <c r="AW428" t="str">
        <f>IF(AND($AK428&lt;=Results!$I$21,$AK428&gt;=Results!$I$20,$AK428&lt;=Results!$F$4),$AN428,"")</f>
        <v/>
      </c>
      <c r="AX428">
        <f t="shared" si="300"/>
        <v>67.60000000000035</v>
      </c>
      <c r="AY428">
        <f>IF(AND($AK428&lt;=Results!$I$23,$AK428&gt;=Results!$I$22,$AK428&gt;=Results!$F$4),$AN428,"")</f>
        <v>1215.7333333333177</v>
      </c>
      <c r="AZ428" t="str">
        <f t="shared" si="279"/>
        <v/>
      </c>
      <c r="BA428" t="str">
        <f>IF(AND($AK428&lt;=Results!$I$27,$AK428&gt;=Results!$I$26,$AK428&lt;=Results!$F$4),$AQ428,"")</f>
        <v/>
      </c>
      <c r="BB428" t="str">
        <f t="shared" si="280"/>
        <v/>
      </c>
      <c r="BC428" t="str">
        <f>IF(AND($AK428&lt;=Results!$I$29,$AK428&gt;=Results!$I$28,$AK428&gt;=Results!$F$4),$AQ428,"")</f>
        <v/>
      </c>
      <c r="BD428">
        <f t="shared" si="281"/>
        <v>7478.5760376149201</v>
      </c>
      <c r="BE428">
        <f t="shared" si="282"/>
        <v>1233.5356383996777</v>
      </c>
      <c r="BF428">
        <f t="shared" si="283"/>
        <v>8257.2199567827156</v>
      </c>
      <c r="BG428">
        <f t="shared" si="284"/>
        <v>1166.4495885426161</v>
      </c>
      <c r="BH428">
        <f t="shared" si="285"/>
        <v>0</v>
      </c>
      <c r="BI428">
        <f t="shared" si="286"/>
        <v>-2.8506308892086718E-3</v>
      </c>
      <c r="BJ428">
        <f t="shared" si="287"/>
        <v>1.2810659940979408E-3</v>
      </c>
      <c r="BK428">
        <f t="shared" si="288"/>
        <v>-1.9569591855851387E-3</v>
      </c>
      <c r="BL428">
        <f t="shared" si="289"/>
        <v>-2.2196466361258534E-3</v>
      </c>
      <c r="BM428">
        <f t="shared" si="301"/>
        <v>119.99999999999771</v>
      </c>
      <c r="BN428">
        <f t="shared" si="302"/>
        <v>-119.99999999999771</v>
      </c>
      <c r="BO428">
        <f>Data!$H$2*(1-BI428)*(1-BI428/Data!$H$3)*BM428</f>
        <v>2.4137025308996752E-4</v>
      </c>
      <c r="BP428">
        <f t="shared" si="290"/>
        <v>0.34207570670503412</v>
      </c>
      <c r="BQ428">
        <f>Data!$H$2*(1-BJ428)*(1-BJ428/Data!$H$3)*BN428</f>
        <v>-2.393854821940479E-4</v>
      </c>
      <c r="BR428">
        <f t="shared" si="291"/>
        <v>0.15372791929174995</v>
      </c>
      <c r="BS428">
        <f t="shared" si="292"/>
        <v>0</v>
      </c>
      <c r="BT428">
        <f t="shared" si="293"/>
        <v>0</v>
      </c>
      <c r="BU428">
        <f t="shared" si="294"/>
        <v>0</v>
      </c>
      <c r="BV428">
        <f t="shared" si="277"/>
        <v>0</v>
      </c>
      <c r="BW428">
        <f t="shared" si="303"/>
        <v>0</v>
      </c>
      <c r="BX428" t="str">
        <f t="shared" si="304"/>
        <v/>
      </c>
      <c r="BY428" s="66" t="str">
        <f t="shared" si="295"/>
        <v/>
      </c>
      <c r="BZ428" t="str">
        <f t="shared" si="296"/>
        <v/>
      </c>
      <c r="CA428" s="67" t="str">
        <f t="shared" si="278"/>
        <v/>
      </c>
    </row>
    <row r="429" spans="4:79" x14ac:dyDescent="0.25">
      <c r="D429" s="3" t="e">
        <f t="shared" si="307"/>
        <v>#DIV/0!</v>
      </c>
      <c r="E429" s="3" t="e">
        <f t="shared" si="307"/>
        <v>#DIV/0!</v>
      </c>
      <c r="F429" t="str">
        <f>IF(A429&gt;0,IF(F428=1,1,IF(B429=Data!$H$4,1,0)),"")</f>
        <v/>
      </c>
      <c r="AA429" t="e">
        <f t="shared" si="275"/>
        <v>#VALUE!</v>
      </c>
      <c r="AE429" t="str">
        <f t="shared" si="276"/>
        <v/>
      </c>
      <c r="AK429" s="4">
        <f t="shared" si="305"/>
        <v>67.700000000000344</v>
      </c>
      <c r="AL429">
        <f t="shared" si="297"/>
        <v>5125.0000000000409</v>
      </c>
      <c r="AM429">
        <f t="shared" si="298"/>
        <v>1211.2166666666512</v>
      </c>
      <c r="AN429">
        <f>IF($AK428+$AK$1&lt;=Data!$H$4-0.5,AVERAGE(AM427:AM431),AN428)</f>
        <v>1211.2166666666512</v>
      </c>
      <c r="AO429">
        <f t="shared" si="299"/>
        <v>5736.9999999999591</v>
      </c>
      <c r="AP429">
        <f t="shared" si="306"/>
        <v>1173.3999999999926</v>
      </c>
      <c r="AQ429">
        <f>IF($AK428+$AK$1&lt;=Data!$H$4-0.5,AVERAGE(AP427:AP431),AQ428)</f>
        <v>1173.3999999999926</v>
      </c>
      <c r="AR429">
        <f>IF($AK428+$AK$1&lt;=Data!$H$4-0.5,SLOPE($AN425:$AN433,$AK425:$AK433),AR428)</f>
        <v>-43.105555555549266</v>
      </c>
      <c r="AS429">
        <f>IF($AK428+$AK$1&lt;=Data!$H$4-0.5,SLOPE($AQ425:$AQ433,$AK425:$AK433),AS428)</f>
        <v>-20.127777777773989</v>
      </c>
      <c r="AT429">
        <f>IF(AND($AK429&gt;=Results!$G$13,$AK429&lt;=Results!$G$14),Curves!AR429,"")</f>
        <v>-43.105555555549266</v>
      </c>
      <c r="AU429">
        <f>IF(AND($AK429&gt;=Results!$G$13,$AK429&lt;=Results!$G$14),Curves!AS429,"")</f>
        <v>-20.127777777773989</v>
      </c>
      <c r="AV429" t="str">
        <f t="shared" si="300"/>
        <v/>
      </c>
      <c r="AW429" t="str">
        <f>IF(AND($AK429&lt;=Results!$I$21,$AK429&gt;=Results!$I$20,$AK429&lt;=Results!$F$4),$AN429,"")</f>
        <v/>
      </c>
      <c r="AX429">
        <f t="shared" si="300"/>
        <v>67.700000000000344</v>
      </c>
      <c r="AY429">
        <f>IF(AND($AK429&lt;=Results!$I$23,$AK429&gt;=Results!$I$22,$AK429&gt;=Results!$F$4),$AN429,"")</f>
        <v>1211.2166666666512</v>
      </c>
      <c r="AZ429" t="str">
        <f t="shared" si="279"/>
        <v/>
      </c>
      <c r="BA429" t="str">
        <f>IF(AND($AK429&lt;=Results!$I$27,$AK429&gt;=Results!$I$26,$AK429&lt;=Results!$F$4),$AQ429,"")</f>
        <v/>
      </c>
      <c r="BB429" t="str">
        <f t="shared" si="280"/>
        <v/>
      </c>
      <c r="BC429" t="str">
        <f>IF(AND($AK429&lt;=Results!$I$29,$AK429&gt;=Results!$I$28,$AK429&gt;=Results!$F$4),$AQ429,"")</f>
        <v/>
      </c>
      <c r="BD429">
        <f t="shared" si="281"/>
        <v>7467.8058428170007</v>
      </c>
      <c r="BE429">
        <f t="shared" si="282"/>
        <v>1230.2198491503573</v>
      </c>
      <c r="BF429">
        <f t="shared" si="283"/>
        <v>8249.9299745498211</v>
      </c>
      <c r="BG429">
        <f t="shared" si="284"/>
        <v>1165.8987875830912</v>
      </c>
      <c r="BH429">
        <f t="shared" si="285"/>
        <v>0</v>
      </c>
      <c r="BI429">
        <f t="shared" si="286"/>
        <v>-3.0465604006102431E-3</v>
      </c>
      <c r="BJ429">
        <f t="shared" si="287"/>
        <v>1.0588903717281273E-3</v>
      </c>
      <c r="BK429">
        <f t="shared" si="288"/>
        <v>-1.9616394273181963E-3</v>
      </c>
      <c r="BL429">
        <f t="shared" si="289"/>
        <v>-2.2238718376811498E-3</v>
      </c>
      <c r="BM429">
        <f t="shared" si="301"/>
        <v>120.00000000000226</v>
      </c>
      <c r="BN429">
        <f t="shared" si="302"/>
        <v>-120.00000000000226</v>
      </c>
      <c r="BO429">
        <f>Data!$H$2*(1-BI429)*(1-BI429/Data!$H$3)*BM429</f>
        <v>2.4146457655956335E-4</v>
      </c>
      <c r="BP429">
        <f t="shared" si="290"/>
        <v>0.36558724807323606</v>
      </c>
      <c r="BQ429">
        <f>Data!$H$2*(1-BJ429)*(1-BJ429/Data!$H$3)*BN429</f>
        <v>-2.3949200172129165E-4</v>
      </c>
      <c r="BR429">
        <f t="shared" si="291"/>
        <v>0.12706684460737766</v>
      </c>
      <c r="BS429">
        <f t="shared" si="292"/>
        <v>0</v>
      </c>
      <c r="BT429">
        <f t="shared" si="293"/>
        <v>0</v>
      </c>
      <c r="BU429">
        <f t="shared" si="294"/>
        <v>0</v>
      </c>
      <c r="BV429">
        <f t="shared" si="277"/>
        <v>0</v>
      </c>
      <c r="BW429">
        <f t="shared" si="303"/>
        <v>0</v>
      </c>
      <c r="BX429" t="str">
        <f t="shared" si="304"/>
        <v/>
      </c>
      <c r="BY429" s="66" t="str">
        <f t="shared" si="295"/>
        <v/>
      </c>
      <c r="BZ429" t="str">
        <f t="shared" si="296"/>
        <v/>
      </c>
      <c r="CA429" s="67" t="str">
        <f t="shared" si="278"/>
        <v/>
      </c>
    </row>
    <row r="430" spans="4:79" x14ac:dyDescent="0.25">
      <c r="D430" s="3" t="e">
        <f t="shared" si="307"/>
        <v>#DIV/0!</v>
      </c>
      <c r="E430" s="3" t="e">
        <f t="shared" si="307"/>
        <v>#DIV/0!</v>
      </c>
      <c r="F430" t="str">
        <f>IF(A430&gt;0,IF(F429=1,1,IF(B430=Data!$H$4,1,0)),"")</f>
        <v/>
      </c>
      <c r="AA430" t="e">
        <f t="shared" ref="AA430:AA493" si="308">Y131</f>
        <v>#VALUE!</v>
      </c>
      <c r="AE430" t="str">
        <f t="shared" ref="AE430:AE493" si="309">AC131</f>
        <v/>
      </c>
      <c r="AK430" s="4">
        <f t="shared" si="305"/>
        <v>67.800000000000338</v>
      </c>
      <c r="AL430">
        <f t="shared" si="297"/>
        <v>5137.0000000000409</v>
      </c>
      <c r="AM430">
        <f t="shared" si="298"/>
        <v>1206.6999999999848</v>
      </c>
      <c r="AN430">
        <f>IF($AK429+$AK$1&lt;=Data!$H$4-0.5,AVERAGE(AM428:AM432),AN429)</f>
        <v>1206.6999999999859</v>
      </c>
      <c r="AO430">
        <f t="shared" si="299"/>
        <v>5724.9999999999591</v>
      </c>
      <c r="AP430">
        <f t="shared" si="306"/>
        <v>1171.2666666666594</v>
      </c>
      <c r="AQ430">
        <f>IF($AK429+$AK$1&lt;=Data!$H$4-0.5,AVERAGE(AP428:AP432),AQ429)</f>
        <v>1171.2666666666601</v>
      </c>
      <c r="AR430">
        <f>IF($AK429+$AK$1&lt;=Data!$H$4-0.5,SLOPE($AN426:$AN434,$AK426:$AK434),AR429)</f>
        <v>-41.338888888880732</v>
      </c>
      <c r="AS430">
        <f>IF($AK429+$AK$1&lt;=Data!$H$4-0.5,SLOPE($AQ426:$AQ434,$AK426:$AK434),AS429)</f>
        <v>-19.094444444439567</v>
      </c>
      <c r="AT430">
        <f>IF(AND($AK430&gt;=Results!$G$13,$AK430&lt;=Results!$G$14),Curves!AR430,"")</f>
        <v>-41.338888888880732</v>
      </c>
      <c r="AU430">
        <f>IF(AND($AK430&gt;=Results!$G$13,$AK430&lt;=Results!$G$14),Curves!AS430,"")</f>
        <v>-19.094444444439567</v>
      </c>
      <c r="AV430" t="str">
        <f t="shared" si="300"/>
        <v/>
      </c>
      <c r="AW430" t="str">
        <f>IF(AND($AK430&lt;=Results!$I$21,$AK430&gt;=Results!$I$20,$AK430&lt;=Results!$F$4),$AN430,"")</f>
        <v/>
      </c>
      <c r="AX430">
        <f t="shared" si="300"/>
        <v>67.800000000000338</v>
      </c>
      <c r="AY430">
        <f>IF(AND($AK430&lt;=Results!$I$23,$AK430&gt;=Results!$I$22,$AK430&gt;=Results!$F$4),$AN430,"")</f>
        <v>1206.6999999999859</v>
      </c>
      <c r="AZ430" t="str">
        <f t="shared" si="279"/>
        <v/>
      </c>
      <c r="BA430" t="str">
        <f>IF(AND($AK430&lt;=Results!$I$27,$AK430&gt;=Results!$I$26,$AK430&lt;=Results!$F$4),$AQ430,"")</f>
        <v/>
      </c>
      <c r="BB430" t="str">
        <f t="shared" si="280"/>
        <v/>
      </c>
      <c r="BC430" t="str">
        <f>IF(AND($AK430&lt;=Results!$I$29,$AK430&gt;=Results!$I$28,$AK430&gt;=Results!$F$4),$AQ430,"")</f>
        <v/>
      </c>
      <c r="BD430">
        <f t="shared" si="281"/>
        <v>7457.0356480190821</v>
      </c>
      <c r="BE430">
        <f t="shared" si="282"/>
        <v>1226.9040599010368</v>
      </c>
      <c r="BF430">
        <f t="shared" si="283"/>
        <v>8242.6399923169301</v>
      </c>
      <c r="BG430">
        <f t="shared" si="284"/>
        <v>1165.3479866235662</v>
      </c>
      <c r="BH430">
        <f t="shared" si="285"/>
        <v>0</v>
      </c>
      <c r="BI430">
        <f t="shared" si="286"/>
        <v>-3.2429587746722888E-3</v>
      </c>
      <c r="BJ430">
        <f t="shared" si="287"/>
        <v>8.3629162656173595E-4</v>
      </c>
      <c r="BK430">
        <f t="shared" si="288"/>
        <v>-1.682428666499687E-3</v>
      </c>
      <c r="BL430">
        <f t="shared" si="289"/>
        <v>-2.0819630697417393E-3</v>
      </c>
      <c r="BM430">
        <f t="shared" si="301"/>
        <v>120.00000000000226</v>
      </c>
      <c r="BN430">
        <f t="shared" si="302"/>
        <v>-120.00000000000226</v>
      </c>
      <c r="BO430">
        <f>Data!$H$2*(1-BI430)*(1-BI430/Data!$H$3)*BM430</f>
        <v>2.4155914423943463E-4</v>
      </c>
      <c r="BP430">
        <f t="shared" si="290"/>
        <v>0.38915505296068198</v>
      </c>
      <c r="BQ430">
        <f>Data!$H$2*(1-BJ430)*(1-BJ430/Data!$H$3)*BN430</f>
        <v>-2.3959874787133915E-4</v>
      </c>
      <c r="BR430">
        <f t="shared" si="291"/>
        <v>0.1003549951874102</v>
      </c>
      <c r="BS430">
        <f t="shared" si="292"/>
        <v>0</v>
      </c>
      <c r="BT430">
        <f t="shared" si="293"/>
        <v>0</v>
      </c>
      <c r="BU430">
        <f t="shared" si="294"/>
        <v>0</v>
      </c>
      <c r="BV430">
        <f t="shared" si="277"/>
        <v>0</v>
      </c>
      <c r="BW430">
        <f t="shared" si="303"/>
        <v>0</v>
      </c>
      <c r="BX430" t="str">
        <f t="shared" si="304"/>
        <v/>
      </c>
      <c r="BY430" s="66" t="str">
        <f t="shared" si="295"/>
        <v/>
      </c>
      <c r="BZ430" t="str">
        <f t="shared" si="296"/>
        <v/>
      </c>
      <c r="CA430" s="67" t="str">
        <f t="shared" si="278"/>
        <v/>
      </c>
    </row>
    <row r="431" spans="4:79" x14ac:dyDescent="0.25">
      <c r="D431" s="3" t="e">
        <f t="shared" si="307"/>
        <v>#DIV/0!</v>
      </c>
      <c r="E431" s="3" t="e">
        <f t="shared" si="307"/>
        <v>#DIV/0!</v>
      </c>
      <c r="F431" t="str">
        <f>IF(A431&gt;0,IF(F430=1,1,IF(B431=Data!$H$4,1,0)),"")</f>
        <v/>
      </c>
      <c r="AA431" t="e">
        <f t="shared" si="308"/>
        <v>#VALUE!</v>
      </c>
      <c r="AE431" t="str">
        <f t="shared" si="309"/>
        <v/>
      </c>
      <c r="AK431" s="4">
        <f t="shared" si="305"/>
        <v>67.900000000000333</v>
      </c>
      <c r="AL431">
        <f t="shared" si="297"/>
        <v>5149.00000000004</v>
      </c>
      <c r="AM431">
        <f t="shared" si="298"/>
        <v>1202.1833333333186</v>
      </c>
      <c r="AN431">
        <f>IF($AK430+$AK$1&lt;=Data!$H$4-0.5,AVERAGE(AM429:AM433),AN430)</f>
        <v>1202.5366666666541</v>
      </c>
      <c r="AO431">
        <f t="shared" si="299"/>
        <v>5712.99999999996</v>
      </c>
      <c r="AP431">
        <f t="shared" si="306"/>
        <v>1169.1333333333262</v>
      </c>
      <c r="AQ431">
        <f>IF($AK430+$AK$1&lt;=Data!$H$4-0.5,AVERAGE(AP429:AP433),AQ430)</f>
        <v>1169.3399999999942</v>
      </c>
      <c r="AR431">
        <f>IF($AK430+$AK$1&lt;=Data!$H$4-0.5,SLOPE($AN427:$AN435,$AK427:$AK435),AR430)</f>
        <v>-38.983333333324346</v>
      </c>
      <c r="AS431">
        <f>IF($AK430+$AK$1&lt;=Data!$H$4-0.5,SLOPE($AQ427:$AQ435,$AK427:$AK435),AS430)</f>
        <v>-17.7166666666613</v>
      </c>
      <c r="AT431">
        <f>IF(AND($AK431&gt;=Results!$G$13,$AK431&lt;=Results!$G$14),Curves!AR431,"")</f>
        <v>-38.983333333324346</v>
      </c>
      <c r="AU431">
        <f>IF(AND($AK431&gt;=Results!$G$13,$AK431&lt;=Results!$G$14),Curves!AS431,"")</f>
        <v>-17.7166666666613</v>
      </c>
      <c r="AV431" t="str">
        <f t="shared" si="300"/>
        <v/>
      </c>
      <c r="AW431" t="str">
        <f>IF(AND($AK431&lt;=Results!$I$21,$AK431&gt;=Results!$I$20,$AK431&lt;=Results!$F$4),$AN431,"")</f>
        <v/>
      </c>
      <c r="AX431">
        <f t="shared" si="300"/>
        <v>67.900000000000333</v>
      </c>
      <c r="AY431">
        <f>IF(AND($AK431&lt;=Results!$I$23,$AK431&gt;=Results!$I$22,$AK431&gt;=Results!$F$4),$AN431,"")</f>
        <v>1202.5366666666541</v>
      </c>
      <c r="AZ431" t="str">
        <f t="shared" si="279"/>
        <v/>
      </c>
      <c r="BA431" t="str">
        <f>IF(AND($AK431&lt;=Results!$I$27,$AK431&gt;=Results!$I$26,$AK431&lt;=Results!$F$4),$AQ431,"")</f>
        <v/>
      </c>
      <c r="BB431" t="str">
        <f t="shared" si="280"/>
        <v/>
      </c>
      <c r="BC431" t="str">
        <f>IF(AND($AK431&lt;=Results!$I$29,$AK431&gt;=Results!$I$28,$AK431&gt;=Results!$F$4),$AQ431,"")</f>
        <v/>
      </c>
      <c r="BD431">
        <f t="shared" si="281"/>
        <v>7446.2654532211636</v>
      </c>
      <c r="BE431">
        <f t="shared" si="282"/>
        <v>1223.5882706517164</v>
      </c>
      <c r="BF431">
        <f t="shared" si="283"/>
        <v>8235.3500100840356</v>
      </c>
      <c r="BG431">
        <f t="shared" si="284"/>
        <v>1164.7971856640413</v>
      </c>
      <c r="BH431">
        <f t="shared" si="285"/>
        <v>0</v>
      </c>
      <c r="BI431">
        <f t="shared" si="286"/>
        <v>-3.3830461339101614E-3</v>
      </c>
      <c r="BJ431">
        <f t="shared" si="287"/>
        <v>6.42497757779803E-4</v>
      </c>
      <c r="BK431">
        <f t="shared" si="288"/>
        <v>-1.1183054448161225E-3</v>
      </c>
      <c r="BL431">
        <f t="shared" si="289"/>
        <v>-1.7935020895799476E-3</v>
      </c>
      <c r="BM431">
        <f t="shared" si="301"/>
        <v>119.99999999999771</v>
      </c>
      <c r="BN431">
        <f t="shared" si="302"/>
        <v>-120.00000000002954</v>
      </c>
      <c r="BO431">
        <f>Data!$H$2*(1-BI431)*(1-BI431/Data!$H$3)*BM431</f>
        <v>2.4162660894454688E-4</v>
      </c>
      <c r="BP431">
        <f t="shared" si="290"/>
        <v>0.40596553606921165</v>
      </c>
      <c r="BQ431">
        <f>Data!$H$2*(1-BJ431)*(1-BJ431/Data!$H$3)*BN431</f>
        <v>-2.3969170014913319E-4</v>
      </c>
      <c r="BR431">
        <f t="shared" si="291"/>
        <v>7.7099730933595345E-2</v>
      </c>
      <c r="BS431">
        <f t="shared" si="292"/>
        <v>0</v>
      </c>
      <c r="BT431">
        <f t="shared" si="293"/>
        <v>0</v>
      </c>
      <c r="BU431">
        <f t="shared" si="294"/>
        <v>0</v>
      </c>
      <c r="BV431">
        <f t="shared" ref="BV431:BV494" si="310">IF(BS431&lt;=0,0,LN(BS431))</f>
        <v>0</v>
      </c>
      <c r="BW431">
        <f t="shared" si="303"/>
        <v>0</v>
      </c>
      <c r="BX431" t="str">
        <f t="shared" si="304"/>
        <v/>
      </c>
      <c r="BY431" s="66" t="str">
        <f t="shared" si="295"/>
        <v/>
      </c>
      <c r="BZ431" t="str">
        <f t="shared" si="296"/>
        <v/>
      </c>
      <c r="CA431" s="67" t="str">
        <f t="shared" ref="CA431:CA494" si="311">IF(BU431=0,"",BW431)</f>
        <v/>
      </c>
    </row>
    <row r="432" spans="4:79" x14ac:dyDescent="0.25">
      <c r="D432" s="3" t="e">
        <f t="shared" si="307"/>
        <v>#DIV/0!</v>
      </c>
      <c r="E432" s="3" t="e">
        <f t="shared" si="307"/>
        <v>#DIV/0!</v>
      </c>
      <c r="F432" t="str">
        <f>IF(A432&gt;0,IF(F431=1,1,IF(B432=Data!$H$4,1,0)),"")</f>
        <v/>
      </c>
      <c r="AA432" t="e">
        <f t="shared" si="308"/>
        <v>#VALUE!</v>
      </c>
      <c r="AE432" t="str">
        <f t="shared" si="309"/>
        <v/>
      </c>
      <c r="AK432" s="4">
        <f t="shared" si="305"/>
        <v>68.000000000000327</v>
      </c>
      <c r="AL432">
        <f t="shared" si="297"/>
        <v>5161.0000000000391</v>
      </c>
      <c r="AM432">
        <f t="shared" si="298"/>
        <v>1197.6666666666579</v>
      </c>
      <c r="AN432">
        <f>IF($AK431+$AK$1&lt;=Data!$H$4-0.5,AVERAGE(AM430:AM434),AN431)</f>
        <v>1198.7266666666553</v>
      </c>
      <c r="AO432">
        <f t="shared" si="299"/>
        <v>5700.9999999999545</v>
      </c>
      <c r="AP432">
        <f t="shared" si="306"/>
        <v>1166.9999999999964</v>
      </c>
      <c r="AQ432">
        <f>IF($AK431+$AK$1&lt;=Data!$H$4-0.5,AVERAGE(AP430:AP434),AQ431)</f>
        <v>1167.6199999999949</v>
      </c>
      <c r="AR432">
        <f>IF($AK431+$AK$1&lt;=Data!$H$4-0.5,SLOPE($AN428:$AN436,$AK428:$AK436),AR431)</f>
        <v>-36.333333333324333</v>
      </c>
      <c r="AS432">
        <f>IF($AK431+$AK$1&lt;=Data!$H$4-0.5,SLOPE($AQ428:$AQ436,$AK428:$AK436),AS431)</f>
        <v>-16.16666666666141</v>
      </c>
      <c r="AT432" t="str">
        <f>IF(AND($AK432&gt;=Results!$G$13,$AK432&lt;=Results!$G$14),Curves!AR432,"")</f>
        <v/>
      </c>
      <c r="AU432" t="str">
        <f>IF(AND($AK432&gt;=Results!$G$13,$AK432&lt;=Results!$G$14),Curves!AS432,"")</f>
        <v/>
      </c>
      <c r="AV432" t="str">
        <f t="shared" si="300"/>
        <v/>
      </c>
      <c r="AW432" t="str">
        <f>IF(AND($AK432&lt;=Results!$I$21,$AK432&gt;=Results!$I$20,$AK432&lt;=Results!$F$4),$AN432,"")</f>
        <v/>
      </c>
      <c r="AX432">
        <f t="shared" si="300"/>
        <v>68.000000000000327</v>
      </c>
      <c r="AY432">
        <f>IF(AND($AK432&lt;=Results!$I$23,$AK432&gt;=Results!$I$22,$AK432&gt;=Results!$F$4),$AN432,"")</f>
        <v>1198.7266666666553</v>
      </c>
      <c r="AZ432" t="str">
        <f t="shared" si="279"/>
        <v/>
      </c>
      <c r="BA432" t="str">
        <f>IF(AND($AK432&lt;=Results!$I$27,$AK432&gt;=Results!$I$26,$AK432&lt;=Results!$F$4),$AQ432,"")</f>
        <v/>
      </c>
      <c r="BB432">
        <f t="shared" si="280"/>
        <v>68.000000000000327</v>
      </c>
      <c r="BC432">
        <f>IF(AND($AK432&lt;=Results!$I$29,$AK432&gt;=Results!$I$28,$AK432&gt;=Results!$F$4),$AQ432,"")</f>
        <v>1167.6199999999949</v>
      </c>
      <c r="BD432">
        <f t="shared" si="281"/>
        <v>7435.4952584232442</v>
      </c>
      <c r="BE432">
        <f t="shared" si="282"/>
        <v>1220.2724814023954</v>
      </c>
      <c r="BF432">
        <f t="shared" si="283"/>
        <v>8228.0600278511447</v>
      </c>
      <c r="BG432">
        <f t="shared" si="284"/>
        <v>1164.2463847045162</v>
      </c>
      <c r="BH432">
        <f t="shared" si="285"/>
        <v>0</v>
      </c>
      <c r="BI432">
        <f t="shared" si="286"/>
        <v>-3.4666198636355006E-3</v>
      </c>
      <c r="BJ432">
        <f t="shared" si="287"/>
        <v>4.7759120864576676E-4</v>
      </c>
      <c r="BK432">
        <f t="shared" si="288"/>
        <v>-5.5215121018029414E-4</v>
      </c>
      <c r="BL432">
        <f t="shared" si="289"/>
        <v>-1.5042151021910943E-3</v>
      </c>
      <c r="BM432">
        <f t="shared" si="301"/>
        <v>119.99999999999771</v>
      </c>
      <c r="BN432">
        <f t="shared" si="302"/>
        <v>-130.00000000003013</v>
      </c>
      <c r="BO432">
        <f>Data!$H$2*(1-BI432)*(1-BI432/Data!$H$3)*BM432</f>
        <v>2.4166686172332732E-4</v>
      </c>
      <c r="BP432">
        <f t="shared" si="290"/>
        <v>0.41599438363625213</v>
      </c>
      <c r="BQ432">
        <f>Data!$H$2*(1-BJ432)*(1-BJ432/Data!$H$3)*BN432</f>
        <v>-2.5975171187583862E-4</v>
      </c>
      <c r="BR432">
        <f t="shared" si="291"/>
        <v>6.208685712396407E-2</v>
      </c>
      <c r="BS432">
        <f t="shared" si="292"/>
        <v>0</v>
      </c>
      <c r="BT432">
        <f t="shared" si="293"/>
        <v>0</v>
      </c>
      <c r="BU432">
        <f t="shared" si="294"/>
        <v>0</v>
      </c>
      <c r="BV432">
        <f t="shared" si="310"/>
        <v>0</v>
      </c>
      <c r="BW432">
        <f t="shared" si="303"/>
        <v>0</v>
      </c>
      <c r="BX432" t="str">
        <f t="shared" si="304"/>
        <v/>
      </c>
      <c r="BY432" s="66" t="str">
        <f t="shared" si="295"/>
        <v/>
      </c>
      <c r="BZ432" t="str">
        <f t="shared" si="296"/>
        <v/>
      </c>
      <c r="CA432" s="67" t="str">
        <f t="shared" si="311"/>
        <v/>
      </c>
    </row>
    <row r="433" spans="4:79" x14ac:dyDescent="0.25">
      <c r="D433" s="3" t="e">
        <f t="shared" si="307"/>
        <v>#DIV/0!</v>
      </c>
      <c r="E433" s="3" t="e">
        <f t="shared" si="307"/>
        <v>#DIV/0!</v>
      </c>
      <c r="F433" t="str">
        <f>IF(A433&gt;0,IF(F432=1,1,IF(B433=Data!$H$4,1,0)),"")</f>
        <v/>
      </c>
      <c r="AA433" t="e">
        <f t="shared" si="308"/>
        <v>#VALUE!</v>
      </c>
      <c r="AE433" t="str">
        <f t="shared" si="309"/>
        <v/>
      </c>
      <c r="AK433" s="4">
        <f t="shared" si="305"/>
        <v>68.100000000000321</v>
      </c>
      <c r="AL433">
        <f t="shared" si="297"/>
        <v>5173.0000000000382</v>
      </c>
      <c r="AM433">
        <f t="shared" si="298"/>
        <v>1194.9166666666581</v>
      </c>
      <c r="AN433">
        <f>IF($AK432+$AK$1&lt;=Data!$H$4-0.5,AVERAGE(AM431:AM435),AN432)</f>
        <v>1195.2699999999902</v>
      </c>
      <c r="AO433">
        <f t="shared" si="299"/>
        <v>5686.9999999999554</v>
      </c>
      <c r="AP433">
        <f t="shared" si="306"/>
        <v>1165.8999999999965</v>
      </c>
      <c r="AQ433">
        <f>IF($AK432+$AK$1&lt;=Data!$H$4-0.5,AVERAGE(AP431:AP435),AQ432)</f>
        <v>1166.1066666666625</v>
      </c>
      <c r="AR433">
        <f>IF($AK432+$AK$1&lt;=Data!$H$4-0.5,SLOPE($AN429:$AN437,$AK429:$AK437),AR432)</f>
        <v>-33.683333333325265</v>
      </c>
      <c r="AS433">
        <f>IF($AK432+$AK$1&lt;=Data!$H$4-0.5,SLOPE($AQ429:$AQ437,$AK429:$AK437),AS432)</f>
        <v>-14.616666666661931</v>
      </c>
      <c r="AT433" t="str">
        <f>IF(AND($AK433&gt;=Results!$G$13,$AK433&lt;=Results!$G$14),Curves!AR433,"")</f>
        <v/>
      </c>
      <c r="AU433" t="str">
        <f>IF(AND($AK433&gt;=Results!$G$13,$AK433&lt;=Results!$G$14),Curves!AS433,"")</f>
        <v/>
      </c>
      <c r="AV433" t="str">
        <f t="shared" si="300"/>
        <v/>
      </c>
      <c r="AW433" t="str">
        <f>IF(AND($AK433&lt;=Results!$I$21,$AK433&gt;=Results!$I$20,$AK433&lt;=Results!$F$4),$AN433,"")</f>
        <v/>
      </c>
      <c r="AX433">
        <f t="shared" si="300"/>
        <v>68.100000000000321</v>
      </c>
      <c r="AY433">
        <f>IF(AND($AK433&lt;=Results!$I$23,$AK433&gt;=Results!$I$22,$AK433&gt;=Results!$F$4),$AN433,"")</f>
        <v>1195.2699999999902</v>
      </c>
      <c r="AZ433" t="str">
        <f t="shared" si="279"/>
        <v/>
      </c>
      <c r="BA433" t="str">
        <f>IF(AND($AK433&lt;=Results!$I$27,$AK433&gt;=Results!$I$26,$AK433&lt;=Results!$F$4),$AQ433,"")</f>
        <v/>
      </c>
      <c r="BB433">
        <f t="shared" si="280"/>
        <v>68.100000000000321</v>
      </c>
      <c r="BC433">
        <f>IF(AND($AK433&lt;=Results!$I$29,$AK433&gt;=Results!$I$28,$AK433&gt;=Results!$F$4),$AQ433,"")</f>
        <v>1166.1066666666625</v>
      </c>
      <c r="BD433">
        <f t="shared" si="281"/>
        <v>7424.7250636253257</v>
      </c>
      <c r="BE433">
        <f t="shared" si="282"/>
        <v>1216.956692153075</v>
      </c>
      <c r="BF433">
        <f t="shared" si="283"/>
        <v>8220.7700456182502</v>
      </c>
      <c r="BG433">
        <f t="shared" si="284"/>
        <v>1163.6955837449914</v>
      </c>
      <c r="BH433">
        <f t="shared" si="285"/>
        <v>0</v>
      </c>
      <c r="BI433">
        <f t="shared" si="286"/>
        <v>-3.493476375946214E-3</v>
      </c>
      <c r="BJ433">
        <f t="shared" si="287"/>
        <v>3.4165473734160123E-4</v>
      </c>
      <c r="BK433">
        <f t="shared" si="288"/>
        <v>1.6043798798382822E-5</v>
      </c>
      <c r="BL433">
        <f t="shared" si="289"/>
        <v>-1.2140989508686163E-3</v>
      </c>
      <c r="BM433">
        <f t="shared" si="301"/>
        <v>120.00000000000226</v>
      </c>
      <c r="BN433">
        <f t="shared" si="302"/>
        <v>-140.00000000000338</v>
      </c>
      <c r="BO433">
        <f>Data!$H$2*(1-BI433)*(1-BI433/Data!$H$3)*BM433</f>
        <v>2.4167979771098412E-4</v>
      </c>
      <c r="BP433">
        <f t="shared" si="290"/>
        <v>0.41921716511355356</v>
      </c>
      <c r="BQ433">
        <f>Data!$H$2*(1-BJ433)*(1-BJ433/Data!$H$3)*BN433</f>
        <v>-2.7980870603092409E-4</v>
      </c>
      <c r="BR433">
        <f t="shared" si="291"/>
        <v>4.7831663227825331E-2</v>
      </c>
      <c r="BS433">
        <f t="shared" si="292"/>
        <v>0</v>
      </c>
      <c r="BT433">
        <f t="shared" si="293"/>
        <v>0</v>
      </c>
      <c r="BU433">
        <f t="shared" si="294"/>
        <v>0</v>
      </c>
      <c r="BV433">
        <f t="shared" si="310"/>
        <v>0</v>
      </c>
      <c r="BW433">
        <f t="shared" si="303"/>
        <v>0</v>
      </c>
      <c r="BX433" t="str">
        <f t="shared" si="304"/>
        <v/>
      </c>
      <c r="BY433" s="66" t="str">
        <f t="shared" si="295"/>
        <v/>
      </c>
      <c r="BZ433" t="str">
        <f t="shared" si="296"/>
        <v/>
      </c>
      <c r="CA433" s="67" t="str">
        <f t="shared" si="311"/>
        <v/>
      </c>
    </row>
    <row r="434" spans="4:79" x14ac:dyDescent="0.25">
      <c r="D434" s="3" t="e">
        <f t="shared" si="307"/>
        <v>#DIV/0!</v>
      </c>
      <c r="E434" s="3" t="e">
        <f t="shared" si="307"/>
        <v>#DIV/0!</v>
      </c>
      <c r="F434" t="str">
        <f>IF(A434&gt;0,IF(F433=1,1,IF(B434=Data!$H$4,1,0)),"")</f>
        <v/>
      </c>
      <c r="AA434" t="e">
        <f t="shared" si="308"/>
        <v>#VALUE!</v>
      </c>
      <c r="AE434" t="str">
        <f t="shared" si="309"/>
        <v/>
      </c>
      <c r="AK434" s="4">
        <f t="shared" si="305"/>
        <v>68.200000000000315</v>
      </c>
      <c r="AL434">
        <f t="shared" si="297"/>
        <v>5185.0000000000382</v>
      </c>
      <c r="AM434">
        <f t="shared" si="298"/>
        <v>1192.1666666666583</v>
      </c>
      <c r="AN434">
        <f>IF($AK433+$AK$1&lt;=Data!$H$4-0.5,AVERAGE(AM432:AM436),AN433)</f>
        <v>1192.1666666666583</v>
      </c>
      <c r="AO434">
        <f t="shared" si="299"/>
        <v>5672.9999999999554</v>
      </c>
      <c r="AP434">
        <f t="shared" si="306"/>
        <v>1164.7999999999965</v>
      </c>
      <c r="AQ434">
        <f>IF($AK433+$AK$1&lt;=Data!$H$4-0.5,AVERAGE(AP432:AP436),AQ433)</f>
        <v>1164.7999999999965</v>
      </c>
      <c r="AR434">
        <f>IF($AK433+$AK$1&lt;=Data!$H$4-0.5,SLOPE($AN430:$AN438,$AK430:$AK438),AR433)</f>
        <v>-31.327777777771757</v>
      </c>
      <c r="AS434">
        <f>IF($AK433+$AK$1&lt;=Data!$H$4-0.5,SLOPE($AQ430:$AQ438,$AK430:$AK438),AS433)</f>
        <v>-13.238888888885405</v>
      </c>
      <c r="AT434" t="str">
        <f>IF(AND($AK434&gt;=Results!$G$13,$AK434&lt;=Results!$G$14),Curves!AR434,"")</f>
        <v/>
      </c>
      <c r="AU434" t="str">
        <f>IF(AND($AK434&gt;=Results!$G$13,$AK434&lt;=Results!$G$14),Curves!AS434,"")</f>
        <v/>
      </c>
      <c r="AV434" t="str">
        <f t="shared" si="300"/>
        <v/>
      </c>
      <c r="AW434" t="str">
        <f>IF(AND($AK434&lt;=Results!$I$21,$AK434&gt;=Results!$I$20,$AK434&lt;=Results!$F$4),$AN434,"")</f>
        <v/>
      </c>
      <c r="AX434">
        <f t="shared" si="300"/>
        <v>68.200000000000315</v>
      </c>
      <c r="AY434">
        <f>IF(AND($AK434&lt;=Results!$I$23,$AK434&gt;=Results!$I$22,$AK434&gt;=Results!$F$4),$AN434,"")</f>
        <v>1192.1666666666583</v>
      </c>
      <c r="AZ434" t="str">
        <f t="shared" si="279"/>
        <v/>
      </c>
      <c r="BA434" t="str">
        <f>IF(AND($AK434&lt;=Results!$I$27,$AK434&gt;=Results!$I$26,$AK434&lt;=Results!$F$4),$AQ434,"")</f>
        <v/>
      </c>
      <c r="BB434">
        <f t="shared" si="280"/>
        <v>68.200000000000315</v>
      </c>
      <c r="BC434">
        <f>IF(AND($AK434&lt;=Results!$I$29,$AK434&gt;=Results!$I$28,$AK434&gt;=Results!$F$4),$AQ434,"")</f>
        <v>1164.7999999999965</v>
      </c>
      <c r="BD434">
        <f t="shared" si="281"/>
        <v>7413.9548688274062</v>
      </c>
      <c r="BE434">
        <f t="shared" si="282"/>
        <v>1213.6409029037545</v>
      </c>
      <c r="BF434">
        <f t="shared" si="283"/>
        <v>8213.4800633853592</v>
      </c>
      <c r="BG434">
        <f t="shared" si="284"/>
        <v>1163.1447827854663</v>
      </c>
      <c r="BH434">
        <f t="shared" si="285"/>
        <v>0</v>
      </c>
      <c r="BI434">
        <f t="shared" si="286"/>
        <v>-3.4634111038758242E-3</v>
      </c>
      <c r="BJ434">
        <f t="shared" si="287"/>
        <v>2.3477141847205729E-4</v>
      </c>
      <c r="BK434">
        <f t="shared" si="288"/>
        <v>5.8628940222907875E-4</v>
      </c>
      <c r="BL434">
        <f t="shared" si="289"/>
        <v>-9.2315046381246887E-4</v>
      </c>
      <c r="BM434">
        <f t="shared" si="301"/>
        <v>120.00000000000226</v>
      </c>
      <c r="BN434">
        <f t="shared" si="302"/>
        <v>-140.00000000000338</v>
      </c>
      <c r="BO434">
        <f>Data!$H$2*(1-BI434)*(1-BI434/Data!$H$3)*BM434</f>
        <v>2.416653161818188E-4</v>
      </c>
      <c r="BP434">
        <f t="shared" si="290"/>
        <v>0.41560933246510673</v>
      </c>
      <c r="BQ434">
        <f>Data!$H$2*(1-BJ434)*(1-BJ434/Data!$H$3)*BN434</f>
        <v>-2.7986854343859573E-4</v>
      </c>
      <c r="BR434">
        <f t="shared" si="291"/>
        <v>3.2867998586088812E-2</v>
      </c>
      <c r="BS434">
        <f t="shared" si="292"/>
        <v>0</v>
      </c>
      <c r="BT434">
        <f t="shared" si="293"/>
        <v>0</v>
      </c>
      <c r="BU434">
        <f t="shared" si="294"/>
        <v>0</v>
      </c>
      <c r="BV434">
        <f t="shared" si="310"/>
        <v>0</v>
      </c>
      <c r="BW434">
        <f t="shared" si="303"/>
        <v>0</v>
      </c>
      <c r="BX434" t="str">
        <f t="shared" si="304"/>
        <v/>
      </c>
      <c r="BY434" s="66" t="str">
        <f t="shared" si="295"/>
        <v/>
      </c>
      <c r="BZ434" t="str">
        <f t="shared" si="296"/>
        <v/>
      </c>
      <c r="CA434" s="67" t="str">
        <f t="shared" si="311"/>
        <v/>
      </c>
    </row>
    <row r="435" spans="4:79" x14ac:dyDescent="0.25">
      <c r="D435" s="3" t="e">
        <f t="shared" si="307"/>
        <v>#DIV/0!</v>
      </c>
      <c r="E435" s="3" t="e">
        <f t="shared" si="307"/>
        <v>#DIV/0!</v>
      </c>
      <c r="F435" t="str">
        <f>IF(A435&gt;0,IF(F434=1,1,IF(B435=Data!$H$4,1,0)),"")</f>
        <v/>
      </c>
      <c r="AA435" t="e">
        <f t="shared" si="308"/>
        <v>#VALUE!</v>
      </c>
      <c r="AE435" t="str">
        <f t="shared" si="309"/>
        <v/>
      </c>
      <c r="AK435" s="4">
        <f t="shared" si="305"/>
        <v>68.30000000000031</v>
      </c>
      <c r="AL435">
        <f t="shared" si="297"/>
        <v>5197.0000000000373</v>
      </c>
      <c r="AM435">
        <f t="shared" si="298"/>
        <v>1189.4166666666586</v>
      </c>
      <c r="AN435">
        <f>IF($AK434+$AK$1&lt;=Data!$H$4-0.5,AVERAGE(AM433:AM437),AN434)</f>
        <v>1189.4166666666586</v>
      </c>
      <c r="AO435">
        <f t="shared" si="299"/>
        <v>5658.9999999999563</v>
      </c>
      <c r="AP435">
        <f t="shared" si="306"/>
        <v>1163.6999999999966</v>
      </c>
      <c r="AQ435">
        <f>IF($AK434+$AK$1&lt;=Data!$H$4-0.5,AVERAGE(AP433:AP437),AQ434)</f>
        <v>1163.6999999999966</v>
      </c>
      <c r="AR435">
        <f>IF($AK434+$AK$1&lt;=Data!$H$4-0.5,SLOPE($AN431:$AN439,$AK431:$AK439),AR434)</f>
        <v>-29.561111111107124</v>
      </c>
      <c r="AS435">
        <f>IF($AK434+$AK$1&lt;=Data!$H$4-0.5,SLOPE($AQ431:$AQ439,$AK431:$AK439),AS434)</f>
        <v>-12.205555555553294</v>
      </c>
      <c r="AT435" t="str">
        <f>IF(AND($AK435&gt;=Results!$G$13,$AK435&lt;=Results!$G$14),Curves!AR435,"")</f>
        <v/>
      </c>
      <c r="AU435" t="str">
        <f>IF(AND($AK435&gt;=Results!$G$13,$AK435&lt;=Results!$G$14),Curves!AS435,"")</f>
        <v/>
      </c>
      <c r="AV435" t="str">
        <f t="shared" si="300"/>
        <v/>
      </c>
      <c r="AW435" t="str">
        <f>IF(AND($AK435&lt;=Results!$I$21,$AK435&gt;=Results!$I$20,$AK435&lt;=Results!$F$4),$AN435,"")</f>
        <v/>
      </c>
      <c r="AX435">
        <f t="shared" si="300"/>
        <v>68.30000000000031</v>
      </c>
      <c r="AY435">
        <f>IF(AND($AK435&lt;=Results!$I$23,$AK435&gt;=Results!$I$22,$AK435&gt;=Results!$F$4),$AN435,"")</f>
        <v>1189.4166666666586</v>
      </c>
      <c r="AZ435" t="str">
        <f t="shared" si="279"/>
        <v/>
      </c>
      <c r="BA435" t="str">
        <f>IF(AND($AK435&lt;=Results!$I$27,$AK435&gt;=Results!$I$26,$AK435&lt;=Results!$F$4),$AQ435,"")</f>
        <v/>
      </c>
      <c r="BB435">
        <f t="shared" si="280"/>
        <v>68.30000000000031</v>
      </c>
      <c r="BC435">
        <f>IF(AND($AK435&lt;=Results!$I$29,$AK435&gt;=Results!$I$28,$AK435&gt;=Results!$F$4),$AQ435,"")</f>
        <v>1163.6999999999966</v>
      </c>
      <c r="BD435">
        <f t="shared" si="281"/>
        <v>7403.1846740294877</v>
      </c>
      <c r="BE435">
        <f t="shared" si="282"/>
        <v>1210.3251136544336</v>
      </c>
      <c r="BF435">
        <f t="shared" si="283"/>
        <v>8206.1900811524647</v>
      </c>
      <c r="BG435">
        <f t="shared" si="284"/>
        <v>1162.5939818259415</v>
      </c>
      <c r="BH435">
        <f t="shared" si="285"/>
        <v>0</v>
      </c>
      <c r="BI435">
        <f t="shared" si="286"/>
        <v>-3.3762184955004049E-3</v>
      </c>
      <c r="BJ435">
        <f t="shared" si="287"/>
        <v>1.5702464457911791E-4</v>
      </c>
      <c r="BK435">
        <f t="shared" si="288"/>
        <v>8.7297689456927133E-4</v>
      </c>
      <c r="BL435">
        <f t="shared" si="289"/>
        <v>-7.7821231794954475E-4</v>
      </c>
      <c r="BM435">
        <f t="shared" si="301"/>
        <v>119.99999999999771</v>
      </c>
      <c r="BN435">
        <f t="shared" si="302"/>
        <v>-139.99999999999883</v>
      </c>
      <c r="BO435">
        <f>Data!$H$2*(1-BI435)*(1-BI435/Data!$H$3)*BM435</f>
        <v>2.4162332060215466E-4</v>
      </c>
      <c r="BP435">
        <f t="shared" si="290"/>
        <v>0.40514621946004087</v>
      </c>
      <c r="BQ435">
        <f>Data!$H$2*(1-BJ435)*(1-BJ435/Data!$H$3)*BN435</f>
        <v>-2.7991207310292026E-4</v>
      </c>
      <c r="BR435">
        <f t="shared" si="291"/>
        <v>2.1983450241076324E-2</v>
      </c>
      <c r="BS435">
        <f t="shared" si="292"/>
        <v>0</v>
      </c>
      <c r="BT435">
        <f t="shared" si="293"/>
        <v>0</v>
      </c>
      <c r="BU435">
        <f t="shared" si="294"/>
        <v>0</v>
      </c>
      <c r="BV435">
        <f t="shared" si="310"/>
        <v>0</v>
      </c>
      <c r="BW435">
        <f t="shared" si="303"/>
        <v>0</v>
      </c>
      <c r="BX435" t="str">
        <f t="shared" si="304"/>
        <v/>
      </c>
      <c r="BY435" s="66" t="str">
        <f t="shared" si="295"/>
        <v/>
      </c>
      <c r="BZ435" t="str">
        <f t="shared" si="296"/>
        <v/>
      </c>
      <c r="CA435" s="67" t="str">
        <f t="shared" si="311"/>
        <v/>
      </c>
    </row>
    <row r="436" spans="4:79" x14ac:dyDescent="0.25">
      <c r="D436" s="3" t="e">
        <f t="shared" si="307"/>
        <v>#DIV/0!</v>
      </c>
      <c r="E436" s="3" t="e">
        <f t="shared" si="307"/>
        <v>#DIV/0!</v>
      </c>
      <c r="F436" t="str">
        <f>IF(A436&gt;0,IF(F435=1,1,IF(B436=Data!$H$4,1,0)),"")</f>
        <v/>
      </c>
      <c r="AA436" t="e">
        <f t="shared" si="308"/>
        <v>#VALUE!</v>
      </c>
      <c r="AE436" t="str">
        <f t="shared" si="309"/>
        <v/>
      </c>
      <c r="AK436" s="4">
        <f t="shared" si="305"/>
        <v>68.400000000000304</v>
      </c>
      <c r="AL436">
        <f t="shared" si="297"/>
        <v>5209.0000000000364</v>
      </c>
      <c r="AM436">
        <f t="shared" si="298"/>
        <v>1186.6666666666586</v>
      </c>
      <c r="AN436">
        <f>IF($AK435+$AK$1&lt;=Data!$H$4-0.5,AVERAGE(AM434:AM438),AN435)</f>
        <v>1186.6666666666586</v>
      </c>
      <c r="AO436">
        <f t="shared" si="299"/>
        <v>5644.9999999999573</v>
      </c>
      <c r="AP436">
        <f t="shared" si="306"/>
        <v>1162.5999999999967</v>
      </c>
      <c r="AQ436">
        <f>IF($AK435+$AK$1&lt;=Data!$H$4-0.5,AVERAGE(AP434:AP438),AQ435)</f>
        <v>1162.5999999999967</v>
      </c>
      <c r="AR436">
        <f>IF($AK435+$AK$1&lt;=Data!$H$4-0.5,SLOPE($AN432:$AN440,$AK432:$AK440),AR435)</f>
        <v>-28.383333333330924</v>
      </c>
      <c r="AS436">
        <f>IF($AK435+$AK$1&lt;=Data!$H$4-0.5,SLOPE($AQ432:$AQ440,$AK432:$AK440),AS435)</f>
        <v>-11.516666666665298</v>
      </c>
      <c r="AT436" t="str">
        <f>IF(AND($AK436&gt;=Results!$G$13,$AK436&lt;=Results!$G$14),Curves!AR436,"")</f>
        <v/>
      </c>
      <c r="AU436" t="str">
        <f>IF(AND($AK436&gt;=Results!$G$13,$AK436&lt;=Results!$G$14),Curves!AS436,"")</f>
        <v/>
      </c>
      <c r="AV436" t="str">
        <f t="shared" si="300"/>
        <v/>
      </c>
      <c r="AW436" t="str">
        <f>IF(AND($AK436&lt;=Results!$I$21,$AK436&gt;=Results!$I$20,$AK436&lt;=Results!$F$4),$AN436,"")</f>
        <v/>
      </c>
      <c r="AX436">
        <f t="shared" si="300"/>
        <v>68.400000000000304</v>
      </c>
      <c r="AY436">
        <f>IF(AND($AK436&lt;=Results!$I$23,$AK436&gt;=Results!$I$22,$AK436&gt;=Results!$F$4),$AN436,"")</f>
        <v>1186.6666666666586</v>
      </c>
      <c r="AZ436" t="str">
        <f t="shared" si="279"/>
        <v/>
      </c>
      <c r="BA436" t="str">
        <f>IF(AND($AK436&lt;=Results!$I$27,$AK436&gt;=Results!$I$26,$AK436&lt;=Results!$F$4),$AQ436,"")</f>
        <v/>
      </c>
      <c r="BB436">
        <f t="shared" si="280"/>
        <v>68.400000000000304</v>
      </c>
      <c r="BC436">
        <f>IF(AND($AK436&lt;=Results!$I$29,$AK436&gt;=Results!$I$28,$AK436&gt;=Results!$F$4),$AQ436,"")</f>
        <v>1162.5999999999967</v>
      </c>
      <c r="BD436">
        <f t="shared" si="281"/>
        <v>7392.4144792315683</v>
      </c>
      <c r="BE436">
        <f t="shared" si="282"/>
        <v>1207.0093244051131</v>
      </c>
      <c r="BF436">
        <f t="shared" si="283"/>
        <v>8198.9000989195738</v>
      </c>
      <c r="BG436">
        <f t="shared" si="284"/>
        <v>1162.0431808664164</v>
      </c>
      <c r="BH436">
        <f t="shared" si="285"/>
        <v>0</v>
      </c>
      <c r="BI436">
        <f t="shared" si="286"/>
        <v>-3.2888157249619798E-3</v>
      </c>
      <c r="BJ436">
        <f t="shared" si="287"/>
        <v>7.912895488215721E-5</v>
      </c>
      <c r="BK436">
        <f t="shared" si="288"/>
        <v>8.7508231997107081E-4</v>
      </c>
      <c r="BL436">
        <f t="shared" si="289"/>
        <v>-7.7970361728523212E-4</v>
      </c>
      <c r="BM436">
        <f t="shared" si="301"/>
        <v>119.99999999999771</v>
      </c>
      <c r="BN436">
        <f t="shared" si="302"/>
        <v>-139.99999999999883</v>
      </c>
      <c r="BO436">
        <f>Data!$H$2*(1-BI436)*(1-BI436/Data!$H$3)*BM436</f>
        <v>2.4158122746210659E-4</v>
      </c>
      <c r="BP436">
        <f t="shared" si="290"/>
        <v>0.39465788699543003</v>
      </c>
      <c r="BQ436">
        <f>Data!$H$2*(1-BJ436)*(1-BJ436/Data!$H$3)*BN436</f>
        <v>-2.7995568953845327E-4</v>
      </c>
      <c r="BR436">
        <f t="shared" si="291"/>
        <v>1.1078053683501917E-2</v>
      </c>
      <c r="BS436">
        <f t="shared" si="292"/>
        <v>0</v>
      </c>
      <c r="BT436">
        <f t="shared" si="293"/>
        <v>0</v>
      </c>
      <c r="BU436">
        <f t="shared" si="294"/>
        <v>0</v>
      </c>
      <c r="BV436">
        <f t="shared" si="310"/>
        <v>0</v>
      </c>
      <c r="BW436">
        <f t="shared" si="303"/>
        <v>0</v>
      </c>
      <c r="BX436" t="str">
        <f t="shared" si="304"/>
        <v/>
      </c>
      <c r="BY436" s="66" t="str">
        <f t="shared" si="295"/>
        <v/>
      </c>
      <c r="BZ436" t="str">
        <f t="shared" si="296"/>
        <v/>
      </c>
      <c r="CA436" s="67" t="str">
        <f t="shared" si="311"/>
        <v/>
      </c>
    </row>
    <row r="437" spans="4:79" x14ac:dyDescent="0.25">
      <c r="D437" s="3" t="e">
        <f t="shared" si="307"/>
        <v>#DIV/0!</v>
      </c>
      <c r="E437" s="3" t="e">
        <f t="shared" si="307"/>
        <v>#DIV/0!</v>
      </c>
      <c r="F437" t="str">
        <f>IF(A437&gt;0,IF(F436=1,1,IF(B437=Data!$H$4,1,0)),"")</f>
        <v/>
      </c>
      <c r="AA437" t="e">
        <f t="shared" si="308"/>
        <v>#VALUE!</v>
      </c>
      <c r="AE437" t="str">
        <f t="shared" si="309"/>
        <v/>
      </c>
      <c r="AK437" s="4">
        <f t="shared" si="305"/>
        <v>68.500000000000298</v>
      </c>
      <c r="AL437">
        <f t="shared" si="297"/>
        <v>5221.0000000000355</v>
      </c>
      <c r="AM437">
        <f t="shared" si="298"/>
        <v>1183.9166666666588</v>
      </c>
      <c r="AN437">
        <f>IF($AK436+$AK$1&lt;=Data!$H$4-0.5,AVERAGE(AM435:AM439),AN436)</f>
        <v>1183.9166666666588</v>
      </c>
      <c r="AO437">
        <f t="shared" si="299"/>
        <v>5630.9999999999582</v>
      </c>
      <c r="AP437">
        <f t="shared" si="306"/>
        <v>1161.4999999999968</v>
      </c>
      <c r="AQ437">
        <f>IF($AK436+$AK$1&lt;=Data!$H$4-0.5,AVERAGE(AP435:AP439),AQ436)</f>
        <v>1161.4999999999968</v>
      </c>
      <c r="AR437">
        <f>IF($AK436+$AK$1&lt;=Data!$H$4-0.5,SLOPE($AN433:$AN441,$AK433:$AK441),AR436)</f>
        <v>-27.664444444443134</v>
      </c>
      <c r="AS437">
        <f>IF($AK436+$AK$1&lt;=Data!$H$4-0.5,SLOPE($AQ433:$AQ441,$AK433:$AK441),AS436)</f>
        <v>-11.057777777776952</v>
      </c>
      <c r="AT437" t="str">
        <f>IF(AND($AK437&gt;=Results!$G$13,$AK437&lt;=Results!$G$14),Curves!AR437,"")</f>
        <v/>
      </c>
      <c r="AU437" t="str">
        <f>IF(AND($AK437&gt;=Results!$G$13,$AK437&lt;=Results!$G$14),Curves!AS437,"")</f>
        <v/>
      </c>
      <c r="AV437" t="str">
        <f t="shared" si="300"/>
        <v/>
      </c>
      <c r="AW437" t="str">
        <f>IF(AND($AK437&lt;=Results!$I$21,$AK437&gt;=Results!$I$20,$AK437&lt;=Results!$F$4),$AN437,"")</f>
        <v/>
      </c>
      <c r="AX437">
        <f t="shared" si="300"/>
        <v>68.500000000000298</v>
      </c>
      <c r="AY437">
        <f>IF(AND($AK437&lt;=Results!$I$23,$AK437&gt;=Results!$I$22,$AK437&gt;=Results!$F$4),$AN437,"")</f>
        <v>1183.9166666666588</v>
      </c>
      <c r="AZ437" t="str">
        <f t="shared" si="279"/>
        <v/>
      </c>
      <c r="BA437" t="str">
        <f>IF(AND($AK437&lt;=Results!$I$27,$AK437&gt;=Results!$I$26,$AK437&lt;=Results!$F$4),$AQ437,"")</f>
        <v/>
      </c>
      <c r="BB437">
        <f t="shared" si="280"/>
        <v>68.500000000000298</v>
      </c>
      <c r="BC437">
        <f>IF(AND($AK437&lt;=Results!$I$29,$AK437&gt;=Results!$I$28,$AK437&gt;=Results!$F$4),$AQ437,"")</f>
        <v>1161.4999999999968</v>
      </c>
      <c r="BD437">
        <f t="shared" si="281"/>
        <v>7381.6442844336498</v>
      </c>
      <c r="BE437">
        <f t="shared" si="282"/>
        <v>1203.6935351557927</v>
      </c>
      <c r="BF437">
        <f t="shared" si="283"/>
        <v>8191.6101166866802</v>
      </c>
      <c r="BG437">
        <f t="shared" si="284"/>
        <v>1161.4923799068915</v>
      </c>
      <c r="BH437">
        <f t="shared" si="285"/>
        <v>0</v>
      </c>
      <c r="BI437">
        <f t="shared" si="286"/>
        <v>-3.2012020315062006E-3</v>
      </c>
      <c r="BJ437">
        <f t="shared" si="287"/>
        <v>1.0839211220803335E-6</v>
      </c>
      <c r="BK437">
        <f t="shared" si="288"/>
        <v>8.7719537129609662E-4</v>
      </c>
      <c r="BL437">
        <f t="shared" si="289"/>
        <v>-7.811992074308493E-4</v>
      </c>
      <c r="BM437">
        <f t="shared" si="301"/>
        <v>120.00000000000226</v>
      </c>
      <c r="BN437">
        <f t="shared" si="302"/>
        <v>-139.99999999999883</v>
      </c>
      <c r="BO437">
        <f>Data!$H$2*(1-BI437)*(1-BI437/Data!$H$3)*BM437</f>
        <v>2.4153903642179468E-4</v>
      </c>
      <c r="BP437">
        <f t="shared" si="290"/>
        <v>0.38414424378075129</v>
      </c>
      <c r="BQ437">
        <f>Data!$H$2*(1-BJ437)*(1-BJ437/Data!$H$3)*BN437</f>
        <v>-2.7999939300449826E-4</v>
      </c>
      <c r="BR437">
        <f t="shared" si="291"/>
        <v>1.5174895709124542E-4</v>
      </c>
      <c r="BS437">
        <f t="shared" si="292"/>
        <v>0</v>
      </c>
      <c r="BT437">
        <f t="shared" si="293"/>
        <v>0</v>
      </c>
      <c r="BU437">
        <f t="shared" si="294"/>
        <v>0</v>
      </c>
      <c r="BV437">
        <f t="shared" si="310"/>
        <v>0</v>
      </c>
      <c r="BW437">
        <f t="shared" si="303"/>
        <v>0</v>
      </c>
      <c r="BX437" t="str">
        <f t="shared" si="304"/>
        <v/>
      </c>
      <c r="BY437" s="66" t="str">
        <f t="shared" si="295"/>
        <v/>
      </c>
      <c r="BZ437" t="str">
        <f t="shared" si="296"/>
        <v/>
      </c>
      <c r="CA437" s="67" t="str">
        <f t="shared" si="311"/>
        <v/>
      </c>
    </row>
    <row r="438" spans="4:79" x14ac:dyDescent="0.25">
      <c r="D438" s="3" t="e">
        <f t="shared" si="307"/>
        <v>#DIV/0!</v>
      </c>
      <c r="E438" s="3" t="e">
        <f t="shared" si="307"/>
        <v>#DIV/0!</v>
      </c>
      <c r="F438" t="str">
        <f>IF(A438&gt;0,IF(F437=1,1,IF(B438=Data!$H$4,1,0)),"")</f>
        <v/>
      </c>
      <c r="AA438" t="e">
        <f t="shared" si="308"/>
        <v>#VALUE!</v>
      </c>
      <c r="AE438" t="str">
        <f t="shared" si="309"/>
        <v/>
      </c>
      <c r="AK438" s="4">
        <f t="shared" si="305"/>
        <v>68.600000000000293</v>
      </c>
      <c r="AL438">
        <f t="shared" si="297"/>
        <v>5233.0000000000355</v>
      </c>
      <c r="AM438">
        <f t="shared" si="298"/>
        <v>1181.166666666659</v>
      </c>
      <c r="AN438">
        <f>IF($AK437+$AK$1&lt;=Data!$H$4-0.5,AVERAGE(AM436:AM440),AN437)</f>
        <v>1181.1666666666588</v>
      </c>
      <c r="AO438">
        <f t="shared" si="299"/>
        <v>5616.9999999999591</v>
      </c>
      <c r="AP438">
        <f t="shared" si="306"/>
        <v>1160.3999999999967</v>
      </c>
      <c r="AQ438">
        <f>IF($AK437+$AK$1&lt;=Data!$H$4-0.5,AVERAGE(AP436:AP440),AQ437)</f>
        <v>1160.3999999999967</v>
      </c>
      <c r="AR438">
        <f>IF($AK437+$AK$1&lt;=Data!$H$4-0.5,SLOPE($AN434:$AN442,$AK434:$AK442),AR437)</f>
        <v>-27.233333333332475</v>
      </c>
      <c r="AS438">
        <f>IF($AK437+$AK$1&lt;=Data!$H$4-0.5,SLOPE($AQ434:$AQ442,$AK434:$AK442),AS437)</f>
        <v>-10.699999999999026</v>
      </c>
      <c r="AT438" t="str">
        <f>IF(AND($AK438&gt;=Results!$G$13,$AK438&lt;=Results!$G$14),Curves!AR438,"")</f>
        <v/>
      </c>
      <c r="AU438" t="str">
        <f>IF(AND($AK438&gt;=Results!$G$13,$AK438&lt;=Results!$G$14),Curves!AS438,"")</f>
        <v/>
      </c>
      <c r="AV438" t="str">
        <f t="shared" si="300"/>
        <v/>
      </c>
      <c r="AW438" t="str">
        <f>IF(AND($AK438&lt;=Results!$I$21,$AK438&gt;=Results!$I$20,$AK438&lt;=Results!$F$4),$AN438,"")</f>
        <v/>
      </c>
      <c r="AX438">
        <f t="shared" si="300"/>
        <v>68.600000000000293</v>
      </c>
      <c r="AY438">
        <f>IF(AND($AK438&lt;=Results!$I$23,$AK438&gt;=Results!$I$22,$AK438&gt;=Results!$F$4),$AN438,"")</f>
        <v>1181.1666666666588</v>
      </c>
      <c r="AZ438" t="str">
        <f t="shared" si="279"/>
        <v/>
      </c>
      <c r="BA438" t="str">
        <f>IF(AND($AK438&lt;=Results!$I$27,$AK438&gt;=Results!$I$26,$AK438&lt;=Results!$F$4),$AQ438,"")</f>
        <v/>
      </c>
      <c r="BB438">
        <f t="shared" si="280"/>
        <v>68.600000000000293</v>
      </c>
      <c r="BC438">
        <f>IF(AND($AK438&lt;=Results!$I$29,$AK438&gt;=Results!$I$28,$AK438&gt;=Results!$F$4),$AQ438,"")</f>
        <v>1160.3999999999967</v>
      </c>
      <c r="BD438">
        <f t="shared" si="281"/>
        <v>7370.8740896357303</v>
      </c>
      <c r="BE438">
        <f t="shared" si="282"/>
        <v>1200.3777459064722</v>
      </c>
      <c r="BF438">
        <f t="shared" si="283"/>
        <v>8184.3201344537874</v>
      </c>
      <c r="BG438">
        <f t="shared" si="284"/>
        <v>1160.9415789473665</v>
      </c>
      <c r="BH438">
        <f t="shared" si="285"/>
        <v>0</v>
      </c>
      <c r="BI438">
        <f t="shared" si="286"/>
        <v>-3.1133766507027705E-3</v>
      </c>
      <c r="BJ438">
        <f t="shared" si="287"/>
        <v>-7.7110886604003781E-5</v>
      </c>
      <c r="BK438">
        <f t="shared" si="288"/>
        <v>8.7931608541818565E-4</v>
      </c>
      <c r="BL438">
        <f t="shared" si="289"/>
        <v>-7.8269910486155052E-4</v>
      </c>
      <c r="BM438">
        <f t="shared" si="301"/>
        <v>120.00000000000226</v>
      </c>
      <c r="BN438">
        <f t="shared" si="302"/>
        <v>-139.99999999999883</v>
      </c>
      <c r="BO438">
        <f>Data!$H$2*(1-BI438)*(1-BI438/Data!$H$3)*BM438</f>
        <v>2.414967471397425E-4</v>
      </c>
      <c r="BP438">
        <f t="shared" si="290"/>
        <v>0.37360519808433951</v>
      </c>
      <c r="BQ438">
        <f>Data!$H$2*(1-BJ438)*(1-BJ438/Data!$H$3)*BN438</f>
        <v>-2.8004318376140079E-4</v>
      </c>
      <c r="BR438">
        <f t="shared" si="291"/>
        <v>-1.0795524124560439E-2</v>
      </c>
      <c r="BS438">
        <f t="shared" si="292"/>
        <v>0</v>
      </c>
      <c r="BT438">
        <f t="shared" si="293"/>
        <v>0</v>
      </c>
      <c r="BU438">
        <f t="shared" si="294"/>
        <v>0</v>
      </c>
      <c r="BV438">
        <f t="shared" si="310"/>
        <v>0</v>
      </c>
      <c r="BW438">
        <f t="shared" si="303"/>
        <v>0</v>
      </c>
      <c r="BX438" t="str">
        <f t="shared" si="304"/>
        <v/>
      </c>
      <c r="BY438" s="66" t="str">
        <f t="shared" si="295"/>
        <v/>
      </c>
      <c r="BZ438" t="str">
        <f t="shared" si="296"/>
        <v/>
      </c>
      <c r="CA438" s="67" t="str">
        <f t="shared" si="311"/>
        <v/>
      </c>
    </row>
    <row r="439" spans="4:79" x14ac:dyDescent="0.25">
      <c r="D439" s="3" t="e">
        <f t="shared" si="307"/>
        <v>#DIV/0!</v>
      </c>
      <c r="E439" s="3" t="e">
        <f t="shared" si="307"/>
        <v>#DIV/0!</v>
      </c>
      <c r="F439" t="str">
        <f>IF(A439&gt;0,IF(F438=1,1,IF(B439=Data!$H$4,1,0)),"")</f>
        <v/>
      </c>
      <c r="AA439" t="e">
        <f t="shared" si="308"/>
        <v>#VALUE!</v>
      </c>
      <c r="AE439" t="str">
        <f t="shared" si="309"/>
        <v/>
      </c>
      <c r="AK439" s="4">
        <f t="shared" si="305"/>
        <v>68.700000000000287</v>
      </c>
      <c r="AL439">
        <f t="shared" si="297"/>
        <v>5245.0000000000346</v>
      </c>
      <c r="AM439">
        <f t="shared" si="298"/>
        <v>1178.416666666659</v>
      </c>
      <c r="AN439">
        <f>IF($AK438+$AK$1&lt;=Data!$H$4-0.5,AVERAGE(AM437:AM441),AN438)</f>
        <v>1178.416666666659</v>
      </c>
      <c r="AO439">
        <f t="shared" si="299"/>
        <v>5602.99999999996</v>
      </c>
      <c r="AP439">
        <f t="shared" si="306"/>
        <v>1159.2999999999968</v>
      </c>
      <c r="AQ439">
        <f>IF($AK438+$AK$1&lt;=Data!$H$4-0.5,AVERAGE(AP437:AP441),AQ438)</f>
        <v>1159.2999999999968</v>
      </c>
      <c r="AR439">
        <f>IF($AK438+$AK$1&lt;=Data!$H$4-0.5,SLOPE($AN435:$AN443,$AK435:$AK443),AR438)</f>
        <v>-26.877777777776458</v>
      </c>
      <c r="AS439">
        <f>IF($AK438+$AK$1&lt;=Data!$H$4-0.5,SLOPE($AQ435:$AQ443,$AK435:$AK443),AS438)</f>
        <v>-10.299999999998493</v>
      </c>
      <c r="AT439" t="str">
        <f>IF(AND($AK439&gt;=Results!$G$13,$AK439&lt;=Results!$G$14),Curves!AR439,"")</f>
        <v/>
      </c>
      <c r="AU439" t="str">
        <f>IF(AND($AK439&gt;=Results!$G$13,$AK439&lt;=Results!$G$14),Curves!AS439,"")</f>
        <v/>
      </c>
      <c r="AV439" t="str">
        <f t="shared" si="300"/>
        <v/>
      </c>
      <c r="AW439" t="str">
        <f>IF(AND($AK439&lt;=Results!$I$21,$AK439&gt;=Results!$I$20,$AK439&lt;=Results!$F$4),$AN439,"")</f>
        <v/>
      </c>
      <c r="AX439">
        <f t="shared" si="300"/>
        <v>68.700000000000287</v>
      </c>
      <c r="AY439">
        <f>IF(AND($AK439&lt;=Results!$I$23,$AK439&gt;=Results!$I$22,$AK439&gt;=Results!$F$4),$AN439,"")</f>
        <v>1178.416666666659</v>
      </c>
      <c r="AZ439" t="str">
        <f t="shared" si="279"/>
        <v/>
      </c>
      <c r="BA439" t="str">
        <f>IF(AND($AK439&lt;=Results!$I$27,$AK439&gt;=Results!$I$26,$AK439&lt;=Results!$F$4),$AQ439,"")</f>
        <v/>
      </c>
      <c r="BB439">
        <f t="shared" si="280"/>
        <v>68.700000000000287</v>
      </c>
      <c r="BC439">
        <f>IF(AND($AK439&lt;=Results!$I$29,$AK439&gt;=Results!$I$28,$AK439&gt;=Results!$F$4),$AQ439,"")</f>
        <v>1159.2999999999968</v>
      </c>
      <c r="BD439">
        <f t="shared" si="281"/>
        <v>7360.1038948378118</v>
      </c>
      <c r="BE439">
        <f t="shared" si="282"/>
        <v>1197.0619566571513</v>
      </c>
      <c r="BF439">
        <f t="shared" si="283"/>
        <v>8177.0301522208956</v>
      </c>
      <c r="BG439">
        <f t="shared" si="284"/>
        <v>1160.3907779878416</v>
      </c>
      <c r="BH439">
        <f t="shared" si="285"/>
        <v>0</v>
      </c>
      <c r="BI439">
        <f t="shared" si="286"/>
        <v>-3.0253388144225735E-3</v>
      </c>
      <c r="BJ439">
        <f t="shared" si="287"/>
        <v>-1.554558998502209E-4</v>
      </c>
      <c r="BK439">
        <f t="shared" si="288"/>
        <v>8.8144449943322037E-4</v>
      </c>
      <c r="BL439">
        <f t="shared" si="289"/>
        <v>-7.8420332613187164E-4</v>
      </c>
      <c r="BM439">
        <f t="shared" si="301"/>
        <v>119.99999999999771</v>
      </c>
      <c r="BN439">
        <f t="shared" si="302"/>
        <v>-139.99999999999883</v>
      </c>
      <c r="BO439">
        <f>Data!$H$2*(1-BI439)*(1-BI439/Data!$H$3)*BM439</f>
        <v>2.4145435927290434E-4</v>
      </c>
      <c r="BP439">
        <f t="shared" si="290"/>
        <v>0.36304065773070188</v>
      </c>
      <c r="BQ439">
        <f>Data!$H$2*(1-BJ439)*(1-BJ439/Data!$H$3)*BN439</f>
        <v>-2.8008706207054406E-4</v>
      </c>
      <c r="BR439">
        <f t="shared" si="291"/>
        <v>-2.1763825979030746E-2</v>
      </c>
      <c r="BS439">
        <f t="shared" si="292"/>
        <v>0</v>
      </c>
      <c r="BT439">
        <f t="shared" si="293"/>
        <v>0</v>
      </c>
      <c r="BU439">
        <f t="shared" si="294"/>
        <v>0</v>
      </c>
      <c r="BV439">
        <f t="shared" si="310"/>
        <v>0</v>
      </c>
      <c r="BW439">
        <f t="shared" si="303"/>
        <v>0</v>
      </c>
      <c r="BX439" t="str">
        <f t="shared" si="304"/>
        <v/>
      </c>
      <c r="BY439" s="66" t="str">
        <f t="shared" si="295"/>
        <v/>
      </c>
      <c r="BZ439" t="str">
        <f t="shared" si="296"/>
        <v/>
      </c>
      <c r="CA439" s="67" t="str">
        <f t="shared" si="311"/>
        <v/>
      </c>
    </row>
    <row r="440" spans="4:79" x14ac:dyDescent="0.25">
      <c r="D440" s="3" t="e">
        <f t="shared" si="307"/>
        <v>#DIV/0!</v>
      </c>
      <c r="E440" s="3" t="e">
        <f t="shared" si="307"/>
        <v>#DIV/0!</v>
      </c>
      <c r="F440" t="str">
        <f>IF(A440&gt;0,IF(F439=1,1,IF(B440=Data!$H$4,1,0)),"")</f>
        <v/>
      </c>
      <c r="AA440" t="e">
        <f t="shared" si="308"/>
        <v>#VALUE!</v>
      </c>
      <c r="AE440" t="str">
        <f t="shared" si="309"/>
        <v/>
      </c>
      <c r="AK440" s="4">
        <f t="shared" si="305"/>
        <v>68.800000000000281</v>
      </c>
      <c r="AL440">
        <f t="shared" si="297"/>
        <v>5257.0000000000337</v>
      </c>
      <c r="AM440">
        <f t="shared" si="298"/>
        <v>1175.6666666666592</v>
      </c>
      <c r="AN440">
        <f>IF($AK439+$AK$1&lt;=Data!$H$4-0.5,AVERAGE(AM438:AM442),AN439)</f>
        <v>1175.6666666666595</v>
      </c>
      <c r="AO440">
        <f t="shared" si="299"/>
        <v>5588.9999999999609</v>
      </c>
      <c r="AP440">
        <f t="shared" si="306"/>
        <v>1158.1999999999969</v>
      </c>
      <c r="AQ440">
        <f>IF($AK439+$AK$1&lt;=Data!$H$4-0.5,AVERAGE(AP438:AP442),AQ439)</f>
        <v>1158.1999999999971</v>
      </c>
      <c r="AR440">
        <f>IF($AK439+$AK$1&lt;=Data!$H$4-0.5,SLOPE($AN436:$AN444,$AK436:$AK444),AR439)</f>
        <v>-26.344444444442672</v>
      </c>
      <c r="AS440">
        <f>IF($AK439+$AK$1&lt;=Data!$H$4-0.5,SLOPE($AQ436:$AQ444,$AK436:$AK444),AS439)</f>
        <v>-9.699999999997944</v>
      </c>
      <c r="AT440" t="str">
        <f>IF(AND($AK440&gt;=Results!$G$13,$AK440&lt;=Results!$G$14),Curves!AR440,"")</f>
        <v/>
      </c>
      <c r="AU440" t="str">
        <f>IF(AND($AK440&gt;=Results!$G$13,$AK440&lt;=Results!$G$14),Curves!AS440,"")</f>
        <v/>
      </c>
      <c r="AV440" t="str">
        <f t="shared" si="300"/>
        <v/>
      </c>
      <c r="AW440" t="str">
        <f>IF(AND($AK440&lt;=Results!$I$21,$AK440&gt;=Results!$I$20,$AK440&lt;=Results!$F$4),$AN440,"")</f>
        <v/>
      </c>
      <c r="AX440">
        <f t="shared" si="300"/>
        <v>68.800000000000281</v>
      </c>
      <c r="AY440">
        <f>IF(AND($AK440&lt;=Results!$I$23,$AK440&gt;=Results!$I$22,$AK440&gt;=Results!$F$4),$AN440,"")</f>
        <v>1175.6666666666595</v>
      </c>
      <c r="AZ440" t="str">
        <f t="shared" si="279"/>
        <v/>
      </c>
      <c r="BA440" t="str">
        <f>IF(AND($AK440&lt;=Results!$I$27,$AK440&gt;=Results!$I$26,$AK440&lt;=Results!$F$4),$AQ440,"")</f>
        <v/>
      </c>
      <c r="BB440">
        <f t="shared" si="280"/>
        <v>68.800000000000281</v>
      </c>
      <c r="BC440">
        <f>IF(AND($AK440&lt;=Results!$I$29,$AK440&gt;=Results!$I$28,$AK440&gt;=Results!$F$4),$AQ440,"")</f>
        <v>1158.1999999999971</v>
      </c>
      <c r="BD440">
        <f t="shared" si="281"/>
        <v>7349.3337000398924</v>
      </c>
      <c r="BE440">
        <f t="shared" si="282"/>
        <v>1193.7461674078309</v>
      </c>
      <c r="BF440">
        <f t="shared" si="283"/>
        <v>8169.7401699880029</v>
      </c>
      <c r="BG440">
        <f t="shared" si="284"/>
        <v>1159.8399770283165</v>
      </c>
      <c r="BH440">
        <f t="shared" si="285"/>
        <v>0</v>
      </c>
      <c r="BI440">
        <f t="shared" si="286"/>
        <v>-2.9370877508161364E-3</v>
      </c>
      <c r="BJ440">
        <f t="shared" si="287"/>
        <v>-2.339515518303692E-4</v>
      </c>
      <c r="BK440">
        <f t="shared" si="288"/>
        <v>9.7032785054912386E-4</v>
      </c>
      <c r="BL440">
        <f t="shared" si="289"/>
        <v>-7.0003629096264202E-4</v>
      </c>
      <c r="BM440">
        <f t="shared" si="301"/>
        <v>119.99999999999771</v>
      </c>
      <c r="BN440">
        <f t="shared" si="302"/>
        <v>-139.99999999999883</v>
      </c>
      <c r="BO440">
        <f>Data!$H$2*(1-BI440)*(1-BI440/Data!$H$3)*BM440</f>
        <v>2.4141187247665656E-4</v>
      </c>
      <c r="BP440">
        <f t="shared" si="290"/>
        <v>0.35245053009792965</v>
      </c>
      <c r="BQ440">
        <f>Data!$H$2*(1-BJ440)*(1-BJ440/Data!$H$3)*BN440</f>
        <v>-2.8013102819435471E-4</v>
      </c>
      <c r="BR440">
        <f t="shared" si="291"/>
        <v>-3.2753217256251417E-2</v>
      </c>
      <c r="BS440">
        <f t="shared" si="292"/>
        <v>0</v>
      </c>
      <c r="BT440">
        <f t="shared" si="293"/>
        <v>0</v>
      </c>
      <c r="BU440">
        <f t="shared" si="294"/>
        <v>0</v>
      </c>
      <c r="BV440">
        <f t="shared" si="310"/>
        <v>0</v>
      </c>
      <c r="BW440">
        <f t="shared" si="303"/>
        <v>0</v>
      </c>
      <c r="BX440" t="str">
        <f t="shared" si="304"/>
        <v/>
      </c>
      <c r="BY440" s="66" t="str">
        <f t="shared" si="295"/>
        <v/>
      </c>
      <c r="BZ440" t="str">
        <f t="shared" si="296"/>
        <v/>
      </c>
      <c r="CA440" s="67" t="str">
        <f t="shared" si="311"/>
        <v/>
      </c>
    </row>
    <row r="441" spans="4:79" x14ac:dyDescent="0.25">
      <c r="D441" s="3" t="e">
        <f t="shared" si="307"/>
        <v>#DIV/0!</v>
      </c>
      <c r="E441" s="3" t="e">
        <f t="shared" si="307"/>
        <v>#DIV/0!</v>
      </c>
      <c r="F441" t="str">
        <f>IF(A441&gt;0,IF(F440=1,1,IF(B441=Data!$H$4,1,0)),"")</f>
        <v/>
      </c>
      <c r="AA441" t="e">
        <f t="shared" si="308"/>
        <v>#VALUE!</v>
      </c>
      <c r="AE441" t="str">
        <f t="shared" si="309"/>
        <v/>
      </c>
      <c r="AK441" s="4">
        <f t="shared" si="305"/>
        <v>68.900000000000276</v>
      </c>
      <c r="AL441">
        <f t="shared" si="297"/>
        <v>5269.0000000000327</v>
      </c>
      <c r="AM441">
        <f t="shared" si="298"/>
        <v>1172.9166666666595</v>
      </c>
      <c r="AN441">
        <f>IF($AK440+$AK$1&lt;=Data!$H$4-0.5,AVERAGE(AM439:AM443),AN440)</f>
        <v>1173.0233333333267</v>
      </c>
      <c r="AO441">
        <f t="shared" si="299"/>
        <v>5574.9999999999618</v>
      </c>
      <c r="AP441">
        <f t="shared" si="306"/>
        <v>1157.099999999997</v>
      </c>
      <c r="AQ441">
        <f>IF($AK440+$AK$1&lt;=Data!$H$4-0.5,AVERAGE(AP439:AP443),AQ440)</f>
        <v>1157.2199999999975</v>
      </c>
      <c r="AR441">
        <f>IF($AK440+$AK$1&lt;=Data!$H$4-0.5,SLOPE($AN437:$AN445,$AK437:$AK445),AR440)</f>
        <v>-25.633333333331219</v>
      </c>
      <c r="AS441">
        <f>IF($AK440+$AK$1&lt;=Data!$H$4-0.5,SLOPE($AQ437:$AQ445,$AK437:$AK445),AS440)</f>
        <v>-8.8999999999976414</v>
      </c>
      <c r="AT441" t="str">
        <f>IF(AND($AK441&gt;=Results!$G$13,$AK441&lt;=Results!$G$14),Curves!AR441,"")</f>
        <v/>
      </c>
      <c r="AU441" t="str">
        <f>IF(AND($AK441&gt;=Results!$G$13,$AK441&lt;=Results!$G$14),Curves!AS441,"")</f>
        <v/>
      </c>
      <c r="AV441" t="str">
        <f t="shared" si="300"/>
        <v/>
      </c>
      <c r="AW441" t="str">
        <f>IF(AND($AK441&lt;=Results!$I$21,$AK441&gt;=Results!$I$20,$AK441&lt;=Results!$F$4),$AN441,"")</f>
        <v/>
      </c>
      <c r="AX441">
        <f t="shared" si="300"/>
        <v>68.900000000000276</v>
      </c>
      <c r="AY441">
        <f>IF(AND($AK441&lt;=Results!$I$23,$AK441&gt;=Results!$I$22,$AK441&gt;=Results!$F$4),$AN441,"")</f>
        <v>1173.0233333333267</v>
      </c>
      <c r="AZ441" t="str">
        <f t="shared" si="279"/>
        <v/>
      </c>
      <c r="BA441" t="str">
        <f>IF(AND($AK441&lt;=Results!$I$27,$AK441&gt;=Results!$I$26,$AK441&lt;=Results!$F$4),$AQ441,"")</f>
        <v/>
      </c>
      <c r="BB441">
        <f t="shared" si="280"/>
        <v>68.900000000000276</v>
      </c>
      <c r="BC441">
        <f>IF(AND($AK441&lt;=Results!$I$29,$AK441&gt;=Results!$I$28,$AK441&gt;=Results!$F$4),$AQ441,"")</f>
        <v>1157.2199999999975</v>
      </c>
      <c r="BD441">
        <f t="shared" si="281"/>
        <v>7338.5635052419739</v>
      </c>
      <c r="BE441">
        <f t="shared" si="282"/>
        <v>1190.4303781585104</v>
      </c>
      <c r="BF441">
        <f t="shared" si="283"/>
        <v>8162.4501877551102</v>
      </c>
      <c r="BG441">
        <f t="shared" si="284"/>
        <v>1159.2891760687917</v>
      </c>
      <c r="BH441">
        <f t="shared" si="285"/>
        <v>0</v>
      </c>
      <c r="BI441">
        <f t="shared" si="286"/>
        <v>-2.8312732443127597E-3</v>
      </c>
      <c r="BJ441">
        <f t="shared" si="287"/>
        <v>-2.9546315804274137E-4</v>
      </c>
      <c r="BK441">
        <f t="shared" si="288"/>
        <v>1.1462820935826496E-3</v>
      </c>
      <c r="BL441">
        <f t="shared" si="289"/>
        <v>-5.2995043949513826E-4</v>
      </c>
      <c r="BM441">
        <f t="shared" si="301"/>
        <v>120.00000000000226</v>
      </c>
      <c r="BN441">
        <f t="shared" si="302"/>
        <v>-140.0000000000307</v>
      </c>
      <c r="BO441">
        <f>Data!$H$2*(1-BI441)*(1-BI441/Data!$H$3)*BM441</f>
        <v>2.413609350232388E-4</v>
      </c>
      <c r="BP441">
        <f t="shared" si="290"/>
        <v>0.33975278931753755</v>
      </c>
      <c r="BQ441">
        <f>Data!$H$2*(1-BJ441)*(1-BJ441/Data!$H$3)*BN441</f>
        <v>-2.8016548381213914E-4</v>
      </c>
      <c r="BR441">
        <f t="shared" si="291"/>
        <v>-4.1364842125992861E-2</v>
      </c>
      <c r="BS441">
        <f t="shared" si="292"/>
        <v>0</v>
      </c>
      <c r="BT441">
        <f t="shared" si="293"/>
        <v>0</v>
      </c>
      <c r="BU441">
        <f t="shared" si="294"/>
        <v>0</v>
      </c>
      <c r="BV441">
        <f t="shared" si="310"/>
        <v>0</v>
      </c>
      <c r="BW441">
        <f t="shared" si="303"/>
        <v>0</v>
      </c>
      <c r="BX441" t="str">
        <f t="shared" si="304"/>
        <v/>
      </c>
      <c r="BY441" s="66" t="str">
        <f t="shared" si="295"/>
        <v/>
      </c>
      <c r="BZ441" t="str">
        <f t="shared" si="296"/>
        <v/>
      </c>
      <c r="CA441" s="67" t="str">
        <f t="shared" si="311"/>
        <v/>
      </c>
    </row>
    <row r="442" spans="4:79" x14ac:dyDescent="0.25">
      <c r="D442" s="3" t="e">
        <f t="shared" si="307"/>
        <v>#DIV/0!</v>
      </c>
      <c r="E442" s="3" t="e">
        <f t="shared" si="307"/>
        <v>#DIV/0!</v>
      </c>
      <c r="F442" t="str">
        <f>IF(A442&gt;0,IF(F441=1,1,IF(B442=Data!$H$4,1,0)),"")</f>
        <v/>
      </c>
      <c r="AA442" t="e">
        <f t="shared" si="308"/>
        <v>#VALUE!</v>
      </c>
      <c r="AE442" t="str">
        <f t="shared" si="309"/>
        <v/>
      </c>
      <c r="AK442" s="4">
        <f t="shared" si="305"/>
        <v>69.00000000000027</v>
      </c>
      <c r="AL442">
        <f t="shared" si="297"/>
        <v>5281.0000000000327</v>
      </c>
      <c r="AM442">
        <f t="shared" si="298"/>
        <v>1170.1666666666611</v>
      </c>
      <c r="AN442">
        <f>IF($AK441+$AK$1&lt;=Data!$H$4-0.5,AVERAGE(AM440:AM444),AN441)</f>
        <v>1170.4866666666603</v>
      </c>
      <c r="AO442">
        <f t="shared" si="299"/>
        <v>5560.9999999999563</v>
      </c>
      <c r="AP442">
        <f t="shared" si="306"/>
        <v>1155.9999999999986</v>
      </c>
      <c r="AQ442">
        <f>IF($AK441+$AK$1&lt;=Data!$H$4-0.5,AVERAGE(AP440:AP444),AQ441)</f>
        <v>1156.3599999999981</v>
      </c>
      <c r="AR442">
        <f>IF($AK441+$AK$1&lt;=Data!$H$4-0.5,SLOPE($AN438:$AN446,$AK438:$AK446),AR441)</f>
        <v>-24.833333333331332</v>
      </c>
      <c r="AS442">
        <f>IF($AK441+$AK$1&lt;=Data!$H$4-0.5,SLOPE($AQ438:$AQ446,$AK438:$AK446),AS441)</f>
        <v>-7.9999999999974225</v>
      </c>
      <c r="AT442" t="str">
        <f>IF(AND($AK442&gt;=Results!$G$13,$AK442&lt;=Results!$G$14),Curves!AR442,"")</f>
        <v/>
      </c>
      <c r="AU442" t="str">
        <f>IF(AND($AK442&gt;=Results!$G$13,$AK442&lt;=Results!$G$14),Curves!AS442,"")</f>
        <v/>
      </c>
      <c r="AV442" t="str">
        <f t="shared" si="300"/>
        <v/>
      </c>
      <c r="AW442" t="str">
        <f>IF(AND($AK442&lt;=Results!$I$21,$AK442&gt;=Results!$I$20,$AK442&lt;=Results!$F$4),$AN442,"")</f>
        <v/>
      </c>
      <c r="AX442">
        <f t="shared" si="300"/>
        <v>69.00000000000027</v>
      </c>
      <c r="AY442">
        <f>IF(AND($AK442&lt;=Results!$I$23,$AK442&gt;=Results!$I$22,$AK442&gt;=Results!$F$4),$AN442,"")</f>
        <v>1170.4866666666603</v>
      </c>
      <c r="AZ442" t="str">
        <f t="shared" si="279"/>
        <v/>
      </c>
      <c r="BA442" t="str">
        <f>IF(AND($AK442&lt;=Results!$I$27,$AK442&gt;=Results!$I$26,$AK442&lt;=Results!$F$4),$AQ442,"")</f>
        <v/>
      </c>
      <c r="BB442">
        <f t="shared" si="280"/>
        <v>69.00000000000027</v>
      </c>
      <c r="BC442">
        <f>IF(AND($AK442&lt;=Results!$I$29,$AK442&gt;=Results!$I$28,$AK442&gt;=Results!$F$4),$AQ442,"")</f>
        <v>1156.3599999999981</v>
      </c>
      <c r="BD442">
        <f t="shared" si="281"/>
        <v>7327.7933104440554</v>
      </c>
      <c r="BE442">
        <f t="shared" si="282"/>
        <v>1187.1145889091895</v>
      </c>
      <c r="BF442">
        <f t="shared" si="283"/>
        <v>8155.1602055222174</v>
      </c>
      <c r="BG442">
        <f t="shared" si="284"/>
        <v>1158.7383751092666</v>
      </c>
      <c r="BH442">
        <f t="shared" si="285"/>
        <v>0</v>
      </c>
      <c r="BI442">
        <f t="shared" si="286"/>
        <v>-2.7078313320996195E-3</v>
      </c>
      <c r="BJ442">
        <f t="shared" si="287"/>
        <v>-3.3994163972939084E-4</v>
      </c>
      <c r="BK442">
        <f t="shared" si="288"/>
        <v>1.3228775195640225E-3</v>
      </c>
      <c r="BL442">
        <f t="shared" si="289"/>
        <v>-3.5937285405520481E-4</v>
      </c>
      <c r="BM442">
        <f t="shared" si="301"/>
        <v>120.00000000000226</v>
      </c>
      <c r="BN442">
        <f t="shared" si="302"/>
        <v>-150.00000000002669</v>
      </c>
      <c r="BO442">
        <f>Data!$H$2*(1-BI442)*(1-BI442/Data!$H$3)*BM442</f>
        <v>2.4130151880353789E-4</v>
      </c>
      <c r="BP442">
        <f t="shared" si="290"/>
        <v>0.32493975985196044</v>
      </c>
      <c r="BQ442">
        <f>Data!$H$2*(1-BJ442)*(1-BJ442/Data!$H$3)*BN442</f>
        <v>-3.0020399965198654E-4</v>
      </c>
      <c r="BR442">
        <f t="shared" si="291"/>
        <v>-5.0991245959417696E-2</v>
      </c>
      <c r="BS442">
        <f t="shared" si="292"/>
        <v>0</v>
      </c>
      <c r="BT442">
        <f t="shared" si="293"/>
        <v>0</v>
      </c>
      <c r="BU442">
        <f t="shared" si="294"/>
        <v>0</v>
      </c>
      <c r="BV442">
        <f t="shared" si="310"/>
        <v>0</v>
      </c>
      <c r="BW442">
        <f t="shared" si="303"/>
        <v>0</v>
      </c>
      <c r="BX442" t="str">
        <f t="shared" si="304"/>
        <v/>
      </c>
      <c r="BY442" s="66" t="str">
        <f t="shared" si="295"/>
        <v/>
      </c>
      <c r="BZ442" t="str">
        <f t="shared" si="296"/>
        <v/>
      </c>
      <c r="CA442" s="67" t="str">
        <f t="shared" si="311"/>
        <v/>
      </c>
    </row>
    <row r="443" spans="4:79" x14ac:dyDescent="0.25">
      <c r="D443" s="3" t="e">
        <f t="shared" si="307"/>
        <v>#DIV/0!</v>
      </c>
      <c r="E443" s="3" t="e">
        <f t="shared" si="307"/>
        <v>#DIV/0!</v>
      </c>
      <c r="F443" t="str">
        <f>IF(A443&gt;0,IF(F442=1,1,IF(B443=Data!$H$4,1,0)),"")</f>
        <v/>
      </c>
      <c r="AA443" t="e">
        <f t="shared" si="308"/>
        <v>#VALUE!</v>
      </c>
      <c r="AE443" t="str">
        <f t="shared" si="309"/>
        <v/>
      </c>
      <c r="AK443" s="4">
        <f t="shared" si="305"/>
        <v>69.100000000000264</v>
      </c>
      <c r="AL443">
        <f t="shared" si="297"/>
        <v>5293.0000000000318</v>
      </c>
      <c r="AM443">
        <f t="shared" si="298"/>
        <v>1167.9499999999944</v>
      </c>
      <c r="AN443">
        <f>IF($AK442+$AK$1&lt;=Data!$H$4-0.5,AVERAGE(AM441:AM445),AN442)</f>
        <v>1168.0566666666607</v>
      </c>
      <c r="AO443">
        <f t="shared" si="299"/>
        <v>5544.9999999999582</v>
      </c>
      <c r="AP443">
        <f t="shared" si="306"/>
        <v>1155.4999999999986</v>
      </c>
      <c r="AQ443">
        <f>IF($AK442+$AK$1&lt;=Data!$H$4-0.5,AVERAGE(AP441:AP445),AQ442)</f>
        <v>1155.6199999999983</v>
      </c>
      <c r="AR443">
        <f>IF($AK442+$AK$1&lt;=Data!$H$4-0.5,SLOPE($AN439:$AN447,$AK439:$AK447),AR442)</f>
        <v>-22.555555555553987</v>
      </c>
      <c r="AS443">
        <f>IF($AK442+$AK$1&lt;=Data!$H$4-0.5,SLOPE($AQ439:$AQ447,$AK439:$AK447),AS442)</f>
        <v>-6.7666666666643076</v>
      </c>
      <c r="AT443" t="str">
        <f>IF(AND($AK443&gt;=Results!$G$13,$AK443&lt;=Results!$G$14),Curves!AR443,"")</f>
        <v/>
      </c>
      <c r="AU443" t="str">
        <f>IF(AND($AK443&gt;=Results!$G$13,$AK443&lt;=Results!$G$14),Curves!AS443,"")</f>
        <v/>
      </c>
      <c r="AV443" t="str">
        <f t="shared" si="300"/>
        <v/>
      </c>
      <c r="AW443" t="str">
        <f>IF(AND($AK443&lt;=Results!$I$21,$AK443&gt;=Results!$I$20,$AK443&lt;=Results!$F$4),$AN443,"")</f>
        <v/>
      </c>
      <c r="AX443">
        <f t="shared" si="300"/>
        <v>69.100000000000264</v>
      </c>
      <c r="AY443">
        <f>IF(AND($AK443&lt;=Results!$I$23,$AK443&gt;=Results!$I$22,$AK443&gt;=Results!$F$4),$AN443,"")</f>
        <v>1168.0566666666607</v>
      </c>
      <c r="AZ443" t="str">
        <f t="shared" si="279"/>
        <v/>
      </c>
      <c r="BA443" t="str">
        <f>IF(AND($AK443&lt;=Results!$I$27,$AK443&gt;=Results!$I$26,$AK443&lt;=Results!$F$4),$AQ443,"")</f>
        <v/>
      </c>
      <c r="BB443">
        <f t="shared" si="280"/>
        <v>69.100000000000264</v>
      </c>
      <c r="BC443">
        <f>IF(AND($AK443&lt;=Results!$I$29,$AK443&gt;=Results!$I$28,$AK443&gt;=Results!$F$4),$AQ443,"")</f>
        <v>1155.6199999999983</v>
      </c>
      <c r="BD443">
        <f t="shared" si="281"/>
        <v>7317.0231156461359</v>
      </c>
      <c r="BE443">
        <f t="shared" si="282"/>
        <v>1183.798799659869</v>
      </c>
      <c r="BF443">
        <f t="shared" si="283"/>
        <v>8147.8702232893247</v>
      </c>
      <c r="BG443">
        <f t="shared" si="284"/>
        <v>1158.1875741497417</v>
      </c>
      <c r="BH443">
        <f t="shared" si="285"/>
        <v>0</v>
      </c>
      <c r="BI443">
        <f t="shared" si="286"/>
        <v>-2.5666977403999702E-3</v>
      </c>
      <c r="BJ443">
        <f t="shared" si="287"/>
        <v>-3.6733772885377824E-4</v>
      </c>
      <c r="BK443">
        <f t="shared" si="288"/>
        <v>1.5001172476004371E-3</v>
      </c>
      <c r="BL443">
        <f t="shared" si="289"/>
        <v>-1.8830163728501505E-4</v>
      </c>
      <c r="BM443">
        <f t="shared" si="301"/>
        <v>119.99999999999771</v>
      </c>
      <c r="BN443">
        <f t="shared" si="302"/>
        <v>-159.99999999999997</v>
      </c>
      <c r="BO443">
        <f>Data!$H$2*(1-BI443)*(1-BI443/Data!$H$3)*BM443</f>
        <v>2.412335960203371E-4</v>
      </c>
      <c r="BP443">
        <f t="shared" si="290"/>
        <v>0.30800372884799054</v>
      </c>
      <c r="BQ443">
        <f>Data!$H$2*(1-BJ443)*(1-BJ443/Data!$H$3)*BN443</f>
        <v>-3.2023513932630861E-4</v>
      </c>
      <c r="BR443">
        <f t="shared" si="291"/>
        <v>-5.8774036616604505E-2</v>
      </c>
      <c r="BS443">
        <f t="shared" si="292"/>
        <v>0</v>
      </c>
      <c r="BT443">
        <f t="shared" si="293"/>
        <v>0</v>
      </c>
      <c r="BU443">
        <f t="shared" si="294"/>
        <v>0</v>
      </c>
      <c r="BV443">
        <f t="shared" si="310"/>
        <v>0</v>
      </c>
      <c r="BW443">
        <f t="shared" si="303"/>
        <v>0</v>
      </c>
      <c r="BX443" t="str">
        <f t="shared" si="304"/>
        <v/>
      </c>
      <c r="BY443" s="66" t="str">
        <f t="shared" si="295"/>
        <v/>
      </c>
      <c r="BZ443" t="str">
        <f t="shared" si="296"/>
        <v/>
      </c>
      <c r="CA443" s="67" t="str">
        <f t="shared" si="311"/>
        <v/>
      </c>
    </row>
    <row r="444" spans="4:79" x14ac:dyDescent="0.25">
      <c r="D444" s="3" t="e">
        <f t="shared" si="307"/>
        <v>#DIV/0!</v>
      </c>
      <c r="E444" s="3" t="e">
        <f t="shared" si="307"/>
        <v>#DIV/0!</v>
      </c>
      <c r="F444" t="str">
        <f>IF(A444&gt;0,IF(F443=1,1,IF(B444=Data!$H$4,1,0)),"")</f>
        <v/>
      </c>
      <c r="AA444" t="e">
        <f t="shared" si="308"/>
        <v>#VALUE!</v>
      </c>
      <c r="AE444" t="str">
        <f t="shared" si="309"/>
        <v/>
      </c>
      <c r="AK444" s="4">
        <f t="shared" si="305"/>
        <v>69.200000000000259</v>
      </c>
      <c r="AL444">
        <f t="shared" si="297"/>
        <v>5305.0000000000309</v>
      </c>
      <c r="AM444">
        <f t="shared" si="298"/>
        <v>1165.7333333333279</v>
      </c>
      <c r="AN444">
        <f>IF($AK443+$AK$1&lt;=Data!$H$4-0.5,AVERAGE(AM442:AM446),AN443)</f>
        <v>1165.7333333333277</v>
      </c>
      <c r="AO444">
        <f t="shared" si="299"/>
        <v>5528.9999999999582</v>
      </c>
      <c r="AP444">
        <f t="shared" si="306"/>
        <v>1154.9999999999986</v>
      </c>
      <c r="AQ444">
        <f>IF($AK443+$AK$1&lt;=Data!$H$4-0.5,AVERAGE(AP442:AP446),AQ443)</f>
        <v>1154.9999999999986</v>
      </c>
      <c r="AR444">
        <f>IF($AK443+$AK$1&lt;=Data!$H$4-0.5,SLOPE($AN440:$AN448,$AK440:$AK448),AR443)</f>
        <v>-19.258333333332338</v>
      </c>
      <c r="AS444">
        <f>IF($AK443+$AK$1&lt;=Data!$H$4-0.5,SLOPE($AQ440:$AQ448,$AK440:$AK448),AS443)</f>
        <v>-5.3833333333314712</v>
      </c>
      <c r="AT444" t="str">
        <f>IF(AND($AK444&gt;=Results!$G$13,$AK444&lt;=Results!$G$14),Curves!AR444,"")</f>
        <v/>
      </c>
      <c r="AU444" t="str">
        <f>IF(AND($AK444&gt;=Results!$G$13,$AK444&lt;=Results!$G$14),Curves!AS444,"")</f>
        <v/>
      </c>
      <c r="AV444" t="str">
        <f t="shared" si="300"/>
        <v/>
      </c>
      <c r="AW444" t="str">
        <f>IF(AND($AK444&lt;=Results!$I$21,$AK444&gt;=Results!$I$20,$AK444&lt;=Results!$F$4),$AN444,"")</f>
        <v/>
      </c>
      <c r="AX444">
        <f t="shared" si="300"/>
        <v>69.200000000000259</v>
      </c>
      <c r="AY444">
        <f>IF(AND($AK444&lt;=Results!$I$23,$AK444&gt;=Results!$I$22,$AK444&gt;=Results!$F$4),$AN444,"")</f>
        <v>1165.7333333333277</v>
      </c>
      <c r="AZ444" t="str">
        <f t="shared" si="279"/>
        <v/>
      </c>
      <c r="BA444" t="str">
        <f>IF(AND($AK444&lt;=Results!$I$27,$AK444&gt;=Results!$I$26,$AK444&lt;=Results!$F$4),$AQ444,"")</f>
        <v/>
      </c>
      <c r="BB444">
        <f t="shared" si="280"/>
        <v>69.200000000000259</v>
      </c>
      <c r="BC444">
        <f>IF(AND($AK444&lt;=Results!$I$29,$AK444&gt;=Results!$I$28,$AK444&gt;=Results!$F$4),$AQ444,"")</f>
        <v>1154.9999999999986</v>
      </c>
      <c r="BD444">
        <f t="shared" si="281"/>
        <v>7306.2529208482174</v>
      </c>
      <c r="BE444">
        <f t="shared" si="282"/>
        <v>1180.4830104105486</v>
      </c>
      <c r="BF444">
        <f t="shared" si="283"/>
        <v>8140.580241056432</v>
      </c>
      <c r="BG444">
        <f t="shared" si="284"/>
        <v>1157.6367731902167</v>
      </c>
      <c r="BH444">
        <f t="shared" si="285"/>
        <v>0</v>
      </c>
      <c r="BI444">
        <f t="shared" si="286"/>
        <v>-2.407807882579549E-3</v>
      </c>
      <c r="BJ444">
        <f t="shared" si="287"/>
        <v>-3.7760196718639172E-4</v>
      </c>
      <c r="BK444">
        <f t="shared" si="288"/>
        <v>1.6780044157950042E-3</v>
      </c>
      <c r="BL444">
        <f t="shared" si="289"/>
        <v>-1.6734882665182365E-5</v>
      </c>
      <c r="BM444">
        <f t="shared" si="301"/>
        <v>119.99999999999771</v>
      </c>
      <c r="BN444">
        <f t="shared" si="302"/>
        <v>-159.99999999999997</v>
      </c>
      <c r="BO444">
        <f>Data!$H$2*(1-BI444)*(1-BI444/Data!$H$3)*BM444</f>
        <v>2.411571391929454E-4</v>
      </c>
      <c r="BP444">
        <f t="shared" si="290"/>
        <v>0.28893694590954039</v>
      </c>
      <c r="BQ444">
        <f>Data!$H$2*(1-BJ444)*(1-BJ444/Data!$H$3)*BN444</f>
        <v>-3.2024171088563787E-4</v>
      </c>
      <c r="BR444">
        <f t="shared" si="291"/>
        <v>-6.0416314749822661E-2</v>
      </c>
      <c r="BS444">
        <f t="shared" si="292"/>
        <v>0</v>
      </c>
      <c r="BT444">
        <f t="shared" si="293"/>
        <v>0</v>
      </c>
      <c r="BU444">
        <f t="shared" si="294"/>
        <v>0</v>
      </c>
      <c r="BV444">
        <f t="shared" si="310"/>
        <v>0</v>
      </c>
      <c r="BW444">
        <f t="shared" si="303"/>
        <v>0</v>
      </c>
      <c r="BX444" t="str">
        <f t="shared" si="304"/>
        <v/>
      </c>
      <c r="BY444" s="66" t="str">
        <f t="shared" si="295"/>
        <v/>
      </c>
      <c r="BZ444" t="str">
        <f t="shared" si="296"/>
        <v/>
      </c>
      <c r="CA444" s="67" t="str">
        <f t="shared" si="311"/>
        <v/>
      </c>
    </row>
    <row r="445" spans="4:79" x14ac:dyDescent="0.25">
      <c r="D445" s="3" t="e">
        <f t="shared" si="307"/>
        <v>#DIV/0!</v>
      </c>
      <c r="E445" s="3" t="e">
        <f t="shared" si="307"/>
        <v>#DIV/0!</v>
      </c>
      <c r="F445" t="str">
        <f>IF(A445&gt;0,IF(F444=1,1,IF(B445=Data!$H$4,1,0)),"")</f>
        <v/>
      </c>
      <c r="AA445" t="e">
        <f t="shared" si="308"/>
        <v>#VALUE!</v>
      </c>
      <c r="AE445" t="str">
        <f t="shared" si="309"/>
        <v/>
      </c>
      <c r="AK445" s="4">
        <f t="shared" si="305"/>
        <v>69.300000000000253</v>
      </c>
      <c r="AL445">
        <f t="shared" si="297"/>
        <v>5317.00000000003</v>
      </c>
      <c r="AM445">
        <f t="shared" si="298"/>
        <v>1163.5166666666612</v>
      </c>
      <c r="AN445">
        <f>IF($AK444+$AK$1&lt;=Data!$H$4-0.5,AVERAGE(AM443:AM447),AN444)</f>
        <v>1163.5166666666614</v>
      </c>
      <c r="AO445">
        <f t="shared" si="299"/>
        <v>5512.99999999996</v>
      </c>
      <c r="AP445">
        <f t="shared" si="306"/>
        <v>1154.4999999999986</v>
      </c>
      <c r="AQ445">
        <f>IF($AK444+$AK$1&lt;=Data!$H$4-0.5,AVERAGE(AP443:AP447),AQ444)</f>
        <v>1154.4999999999986</v>
      </c>
      <c r="AR445">
        <f>IF($AK444+$AK$1&lt;=Data!$H$4-0.5,SLOPE($AN441:$AN449,$AK441:$AK449),AR444)</f>
        <v>-15.399999999999524</v>
      </c>
      <c r="AS445">
        <f>IF($AK444+$AK$1&lt;=Data!$H$4-0.5,SLOPE($AQ441:$AQ449,$AK441:$AK449),AS444)</f>
        <v>-4.0333333333320533</v>
      </c>
      <c r="AT445" t="str">
        <f>IF(AND($AK445&gt;=Results!$G$13,$AK445&lt;=Results!$G$14),Curves!AR445,"")</f>
        <v/>
      </c>
      <c r="AU445" t="str">
        <f>IF(AND($AK445&gt;=Results!$G$13,$AK445&lt;=Results!$G$14),Curves!AS445,"")</f>
        <v/>
      </c>
      <c r="AV445" t="str">
        <f t="shared" si="300"/>
        <v/>
      </c>
      <c r="AW445" t="str">
        <f>IF(AND($AK445&lt;=Results!$I$21,$AK445&gt;=Results!$I$20,$AK445&lt;=Results!$F$4),$AN445,"")</f>
        <v/>
      </c>
      <c r="AX445">
        <f t="shared" si="300"/>
        <v>69.300000000000253</v>
      </c>
      <c r="AY445">
        <f>IF(AND($AK445&lt;=Results!$I$23,$AK445&gt;=Results!$I$22,$AK445&gt;=Results!$F$4),$AN445,"")</f>
        <v>1163.5166666666614</v>
      </c>
      <c r="AZ445" t="str">
        <f t="shared" si="279"/>
        <v/>
      </c>
      <c r="BA445" t="str">
        <f>IF(AND($AK445&lt;=Results!$I$27,$AK445&gt;=Results!$I$26,$AK445&lt;=Results!$F$4),$AQ445,"")</f>
        <v/>
      </c>
      <c r="BB445">
        <f t="shared" si="280"/>
        <v>69.300000000000253</v>
      </c>
      <c r="BC445">
        <f>IF(AND($AK445&lt;=Results!$I$29,$AK445&gt;=Results!$I$28,$AK445&gt;=Results!$F$4),$AQ445,"")</f>
        <v>1154.4999999999986</v>
      </c>
      <c r="BD445">
        <f t="shared" si="281"/>
        <v>7295.482726050298</v>
      </c>
      <c r="BE445">
        <f t="shared" si="282"/>
        <v>1177.1672211612281</v>
      </c>
      <c r="BF445">
        <f t="shared" si="283"/>
        <v>8133.2902588235393</v>
      </c>
      <c r="BG445">
        <f t="shared" si="284"/>
        <v>1157.0859722306918</v>
      </c>
      <c r="BH445">
        <f t="shared" si="285"/>
        <v>0</v>
      </c>
      <c r="BI445">
        <f t="shared" si="286"/>
        <v>-2.2310968572409884E-3</v>
      </c>
      <c r="BJ445">
        <f t="shared" si="287"/>
        <v>-3.7068470538681453E-4</v>
      </c>
      <c r="BK445">
        <f t="shared" si="288"/>
        <v>1.7692658835445246E-3</v>
      </c>
      <c r="BL445">
        <f t="shared" si="289"/>
        <v>6.9239505026134673E-5</v>
      </c>
      <c r="BM445">
        <f t="shared" si="301"/>
        <v>120.00000000000226</v>
      </c>
      <c r="BN445">
        <f t="shared" si="302"/>
        <v>-159.99999999999997</v>
      </c>
      <c r="BO445">
        <f>Data!$H$2*(1-BI445)*(1-BI445/Data!$H$3)*BM445</f>
        <v>2.4107212116184496E-4</v>
      </c>
      <c r="BP445">
        <f t="shared" si="290"/>
        <v>0.26773162286892366</v>
      </c>
      <c r="BQ445">
        <f>Data!$H$2*(1-BJ445)*(1-BJ445/Data!$H$3)*BN445</f>
        <v>-3.2023728218173579E-4</v>
      </c>
      <c r="BR445">
        <f t="shared" si="291"/>
        <v>-5.9309552861890311E-2</v>
      </c>
      <c r="BS445">
        <f t="shared" si="292"/>
        <v>0</v>
      </c>
      <c r="BT445">
        <f t="shared" si="293"/>
        <v>0</v>
      </c>
      <c r="BU445">
        <f t="shared" si="294"/>
        <v>0</v>
      </c>
      <c r="BV445">
        <f t="shared" si="310"/>
        <v>0</v>
      </c>
      <c r="BW445">
        <f t="shared" si="303"/>
        <v>0</v>
      </c>
      <c r="BX445" t="str">
        <f t="shared" si="304"/>
        <v/>
      </c>
      <c r="BY445" s="66" t="str">
        <f t="shared" si="295"/>
        <v/>
      </c>
      <c r="BZ445" t="str">
        <f t="shared" si="296"/>
        <v/>
      </c>
      <c r="CA445" s="67" t="str">
        <f t="shared" si="311"/>
        <v/>
      </c>
    </row>
    <row r="446" spans="4:79" x14ac:dyDescent="0.25">
      <c r="D446" s="3" t="e">
        <f t="shared" si="307"/>
        <v>#DIV/0!</v>
      </c>
      <c r="E446" s="3" t="e">
        <f t="shared" si="307"/>
        <v>#DIV/0!</v>
      </c>
      <c r="F446" t="str">
        <f>IF(A446&gt;0,IF(F445=1,1,IF(B446=Data!$H$4,1,0)),"")</f>
        <v/>
      </c>
      <c r="AA446" t="e">
        <f t="shared" si="308"/>
        <v>#VALUE!</v>
      </c>
      <c r="AE446" t="str">
        <f t="shared" si="309"/>
        <v/>
      </c>
      <c r="AK446" s="4">
        <f t="shared" si="305"/>
        <v>69.400000000000247</v>
      </c>
      <c r="AL446">
        <f t="shared" si="297"/>
        <v>5329.00000000003</v>
      </c>
      <c r="AM446">
        <f t="shared" si="298"/>
        <v>1161.2999999999947</v>
      </c>
      <c r="AN446">
        <f>IF($AK445+$AK$1&lt;=Data!$H$4-0.5,AVERAGE(AM444:AM448),AN445)</f>
        <v>1161.2999999999945</v>
      </c>
      <c r="AO446">
        <f t="shared" si="299"/>
        <v>5496.99999999996</v>
      </c>
      <c r="AP446">
        <f t="shared" si="306"/>
        <v>1153.9999999999989</v>
      </c>
      <c r="AQ446">
        <f>IF($AK445+$AK$1&lt;=Data!$H$4-0.5,AVERAGE(AP444:AP448),AQ445)</f>
        <v>1153.9999999999989</v>
      </c>
      <c r="AR446">
        <f>IF($AK445+$AK$1&lt;=Data!$H$4-0.5,SLOPE($AN442:$AN450,$AK442:$AK450),AR445)</f>
        <v>-11.349999999999836</v>
      </c>
      <c r="AS446">
        <f>IF($AK445+$AK$1&lt;=Data!$H$4-0.5,SLOPE($AQ442:$AQ450,$AK442:$AK450),AS445)</f>
        <v>-2.7999999999992418</v>
      </c>
      <c r="AT446" t="str">
        <f>IF(AND($AK446&gt;=Results!$G$13,$AK446&lt;=Results!$G$14),Curves!AR446,"")</f>
        <v/>
      </c>
      <c r="AU446" t="str">
        <f>IF(AND($AK446&gt;=Results!$G$13,$AK446&lt;=Results!$G$14),Curves!AS446,"")</f>
        <v/>
      </c>
      <c r="AV446" t="str">
        <f t="shared" si="300"/>
        <v/>
      </c>
      <c r="AW446" t="str">
        <f>IF(AND($AK446&lt;=Results!$I$21,$AK446&gt;=Results!$I$20,$AK446&lt;=Results!$F$4),$AN446,"")</f>
        <v/>
      </c>
      <c r="AX446">
        <f t="shared" si="300"/>
        <v>69.400000000000247</v>
      </c>
      <c r="AY446">
        <f>IF(AND($AK446&lt;=Results!$I$23,$AK446&gt;=Results!$I$22,$AK446&gt;=Results!$F$4),$AN446,"")</f>
        <v>1161.2999999999945</v>
      </c>
      <c r="AZ446" t="str">
        <f t="shared" si="279"/>
        <v/>
      </c>
      <c r="BA446" t="str">
        <f>IF(AND($AK446&lt;=Results!$I$27,$AK446&gt;=Results!$I$26,$AK446&lt;=Results!$F$4),$AQ446,"")</f>
        <v/>
      </c>
      <c r="BB446">
        <f t="shared" si="280"/>
        <v>69.400000000000247</v>
      </c>
      <c r="BC446">
        <f>IF(AND($AK446&lt;=Results!$I$29,$AK446&gt;=Results!$I$28,$AK446&gt;=Results!$F$4),$AQ446,"")</f>
        <v>1153.9999999999989</v>
      </c>
      <c r="BD446">
        <f t="shared" si="281"/>
        <v>7284.7125312523794</v>
      </c>
      <c r="BE446">
        <f t="shared" si="282"/>
        <v>1173.8514319119072</v>
      </c>
      <c r="BF446">
        <f t="shared" si="283"/>
        <v>8126.0002765906465</v>
      </c>
      <c r="BG446">
        <f t="shared" si="284"/>
        <v>1156.5351712711667</v>
      </c>
      <c r="BH446">
        <f t="shared" si="285"/>
        <v>0</v>
      </c>
      <c r="BI446">
        <f t="shared" si="286"/>
        <v>-2.0539547058706642E-3</v>
      </c>
      <c r="BJ446">
        <f t="shared" si="287"/>
        <v>-3.6375406618116557E-4</v>
      </c>
      <c r="BK446">
        <f t="shared" si="288"/>
        <v>3.5895107848928727E-3</v>
      </c>
      <c r="BL446">
        <f t="shared" si="289"/>
        <v>4.2842824973246194E-4</v>
      </c>
      <c r="BM446">
        <f t="shared" si="301"/>
        <v>120.00000000000226</v>
      </c>
      <c r="BN446">
        <f t="shared" si="302"/>
        <v>-159.99999999999997</v>
      </c>
      <c r="BO446">
        <f>Data!$H$2*(1-BI446)*(1-BI446/Data!$H$3)*BM446</f>
        <v>2.4098691075400658E-4</v>
      </c>
      <c r="BP446">
        <f t="shared" si="290"/>
        <v>0.24647456470448434</v>
      </c>
      <c r="BQ446">
        <f>Data!$H$2*(1-BJ446)*(1-BJ446/Data!$H$3)*BN446</f>
        <v>-3.2023284494380247E-4</v>
      </c>
      <c r="BR446">
        <f t="shared" si="291"/>
        <v>-5.8200650588986484E-2</v>
      </c>
      <c r="BS446">
        <f t="shared" si="292"/>
        <v>0</v>
      </c>
      <c r="BT446">
        <f t="shared" si="293"/>
        <v>0</v>
      </c>
      <c r="BU446">
        <f t="shared" si="294"/>
        <v>0</v>
      </c>
      <c r="BV446">
        <f t="shared" si="310"/>
        <v>0</v>
      </c>
      <c r="BW446">
        <f t="shared" si="303"/>
        <v>0</v>
      </c>
      <c r="BX446" t="str">
        <f t="shared" si="304"/>
        <v/>
      </c>
      <c r="BY446" s="66" t="str">
        <f t="shared" si="295"/>
        <v/>
      </c>
      <c r="BZ446" t="str">
        <f t="shared" si="296"/>
        <v/>
      </c>
      <c r="CA446" s="67" t="str">
        <f t="shared" si="311"/>
        <v/>
      </c>
    </row>
    <row r="447" spans="4:79" x14ac:dyDescent="0.25">
      <c r="D447" s="3" t="e">
        <f t="shared" si="307"/>
        <v>#DIV/0!</v>
      </c>
      <c r="E447" s="3" t="e">
        <f t="shared" si="307"/>
        <v>#DIV/0!</v>
      </c>
      <c r="F447" t="str">
        <f>IF(A447&gt;0,IF(F446=1,1,IF(B447=Data!$H$4,1,0)),"")</f>
        <v/>
      </c>
      <c r="AA447" t="e">
        <f t="shared" si="308"/>
        <v>#VALUE!</v>
      </c>
      <c r="AE447" t="str">
        <f t="shared" si="309"/>
        <v/>
      </c>
      <c r="AK447" s="4">
        <f t="shared" si="305"/>
        <v>69.500000000000242</v>
      </c>
      <c r="AL447">
        <f t="shared" si="297"/>
        <v>5341.0000000000291</v>
      </c>
      <c r="AM447">
        <f t="shared" si="298"/>
        <v>1159.083333333328</v>
      </c>
      <c r="AN447">
        <f>IF($AK446+$AK$1&lt;=Data!$H$4-0.5,AVERAGE(AM445:AM449),AN446)</f>
        <v>1161.2999999999945</v>
      </c>
      <c r="AO447">
        <f t="shared" si="299"/>
        <v>5480.9999999999618</v>
      </c>
      <c r="AP447">
        <f t="shared" si="306"/>
        <v>1153.4999999999989</v>
      </c>
      <c r="AQ447">
        <f>IF($AK446+$AK$1&lt;=Data!$H$4-0.5,AVERAGE(AP445:AP449),AQ446)</f>
        <v>1153.9999999999989</v>
      </c>
      <c r="AR447">
        <f>IF($AK446+$AK$1&lt;=Data!$H$4-0.5,SLOPE($AN443:$AN451,$AK443:$AK451),AR446)</f>
        <v>-11.349999999999836</v>
      </c>
      <c r="AS447">
        <f>IF($AK446+$AK$1&lt;=Data!$H$4-0.5,SLOPE($AQ443:$AQ451,$AK443:$AK451),AS446)</f>
        <v>-2.7999999999992418</v>
      </c>
      <c r="AT447" t="str">
        <f>IF(AND($AK447&gt;=Results!$G$13,$AK447&lt;=Results!$G$14),Curves!AR447,"")</f>
        <v/>
      </c>
      <c r="AU447" t="str">
        <f>IF(AND($AK447&gt;=Results!$G$13,$AK447&lt;=Results!$G$14),Curves!AS447,"")</f>
        <v/>
      </c>
      <c r="AV447" t="str">
        <f t="shared" si="300"/>
        <v/>
      </c>
      <c r="AW447" t="str">
        <f>IF(AND($AK447&lt;=Results!$I$21,$AK447&gt;=Results!$I$20,$AK447&lt;=Results!$F$4),$AN447,"")</f>
        <v/>
      </c>
      <c r="AX447">
        <f t="shared" si="300"/>
        <v>69.500000000000242</v>
      </c>
      <c r="AY447">
        <f>IF(AND($AK447&lt;=Results!$I$23,$AK447&gt;=Results!$I$22,$AK447&gt;=Results!$F$4),$AN447,"")</f>
        <v>1161.2999999999945</v>
      </c>
      <c r="AZ447" t="str">
        <f t="shared" si="279"/>
        <v/>
      </c>
      <c r="BA447" t="str">
        <f>IF(AND($AK447&lt;=Results!$I$27,$AK447&gt;=Results!$I$26,$AK447&lt;=Results!$F$4),$AQ447,"")</f>
        <v/>
      </c>
      <c r="BB447">
        <f t="shared" si="280"/>
        <v>69.500000000000242</v>
      </c>
      <c r="BC447">
        <f>IF(AND($AK447&lt;=Results!$I$29,$AK447&gt;=Results!$I$28,$AK447&gt;=Results!$F$4),$AQ447,"")</f>
        <v>1153.9999999999989</v>
      </c>
      <c r="BD447">
        <f t="shared" si="281"/>
        <v>7273.94233645446</v>
      </c>
      <c r="BE447">
        <f t="shared" si="282"/>
        <v>1170.5356426625867</v>
      </c>
      <c r="BF447">
        <f t="shared" si="283"/>
        <v>8118.7102943577538</v>
      </c>
      <c r="BG447">
        <f t="shared" si="284"/>
        <v>1155.9843703116419</v>
      </c>
      <c r="BH447">
        <f t="shared" si="285"/>
        <v>0</v>
      </c>
      <c r="BI447">
        <f t="shared" si="286"/>
        <v>-1.5131947002624546E-3</v>
      </c>
      <c r="BJ447">
        <f t="shared" si="287"/>
        <v>-2.84999055440327E-4</v>
      </c>
      <c r="BK447">
        <f t="shared" si="288"/>
        <v>5.414212713459628E-3</v>
      </c>
      <c r="BL447">
        <f t="shared" si="289"/>
        <v>7.8831311100984217E-4</v>
      </c>
      <c r="BM447">
        <f t="shared" si="301"/>
        <v>119.99999999999771</v>
      </c>
      <c r="BN447">
        <f t="shared" si="302"/>
        <v>-159.99999999999997</v>
      </c>
      <c r="BO447">
        <f>Data!$H$2*(1-BI447)*(1-BI447/Data!$H$3)*BM447</f>
        <v>2.4072688299808958E-4</v>
      </c>
      <c r="BP447">
        <f t="shared" si="290"/>
        <v>0.18158336403149108</v>
      </c>
      <c r="BQ447">
        <f>Data!$H$2*(1-BJ447)*(1-BJ447/Data!$H$3)*BN447</f>
        <v>-3.2018242538730943E-4</v>
      </c>
      <c r="BR447">
        <f t="shared" si="291"/>
        <v>-4.5599848870452313E-2</v>
      </c>
      <c r="BS447">
        <f t="shared" si="292"/>
        <v>0</v>
      </c>
      <c r="BT447">
        <f t="shared" si="293"/>
        <v>0</v>
      </c>
      <c r="BU447">
        <f t="shared" si="294"/>
        <v>0</v>
      </c>
      <c r="BV447">
        <f t="shared" si="310"/>
        <v>0</v>
      </c>
      <c r="BW447">
        <f t="shared" si="303"/>
        <v>0</v>
      </c>
      <c r="BX447" t="str">
        <f t="shared" si="304"/>
        <v/>
      </c>
      <c r="BY447" s="66" t="str">
        <f t="shared" si="295"/>
        <v/>
      </c>
      <c r="BZ447" t="str">
        <f t="shared" si="296"/>
        <v/>
      </c>
      <c r="CA447" s="67" t="str">
        <f t="shared" si="311"/>
        <v/>
      </c>
    </row>
    <row r="448" spans="4:79" x14ac:dyDescent="0.25">
      <c r="D448" s="3" t="e">
        <f t="shared" si="307"/>
        <v>#DIV/0!</v>
      </c>
      <c r="E448" s="3" t="e">
        <f t="shared" si="307"/>
        <v>#DIV/0!</v>
      </c>
      <c r="F448" t="str">
        <f>IF(A448&gt;0,IF(F447=1,1,IF(B448=Data!$H$4,1,0)),"")</f>
        <v/>
      </c>
      <c r="AA448" t="e">
        <f t="shared" si="308"/>
        <v>#VALUE!</v>
      </c>
      <c r="AE448" t="str">
        <f t="shared" si="309"/>
        <v/>
      </c>
      <c r="AK448" s="4">
        <f t="shared" si="305"/>
        <v>69.600000000000236</v>
      </c>
      <c r="AL448">
        <f t="shared" si="297"/>
        <v>5353.0000000000282</v>
      </c>
      <c r="AM448">
        <f t="shared" si="298"/>
        <v>1156.8666666666616</v>
      </c>
      <c r="AN448">
        <f>IF($AK447+$AK$1&lt;=Data!$H$4-0.5,AVERAGE(AM446:AM450),AN447)</f>
        <v>1161.2999999999945</v>
      </c>
      <c r="AO448">
        <f t="shared" si="299"/>
        <v>5464.9999999999618</v>
      </c>
      <c r="AP448">
        <f t="shared" si="306"/>
        <v>1152.9999999999989</v>
      </c>
      <c r="AQ448">
        <f>IF($AK447+$AK$1&lt;=Data!$H$4-0.5,AVERAGE(AP446:AP450),AQ447)</f>
        <v>1153.9999999999989</v>
      </c>
      <c r="AR448">
        <f>IF($AK447+$AK$1&lt;=Data!$H$4-0.5,SLOPE($AN444:$AN452,$AK444:$AK452),AR447)</f>
        <v>-11.349999999999836</v>
      </c>
      <c r="AS448">
        <f>IF($AK447+$AK$1&lt;=Data!$H$4-0.5,SLOPE($AQ444:$AQ452,$AK444:$AK452),AS447)</f>
        <v>-2.7999999999992418</v>
      </c>
      <c r="AT448" t="str">
        <f>IF(AND($AK448&gt;=Results!$G$13,$AK448&lt;=Results!$G$14),Curves!AR448,"")</f>
        <v/>
      </c>
      <c r="AU448" t="str">
        <f>IF(AND($AK448&gt;=Results!$G$13,$AK448&lt;=Results!$G$14),Curves!AS448,"")</f>
        <v/>
      </c>
      <c r="AV448" t="str">
        <f t="shared" si="300"/>
        <v/>
      </c>
      <c r="AW448" t="str">
        <f>IF(AND($AK448&lt;=Results!$I$21,$AK448&gt;=Results!$I$20,$AK448&lt;=Results!$F$4),$AN448,"")</f>
        <v/>
      </c>
      <c r="AX448">
        <f t="shared" si="300"/>
        <v>69.600000000000236</v>
      </c>
      <c r="AY448">
        <f>IF(AND($AK448&lt;=Results!$I$23,$AK448&gt;=Results!$I$22,$AK448&gt;=Results!$F$4),$AN448,"")</f>
        <v>1161.2999999999945</v>
      </c>
      <c r="AZ448" t="str">
        <f t="shared" si="279"/>
        <v/>
      </c>
      <c r="BA448" t="str">
        <f>IF(AND($AK448&lt;=Results!$I$27,$AK448&gt;=Results!$I$26,$AK448&lt;=Results!$F$4),$AQ448,"")</f>
        <v/>
      </c>
      <c r="BB448">
        <f t="shared" si="280"/>
        <v>69.600000000000236</v>
      </c>
      <c r="BC448">
        <f>IF(AND($AK448&lt;=Results!$I$29,$AK448&gt;=Results!$I$28,$AK448&gt;=Results!$F$4),$AQ448,"")</f>
        <v>1153.9999999999989</v>
      </c>
      <c r="BD448">
        <f t="shared" si="281"/>
        <v>7263.1721416565415</v>
      </c>
      <c r="BE448">
        <f t="shared" si="282"/>
        <v>1167.2198534132663</v>
      </c>
      <c r="BF448">
        <f t="shared" si="283"/>
        <v>8111.4203121248611</v>
      </c>
      <c r="BG448">
        <f t="shared" si="284"/>
        <v>1155.4335693521168</v>
      </c>
      <c r="BH448">
        <f t="shared" si="285"/>
        <v>0</v>
      </c>
      <c r="BI448">
        <f t="shared" si="286"/>
        <v>-9.711121631788E-4</v>
      </c>
      <c r="BJ448">
        <f t="shared" si="287"/>
        <v>-2.0609144397920609E-4</v>
      </c>
      <c r="BK448">
        <f t="shared" si="288"/>
        <v>5.4274623166808726E-3</v>
      </c>
      <c r="BL448">
        <f t="shared" si="289"/>
        <v>7.8984133803032856E-4</v>
      </c>
      <c r="BM448">
        <f t="shared" si="301"/>
        <v>119.99999999999771</v>
      </c>
      <c r="BN448">
        <f t="shared" si="302"/>
        <v>-159.99999999999997</v>
      </c>
      <c r="BO448">
        <f>Data!$H$2*(1-BI448)*(1-BI448/Data!$H$3)*BM448</f>
        <v>2.4046636017244127E-4</v>
      </c>
      <c r="BP448">
        <f t="shared" si="290"/>
        <v>0.11653345958145378</v>
      </c>
      <c r="BQ448">
        <f>Data!$H$2*(1-BJ448)*(1-BJ448/Data!$H$3)*BN448</f>
        <v>-3.2013191211572532E-4</v>
      </c>
      <c r="BR448">
        <f t="shared" si="291"/>
        <v>-3.2974631036672968E-2</v>
      </c>
      <c r="BS448">
        <f t="shared" si="292"/>
        <v>0</v>
      </c>
      <c r="BT448">
        <f t="shared" si="293"/>
        <v>0</v>
      </c>
      <c r="BU448">
        <f t="shared" si="294"/>
        <v>0</v>
      </c>
      <c r="BV448">
        <f t="shared" si="310"/>
        <v>0</v>
      </c>
      <c r="BW448">
        <f t="shared" si="303"/>
        <v>0</v>
      </c>
      <c r="BX448" t="str">
        <f t="shared" si="304"/>
        <v/>
      </c>
      <c r="BY448" s="66" t="str">
        <f t="shared" si="295"/>
        <v/>
      </c>
      <c r="BZ448" t="str">
        <f t="shared" si="296"/>
        <v/>
      </c>
      <c r="CA448" s="67" t="str">
        <f t="shared" si="311"/>
        <v/>
      </c>
    </row>
    <row r="449" spans="4:79" x14ac:dyDescent="0.25">
      <c r="D449" s="3" t="e">
        <f t="shared" si="307"/>
        <v>#DIV/0!</v>
      </c>
      <c r="E449" s="3" t="e">
        <f t="shared" si="307"/>
        <v>#DIV/0!</v>
      </c>
      <c r="F449" t="str">
        <f>IF(A449&gt;0,IF(F448=1,1,IF(B449=Data!$H$4,1,0)),"")</f>
        <v/>
      </c>
      <c r="AA449" t="e">
        <f t="shared" si="308"/>
        <v>#VALUE!</v>
      </c>
      <c r="AE449" t="str">
        <f t="shared" si="309"/>
        <v/>
      </c>
      <c r="AK449" s="4">
        <f t="shared" si="305"/>
        <v>69.70000000000023</v>
      </c>
      <c r="AL449">
        <f t="shared" si="297"/>
        <v>5365.0000000000273</v>
      </c>
      <c r="AM449">
        <f t="shared" si="298"/>
        <v>1154.6499999999951</v>
      </c>
      <c r="AN449">
        <f>IF($AK448+$AK$1&lt;=Data!$H$4-0.5,AVERAGE(AM447:AM451),AN448)</f>
        <v>1161.2999999999945</v>
      </c>
      <c r="AO449">
        <f t="shared" si="299"/>
        <v>5448.9999999999636</v>
      </c>
      <c r="AP449">
        <f t="shared" si="306"/>
        <v>1152.4999999999989</v>
      </c>
      <c r="AQ449">
        <f>IF($AK448+$AK$1&lt;=Data!$H$4-0.5,AVERAGE(AP447:AP451),AQ448)</f>
        <v>1153.9999999999989</v>
      </c>
      <c r="AR449">
        <f>IF($AK448+$AK$1&lt;=Data!$H$4-0.5,SLOPE($AN445:$AN453,$AK445:$AK453),AR448)</f>
        <v>-11.349999999999836</v>
      </c>
      <c r="AS449">
        <f>IF($AK448+$AK$1&lt;=Data!$H$4-0.5,SLOPE($AQ445:$AQ453,$AK445:$AK453),AS448)</f>
        <v>-2.7999999999992418</v>
      </c>
      <c r="AT449" t="str">
        <f>IF(AND($AK449&gt;=Results!$G$13,$AK449&lt;=Results!$G$14),Curves!AR449,"")</f>
        <v/>
      </c>
      <c r="AU449" t="str">
        <f>IF(AND($AK449&gt;=Results!$G$13,$AK449&lt;=Results!$G$14),Curves!AS449,"")</f>
        <v/>
      </c>
      <c r="AV449" t="str">
        <f t="shared" si="300"/>
        <v/>
      </c>
      <c r="AW449" t="str">
        <f>IF(AND($AK449&lt;=Results!$I$21,$AK449&gt;=Results!$I$20,$AK449&lt;=Results!$F$4),$AN449,"")</f>
        <v/>
      </c>
      <c r="AX449">
        <f t="shared" si="300"/>
        <v>69.70000000000023</v>
      </c>
      <c r="AY449">
        <f>IF(AND($AK449&lt;=Results!$I$23,$AK449&gt;=Results!$I$22,$AK449&gt;=Results!$F$4),$AN449,"")</f>
        <v>1161.2999999999945</v>
      </c>
      <c r="AZ449" t="str">
        <f t="shared" si="279"/>
        <v/>
      </c>
      <c r="BA449" t="str">
        <f>IF(AND($AK449&lt;=Results!$I$27,$AK449&gt;=Results!$I$26,$AK449&lt;=Results!$F$4),$AQ449,"")</f>
        <v/>
      </c>
      <c r="BB449">
        <f t="shared" si="280"/>
        <v>69.70000000000023</v>
      </c>
      <c r="BC449">
        <f>IF(AND($AK449&lt;=Results!$I$29,$AK449&gt;=Results!$I$28,$AK449&gt;=Results!$F$4),$AQ449,"")</f>
        <v>1153.9999999999989</v>
      </c>
      <c r="BD449">
        <f t="shared" si="281"/>
        <v>7252.4019468586221</v>
      </c>
      <c r="BE449">
        <f t="shared" si="282"/>
        <v>1163.9040641639453</v>
      </c>
      <c r="BF449">
        <f t="shared" si="283"/>
        <v>8104.1303298919684</v>
      </c>
      <c r="BG449">
        <f t="shared" si="284"/>
        <v>1154.882768392592</v>
      </c>
      <c r="BH449">
        <f t="shared" si="285"/>
        <v>0</v>
      </c>
      <c r="BI449">
        <f t="shared" si="286"/>
        <v>-4.2770223692634168E-4</v>
      </c>
      <c r="BJ449">
        <f t="shared" si="287"/>
        <v>-1.2703078783427024E-4</v>
      </c>
      <c r="BK449">
        <f t="shared" si="288"/>
        <v>5.4407606159326584E-3</v>
      </c>
      <c r="BL449">
        <f t="shared" si="289"/>
        <v>7.913740133036922E-4</v>
      </c>
      <c r="BM449">
        <f t="shared" si="301"/>
        <v>120.00000000000226</v>
      </c>
      <c r="BN449">
        <f t="shared" si="302"/>
        <v>-159.99999999999997</v>
      </c>
      <c r="BO449">
        <f>Data!$H$2*(1-BI449)*(1-BI449/Data!$H$3)*BM449</f>
        <v>2.4020534097673798E-4</v>
      </c>
      <c r="BP449">
        <f t="shared" si="290"/>
        <v>5.1324268431161967E-2</v>
      </c>
      <c r="BQ449">
        <f>Data!$H$2*(1-BJ449)*(1-BJ449/Data!$H$3)*BN449</f>
        <v>-3.2008130486799657E-4</v>
      </c>
      <c r="BR449">
        <f t="shared" si="291"/>
        <v>-2.0324926053483235E-2</v>
      </c>
      <c r="BS449">
        <f t="shared" si="292"/>
        <v>0</v>
      </c>
      <c r="BT449">
        <f t="shared" si="293"/>
        <v>0</v>
      </c>
      <c r="BU449">
        <f t="shared" si="294"/>
        <v>0</v>
      </c>
      <c r="BV449">
        <f t="shared" si="310"/>
        <v>0</v>
      </c>
      <c r="BW449">
        <f t="shared" si="303"/>
        <v>0</v>
      </c>
      <c r="BX449" t="str">
        <f t="shared" si="304"/>
        <v/>
      </c>
      <c r="BY449" s="66" t="str">
        <f t="shared" si="295"/>
        <v/>
      </c>
      <c r="BZ449" t="str">
        <f t="shared" si="296"/>
        <v/>
      </c>
      <c r="CA449" s="67" t="str">
        <f t="shared" si="311"/>
        <v/>
      </c>
    </row>
    <row r="450" spans="4:79" x14ac:dyDescent="0.25">
      <c r="D450" s="3" t="e">
        <f t="shared" si="307"/>
        <v>#DIV/0!</v>
      </c>
      <c r="E450" s="3" t="e">
        <f t="shared" si="307"/>
        <v>#DIV/0!</v>
      </c>
      <c r="F450" t="str">
        <f>IF(A450&gt;0,IF(F449=1,1,IF(B450=Data!$H$4,1,0)),"")</f>
        <v/>
      </c>
      <c r="AA450" t="e">
        <f t="shared" si="308"/>
        <v>#VALUE!</v>
      </c>
      <c r="AE450" t="str">
        <f t="shared" si="309"/>
        <v/>
      </c>
      <c r="AK450" s="4">
        <f t="shared" si="305"/>
        <v>69.800000000000225</v>
      </c>
      <c r="AL450">
        <f t="shared" si="297"/>
        <v>5377.0000000000273</v>
      </c>
      <c r="AM450">
        <f t="shared" si="298"/>
        <v>1152.4333333333284</v>
      </c>
      <c r="AN450">
        <f>IF($AK449+$AK$1&lt;=Data!$H$4-0.5,AVERAGE(AM448:AM452),AN449)</f>
        <v>1161.2999999999945</v>
      </c>
      <c r="AO450">
        <f t="shared" si="299"/>
        <v>5432.9999999999636</v>
      </c>
      <c r="AP450">
        <f t="shared" si="306"/>
        <v>1151.9999999999989</v>
      </c>
      <c r="AQ450">
        <f>IF($AK449+$AK$1&lt;=Data!$H$4-0.5,AVERAGE(AP448:AP452),AQ449)</f>
        <v>1153.9999999999989</v>
      </c>
      <c r="AR450">
        <f>IF($AK449+$AK$1&lt;=Data!$H$4-0.5,SLOPE($AN446:$AN454,$AK446:$AK454),AR449)</f>
        <v>-11.349999999999836</v>
      </c>
      <c r="AS450">
        <f>IF($AK449+$AK$1&lt;=Data!$H$4-0.5,SLOPE($AQ446:$AQ454,$AK446:$AK454),AS449)</f>
        <v>-2.7999999999992418</v>
      </c>
      <c r="AT450" t="str">
        <f>IF(AND($AK450&gt;=Results!$G$13,$AK450&lt;=Results!$G$14),Curves!AR450,"")</f>
        <v/>
      </c>
      <c r="AU450" t="str">
        <f>IF(AND($AK450&gt;=Results!$G$13,$AK450&lt;=Results!$G$14),Curves!AS450,"")</f>
        <v/>
      </c>
      <c r="AV450" t="str">
        <f t="shared" si="300"/>
        <v/>
      </c>
      <c r="AW450" t="str">
        <f>IF(AND($AK450&lt;=Results!$I$21,$AK450&gt;=Results!$I$20,$AK450&lt;=Results!$F$4),$AN450,"")</f>
        <v/>
      </c>
      <c r="AX450">
        <f t="shared" si="300"/>
        <v>69.800000000000225</v>
      </c>
      <c r="AY450">
        <f>IF(AND($AK450&lt;=Results!$I$23,$AK450&gt;=Results!$I$22,$AK450&gt;=Results!$F$4),$AN450,"")</f>
        <v>1161.2999999999945</v>
      </c>
      <c r="AZ450" t="str">
        <f t="shared" ref="AZ450:AZ512" si="312">IF(BA450="","",$AK450)</f>
        <v/>
      </c>
      <c r="BA450" t="str">
        <f>IF(AND($AK450&lt;=Results!$I$27,$AK450&gt;=Results!$I$26,$AK450&lt;=Results!$F$4),$AQ450,"")</f>
        <v/>
      </c>
      <c r="BB450">
        <f t="shared" ref="BB450:BB512" si="313">IF(BC450="","",$AK450)</f>
        <v>69.800000000000225</v>
      </c>
      <c r="BC450">
        <f>IF(AND($AK450&lt;=Results!$I$29,$AK450&gt;=Results!$I$28,$AK450&gt;=Results!$F$4),$AQ450,"")</f>
        <v>1153.9999999999989</v>
      </c>
      <c r="BD450">
        <f t="shared" ref="BD450:BD512" si="314">IF($AV$513&gt;0,INTERCEPT($AW$2:$AW$512,$AV$2:$AV$512)+$AK450*SLOPE($AW$2:$AW$512,$AV$2:$AV$512),INTERCEPT($AN$2:$AN$30,$AK$2:$AK$30)+$AK450*SLOPE($AN$2:$AN$30,$AK$2:$AK$30))</f>
        <v>7241.6317520607035</v>
      </c>
      <c r="BE450">
        <f t="shared" ref="BE450:BE512" si="315">IF($AX$513&gt;0,INTERCEPT($AY$2:$AY$512,$AX$2:$AX$512)+$AK450*SLOPE($AY$2:$AY$512,$AX$2:$AX$512),INTERCEPT($AN$460:$AN$512,$AK$460:$AK$512)+$AK450*SLOPE($AN$460:$AN$512,$AK$460:$AK$512))</f>
        <v>1160.5882749146249</v>
      </c>
      <c r="BF450">
        <f t="shared" ref="BF450:BF512" si="316">IF($AZ$513&gt;0,INTERCEPT($BA$2:$BA$512,$AZ$2:$AZ$512)+$AK450*SLOPE($BA$2:$BA$512,$AZ$2:$AZ$512),INTERCEPT($AQ$2:$AQ$30,$AK$2:$AK$30)+$AK450*SLOPE($AQ$2:$AQ$30,$AK$2:$AK$30))</f>
        <v>8096.8403476590756</v>
      </c>
      <c r="BG450">
        <f t="shared" ref="BG450:BG512" si="317">IF($BB$513&gt;0,INTERCEPT($BC$2:$BC$512,$BB$2:$BB$512)+$AK450*SLOPE($BC$2:$BC$512,$BB$2:$BB$512),INTERCEPT($AQ$460:$AQ$512,$AK$460:$AK$512)+$AK450*SLOPE($AQ$460:$AQ$512,$AK$460:$AK$512))</f>
        <v>1154.3319674330669</v>
      </c>
      <c r="BH450">
        <f t="shared" ref="BH450:BH512" si="318">IF(OR(BJ450=0.5,AND(BJ450&gt;0.5,BJ451&lt;0.5)),$AK$1*(0.5-BJ450)/(BJ451-BJ450)+AK450,0)</f>
        <v>0</v>
      </c>
      <c r="BI450">
        <f t="shared" ref="BI450:BI512" si="319">1-(AN450-BD450)/(BE450-BD450)</f>
        <v>1.1703996000766992E-4</v>
      </c>
      <c r="BJ450">
        <f t="shared" ref="BJ450:BJ512" si="320">1-(AQ450-BF450)/(BG450-BF450)</f>
        <v>-4.7816641318476627E-5</v>
      </c>
      <c r="BK450">
        <f t="shared" ref="BK450:BK512" si="321">SLOPE($BI449:$BI451,$AK449:$AK451)</f>
        <v>5.4541078501399764E-3</v>
      </c>
      <c r="BL450">
        <f t="shared" ref="BL450:BL512" si="322">SLOPE($BJ449:$BJ451,$AK449:$AK451)</f>
        <v>7.9291115411055449E-4</v>
      </c>
      <c r="BM450">
        <f t="shared" si="301"/>
        <v>120.00000000000226</v>
      </c>
      <c r="BN450">
        <f t="shared" si="302"/>
        <v>-159.99999999999997</v>
      </c>
      <c r="BO450">
        <f>Data!$H$2*(1-BI450)*(1-BI450/Data!$H$3)*BM450</f>
        <v>2.3994382410680534E-4</v>
      </c>
      <c r="BP450">
        <f t="shared" ref="BP450:BP512" si="323">-BI450*BM450</f>
        <v>-1.4044795200920654E-2</v>
      </c>
      <c r="BQ450">
        <f>Data!$H$2*(1-BJ450)*(1-BJ450/Data!$H$3)*BN450</f>
        <v>-3.2003060338210178E-4</v>
      </c>
      <c r="BR450">
        <f t="shared" ref="BR450:BR512" si="324">-BJ450*BN450</f>
        <v>-7.6506626109562586E-3</v>
      </c>
      <c r="BS450">
        <f t="shared" ref="BS450:BS512" si="325">IF(AND(BI450&gt;0.4,BI450&lt;0.6),(BL450-BT450*BR450)/BQ450,0)</f>
        <v>0</v>
      </c>
      <c r="BT450">
        <f t="shared" ref="BT450:BT512" si="326">IF(AND(BI450&gt;0.4,BI450&lt;0.6),(BQ450*BK450-BO450*BL450)/(BQ450*BP450-BO450*BR450),0)</f>
        <v>0</v>
      </c>
      <c r="BU450">
        <f t="shared" ref="BU450:BU512" si="327">IF(AND(BI450&gt;0.4,BI450&lt;0.6),1/(273.15+AK450),0)</f>
        <v>0</v>
      </c>
      <c r="BV450">
        <f t="shared" si="310"/>
        <v>0</v>
      </c>
      <c r="BW450">
        <f t="shared" si="303"/>
        <v>0</v>
      </c>
      <c r="BX450" t="str">
        <f t="shared" si="304"/>
        <v/>
      </c>
      <c r="BY450" s="66" t="str">
        <f t="shared" ref="BY450:BY512" si="328">IF(BU450=0,"",BI450)</f>
        <v/>
      </c>
      <c r="BZ450" t="str">
        <f t="shared" ref="BZ450:BZ513" si="329">IF(BU450=0,"",BV450)</f>
        <v/>
      </c>
      <c r="CA450" s="67" t="str">
        <f t="shared" si="311"/>
        <v/>
      </c>
    </row>
    <row r="451" spans="4:79" x14ac:dyDescent="0.25">
      <c r="D451" s="3" t="e">
        <f t="shared" si="307"/>
        <v>#DIV/0!</v>
      </c>
      <c r="E451" s="3" t="e">
        <f t="shared" si="307"/>
        <v>#DIV/0!</v>
      </c>
      <c r="F451" t="str">
        <f>IF(A451&gt;0,IF(F450=1,1,IF(B451=Data!$H$4,1,0)),"")</f>
        <v/>
      </c>
      <c r="AA451" t="e">
        <f t="shared" si="308"/>
        <v>#VALUE!</v>
      </c>
      <c r="AE451" t="str">
        <f t="shared" si="309"/>
        <v/>
      </c>
      <c r="AK451" s="4">
        <f t="shared" si="305"/>
        <v>69.900000000000219</v>
      </c>
      <c r="AL451">
        <f t="shared" ref="AL451:AL512" si="330">IF($AK451=ROUND($AK451,0),VLOOKUP($AK451,$AF$2:$AJ$112,2),($AK451-FLOOR($AK451,1))/(CEILING($AK451,1)-FLOOR($AK451,1))*(VLOOKUP(CEILING($AK451,1),$AF$2:$AJ$112,2,FALSE)-VLOOKUP(FLOOR($AK451,1),$AF$2:$AJ$112,2,FALSE))+VLOOKUP(FLOOR($AK451,1),$AF$2:$AJ$112,2,FALSE))</f>
        <v>5389.0000000000264</v>
      </c>
      <c r="AM451">
        <f t="shared" ref="AM451:AM512" si="331">IF($AK451=ROUND($AK451,0),VLOOKUP($AK451,$AF$2:$AJ$112,3),($AK451-FLOOR($AK451,1))/(CEILING($AK451,1)-FLOOR($AK451,1))*(VLOOKUP(CEILING($AK451,1),$AF$2:$AJ$112,3,FALSE)-VLOOKUP(FLOOR($AK451,1),$AF$2:$AJ$112,3,FALSE))+VLOOKUP(FLOOR($AK451,1),$AF$2:$AJ$112,3,FALSE))</f>
        <v>1150.2166666666619</v>
      </c>
      <c r="AN451">
        <f>IF($AK450+$AK$1&lt;=Data!$H$4-0.5,AVERAGE(AM449:AM453),AN450)</f>
        <v>1161.2999999999945</v>
      </c>
      <c r="AO451">
        <f t="shared" ref="AO451:AO512" si="332">IF($AK451=ROUND($AK451,0),VLOOKUP($AK451,$AF$2:$AJ$112,4),($AK451-FLOOR($AK451,1))/(CEILING($AK451,1)-FLOOR($AK451,1))*(VLOOKUP(CEILING($AK451,1),$AF$2:$AJ$112,4,FALSE)-VLOOKUP(FLOOR($AK451,1),$AF$2:$AJ$112,4,FALSE))+VLOOKUP(FLOOR($AK451,1),$AF$2:$AJ$112,4,FALSE))</f>
        <v>5416.9999999999654</v>
      </c>
      <c r="AP451">
        <f t="shared" si="306"/>
        <v>1151.4999999999989</v>
      </c>
      <c r="AQ451">
        <f>IF($AK450+$AK$1&lt;=Data!$H$4-0.5,AVERAGE(AP449:AP453),AQ450)</f>
        <v>1153.9999999999989</v>
      </c>
      <c r="AR451">
        <f>IF($AK450+$AK$1&lt;=Data!$H$4-0.5,SLOPE($AN447:$AN455,$AK447:$AK455),AR450)</f>
        <v>-11.349999999999836</v>
      </c>
      <c r="AS451">
        <f>IF($AK450+$AK$1&lt;=Data!$H$4-0.5,SLOPE($AQ447:$AQ455,$AK447:$AK455),AS450)</f>
        <v>-2.7999999999992418</v>
      </c>
      <c r="AT451" t="str">
        <f>IF(AND($AK451&gt;=Results!$G$13,$AK451&lt;=Results!$G$14),Curves!AR451,"")</f>
        <v/>
      </c>
      <c r="AU451" t="str">
        <f>IF(AND($AK451&gt;=Results!$G$13,$AK451&lt;=Results!$G$14),Curves!AS451,"")</f>
        <v/>
      </c>
      <c r="AV451" t="str">
        <f t="shared" ref="AV451:AX512" si="333">IF(AW451="","",$AK451)</f>
        <v/>
      </c>
      <c r="AW451" t="str">
        <f>IF(AND($AK451&lt;=Results!$I$21,$AK451&gt;=Results!$I$20,$AK451&lt;=Results!$F$4),$AN451,"")</f>
        <v/>
      </c>
      <c r="AX451">
        <f t="shared" si="333"/>
        <v>69.900000000000219</v>
      </c>
      <c r="AY451">
        <f>IF(AND($AK451&lt;=Results!$I$23,$AK451&gt;=Results!$I$22,$AK451&gt;=Results!$F$4),$AN451,"")</f>
        <v>1161.2999999999945</v>
      </c>
      <c r="AZ451" t="str">
        <f t="shared" si="312"/>
        <v/>
      </c>
      <c r="BA451" t="str">
        <f>IF(AND($AK451&lt;=Results!$I$27,$AK451&gt;=Results!$I$26,$AK451&lt;=Results!$F$4),$AQ451,"")</f>
        <v/>
      </c>
      <c r="BB451">
        <f t="shared" si="313"/>
        <v>69.900000000000219</v>
      </c>
      <c r="BC451">
        <f>IF(AND($AK451&lt;=Results!$I$29,$AK451&gt;=Results!$I$28,$AK451&gt;=Results!$F$4),$AQ451,"")</f>
        <v>1153.9999999999989</v>
      </c>
      <c r="BD451">
        <f t="shared" si="314"/>
        <v>7230.8615572627841</v>
      </c>
      <c r="BE451">
        <f t="shared" si="315"/>
        <v>1157.2724856653044</v>
      </c>
      <c r="BF451">
        <f t="shared" si="316"/>
        <v>8089.5503654261838</v>
      </c>
      <c r="BG451">
        <f t="shared" si="317"/>
        <v>1153.781166473542</v>
      </c>
      <c r="BH451">
        <f t="shared" si="318"/>
        <v>0</v>
      </c>
      <c r="BI451">
        <f t="shared" si="319"/>
        <v>6.6311933310159166E-4</v>
      </c>
      <c r="BJ451">
        <f t="shared" si="320"/>
        <v>3.1551442987831635E-5</v>
      </c>
      <c r="BK451">
        <f t="shared" si="321"/>
        <v>5.4607937309395288E-3</v>
      </c>
      <c r="BL451">
        <f t="shared" si="322"/>
        <v>7.9368084306312783E-4</v>
      </c>
      <c r="BM451">
        <f t="shared" ref="BM451:BM512" si="334">SLOPE(AL450:AL452,AK450:AK452)</f>
        <v>119.99999999999774</v>
      </c>
      <c r="BN451">
        <f t="shared" ref="BN451:BN512" si="335">SLOPE(AO450:AO452,AK450:AK452)</f>
        <v>-159.99999999999093</v>
      </c>
      <c r="BO451">
        <f>Data!$H$2*(1-BI451)*(1-BI451/Data!$H$3)*BM451</f>
        <v>2.3968180825464669E-4</v>
      </c>
      <c r="BP451">
        <f t="shared" si="323"/>
        <v>-7.95743199721895E-2</v>
      </c>
      <c r="BQ451">
        <f>Data!$H$2*(1-BJ451)*(1-BJ451/Data!$H$3)*BN451</f>
        <v>-3.1997980739502754E-4</v>
      </c>
      <c r="BR451">
        <f t="shared" si="324"/>
        <v>5.0482308780527754E-3</v>
      </c>
      <c r="BS451">
        <f t="shared" si="325"/>
        <v>0</v>
      </c>
      <c r="BT451">
        <f t="shared" si="326"/>
        <v>0</v>
      </c>
      <c r="BU451">
        <f t="shared" si="327"/>
        <v>0</v>
      </c>
      <c r="BV451">
        <f t="shared" si="310"/>
        <v>0</v>
      </c>
      <c r="BW451">
        <f t="shared" ref="BW451:BW512" si="336">IF(BT451&lt;=0,0,LN(BT451))</f>
        <v>0</v>
      </c>
      <c r="BX451" t="str">
        <f t="shared" ref="BX451:BX512" si="337">IF(BU451=0,"",BU451)</f>
        <v/>
      </c>
      <c r="BY451" s="66" t="str">
        <f t="shared" si="328"/>
        <v/>
      </c>
      <c r="BZ451" t="str">
        <f t="shared" si="329"/>
        <v/>
      </c>
      <c r="CA451" s="67" t="str">
        <f t="shared" si="311"/>
        <v/>
      </c>
    </row>
    <row r="452" spans="4:79" x14ac:dyDescent="0.25">
      <c r="D452" s="3" t="e">
        <f t="shared" si="307"/>
        <v>#DIV/0!</v>
      </c>
      <c r="E452" s="3" t="e">
        <f t="shared" si="307"/>
        <v>#DIV/0!</v>
      </c>
      <c r="F452" t="str">
        <f>IF(A452&gt;0,IF(F451=1,1,IF(B452=Data!$H$4,1,0)),"")</f>
        <v/>
      </c>
      <c r="AA452" t="e">
        <f t="shared" si="308"/>
        <v>#VALUE!</v>
      </c>
      <c r="AE452" t="str">
        <f t="shared" si="309"/>
        <v/>
      </c>
      <c r="AK452" s="4">
        <f t="shared" ref="AK452:AK512" si="338">IF($AK451+$AK$1&lt;=MAX($AF$2:$AF$113),AK451+$AK$1,AK451)</f>
        <v>69.900000000000219</v>
      </c>
      <c r="AL452">
        <f t="shared" si="330"/>
        <v>5389.0000000000264</v>
      </c>
      <c r="AM452">
        <f t="shared" si="331"/>
        <v>1150.2166666666619</v>
      </c>
      <c r="AN452">
        <f>IF($AK451+$AK$1&lt;=Data!$H$4-0.5,AVERAGE(AM450:AM454),AN451)</f>
        <v>1161.2999999999945</v>
      </c>
      <c r="AO452">
        <f t="shared" si="332"/>
        <v>5416.9999999999654</v>
      </c>
      <c r="AP452">
        <f t="shared" ref="AP452:AP512" si="339">IF($AK452=ROUND($AK451,0),VLOOKUP($AK451,$AF$2:$AJ$112,5),($AK452-FLOOR($AK452,1))/(CEILING($AK452,1)-FLOOR($AK452,1))*(VLOOKUP(CEILING($AK452,1),$AF$2:$AJ$112,5,FALSE)-VLOOKUP(FLOOR($AK452,1),$AF$2:$AJ$112,5,FALSE))+VLOOKUP(FLOOR($AK452,1),$AF$2:$AJ$112,5,FALSE))</f>
        <v>1151.4999999999989</v>
      </c>
      <c r="AQ452">
        <f>IF($AK451+$AK$1&lt;=Data!$H$4-0.5,AVERAGE(AP450:AP454),AQ451)</f>
        <v>1153.9999999999989</v>
      </c>
      <c r="AR452">
        <f>IF($AK451+$AK$1&lt;=Data!$H$4-0.5,SLOPE($AN448:$AN456,$AK448:$AK456),AR451)</f>
        <v>-11.349999999999836</v>
      </c>
      <c r="AS452">
        <f>IF($AK451+$AK$1&lt;=Data!$H$4-0.5,SLOPE($AQ448:$AQ456,$AK448:$AK456),AS451)</f>
        <v>-2.7999999999992418</v>
      </c>
      <c r="AT452" t="str">
        <f>IF(AND($AK452&gt;=Results!$G$13,$AK452&lt;=Results!$G$14),Curves!AR452,"")</f>
        <v/>
      </c>
      <c r="AU452" t="str">
        <f>IF(AND($AK452&gt;=Results!$G$13,$AK452&lt;=Results!$G$14),Curves!AS452,"")</f>
        <v/>
      </c>
      <c r="AV452" t="str">
        <f t="shared" si="333"/>
        <v/>
      </c>
      <c r="AW452" t="str">
        <f>IF(AND($AK452&lt;=Results!$I$21,$AK452&gt;=Results!$I$20,$AK452&lt;=Results!$F$4),$AN452,"")</f>
        <v/>
      </c>
      <c r="AX452">
        <f t="shared" si="333"/>
        <v>69.900000000000219</v>
      </c>
      <c r="AY452">
        <f>IF(AND($AK452&lt;=Results!$I$23,$AK452&gt;=Results!$I$22,$AK452&gt;=Results!$F$4),$AN452,"")</f>
        <v>1161.2999999999945</v>
      </c>
      <c r="AZ452" t="str">
        <f t="shared" si="312"/>
        <v/>
      </c>
      <c r="BA452" t="str">
        <f>IF(AND($AK452&lt;=Results!$I$27,$AK452&gt;=Results!$I$26,$AK452&lt;=Results!$F$4),$AQ452,"")</f>
        <v/>
      </c>
      <c r="BB452">
        <f t="shared" si="313"/>
        <v>69.900000000000219</v>
      </c>
      <c r="BC452">
        <f>IF(AND($AK452&lt;=Results!$I$29,$AK452&gt;=Results!$I$28,$AK452&gt;=Results!$F$4),$AQ452,"")</f>
        <v>1153.9999999999989</v>
      </c>
      <c r="BD452">
        <f t="shared" si="314"/>
        <v>7230.8615572627841</v>
      </c>
      <c r="BE452">
        <f t="shared" si="315"/>
        <v>1157.2724856653044</v>
      </c>
      <c r="BF452">
        <f t="shared" si="316"/>
        <v>8089.5503654261838</v>
      </c>
      <c r="BG452">
        <f t="shared" si="317"/>
        <v>1153.781166473542</v>
      </c>
      <c r="BH452">
        <f t="shared" si="318"/>
        <v>0</v>
      </c>
      <c r="BI452">
        <f t="shared" si="319"/>
        <v>6.6311933310159166E-4</v>
      </c>
      <c r="BJ452">
        <f t="shared" si="320"/>
        <v>3.1551442987831635E-5</v>
      </c>
      <c r="BK452" t="e">
        <f t="shared" si="321"/>
        <v>#DIV/0!</v>
      </c>
      <c r="BL452" t="e">
        <f t="shared" si="322"/>
        <v>#DIV/0!</v>
      </c>
      <c r="BM452" t="e">
        <f t="shared" si="334"/>
        <v>#DIV/0!</v>
      </c>
      <c r="BN452" t="e">
        <f t="shared" si="335"/>
        <v>#DIV/0!</v>
      </c>
      <c r="BO452" t="e">
        <f>Data!$H$2*(1-BI452)*(1-BI452/Data!$H$3)*BM452</f>
        <v>#DIV/0!</v>
      </c>
      <c r="BP452" t="e">
        <f t="shared" si="323"/>
        <v>#DIV/0!</v>
      </c>
      <c r="BQ452" t="e">
        <f>Data!$H$2*(1-BJ452)*(1-BJ452/Data!$H$3)*BN452</f>
        <v>#DIV/0!</v>
      </c>
      <c r="BR452" t="e">
        <f t="shared" si="324"/>
        <v>#DIV/0!</v>
      </c>
      <c r="BS452">
        <f t="shared" si="325"/>
        <v>0</v>
      </c>
      <c r="BT452">
        <f t="shared" si="326"/>
        <v>0</v>
      </c>
      <c r="BU452">
        <f t="shared" si="327"/>
        <v>0</v>
      </c>
      <c r="BV452">
        <f t="shared" si="310"/>
        <v>0</v>
      </c>
      <c r="BW452">
        <f t="shared" si="336"/>
        <v>0</v>
      </c>
      <c r="BX452" t="str">
        <f t="shared" si="337"/>
        <v/>
      </c>
      <c r="BY452" s="66" t="str">
        <f t="shared" si="328"/>
        <v/>
      </c>
      <c r="BZ452" t="str">
        <f t="shared" si="329"/>
        <v/>
      </c>
      <c r="CA452" s="67" t="str">
        <f t="shared" si="311"/>
        <v/>
      </c>
    </row>
    <row r="453" spans="4:79" x14ac:dyDescent="0.25">
      <c r="D453" s="3" t="e">
        <f t="shared" ref="D453:E513" si="340">SLOPE(B451:B455,$A451:$A455)</f>
        <v>#DIV/0!</v>
      </c>
      <c r="E453" s="3" t="e">
        <f t="shared" si="340"/>
        <v>#DIV/0!</v>
      </c>
      <c r="F453" t="str">
        <f>IF(A453&gt;0,IF(F452=1,1,IF(B453=Data!$H$4,1,0)),"")</f>
        <v/>
      </c>
      <c r="AA453" t="e">
        <f t="shared" si="308"/>
        <v>#VALUE!</v>
      </c>
      <c r="AE453" t="str">
        <f t="shared" si="309"/>
        <v/>
      </c>
      <c r="AK453" s="4">
        <f t="shared" si="338"/>
        <v>69.900000000000219</v>
      </c>
      <c r="AL453">
        <f t="shared" si="330"/>
        <v>5389.0000000000264</v>
      </c>
      <c r="AM453">
        <f t="shared" si="331"/>
        <v>1150.2166666666619</v>
      </c>
      <c r="AN453">
        <f>IF($AK452+$AK$1&lt;=Data!$H$4-0.5,AVERAGE(AM451:AM455),AN452)</f>
        <v>1161.2999999999945</v>
      </c>
      <c r="AO453">
        <f t="shared" si="332"/>
        <v>5416.9999999999654</v>
      </c>
      <c r="AP453">
        <f t="shared" si="339"/>
        <v>1151.4999999999989</v>
      </c>
      <c r="AQ453">
        <f>IF($AK452+$AK$1&lt;=Data!$H$4-0.5,AVERAGE(AP451:AP455),AQ452)</f>
        <v>1153.9999999999989</v>
      </c>
      <c r="AR453">
        <f>IF($AK452+$AK$1&lt;=Data!$H$4-0.5,SLOPE($AN449:$AN457,$AK449:$AK457),AR452)</f>
        <v>-11.349999999999836</v>
      </c>
      <c r="AS453">
        <f>IF($AK452+$AK$1&lt;=Data!$H$4-0.5,SLOPE($AQ449:$AQ457,$AK449:$AK457),AS452)</f>
        <v>-2.7999999999992418</v>
      </c>
      <c r="AT453" t="str">
        <f>IF(AND($AK453&gt;=Results!$G$13,$AK453&lt;=Results!$G$14),Curves!AR453,"")</f>
        <v/>
      </c>
      <c r="AU453" t="str">
        <f>IF(AND($AK453&gt;=Results!$G$13,$AK453&lt;=Results!$G$14),Curves!AS453,"")</f>
        <v/>
      </c>
      <c r="AV453" t="str">
        <f t="shared" si="333"/>
        <v/>
      </c>
      <c r="AW453" t="str">
        <f>IF(AND($AK453&lt;=Results!$I$21,$AK453&gt;=Results!$I$20,$AK453&lt;=Results!$F$4),$AN453,"")</f>
        <v/>
      </c>
      <c r="AX453">
        <f t="shared" si="333"/>
        <v>69.900000000000219</v>
      </c>
      <c r="AY453">
        <f>IF(AND($AK453&lt;=Results!$I$23,$AK453&gt;=Results!$I$22,$AK453&gt;=Results!$F$4),$AN453,"")</f>
        <v>1161.2999999999945</v>
      </c>
      <c r="AZ453" t="str">
        <f t="shared" si="312"/>
        <v/>
      </c>
      <c r="BA453" t="str">
        <f>IF(AND($AK453&lt;=Results!$I$27,$AK453&gt;=Results!$I$26,$AK453&lt;=Results!$F$4),$AQ453,"")</f>
        <v/>
      </c>
      <c r="BB453">
        <f t="shared" si="313"/>
        <v>69.900000000000219</v>
      </c>
      <c r="BC453">
        <f>IF(AND($AK453&lt;=Results!$I$29,$AK453&gt;=Results!$I$28,$AK453&gt;=Results!$F$4),$AQ453,"")</f>
        <v>1153.9999999999989</v>
      </c>
      <c r="BD453">
        <f t="shared" si="314"/>
        <v>7230.8615572627841</v>
      </c>
      <c r="BE453">
        <f t="shared" si="315"/>
        <v>1157.2724856653044</v>
      </c>
      <c r="BF453">
        <f t="shared" si="316"/>
        <v>8089.5503654261838</v>
      </c>
      <c r="BG453">
        <f t="shared" si="317"/>
        <v>1153.781166473542</v>
      </c>
      <c r="BH453">
        <f t="shared" si="318"/>
        <v>0</v>
      </c>
      <c r="BI453">
        <f t="shared" si="319"/>
        <v>6.6311933310159166E-4</v>
      </c>
      <c r="BJ453">
        <f t="shared" si="320"/>
        <v>3.1551442987831635E-5</v>
      </c>
      <c r="BK453" t="e">
        <f t="shared" si="321"/>
        <v>#DIV/0!</v>
      </c>
      <c r="BL453" t="e">
        <f t="shared" si="322"/>
        <v>#DIV/0!</v>
      </c>
      <c r="BM453" t="e">
        <f t="shared" si="334"/>
        <v>#DIV/0!</v>
      </c>
      <c r="BN453" t="e">
        <f t="shared" si="335"/>
        <v>#DIV/0!</v>
      </c>
      <c r="BO453" t="e">
        <f>Data!$H$2*(1-BI453)*(1-BI453/Data!$H$3)*BM453</f>
        <v>#DIV/0!</v>
      </c>
      <c r="BP453" t="e">
        <f t="shared" si="323"/>
        <v>#DIV/0!</v>
      </c>
      <c r="BQ453" t="e">
        <f>Data!$H$2*(1-BJ453)*(1-BJ453/Data!$H$3)*BN453</f>
        <v>#DIV/0!</v>
      </c>
      <c r="BR453" t="e">
        <f t="shared" si="324"/>
        <v>#DIV/0!</v>
      </c>
      <c r="BS453">
        <f t="shared" si="325"/>
        <v>0</v>
      </c>
      <c r="BT453">
        <f t="shared" si="326"/>
        <v>0</v>
      </c>
      <c r="BU453">
        <f t="shared" si="327"/>
        <v>0</v>
      </c>
      <c r="BV453">
        <f t="shared" si="310"/>
        <v>0</v>
      </c>
      <c r="BW453">
        <f t="shared" si="336"/>
        <v>0</v>
      </c>
      <c r="BX453" t="str">
        <f t="shared" si="337"/>
        <v/>
      </c>
      <c r="BY453" s="66" t="str">
        <f t="shared" si="328"/>
        <v/>
      </c>
      <c r="BZ453" t="str">
        <f t="shared" si="329"/>
        <v/>
      </c>
      <c r="CA453" s="67" t="str">
        <f t="shared" si="311"/>
        <v/>
      </c>
    </row>
    <row r="454" spans="4:79" x14ac:dyDescent="0.25">
      <c r="D454" s="3" t="e">
        <f t="shared" si="340"/>
        <v>#DIV/0!</v>
      </c>
      <c r="E454" s="3" t="e">
        <f t="shared" si="340"/>
        <v>#DIV/0!</v>
      </c>
      <c r="F454" t="str">
        <f>IF(A454&gt;0,IF(F453=1,1,IF(B454=Data!$H$4,1,0)),"")</f>
        <v/>
      </c>
      <c r="AA454" t="e">
        <f t="shared" si="308"/>
        <v>#VALUE!</v>
      </c>
      <c r="AE454" t="str">
        <f t="shared" si="309"/>
        <v/>
      </c>
      <c r="AK454" s="4">
        <f t="shared" si="338"/>
        <v>69.900000000000219</v>
      </c>
      <c r="AL454">
        <f t="shared" si="330"/>
        <v>5389.0000000000264</v>
      </c>
      <c r="AM454">
        <f t="shared" si="331"/>
        <v>1150.2166666666619</v>
      </c>
      <c r="AN454">
        <f>IF($AK453+$AK$1&lt;=Data!$H$4-0.5,AVERAGE(AM452:AM456),AN453)</f>
        <v>1161.2999999999945</v>
      </c>
      <c r="AO454">
        <f t="shared" si="332"/>
        <v>5416.9999999999654</v>
      </c>
      <c r="AP454">
        <f t="shared" si="339"/>
        <v>1151.4999999999989</v>
      </c>
      <c r="AQ454">
        <f>IF($AK453+$AK$1&lt;=Data!$H$4-0.5,AVERAGE(AP452:AP456),AQ453)</f>
        <v>1153.9999999999989</v>
      </c>
      <c r="AR454">
        <f>IF($AK453+$AK$1&lt;=Data!$H$4-0.5,SLOPE($AN450:$AN458,$AK450:$AK458),AR453)</f>
        <v>-11.349999999999836</v>
      </c>
      <c r="AS454">
        <f>IF($AK453+$AK$1&lt;=Data!$H$4-0.5,SLOPE($AQ450:$AQ458,$AK450:$AK458),AS453)</f>
        <v>-2.7999999999992418</v>
      </c>
      <c r="AT454" t="str">
        <f>IF(AND($AK454&gt;=Results!$G$13,$AK454&lt;=Results!$G$14),Curves!AR454,"")</f>
        <v/>
      </c>
      <c r="AU454" t="str">
        <f>IF(AND($AK454&gt;=Results!$G$13,$AK454&lt;=Results!$G$14),Curves!AS454,"")</f>
        <v/>
      </c>
      <c r="AV454" t="str">
        <f t="shared" si="333"/>
        <v/>
      </c>
      <c r="AW454" t="str">
        <f>IF(AND($AK454&lt;=Results!$I$21,$AK454&gt;=Results!$I$20,$AK454&lt;=Results!$F$4),$AN454,"")</f>
        <v/>
      </c>
      <c r="AX454">
        <f t="shared" si="333"/>
        <v>69.900000000000219</v>
      </c>
      <c r="AY454">
        <f>IF(AND($AK454&lt;=Results!$I$23,$AK454&gt;=Results!$I$22,$AK454&gt;=Results!$F$4),$AN454,"")</f>
        <v>1161.2999999999945</v>
      </c>
      <c r="AZ454" t="str">
        <f t="shared" si="312"/>
        <v/>
      </c>
      <c r="BA454" t="str">
        <f>IF(AND($AK454&lt;=Results!$I$27,$AK454&gt;=Results!$I$26,$AK454&lt;=Results!$F$4),$AQ454,"")</f>
        <v/>
      </c>
      <c r="BB454">
        <f t="shared" si="313"/>
        <v>69.900000000000219</v>
      </c>
      <c r="BC454">
        <f>IF(AND($AK454&lt;=Results!$I$29,$AK454&gt;=Results!$I$28,$AK454&gt;=Results!$F$4),$AQ454,"")</f>
        <v>1153.9999999999989</v>
      </c>
      <c r="BD454">
        <f t="shared" si="314"/>
        <v>7230.8615572627841</v>
      </c>
      <c r="BE454">
        <f t="shared" si="315"/>
        <v>1157.2724856653044</v>
      </c>
      <c r="BF454">
        <f t="shared" si="316"/>
        <v>8089.5503654261838</v>
      </c>
      <c r="BG454">
        <f t="shared" si="317"/>
        <v>1153.781166473542</v>
      </c>
      <c r="BH454">
        <f t="shared" si="318"/>
        <v>0</v>
      </c>
      <c r="BI454">
        <f t="shared" si="319"/>
        <v>6.6311933310159166E-4</v>
      </c>
      <c r="BJ454">
        <f t="shared" si="320"/>
        <v>3.1551442987831635E-5</v>
      </c>
      <c r="BK454" t="e">
        <f t="shared" si="321"/>
        <v>#DIV/0!</v>
      </c>
      <c r="BL454" t="e">
        <f t="shared" si="322"/>
        <v>#DIV/0!</v>
      </c>
      <c r="BM454" t="e">
        <f t="shared" si="334"/>
        <v>#DIV/0!</v>
      </c>
      <c r="BN454" t="e">
        <f t="shared" si="335"/>
        <v>#DIV/0!</v>
      </c>
      <c r="BO454" t="e">
        <f>Data!$H$2*(1-BI454)*(1-BI454/Data!$H$3)*BM454</f>
        <v>#DIV/0!</v>
      </c>
      <c r="BP454" t="e">
        <f t="shared" si="323"/>
        <v>#DIV/0!</v>
      </c>
      <c r="BQ454" t="e">
        <f>Data!$H$2*(1-BJ454)*(1-BJ454/Data!$H$3)*BN454</f>
        <v>#DIV/0!</v>
      </c>
      <c r="BR454" t="e">
        <f t="shared" si="324"/>
        <v>#DIV/0!</v>
      </c>
      <c r="BS454">
        <f t="shared" si="325"/>
        <v>0</v>
      </c>
      <c r="BT454">
        <f t="shared" si="326"/>
        <v>0</v>
      </c>
      <c r="BU454">
        <f t="shared" si="327"/>
        <v>0</v>
      </c>
      <c r="BV454">
        <f t="shared" si="310"/>
        <v>0</v>
      </c>
      <c r="BW454">
        <f t="shared" si="336"/>
        <v>0</v>
      </c>
      <c r="BX454" t="str">
        <f t="shared" si="337"/>
        <v/>
      </c>
      <c r="BY454" s="66" t="str">
        <f t="shared" si="328"/>
        <v/>
      </c>
      <c r="BZ454" t="str">
        <f t="shared" si="329"/>
        <v/>
      </c>
      <c r="CA454" s="67" t="str">
        <f t="shared" si="311"/>
        <v/>
      </c>
    </row>
    <row r="455" spans="4:79" x14ac:dyDescent="0.25">
      <c r="D455" s="3" t="e">
        <f t="shared" si="340"/>
        <v>#DIV/0!</v>
      </c>
      <c r="E455" s="3" t="e">
        <f t="shared" si="340"/>
        <v>#DIV/0!</v>
      </c>
      <c r="F455" t="str">
        <f>IF(A455&gt;0,IF(F454=1,1,IF(B455=Data!$H$4,1,0)),"")</f>
        <v/>
      </c>
      <c r="AA455" t="e">
        <f t="shared" si="308"/>
        <v>#VALUE!</v>
      </c>
      <c r="AE455" t="str">
        <f t="shared" si="309"/>
        <v/>
      </c>
      <c r="AK455" s="4">
        <f t="shared" si="338"/>
        <v>69.900000000000219</v>
      </c>
      <c r="AL455">
        <f t="shared" si="330"/>
        <v>5389.0000000000264</v>
      </c>
      <c r="AM455">
        <f t="shared" si="331"/>
        <v>1150.2166666666619</v>
      </c>
      <c r="AN455">
        <f>IF($AK454+$AK$1&lt;=Data!$H$4-0.5,AVERAGE(AM453:AM457),AN454)</f>
        <v>1161.2999999999945</v>
      </c>
      <c r="AO455">
        <f t="shared" si="332"/>
        <v>5416.9999999999654</v>
      </c>
      <c r="AP455">
        <f t="shared" si="339"/>
        <v>1151.4999999999989</v>
      </c>
      <c r="AQ455">
        <f>IF($AK454+$AK$1&lt;=Data!$H$4-0.5,AVERAGE(AP453:AP457),AQ454)</f>
        <v>1153.9999999999989</v>
      </c>
      <c r="AR455">
        <f>IF($AK454+$AK$1&lt;=Data!$H$4-0.5,SLOPE($AN451:$AN459,$AK451:$AK459),AR454)</f>
        <v>-11.349999999999836</v>
      </c>
      <c r="AS455">
        <f>IF($AK454+$AK$1&lt;=Data!$H$4-0.5,SLOPE($AQ451:$AQ459,$AK451:$AK459),AS454)</f>
        <v>-2.7999999999992418</v>
      </c>
      <c r="AT455" t="str">
        <f>IF(AND($AK455&gt;=Results!$G$13,$AK455&lt;=Results!$G$14),Curves!AR455,"")</f>
        <v/>
      </c>
      <c r="AU455" t="str">
        <f>IF(AND($AK455&gt;=Results!$G$13,$AK455&lt;=Results!$G$14),Curves!AS455,"")</f>
        <v/>
      </c>
      <c r="AV455" t="str">
        <f t="shared" si="333"/>
        <v/>
      </c>
      <c r="AW455" t="str">
        <f>IF(AND($AK455&lt;=Results!$I$21,$AK455&gt;=Results!$I$20,$AK455&lt;=Results!$F$4),$AN455,"")</f>
        <v/>
      </c>
      <c r="AX455">
        <f t="shared" si="333"/>
        <v>69.900000000000219</v>
      </c>
      <c r="AY455">
        <f>IF(AND($AK455&lt;=Results!$I$23,$AK455&gt;=Results!$I$22,$AK455&gt;=Results!$F$4),$AN455,"")</f>
        <v>1161.2999999999945</v>
      </c>
      <c r="AZ455" t="str">
        <f t="shared" si="312"/>
        <v/>
      </c>
      <c r="BA455" t="str">
        <f>IF(AND($AK455&lt;=Results!$I$27,$AK455&gt;=Results!$I$26,$AK455&lt;=Results!$F$4),$AQ455,"")</f>
        <v/>
      </c>
      <c r="BB455">
        <f t="shared" si="313"/>
        <v>69.900000000000219</v>
      </c>
      <c r="BC455">
        <f>IF(AND($AK455&lt;=Results!$I$29,$AK455&gt;=Results!$I$28,$AK455&gt;=Results!$F$4),$AQ455,"")</f>
        <v>1153.9999999999989</v>
      </c>
      <c r="BD455">
        <f t="shared" si="314"/>
        <v>7230.8615572627841</v>
      </c>
      <c r="BE455">
        <f t="shared" si="315"/>
        <v>1157.2724856653044</v>
      </c>
      <c r="BF455">
        <f t="shared" si="316"/>
        <v>8089.5503654261838</v>
      </c>
      <c r="BG455">
        <f t="shared" si="317"/>
        <v>1153.781166473542</v>
      </c>
      <c r="BH455">
        <f t="shared" si="318"/>
        <v>0</v>
      </c>
      <c r="BI455">
        <f t="shared" si="319"/>
        <v>6.6311933310159166E-4</v>
      </c>
      <c r="BJ455">
        <f t="shared" si="320"/>
        <v>3.1551442987831635E-5</v>
      </c>
      <c r="BK455" t="e">
        <f t="shared" si="321"/>
        <v>#DIV/0!</v>
      </c>
      <c r="BL455" t="e">
        <f t="shared" si="322"/>
        <v>#DIV/0!</v>
      </c>
      <c r="BM455" t="e">
        <f t="shared" si="334"/>
        <v>#DIV/0!</v>
      </c>
      <c r="BN455" t="e">
        <f t="shared" si="335"/>
        <v>#DIV/0!</v>
      </c>
      <c r="BO455" t="e">
        <f>Data!$H$2*(1-BI455)*(1-BI455/Data!$H$3)*BM455</f>
        <v>#DIV/0!</v>
      </c>
      <c r="BP455" t="e">
        <f t="shared" si="323"/>
        <v>#DIV/0!</v>
      </c>
      <c r="BQ455" t="e">
        <f>Data!$H$2*(1-BJ455)*(1-BJ455/Data!$H$3)*BN455</f>
        <v>#DIV/0!</v>
      </c>
      <c r="BR455" t="e">
        <f t="shared" si="324"/>
        <v>#DIV/0!</v>
      </c>
      <c r="BS455">
        <f t="shared" si="325"/>
        <v>0</v>
      </c>
      <c r="BT455">
        <f t="shared" si="326"/>
        <v>0</v>
      </c>
      <c r="BU455">
        <f t="shared" si="327"/>
        <v>0</v>
      </c>
      <c r="BV455">
        <f t="shared" si="310"/>
        <v>0</v>
      </c>
      <c r="BW455">
        <f t="shared" si="336"/>
        <v>0</v>
      </c>
      <c r="BX455" t="str">
        <f t="shared" si="337"/>
        <v/>
      </c>
      <c r="BY455" s="66" t="str">
        <f t="shared" si="328"/>
        <v/>
      </c>
      <c r="BZ455" t="str">
        <f t="shared" si="329"/>
        <v/>
      </c>
      <c r="CA455" s="67" t="str">
        <f t="shared" si="311"/>
        <v/>
      </c>
    </row>
    <row r="456" spans="4:79" x14ac:dyDescent="0.25">
      <c r="D456" s="3" t="e">
        <f t="shared" si="340"/>
        <v>#DIV/0!</v>
      </c>
      <c r="E456" s="3" t="e">
        <f t="shared" si="340"/>
        <v>#DIV/0!</v>
      </c>
      <c r="F456" t="str">
        <f>IF(A456&gt;0,IF(F455=1,1,IF(B456=Data!$H$4,1,0)),"")</f>
        <v/>
      </c>
      <c r="AA456" t="e">
        <f t="shared" si="308"/>
        <v>#VALUE!</v>
      </c>
      <c r="AE456" t="str">
        <f t="shared" si="309"/>
        <v/>
      </c>
      <c r="AK456" s="4">
        <f t="shared" si="338"/>
        <v>69.900000000000219</v>
      </c>
      <c r="AL456">
        <f t="shared" si="330"/>
        <v>5389.0000000000264</v>
      </c>
      <c r="AM456">
        <f t="shared" si="331"/>
        <v>1150.2166666666619</v>
      </c>
      <c r="AN456">
        <f>IF($AK455+$AK$1&lt;=Data!$H$4-0.5,AVERAGE(AM454:AM458),AN455)</f>
        <v>1161.2999999999945</v>
      </c>
      <c r="AO456">
        <f t="shared" si="332"/>
        <v>5416.9999999999654</v>
      </c>
      <c r="AP456">
        <f t="shared" si="339"/>
        <v>1151.4999999999989</v>
      </c>
      <c r="AQ456">
        <f>IF($AK455+$AK$1&lt;=Data!$H$4-0.5,AVERAGE(AP454:AP458),AQ455)</f>
        <v>1153.9999999999989</v>
      </c>
      <c r="AR456">
        <f>IF($AK455+$AK$1&lt;=Data!$H$4-0.5,SLOPE($AN452:$AN460,$AK452:$AK460),AR455)</f>
        <v>-11.349999999999836</v>
      </c>
      <c r="AS456">
        <f>IF($AK455+$AK$1&lt;=Data!$H$4-0.5,SLOPE($AQ452:$AQ460,$AK452:$AK460),AS455)</f>
        <v>-2.7999999999992418</v>
      </c>
      <c r="AT456" t="str">
        <f>IF(AND($AK456&gt;=Results!$G$13,$AK456&lt;=Results!$G$14),Curves!AR456,"")</f>
        <v/>
      </c>
      <c r="AU456" t="str">
        <f>IF(AND($AK456&gt;=Results!$G$13,$AK456&lt;=Results!$G$14),Curves!AS456,"")</f>
        <v/>
      </c>
      <c r="AV456" t="str">
        <f t="shared" si="333"/>
        <v/>
      </c>
      <c r="AW456" t="str">
        <f>IF(AND($AK456&lt;=Results!$I$21,$AK456&gt;=Results!$I$20,$AK456&lt;=Results!$F$4),$AN456,"")</f>
        <v/>
      </c>
      <c r="AX456">
        <f t="shared" si="333"/>
        <v>69.900000000000219</v>
      </c>
      <c r="AY456">
        <f>IF(AND($AK456&lt;=Results!$I$23,$AK456&gt;=Results!$I$22,$AK456&gt;=Results!$F$4),$AN456,"")</f>
        <v>1161.2999999999945</v>
      </c>
      <c r="AZ456" t="str">
        <f t="shared" si="312"/>
        <v/>
      </c>
      <c r="BA456" t="str">
        <f>IF(AND($AK456&lt;=Results!$I$27,$AK456&gt;=Results!$I$26,$AK456&lt;=Results!$F$4),$AQ456,"")</f>
        <v/>
      </c>
      <c r="BB456">
        <f t="shared" si="313"/>
        <v>69.900000000000219</v>
      </c>
      <c r="BC456">
        <f>IF(AND($AK456&lt;=Results!$I$29,$AK456&gt;=Results!$I$28,$AK456&gt;=Results!$F$4),$AQ456,"")</f>
        <v>1153.9999999999989</v>
      </c>
      <c r="BD456">
        <f t="shared" si="314"/>
        <v>7230.8615572627841</v>
      </c>
      <c r="BE456">
        <f t="shared" si="315"/>
        <v>1157.2724856653044</v>
      </c>
      <c r="BF456">
        <f t="shared" si="316"/>
        <v>8089.5503654261838</v>
      </c>
      <c r="BG456">
        <f t="shared" si="317"/>
        <v>1153.781166473542</v>
      </c>
      <c r="BH456">
        <f t="shared" si="318"/>
        <v>0</v>
      </c>
      <c r="BI456">
        <f t="shared" si="319"/>
        <v>6.6311933310159166E-4</v>
      </c>
      <c r="BJ456">
        <f t="shared" si="320"/>
        <v>3.1551442987831635E-5</v>
      </c>
      <c r="BK456" t="e">
        <f t="shared" si="321"/>
        <v>#DIV/0!</v>
      </c>
      <c r="BL456" t="e">
        <f t="shared" si="322"/>
        <v>#DIV/0!</v>
      </c>
      <c r="BM456" t="e">
        <f t="shared" si="334"/>
        <v>#DIV/0!</v>
      </c>
      <c r="BN456" t="e">
        <f t="shared" si="335"/>
        <v>#DIV/0!</v>
      </c>
      <c r="BO456" t="e">
        <f>Data!$H$2*(1-BI456)*(1-BI456/Data!$H$3)*BM456</f>
        <v>#DIV/0!</v>
      </c>
      <c r="BP456" t="e">
        <f t="shared" si="323"/>
        <v>#DIV/0!</v>
      </c>
      <c r="BQ456" t="e">
        <f>Data!$H$2*(1-BJ456)*(1-BJ456/Data!$H$3)*BN456</f>
        <v>#DIV/0!</v>
      </c>
      <c r="BR456" t="e">
        <f t="shared" si="324"/>
        <v>#DIV/0!</v>
      </c>
      <c r="BS456">
        <f t="shared" si="325"/>
        <v>0</v>
      </c>
      <c r="BT456">
        <f t="shared" si="326"/>
        <v>0</v>
      </c>
      <c r="BU456">
        <f t="shared" si="327"/>
        <v>0</v>
      </c>
      <c r="BV456">
        <f t="shared" si="310"/>
        <v>0</v>
      </c>
      <c r="BW456">
        <f t="shared" si="336"/>
        <v>0</v>
      </c>
      <c r="BX456" t="str">
        <f t="shared" si="337"/>
        <v/>
      </c>
      <c r="BY456" s="66" t="str">
        <f t="shared" si="328"/>
        <v/>
      </c>
      <c r="BZ456" t="str">
        <f t="shared" si="329"/>
        <v/>
      </c>
      <c r="CA456" s="67" t="str">
        <f t="shared" si="311"/>
        <v/>
      </c>
    </row>
    <row r="457" spans="4:79" x14ac:dyDescent="0.25">
      <c r="D457" s="3" t="e">
        <f t="shared" si="340"/>
        <v>#DIV/0!</v>
      </c>
      <c r="E457" s="3" t="e">
        <f t="shared" si="340"/>
        <v>#DIV/0!</v>
      </c>
      <c r="F457" t="str">
        <f>IF(A457&gt;0,IF(F456=1,1,IF(B457=Data!$H$4,1,0)),"")</f>
        <v/>
      </c>
      <c r="AA457" t="e">
        <f t="shared" si="308"/>
        <v>#VALUE!</v>
      </c>
      <c r="AE457" t="str">
        <f t="shared" si="309"/>
        <v/>
      </c>
      <c r="AK457" s="4">
        <f t="shared" si="338"/>
        <v>69.900000000000219</v>
      </c>
      <c r="AL457">
        <f t="shared" si="330"/>
        <v>5389.0000000000264</v>
      </c>
      <c r="AM457">
        <f t="shared" si="331"/>
        <v>1150.2166666666619</v>
      </c>
      <c r="AN457">
        <f>IF($AK456+$AK$1&lt;=Data!$H$4-0.5,AVERAGE(AM455:AM459),AN456)</f>
        <v>1161.2999999999945</v>
      </c>
      <c r="AO457">
        <f t="shared" si="332"/>
        <v>5416.9999999999654</v>
      </c>
      <c r="AP457">
        <f t="shared" si="339"/>
        <v>1151.4999999999989</v>
      </c>
      <c r="AQ457">
        <f>IF($AK456+$AK$1&lt;=Data!$H$4-0.5,AVERAGE(AP455:AP459),AQ456)</f>
        <v>1153.9999999999989</v>
      </c>
      <c r="AR457">
        <f>IF($AK456+$AK$1&lt;=Data!$H$4-0.5,SLOPE($AN453:$AN461,$AK453:$AK461),AR456)</f>
        <v>-11.349999999999836</v>
      </c>
      <c r="AS457">
        <f>IF($AK456+$AK$1&lt;=Data!$H$4-0.5,SLOPE($AQ453:$AQ461,$AK453:$AK461),AS456)</f>
        <v>-2.7999999999992418</v>
      </c>
      <c r="AT457" t="str">
        <f>IF(AND($AK457&gt;=Results!$G$13,$AK457&lt;=Results!$G$14),Curves!AR457,"")</f>
        <v/>
      </c>
      <c r="AU457" t="str">
        <f>IF(AND($AK457&gt;=Results!$G$13,$AK457&lt;=Results!$G$14),Curves!AS457,"")</f>
        <v/>
      </c>
      <c r="AV457" t="str">
        <f t="shared" si="333"/>
        <v/>
      </c>
      <c r="AW457" t="str">
        <f>IF(AND($AK457&lt;=Results!$I$21,$AK457&gt;=Results!$I$20,$AK457&lt;=Results!$F$4),$AN457,"")</f>
        <v/>
      </c>
      <c r="AX457">
        <f t="shared" si="333"/>
        <v>69.900000000000219</v>
      </c>
      <c r="AY457">
        <f>IF(AND($AK457&lt;=Results!$I$23,$AK457&gt;=Results!$I$22,$AK457&gt;=Results!$F$4),$AN457,"")</f>
        <v>1161.2999999999945</v>
      </c>
      <c r="AZ457" t="str">
        <f t="shared" si="312"/>
        <v/>
      </c>
      <c r="BA457" t="str">
        <f>IF(AND($AK457&lt;=Results!$I$27,$AK457&gt;=Results!$I$26,$AK457&lt;=Results!$F$4),$AQ457,"")</f>
        <v/>
      </c>
      <c r="BB457">
        <f t="shared" si="313"/>
        <v>69.900000000000219</v>
      </c>
      <c r="BC457">
        <f>IF(AND($AK457&lt;=Results!$I$29,$AK457&gt;=Results!$I$28,$AK457&gt;=Results!$F$4),$AQ457,"")</f>
        <v>1153.9999999999989</v>
      </c>
      <c r="BD457">
        <f t="shared" si="314"/>
        <v>7230.8615572627841</v>
      </c>
      <c r="BE457">
        <f t="shared" si="315"/>
        <v>1157.2724856653044</v>
      </c>
      <c r="BF457">
        <f t="shared" si="316"/>
        <v>8089.5503654261838</v>
      </c>
      <c r="BG457">
        <f t="shared" si="317"/>
        <v>1153.781166473542</v>
      </c>
      <c r="BH457">
        <f t="shared" si="318"/>
        <v>0</v>
      </c>
      <c r="BI457">
        <f t="shared" si="319"/>
        <v>6.6311933310159166E-4</v>
      </c>
      <c r="BJ457">
        <f t="shared" si="320"/>
        <v>3.1551442987831635E-5</v>
      </c>
      <c r="BK457" t="e">
        <f t="shared" si="321"/>
        <v>#DIV/0!</v>
      </c>
      <c r="BL457" t="e">
        <f t="shared" si="322"/>
        <v>#DIV/0!</v>
      </c>
      <c r="BM457" t="e">
        <f t="shared" si="334"/>
        <v>#DIV/0!</v>
      </c>
      <c r="BN457" t="e">
        <f t="shared" si="335"/>
        <v>#DIV/0!</v>
      </c>
      <c r="BO457" t="e">
        <f>Data!$H$2*(1-BI457)*(1-BI457/Data!$H$3)*BM457</f>
        <v>#DIV/0!</v>
      </c>
      <c r="BP457" t="e">
        <f t="shared" si="323"/>
        <v>#DIV/0!</v>
      </c>
      <c r="BQ457" t="e">
        <f>Data!$H$2*(1-BJ457)*(1-BJ457/Data!$H$3)*BN457</f>
        <v>#DIV/0!</v>
      </c>
      <c r="BR457" t="e">
        <f t="shared" si="324"/>
        <v>#DIV/0!</v>
      </c>
      <c r="BS457">
        <f t="shared" si="325"/>
        <v>0</v>
      </c>
      <c r="BT457">
        <f t="shared" si="326"/>
        <v>0</v>
      </c>
      <c r="BU457">
        <f t="shared" si="327"/>
        <v>0</v>
      </c>
      <c r="BV457">
        <f t="shared" si="310"/>
        <v>0</v>
      </c>
      <c r="BW457">
        <f t="shared" si="336"/>
        <v>0</v>
      </c>
      <c r="BX457" t="str">
        <f t="shared" si="337"/>
        <v/>
      </c>
      <c r="BY457" s="66" t="str">
        <f t="shared" si="328"/>
        <v/>
      </c>
      <c r="BZ457" t="str">
        <f t="shared" si="329"/>
        <v/>
      </c>
      <c r="CA457" s="67" t="str">
        <f t="shared" si="311"/>
        <v/>
      </c>
    </row>
    <row r="458" spans="4:79" x14ac:dyDescent="0.25">
      <c r="D458" s="3" t="e">
        <f t="shared" si="340"/>
        <v>#DIV/0!</v>
      </c>
      <c r="E458" s="3" t="e">
        <f t="shared" si="340"/>
        <v>#DIV/0!</v>
      </c>
      <c r="F458" t="str">
        <f>IF(A458&gt;0,IF(F457=1,1,IF(B458=Data!$H$4,1,0)),"")</f>
        <v/>
      </c>
      <c r="AA458" t="e">
        <f t="shared" si="308"/>
        <v>#VALUE!</v>
      </c>
      <c r="AE458" t="str">
        <f t="shared" si="309"/>
        <v/>
      </c>
      <c r="AK458" s="4">
        <f t="shared" si="338"/>
        <v>69.900000000000219</v>
      </c>
      <c r="AL458">
        <f t="shared" si="330"/>
        <v>5389.0000000000264</v>
      </c>
      <c r="AM458">
        <f t="shared" si="331"/>
        <v>1150.2166666666619</v>
      </c>
      <c r="AN458">
        <f>IF($AK457+$AK$1&lt;=Data!$H$4-0.5,AVERAGE(AM456:AM460),AN457)</f>
        <v>1161.2999999999945</v>
      </c>
      <c r="AO458">
        <f t="shared" si="332"/>
        <v>5416.9999999999654</v>
      </c>
      <c r="AP458">
        <f t="shared" si="339"/>
        <v>1151.4999999999989</v>
      </c>
      <c r="AQ458">
        <f>IF($AK457+$AK$1&lt;=Data!$H$4-0.5,AVERAGE(AP456:AP460),AQ457)</f>
        <v>1153.9999999999989</v>
      </c>
      <c r="AR458">
        <f>IF($AK457+$AK$1&lt;=Data!$H$4-0.5,SLOPE($AN454:$AN462,$AK454:$AK462),AR457)</f>
        <v>-11.349999999999836</v>
      </c>
      <c r="AS458">
        <f>IF($AK457+$AK$1&lt;=Data!$H$4-0.5,SLOPE($AQ454:$AQ462,$AK454:$AK462),AS457)</f>
        <v>-2.7999999999992418</v>
      </c>
      <c r="AT458" t="str">
        <f>IF(AND($AK458&gt;=Results!$G$13,$AK458&lt;=Results!$G$14),Curves!AR458,"")</f>
        <v/>
      </c>
      <c r="AU458" t="str">
        <f>IF(AND($AK458&gt;=Results!$G$13,$AK458&lt;=Results!$G$14),Curves!AS458,"")</f>
        <v/>
      </c>
      <c r="AV458" t="str">
        <f t="shared" si="333"/>
        <v/>
      </c>
      <c r="AW458" t="str">
        <f>IF(AND($AK458&lt;=Results!$I$21,$AK458&gt;=Results!$I$20,$AK458&lt;=Results!$F$4),$AN458,"")</f>
        <v/>
      </c>
      <c r="AX458">
        <f t="shared" si="333"/>
        <v>69.900000000000219</v>
      </c>
      <c r="AY458">
        <f>IF(AND($AK458&lt;=Results!$I$23,$AK458&gt;=Results!$I$22,$AK458&gt;=Results!$F$4),$AN458,"")</f>
        <v>1161.2999999999945</v>
      </c>
      <c r="AZ458" t="str">
        <f t="shared" si="312"/>
        <v/>
      </c>
      <c r="BA458" t="str">
        <f>IF(AND($AK458&lt;=Results!$I$27,$AK458&gt;=Results!$I$26,$AK458&lt;=Results!$F$4),$AQ458,"")</f>
        <v/>
      </c>
      <c r="BB458">
        <f t="shared" si="313"/>
        <v>69.900000000000219</v>
      </c>
      <c r="BC458">
        <f>IF(AND($AK458&lt;=Results!$I$29,$AK458&gt;=Results!$I$28,$AK458&gt;=Results!$F$4),$AQ458,"")</f>
        <v>1153.9999999999989</v>
      </c>
      <c r="BD458">
        <f t="shared" si="314"/>
        <v>7230.8615572627841</v>
      </c>
      <c r="BE458">
        <f t="shared" si="315"/>
        <v>1157.2724856653044</v>
      </c>
      <c r="BF458">
        <f t="shared" si="316"/>
        <v>8089.5503654261838</v>
      </c>
      <c r="BG458">
        <f t="shared" si="317"/>
        <v>1153.781166473542</v>
      </c>
      <c r="BH458">
        <f t="shared" si="318"/>
        <v>0</v>
      </c>
      <c r="BI458">
        <f t="shared" si="319"/>
        <v>6.6311933310159166E-4</v>
      </c>
      <c r="BJ458">
        <f t="shared" si="320"/>
        <v>3.1551442987831635E-5</v>
      </c>
      <c r="BK458" t="e">
        <f t="shared" si="321"/>
        <v>#DIV/0!</v>
      </c>
      <c r="BL458" t="e">
        <f t="shared" si="322"/>
        <v>#DIV/0!</v>
      </c>
      <c r="BM458" t="e">
        <f t="shared" si="334"/>
        <v>#DIV/0!</v>
      </c>
      <c r="BN458" t="e">
        <f t="shared" si="335"/>
        <v>#DIV/0!</v>
      </c>
      <c r="BO458" t="e">
        <f>Data!$H$2*(1-BI458)*(1-BI458/Data!$H$3)*BM458</f>
        <v>#DIV/0!</v>
      </c>
      <c r="BP458" t="e">
        <f t="shared" si="323"/>
        <v>#DIV/0!</v>
      </c>
      <c r="BQ458" t="e">
        <f>Data!$H$2*(1-BJ458)*(1-BJ458/Data!$H$3)*BN458</f>
        <v>#DIV/0!</v>
      </c>
      <c r="BR458" t="e">
        <f t="shared" si="324"/>
        <v>#DIV/0!</v>
      </c>
      <c r="BS458">
        <f t="shared" si="325"/>
        <v>0</v>
      </c>
      <c r="BT458">
        <f t="shared" si="326"/>
        <v>0</v>
      </c>
      <c r="BU458">
        <f t="shared" si="327"/>
        <v>0</v>
      </c>
      <c r="BV458">
        <f t="shared" si="310"/>
        <v>0</v>
      </c>
      <c r="BW458">
        <f t="shared" si="336"/>
        <v>0</v>
      </c>
      <c r="BX458" t="str">
        <f t="shared" si="337"/>
        <v/>
      </c>
      <c r="BY458" s="66" t="str">
        <f t="shared" si="328"/>
        <v/>
      </c>
      <c r="BZ458" t="str">
        <f t="shared" si="329"/>
        <v/>
      </c>
      <c r="CA458" s="67" t="str">
        <f t="shared" si="311"/>
        <v/>
      </c>
    </row>
    <row r="459" spans="4:79" x14ac:dyDescent="0.25">
      <c r="D459" s="3" t="e">
        <f t="shared" si="340"/>
        <v>#DIV/0!</v>
      </c>
      <c r="E459" s="3" t="e">
        <f t="shared" si="340"/>
        <v>#DIV/0!</v>
      </c>
      <c r="F459" t="str">
        <f>IF(A459&gt;0,IF(F458=1,1,IF(B459=Data!$H$4,1,0)),"")</f>
        <v/>
      </c>
      <c r="AA459" t="e">
        <f t="shared" si="308"/>
        <v>#VALUE!</v>
      </c>
      <c r="AE459" t="str">
        <f t="shared" si="309"/>
        <v/>
      </c>
      <c r="AK459" s="4">
        <f t="shared" si="338"/>
        <v>69.900000000000219</v>
      </c>
      <c r="AL459">
        <f t="shared" si="330"/>
        <v>5389.0000000000264</v>
      </c>
      <c r="AM459">
        <f t="shared" si="331"/>
        <v>1150.2166666666619</v>
      </c>
      <c r="AN459">
        <f>IF($AK458+$AK$1&lt;=Data!$H$4-0.5,AVERAGE(AM457:AM461),AN458)</f>
        <v>1161.2999999999945</v>
      </c>
      <c r="AO459">
        <f t="shared" si="332"/>
        <v>5416.9999999999654</v>
      </c>
      <c r="AP459">
        <f t="shared" si="339"/>
        <v>1151.4999999999989</v>
      </c>
      <c r="AQ459">
        <f>IF($AK458+$AK$1&lt;=Data!$H$4-0.5,AVERAGE(AP457:AP461),AQ458)</f>
        <v>1153.9999999999989</v>
      </c>
      <c r="AR459">
        <f>IF($AK458+$AK$1&lt;=Data!$H$4-0.5,SLOPE($AN455:$AN463,$AK455:$AK463),AR458)</f>
        <v>-11.349999999999836</v>
      </c>
      <c r="AS459">
        <f>IF($AK458+$AK$1&lt;=Data!$H$4-0.5,SLOPE($AQ455:$AQ463,$AK455:$AK463),AS458)</f>
        <v>-2.7999999999992418</v>
      </c>
      <c r="AT459" t="str">
        <f>IF(AND($AK459&gt;=Results!$G$13,$AK459&lt;=Results!$G$14),Curves!AR459,"")</f>
        <v/>
      </c>
      <c r="AU459" t="str">
        <f>IF(AND($AK459&gt;=Results!$G$13,$AK459&lt;=Results!$G$14),Curves!AS459,"")</f>
        <v/>
      </c>
      <c r="AV459" t="str">
        <f t="shared" si="333"/>
        <v/>
      </c>
      <c r="AW459" t="str">
        <f>IF(AND($AK459&lt;=Results!$I$21,$AK459&gt;=Results!$I$20,$AK459&lt;=Results!$F$4),$AN459,"")</f>
        <v/>
      </c>
      <c r="AX459">
        <f t="shared" si="333"/>
        <v>69.900000000000219</v>
      </c>
      <c r="AY459">
        <f>IF(AND($AK459&lt;=Results!$I$23,$AK459&gt;=Results!$I$22,$AK459&gt;=Results!$F$4),$AN459,"")</f>
        <v>1161.2999999999945</v>
      </c>
      <c r="AZ459" t="str">
        <f t="shared" si="312"/>
        <v/>
      </c>
      <c r="BA459" t="str">
        <f>IF(AND($AK459&lt;=Results!$I$27,$AK459&gt;=Results!$I$26,$AK459&lt;=Results!$F$4),$AQ459,"")</f>
        <v/>
      </c>
      <c r="BB459">
        <f t="shared" si="313"/>
        <v>69.900000000000219</v>
      </c>
      <c r="BC459">
        <f>IF(AND($AK459&lt;=Results!$I$29,$AK459&gt;=Results!$I$28,$AK459&gt;=Results!$F$4),$AQ459,"")</f>
        <v>1153.9999999999989</v>
      </c>
      <c r="BD459">
        <f t="shared" si="314"/>
        <v>7230.8615572627841</v>
      </c>
      <c r="BE459">
        <f t="shared" si="315"/>
        <v>1157.2724856653044</v>
      </c>
      <c r="BF459">
        <f t="shared" si="316"/>
        <v>8089.5503654261838</v>
      </c>
      <c r="BG459">
        <f t="shared" si="317"/>
        <v>1153.781166473542</v>
      </c>
      <c r="BH459">
        <f t="shared" si="318"/>
        <v>0</v>
      </c>
      <c r="BI459">
        <f t="shared" si="319"/>
        <v>6.6311933310159166E-4</v>
      </c>
      <c r="BJ459">
        <f t="shared" si="320"/>
        <v>3.1551442987831635E-5</v>
      </c>
      <c r="BK459" t="e">
        <f t="shared" si="321"/>
        <v>#DIV/0!</v>
      </c>
      <c r="BL459" t="e">
        <f t="shared" si="322"/>
        <v>#DIV/0!</v>
      </c>
      <c r="BM459" t="e">
        <f t="shared" si="334"/>
        <v>#DIV/0!</v>
      </c>
      <c r="BN459" t="e">
        <f t="shared" si="335"/>
        <v>#DIV/0!</v>
      </c>
      <c r="BO459" t="e">
        <f>Data!$H$2*(1-BI459)*(1-BI459/Data!$H$3)*BM459</f>
        <v>#DIV/0!</v>
      </c>
      <c r="BP459" t="e">
        <f t="shared" si="323"/>
        <v>#DIV/0!</v>
      </c>
      <c r="BQ459" t="e">
        <f>Data!$H$2*(1-BJ459)*(1-BJ459/Data!$H$3)*BN459</f>
        <v>#DIV/0!</v>
      </c>
      <c r="BR459" t="e">
        <f t="shared" si="324"/>
        <v>#DIV/0!</v>
      </c>
      <c r="BS459">
        <f t="shared" si="325"/>
        <v>0</v>
      </c>
      <c r="BT459">
        <f t="shared" si="326"/>
        <v>0</v>
      </c>
      <c r="BU459">
        <f t="shared" si="327"/>
        <v>0</v>
      </c>
      <c r="BV459">
        <f t="shared" si="310"/>
        <v>0</v>
      </c>
      <c r="BW459">
        <f t="shared" si="336"/>
        <v>0</v>
      </c>
      <c r="BX459" t="str">
        <f t="shared" si="337"/>
        <v/>
      </c>
      <c r="BY459" s="66" t="str">
        <f t="shared" si="328"/>
        <v/>
      </c>
      <c r="BZ459" t="str">
        <f t="shared" si="329"/>
        <v/>
      </c>
      <c r="CA459" s="67" t="str">
        <f t="shared" si="311"/>
        <v/>
      </c>
    </row>
    <row r="460" spans="4:79" x14ac:dyDescent="0.25">
      <c r="D460" s="3" t="e">
        <f t="shared" si="340"/>
        <v>#DIV/0!</v>
      </c>
      <c r="E460" s="3" t="e">
        <f t="shared" si="340"/>
        <v>#DIV/0!</v>
      </c>
      <c r="F460" t="str">
        <f>IF(A460&gt;0,IF(F459=1,1,IF(B460=Data!$H$4,1,0)),"")</f>
        <v/>
      </c>
      <c r="AA460" t="e">
        <f t="shared" si="308"/>
        <v>#VALUE!</v>
      </c>
      <c r="AE460" t="str">
        <f t="shared" si="309"/>
        <v/>
      </c>
      <c r="AK460" s="4">
        <f t="shared" si="338"/>
        <v>69.900000000000219</v>
      </c>
      <c r="AL460">
        <f t="shared" si="330"/>
        <v>5389.0000000000264</v>
      </c>
      <c r="AM460">
        <f t="shared" si="331"/>
        <v>1150.2166666666619</v>
      </c>
      <c r="AN460">
        <f>IF($AK459+$AK$1&lt;=Data!$H$4-0.5,AVERAGE(AM458:AM462),AN459)</f>
        <v>1161.2999999999945</v>
      </c>
      <c r="AO460">
        <f t="shared" si="332"/>
        <v>5416.9999999999654</v>
      </c>
      <c r="AP460">
        <f t="shared" si="339"/>
        <v>1151.4999999999989</v>
      </c>
      <c r="AQ460">
        <f>IF($AK459+$AK$1&lt;=Data!$H$4-0.5,AVERAGE(AP458:AP462),AQ459)</f>
        <v>1153.9999999999989</v>
      </c>
      <c r="AR460">
        <f>IF($AK459+$AK$1&lt;=Data!$H$4-0.5,SLOPE($AN456:$AN464,$AK456:$AK464),AR459)</f>
        <v>-11.349999999999836</v>
      </c>
      <c r="AS460">
        <f>IF($AK459+$AK$1&lt;=Data!$H$4-0.5,SLOPE($AQ456:$AQ464,$AK456:$AK464),AS459)</f>
        <v>-2.7999999999992418</v>
      </c>
      <c r="AT460" t="str">
        <f>IF(AND($AK460&gt;=Results!$G$13,$AK460&lt;=Results!$G$14),Curves!AR460,"")</f>
        <v/>
      </c>
      <c r="AU460" t="str">
        <f>IF(AND($AK460&gt;=Results!$G$13,$AK460&lt;=Results!$G$14),Curves!AS460,"")</f>
        <v/>
      </c>
      <c r="AV460" t="str">
        <f t="shared" si="333"/>
        <v/>
      </c>
      <c r="AW460" t="str">
        <f>IF(AND($AK460&lt;=Results!$I$21,$AK460&gt;=Results!$I$20,$AK460&lt;=Results!$F$4),$AN460,"")</f>
        <v/>
      </c>
      <c r="AX460">
        <f t="shared" si="333"/>
        <v>69.900000000000219</v>
      </c>
      <c r="AY460">
        <f>IF(AND($AK460&lt;=Results!$I$23,$AK460&gt;=Results!$I$22,$AK460&gt;=Results!$F$4),$AN460,"")</f>
        <v>1161.2999999999945</v>
      </c>
      <c r="AZ460" t="str">
        <f t="shared" si="312"/>
        <v/>
      </c>
      <c r="BA460" t="str">
        <f>IF(AND($AK460&lt;=Results!$I$27,$AK460&gt;=Results!$I$26,$AK460&lt;=Results!$F$4),$AQ460,"")</f>
        <v/>
      </c>
      <c r="BB460">
        <f t="shared" si="313"/>
        <v>69.900000000000219</v>
      </c>
      <c r="BC460">
        <f>IF(AND($AK460&lt;=Results!$I$29,$AK460&gt;=Results!$I$28,$AK460&gt;=Results!$F$4),$AQ460,"")</f>
        <v>1153.9999999999989</v>
      </c>
      <c r="BD460">
        <f t="shared" si="314"/>
        <v>7230.8615572627841</v>
      </c>
      <c r="BE460">
        <f t="shared" si="315"/>
        <v>1157.2724856653044</v>
      </c>
      <c r="BF460">
        <f t="shared" si="316"/>
        <v>8089.5503654261838</v>
      </c>
      <c r="BG460">
        <f t="shared" si="317"/>
        <v>1153.781166473542</v>
      </c>
      <c r="BH460">
        <f t="shared" si="318"/>
        <v>0</v>
      </c>
      <c r="BI460">
        <f t="shared" si="319"/>
        <v>6.6311933310159166E-4</v>
      </c>
      <c r="BJ460">
        <f t="shared" si="320"/>
        <v>3.1551442987831635E-5</v>
      </c>
      <c r="BK460" t="e">
        <f t="shared" si="321"/>
        <v>#DIV/0!</v>
      </c>
      <c r="BL460" t="e">
        <f t="shared" si="322"/>
        <v>#DIV/0!</v>
      </c>
      <c r="BM460" t="e">
        <f t="shared" si="334"/>
        <v>#DIV/0!</v>
      </c>
      <c r="BN460" t="e">
        <f t="shared" si="335"/>
        <v>#DIV/0!</v>
      </c>
      <c r="BO460" t="e">
        <f>Data!$H$2*(1-BI460)*(1-BI460/Data!$H$3)*BM460</f>
        <v>#DIV/0!</v>
      </c>
      <c r="BP460" t="e">
        <f t="shared" si="323"/>
        <v>#DIV/0!</v>
      </c>
      <c r="BQ460" t="e">
        <f>Data!$H$2*(1-BJ460)*(1-BJ460/Data!$H$3)*BN460</f>
        <v>#DIV/0!</v>
      </c>
      <c r="BR460" t="e">
        <f t="shared" si="324"/>
        <v>#DIV/0!</v>
      </c>
      <c r="BS460">
        <f t="shared" si="325"/>
        <v>0</v>
      </c>
      <c r="BT460">
        <f t="shared" si="326"/>
        <v>0</v>
      </c>
      <c r="BU460">
        <f t="shared" si="327"/>
        <v>0</v>
      </c>
      <c r="BV460">
        <f t="shared" si="310"/>
        <v>0</v>
      </c>
      <c r="BW460">
        <f t="shared" si="336"/>
        <v>0</v>
      </c>
      <c r="BX460" t="str">
        <f t="shared" si="337"/>
        <v/>
      </c>
      <c r="BY460" s="66" t="str">
        <f t="shared" si="328"/>
        <v/>
      </c>
      <c r="BZ460" t="str">
        <f t="shared" si="329"/>
        <v/>
      </c>
      <c r="CA460" s="67" t="str">
        <f t="shared" si="311"/>
        <v/>
      </c>
    </row>
    <row r="461" spans="4:79" x14ac:dyDescent="0.25">
      <c r="D461" s="3" t="e">
        <f t="shared" si="340"/>
        <v>#DIV/0!</v>
      </c>
      <c r="E461" s="3" t="e">
        <f t="shared" si="340"/>
        <v>#DIV/0!</v>
      </c>
      <c r="F461" t="str">
        <f>IF(A461&gt;0,IF(F460=1,1,IF(B461=Data!$H$4,1,0)),"")</f>
        <v/>
      </c>
      <c r="AA461" t="e">
        <f t="shared" si="308"/>
        <v>#VALUE!</v>
      </c>
      <c r="AE461" t="str">
        <f t="shared" si="309"/>
        <v/>
      </c>
      <c r="AK461" s="4">
        <f t="shared" si="338"/>
        <v>69.900000000000219</v>
      </c>
      <c r="AL461">
        <f t="shared" si="330"/>
        <v>5389.0000000000264</v>
      </c>
      <c r="AM461">
        <f t="shared" si="331"/>
        <v>1150.2166666666619</v>
      </c>
      <c r="AN461">
        <f>IF($AK460+$AK$1&lt;=Data!$H$4-0.5,AVERAGE(AM459:AM463),AN460)</f>
        <v>1161.2999999999945</v>
      </c>
      <c r="AO461">
        <f t="shared" si="332"/>
        <v>5416.9999999999654</v>
      </c>
      <c r="AP461">
        <f t="shared" si="339"/>
        <v>1151.4999999999989</v>
      </c>
      <c r="AQ461">
        <f>IF($AK460+$AK$1&lt;=Data!$H$4-0.5,AVERAGE(AP459:AP463),AQ460)</f>
        <v>1153.9999999999989</v>
      </c>
      <c r="AR461">
        <f>IF($AK460+$AK$1&lt;=Data!$H$4-0.5,SLOPE($AN457:$AN465,$AK457:$AK465),AR460)</f>
        <v>-11.349999999999836</v>
      </c>
      <c r="AS461">
        <f>IF($AK460+$AK$1&lt;=Data!$H$4-0.5,SLOPE($AQ457:$AQ465,$AK457:$AK465),AS460)</f>
        <v>-2.7999999999992418</v>
      </c>
      <c r="AT461" t="str">
        <f>IF(AND($AK461&gt;=Results!$G$13,$AK461&lt;=Results!$G$14),Curves!AR461,"")</f>
        <v/>
      </c>
      <c r="AU461" t="str">
        <f>IF(AND($AK461&gt;=Results!$G$13,$AK461&lt;=Results!$G$14),Curves!AS461,"")</f>
        <v/>
      </c>
      <c r="AV461" t="str">
        <f t="shared" si="333"/>
        <v/>
      </c>
      <c r="AW461" t="str">
        <f>IF(AND($AK461&lt;=Results!$I$21,$AK461&gt;=Results!$I$20,$AK461&lt;=Results!$F$4),$AN461,"")</f>
        <v/>
      </c>
      <c r="AX461">
        <f t="shared" si="333"/>
        <v>69.900000000000219</v>
      </c>
      <c r="AY461">
        <f>IF(AND($AK461&lt;=Results!$I$23,$AK461&gt;=Results!$I$22,$AK461&gt;=Results!$F$4),$AN461,"")</f>
        <v>1161.2999999999945</v>
      </c>
      <c r="AZ461" t="str">
        <f t="shared" si="312"/>
        <v/>
      </c>
      <c r="BA461" t="str">
        <f>IF(AND($AK461&lt;=Results!$I$27,$AK461&gt;=Results!$I$26,$AK461&lt;=Results!$F$4),$AQ461,"")</f>
        <v/>
      </c>
      <c r="BB461">
        <f t="shared" si="313"/>
        <v>69.900000000000219</v>
      </c>
      <c r="BC461">
        <f>IF(AND($AK461&lt;=Results!$I$29,$AK461&gt;=Results!$I$28,$AK461&gt;=Results!$F$4),$AQ461,"")</f>
        <v>1153.9999999999989</v>
      </c>
      <c r="BD461">
        <f t="shared" si="314"/>
        <v>7230.8615572627841</v>
      </c>
      <c r="BE461">
        <f t="shared" si="315"/>
        <v>1157.2724856653044</v>
      </c>
      <c r="BF461">
        <f t="shared" si="316"/>
        <v>8089.5503654261838</v>
      </c>
      <c r="BG461">
        <f t="shared" si="317"/>
        <v>1153.781166473542</v>
      </c>
      <c r="BH461">
        <f t="shared" si="318"/>
        <v>0</v>
      </c>
      <c r="BI461">
        <f t="shared" si="319"/>
        <v>6.6311933310159166E-4</v>
      </c>
      <c r="BJ461">
        <f t="shared" si="320"/>
        <v>3.1551442987831635E-5</v>
      </c>
      <c r="BK461" t="e">
        <f t="shared" si="321"/>
        <v>#DIV/0!</v>
      </c>
      <c r="BL461" t="e">
        <f t="shared" si="322"/>
        <v>#DIV/0!</v>
      </c>
      <c r="BM461" t="e">
        <f t="shared" si="334"/>
        <v>#DIV/0!</v>
      </c>
      <c r="BN461" t="e">
        <f t="shared" si="335"/>
        <v>#DIV/0!</v>
      </c>
      <c r="BO461" t="e">
        <f>Data!$H$2*(1-BI461)*(1-BI461/Data!$H$3)*BM461</f>
        <v>#DIV/0!</v>
      </c>
      <c r="BP461" t="e">
        <f t="shared" si="323"/>
        <v>#DIV/0!</v>
      </c>
      <c r="BQ461" t="e">
        <f>Data!$H$2*(1-BJ461)*(1-BJ461/Data!$H$3)*BN461</f>
        <v>#DIV/0!</v>
      </c>
      <c r="BR461" t="e">
        <f t="shared" si="324"/>
        <v>#DIV/0!</v>
      </c>
      <c r="BS461">
        <f t="shared" si="325"/>
        <v>0</v>
      </c>
      <c r="BT461">
        <f t="shared" si="326"/>
        <v>0</v>
      </c>
      <c r="BU461">
        <f t="shared" si="327"/>
        <v>0</v>
      </c>
      <c r="BV461">
        <f t="shared" si="310"/>
        <v>0</v>
      </c>
      <c r="BW461">
        <f t="shared" si="336"/>
        <v>0</v>
      </c>
      <c r="BX461" t="str">
        <f t="shared" si="337"/>
        <v/>
      </c>
      <c r="BY461" s="66" t="str">
        <f t="shared" si="328"/>
        <v/>
      </c>
      <c r="BZ461" t="str">
        <f t="shared" si="329"/>
        <v/>
      </c>
      <c r="CA461" s="67" t="str">
        <f t="shared" si="311"/>
        <v/>
      </c>
    </row>
    <row r="462" spans="4:79" x14ac:dyDescent="0.25">
      <c r="D462" s="3" t="e">
        <f t="shared" si="340"/>
        <v>#DIV/0!</v>
      </c>
      <c r="E462" s="3" t="e">
        <f t="shared" si="340"/>
        <v>#DIV/0!</v>
      </c>
      <c r="F462" t="str">
        <f>IF(A462&gt;0,IF(F461=1,1,IF(B462=Data!$H$4,1,0)),"")</f>
        <v/>
      </c>
      <c r="AA462" t="e">
        <f t="shared" si="308"/>
        <v>#VALUE!</v>
      </c>
      <c r="AE462" t="str">
        <f t="shared" si="309"/>
        <v/>
      </c>
      <c r="AK462" s="4">
        <f t="shared" si="338"/>
        <v>69.900000000000219</v>
      </c>
      <c r="AL462">
        <f t="shared" si="330"/>
        <v>5389.0000000000264</v>
      </c>
      <c r="AM462">
        <f t="shared" si="331"/>
        <v>1150.2166666666619</v>
      </c>
      <c r="AN462">
        <f>IF($AK461+$AK$1&lt;=Data!$H$4-0.5,AVERAGE(AM460:AM464),AN461)</f>
        <v>1161.2999999999945</v>
      </c>
      <c r="AO462">
        <f t="shared" si="332"/>
        <v>5416.9999999999654</v>
      </c>
      <c r="AP462">
        <f t="shared" si="339"/>
        <v>1151.4999999999989</v>
      </c>
      <c r="AQ462">
        <f>IF($AK461+$AK$1&lt;=Data!$H$4-0.5,AVERAGE(AP460:AP464),AQ461)</f>
        <v>1153.9999999999989</v>
      </c>
      <c r="AR462">
        <f>IF($AK461+$AK$1&lt;=Data!$H$4-0.5,SLOPE($AN458:$AN466,$AK458:$AK466),AR461)</f>
        <v>-11.349999999999836</v>
      </c>
      <c r="AS462">
        <f>IF($AK461+$AK$1&lt;=Data!$H$4-0.5,SLOPE($AQ458:$AQ466,$AK458:$AK466),AS461)</f>
        <v>-2.7999999999992418</v>
      </c>
      <c r="AT462" t="str">
        <f>IF(AND($AK462&gt;=Results!$G$13,$AK462&lt;=Results!$G$14),Curves!AR462,"")</f>
        <v/>
      </c>
      <c r="AU462" t="str">
        <f>IF(AND($AK462&gt;=Results!$G$13,$AK462&lt;=Results!$G$14),Curves!AS462,"")</f>
        <v/>
      </c>
      <c r="AV462" t="str">
        <f t="shared" si="333"/>
        <v/>
      </c>
      <c r="AW462" t="str">
        <f>IF(AND($AK462&lt;=Results!$I$21,$AK462&gt;=Results!$I$20,$AK462&lt;=Results!$F$4),$AN462,"")</f>
        <v/>
      </c>
      <c r="AX462">
        <f t="shared" si="333"/>
        <v>69.900000000000219</v>
      </c>
      <c r="AY462">
        <f>IF(AND($AK462&lt;=Results!$I$23,$AK462&gt;=Results!$I$22,$AK462&gt;=Results!$F$4),$AN462,"")</f>
        <v>1161.2999999999945</v>
      </c>
      <c r="AZ462" t="str">
        <f t="shared" si="312"/>
        <v/>
      </c>
      <c r="BA462" t="str">
        <f>IF(AND($AK462&lt;=Results!$I$27,$AK462&gt;=Results!$I$26,$AK462&lt;=Results!$F$4),$AQ462,"")</f>
        <v/>
      </c>
      <c r="BB462">
        <f t="shared" si="313"/>
        <v>69.900000000000219</v>
      </c>
      <c r="BC462">
        <f>IF(AND($AK462&lt;=Results!$I$29,$AK462&gt;=Results!$I$28,$AK462&gt;=Results!$F$4),$AQ462,"")</f>
        <v>1153.9999999999989</v>
      </c>
      <c r="BD462">
        <f t="shared" si="314"/>
        <v>7230.8615572627841</v>
      </c>
      <c r="BE462">
        <f t="shared" si="315"/>
        <v>1157.2724856653044</v>
      </c>
      <c r="BF462">
        <f t="shared" si="316"/>
        <v>8089.5503654261838</v>
      </c>
      <c r="BG462">
        <f t="shared" si="317"/>
        <v>1153.781166473542</v>
      </c>
      <c r="BH462">
        <f t="shared" si="318"/>
        <v>0</v>
      </c>
      <c r="BI462">
        <f t="shared" si="319"/>
        <v>6.6311933310159166E-4</v>
      </c>
      <c r="BJ462">
        <f t="shared" si="320"/>
        <v>3.1551442987831635E-5</v>
      </c>
      <c r="BK462" t="e">
        <f t="shared" si="321"/>
        <v>#DIV/0!</v>
      </c>
      <c r="BL462" t="e">
        <f t="shared" si="322"/>
        <v>#DIV/0!</v>
      </c>
      <c r="BM462" t="e">
        <f t="shared" si="334"/>
        <v>#DIV/0!</v>
      </c>
      <c r="BN462" t="e">
        <f t="shared" si="335"/>
        <v>#DIV/0!</v>
      </c>
      <c r="BO462" t="e">
        <f>Data!$H$2*(1-BI462)*(1-BI462/Data!$H$3)*BM462</f>
        <v>#DIV/0!</v>
      </c>
      <c r="BP462" t="e">
        <f t="shared" si="323"/>
        <v>#DIV/0!</v>
      </c>
      <c r="BQ462" t="e">
        <f>Data!$H$2*(1-BJ462)*(1-BJ462/Data!$H$3)*BN462</f>
        <v>#DIV/0!</v>
      </c>
      <c r="BR462" t="e">
        <f t="shared" si="324"/>
        <v>#DIV/0!</v>
      </c>
      <c r="BS462">
        <f t="shared" si="325"/>
        <v>0</v>
      </c>
      <c r="BT462">
        <f t="shared" si="326"/>
        <v>0</v>
      </c>
      <c r="BU462">
        <f t="shared" si="327"/>
        <v>0</v>
      </c>
      <c r="BV462">
        <f t="shared" si="310"/>
        <v>0</v>
      </c>
      <c r="BW462">
        <f t="shared" si="336"/>
        <v>0</v>
      </c>
      <c r="BX462" t="str">
        <f t="shared" si="337"/>
        <v/>
      </c>
      <c r="BY462" s="66" t="str">
        <f t="shared" si="328"/>
        <v/>
      </c>
      <c r="BZ462" t="str">
        <f t="shared" si="329"/>
        <v/>
      </c>
      <c r="CA462" s="67" t="str">
        <f t="shared" si="311"/>
        <v/>
      </c>
    </row>
    <row r="463" spans="4:79" x14ac:dyDescent="0.25">
      <c r="D463" s="3" t="e">
        <f t="shared" si="340"/>
        <v>#DIV/0!</v>
      </c>
      <c r="E463" s="3" t="e">
        <f t="shared" si="340"/>
        <v>#DIV/0!</v>
      </c>
      <c r="F463" t="str">
        <f>IF(A463&gt;0,IF(F462=1,1,IF(B463=Data!$H$4,1,0)),"")</f>
        <v/>
      </c>
      <c r="AA463" t="e">
        <f t="shared" si="308"/>
        <v>#VALUE!</v>
      </c>
      <c r="AE463" t="str">
        <f t="shared" si="309"/>
        <v/>
      </c>
      <c r="AK463" s="4">
        <f t="shared" si="338"/>
        <v>69.900000000000219</v>
      </c>
      <c r="AL463">
        <f t="shared" si="330"/>
        <v>5389.0000000000264</v>
      </c>
      <c r="AM463">
        <f t="shared" si="331"/>
        <v>1150.2166666666619</v>
      </c>
      <c r="AN463">
        <f>IF($AK462+$AK$1&lt;=Data!$H$4-0.5,AVERAGE(AM461:AM465),AN462)</f>
        <v>1161.2999999999945</v>
      </c>
      <c r="AO463">
        <f t="shared" si="332"/>
        <v>5416.9999999999654</v>
      </c>
      <c r="AP463">
        <f t="shared" si="339"/>
        <v>1151.4999999999989</v>
      </c>
      <c r="AQ463">
        <f>IF($AK462+$AK$1&lt;=Data!$H$4-0.5,AVERAGE(AP461:AP465),AQ462)</f>
        <v>1153.9999999999989</v>
      </c>
      <c r="AR463">
        <f>IF($AK462+$AK$1&lt;=Data!$H$4-0.5,SLOPE($AN459:$AN467,$AK459:$AK467),AR462)</f>
        <v>-11.349999999999836</v>
      </c>
      <c r="AS463">
        <f>IF($AK462+$AK$1&lt;=Data!$H$4-0.5,SLOPE($AQ459:$AQ467,$AK459:$AK467),AS462)</f>
        <v>-2.7999999999992418</v>
      </c>
      <c r="AT463" t="str">
        <f>IF(AND($AK463&gt;=Results!$G$13,$AK463&lt;=Results!$G$14),Curves!AR463,"")</f>
        <v/>
      </c>
      <c r="AU463" t="str">
        <f>IF(AND($AK463&gt;=Results!$G$13,$AK463&lt;=Results!$G$14),Curves!AS463,"")</f>
        <v/>
      </c>
      <c r="AV463" t="str">
        <f t="shared" si="333"/>
        <v/>
      </c>
      <c r="AW463" t="str">
        <f>IF(AND($AK463&lt;=Results!$I$21,$AK463&gt;=Results!$I$20,$AK463&lt;=Results!$F$4),$AN463,"")</f>
        <v/>
      </c>
      <c r="AX463">
        <f t="shared" si="333"/>
        <v>69.900000000000219</v>
      </c>
      <c r="AY463">
        <f>IF(AND($AK463&lt;=Results!$I$23,$AK463&gt;=Results!$I$22,$AK463&gt;=Results!$F$4),$AN463,"")</f>
        <v>1161.2999999999945</v>
      </c>
      <c r="AZ463" t="str">
        <f t="shared" si="312"/>
        <v/>
      </c>
      <c r="BA463" t="str">
        <f>IF(AND($AK463&lt;=Results!$I$27,$AK463&gt;=Results!$I$26,$AK463&lt;=Results!$F$4),$AQ463,"")</f>
        <v/>
      </c>
      <c r="BB463">
        <f t="shared" si="313"/>
        <v>69.900000000000219</v>
      </c>
      <c r="BC463">
        <f>IF(AND($AK463&lt;=Results!$I$29,$AK463&gt;=Results!$I$28,$AK463&gt;=Results!$F$4),$AQ463,"")</f>
        <v>1153.9999999999989</v>
      </c>
      <c r="BD463">
        <f t="shared" si="314"/>
        <v>7230.8615572627841</v>
      </c>
      <c r="BE463">
        <f t="shared" si="315"/>
        <v>1157.2724856653044</v>
      </c>
      <c r="BF463">
        <f t="shared" si="316"/>
        <v>8089.5503654261838</v>
      </c>
      <c r="BG463">
        <f t="shared" si="317"/>
        <v>1153.781166473542</v>
      </c>
      <c r="BH463">
        <f t="shared" si="318"/>
        <v>0</v>
      </c>
      <c r="BI463">
        <f t="shared" si="319"/>
        <v>6.6311933310159166E-4</v>
      </c>
      <c r="BJ463">
        <f t="shared" si="320"/>
        <v>3.1551442987831635E-5</v>
      </c>
      <c r="BK463" t="e">
        <f t="shared" si="321"/>
        <v>#DIV/0!</v>
      </c>
      <c r="BL463" t="e">
        <f t="shared" si="322"/>
        <v>#DIV/0!</v>
      </c>
      <c r="BM463" t="e">
        <f t="shared" si="334"/>
        <v>#DIV/0!</v>
      </c>
      <c r="BN463" t="e">
        <f t="shared" si="335"/>
        <v>#DIV/0!</v>
      </c>
      <c r="BO463" t="e">
        <f>Data!$H$2*(1-BI463)*(1-BI463/Data!$H$3)*BM463</f>
        <v>#DIV/0!</v>
      </c>
      <c r="BP463" t="e">
        <f t="shared" si="323"/>
        <v>#DIV/0!</v>
      </c>
      <c r="BQ463" t="e">
        <f>Data!$H$2*(1-BJ463)*(1-BJ463/Data!$H$3)*BN463</f>
        <v>#DIV/0!</v>
      </c>
      <c r="BR463" t="e">
        <f t="shared" si="324"/>
        <v>#DIV/0!</v>
      </c>
      <c r="BS463">
        <f t="shared" si="325"/>
        <v>0</v>
      </c>
      <c r="BT463">
        <f t="shared" si="326"/>
        <v>0</v>
      </c>
      <c r="BU463">
        <f t="shared" si="327"/>
        <v>0</v>
      </c>
      <c r="BV463">
        <f t="shared" si="310"/>
        <v>0</v>
      </c>
      <c r="BW463">
        <f t="shared" si="336"/>
        <v>0</v>
      </c>
      <c r="BX463" t="str">
        <f t="shared" si="337"/>
        <v/>
      </c>
      <c r="BY463" s="66" t="str">
        <f t="shared" si="328"/>
        <v/>
      </c>
      <c r="BZ463" t="str">
        <f t="shared" si="329"/>
        <v/>
      </c>
      <c r="CA463" s="67" t="str">
        <f t="shared" si="311"/>
        <v/>
      </c>
    </row>
    <row r="464" spans="4:79" x14ac:dyDescent="0.25">
      <c r="D464" s="3" t="e">
        <f t="shared" si="340"/>
        <v>#DIV/0!</v>
      </c>
      <c r="E464" s="3" t="e">
        <f t="shared" si="340"/>
        <v>#DIV/0!</v>
      </c>
      <c r="F464" t="str">
        <f>IF(A464&gt;0,IF(F463=1,1,IF(B464=Data!$H$4,1,0)),"")</f>
        <v/>
      </c>
      <c r="AA464" t="e">
        <f t="shared" si="308"/>
        <v>#VALUE!</v>
      </c>
      <c r="AE464" t="str">
        <f t="shared" si="309"/>
        <v/>
      </c>
      <c r="AK464" s="4">
        <f t="shared" si="338"/>
        <v>69.900000000000219</v>
      </c>
      <c r="AL464">
        <f t="shared" si="330"/>
        <v>5389.0000000000264</v>
      </c>
      <c r="AM464">
        <f t="shared" si="331"/>
        <v>1150.2166666666619</v>
      </c>
      <c r="AN464">
        <f>IF($AK463+$AK$1&lt;=Data!$H$4-0.5,AVERAGE(AM462:AM466),AN463)</f>
        <v>1161.2999999999945</v>
      </c>
      <c r="AO464">
        <f t="shared" si="332"/>
        <v>5416.9999999999654</v>
      </c>
      <c r="AP464">
        <f t="shared" si="339"/>
        <v>1151.4999999999989</v>
      </c>
      <c r="AQ464">
        <f>IF($AK463+$AK$1&lt;=Data!$H$4-0.5,AVERAGE(AP462:AP466),AQ463)</f>
        <v>1153.9999999999989</v>
      </c>
      <c r="AR464">
        <f>IF($AK463+$AK$1&lt;=Data!$H$4-0.5,SLOPE($AN460:$AN468,$AK460:$AK468),AR463)</f>
        <v>-11.349999999999836</v>
      </c>
      <c r="AS464">
        <f>IF($AK463+$AK$1&lt;=Data!$H$4-0.5,SLOPE($AQ460:$AQ468,$AK460:$AK468),AS463)</f>
        <v>-2.7999999999992418</v>
      </c>
      <c r="AT464" t="str">
        <f>IF(AND($AK464&gt;=Results!$G$13,$AK464&lt;=Results!$G$14),Curves!AR464,"")</f>
        <v/>
      </c>
      <c r="AU464" t="str">
        <f>IF(AND($AK464&gt;=Results!$G$13,$AK464&lt;=Results!$G$14),Curves!AS464,"")</f>
        <v/>
      </c>
      <c r="AV464" t="str">
        <f t="shared" si="333"/>
        <v/>
      </c>
      <c r="AW464" t="str">
        <f>IF(AND($AK464&lt;=Results!$I$21,$AK464&gt;=Results!$I$20,$AK464&lt;=Results!$F$4),$AN464,"")</f>
        <v/>
      </c>
      <c r="AX464">
        <f t="shared" si="333"/>
        <v>69.900000000000219</v>
      </c>
      <c r="AY464">
        <f>IF(AND($AK464&lt;=Results!$I$23,$AK464&gt;=Results!$I$22,$AK464&gt;=Results!$F$4),$AN464,"")</f>
        <v>1161.2999999999945</v>
      </c>
      <c r="AZ464" t="str">
        <f t="shared" si="312"/>
        <v/>
      </c>
      <c r="BA464" t="str">
        <f>IF(AND($AK464&lt;=Results!$I$27,$AK464&gt;=Results!$I$26,$AK464&lt;=Results!$F$4),$AQ464,"")</f>
        <v/>
      </c>
      <c r="BB464">
        <f t="shared" si="313"/>
        <v>69.900000000000219</v>
      </c>
      <c r="BC464">
        <f>IF(AND($AK464&lt;=Results!$I$29,$AK464&gt;=Results!$I$28,$AK464&gt;=Results!$F$4),$AQ464,"")</f>
        <v>1153.9999999999989</v>
      </c>
      <c r="BD464">
        <f t="shared" si="314"/>
        <v>7230.8615572627841</v>
      </c>
      <c r="BE464">
        <f t="shared" si="315"/>
        <v>1157.2724856653044</v>
      </c>
      <c r="BF464">
        <f t="shared" si="316"/>
        <v>8089.5503654261838</v>
      </c>
      <c r="BG464">
        <f t="shared" si="317"/>
        <v>1153.781166473542</v>
      </c>
      <c r="BH464">
        <f t="shared" si="318"/>
        <v>0</v>
      </c>
      <c r="BI464">
        <f t="shared" si="319"/>
        <v>6.6311933310159166E-4</v>
      </c>
      <c r="BJ464">
        <f t="shared" si="320"/>
        <v>3.1551442987831635E-5</v>
      </c>
      <c r="BK464" t="e">
        <f t="shared" si="321"/>
        <v>#DIV/0!</v>
      </c>
      <c r="BL464" t="e">
        <f t="shared" si="322"/>
        <v>#DIV/0!</v>
      </c>
      <c r="BM464" t="e">
        <f t="shared" si="334"/>
        <v>#DIV/0!</v>
      </c>
      <c r="BN464" t="e">
        <f t="shared" si="335"/>
        <v>#DIV/0!</v>
      </c>
      <c r="BO464" t="e">
        <f>Data!$H$2*(1-BI464)*(1-BI464/Data!$H$3)*BM464</f>
        <v>#DIV/0!</v>
      </c>
      <c r="BP464" t="e">
        <f t="shared" si="323"/>
        <v>#DIV/0!</v>
      </c>
      <c r="BQ464" t="e">
        <f>Data!$H$2*(1-BJ464)*(1-BJ464/Data!$H$3)*BN464</f>
        <v>#DIV/0!</v>
      </c>
      <c r="BR464" t="e">
        <f t="shared" si="324"/>
        <v>#DIV/0!</v>
      </c>
      <c r="BS464">
        <f t="shared" si="325"/>
        <v>0</v>
      </c>
      <c r="BT464">
        <f t="shared" si="326"/>
        <v>0</v>
      </c>
      <c r="BU464">
        <f t="shared" si="327"/>
        <v>0</v>
      </c>
      <c r="BV464">
        <f t="shared" si="310"/>
        <v>0</v>
      </c>
      <c r="BW464">
        <f t="shared" si="336"/>
        <v>0</v>
      </c>
      <c r="BX464" t="str">
        <f t="shared" si="337"/>
        <v/>
      </c>
      <c r="BY464" s="66" t="str">
        <f t="shared" si="328"/>
        <v/>
      </c>
      <c r="BZ464" t="str">
        <f t="shared" si="329"/>
        <v/>
      </c>
      <c r="CA464" s="67" t="str">
        <f t="shared" si="311"/>
        <v/>
      </c>
    </row>
    <row r="465" spans="4:79" x14ac:dyDescent="0.25">
      <c r="D465" s="3" t="e">
        <f t="shared" si="340"/>
        <v>#DIV/0!</v>
      </c>
      <c r="E465" s="3" t="e">
        <f t="shared" si="340"/>
        <v>#DIV/0!</v>
      </c>
      <c r="F465" t="str">
        <f>IF(A465&gt;0,IF(F464=1,1,IF(B465=Data!$H$4,1,0)),"")</f>
        <v/>
      </c>
      <c r="AA465" t="e">
        <f t="shared" si="308"/>
        <v>#VALUE!</v>
      </c>
      <c r="AE465" t="str">
        <f t="shared" si="309"/>
        <v/>
      </c>
      <c r="AK465" s="4">
        <f t="shared" si="338"/>
        <v>69.900000000000219</v>
      </c>
      <c r="AL465">
        <f t="shared" si="330"/>
        <v>5389.0000000000264</v>
      </c>
      <c r="AM465">
        <f t="shared" si="331"/>
        <v>1150.2166666666619</v>
      </c>
      <c r="AN465">
        <f>IF($AK464+$AK$1&lt;=Data!$H$4-0.5,AVERAGE(AM463:AM467),AN464)</f>
        <v>1161.2999999999945</v>
      </c>
      <c r="AO465">
        <f t="shared" si="332"/>
        <v>5416.9999999999654</v>
      </c>
      <c r="AP465">
        <f t="shared" si="339"/>
        <v>1151.4999999999989</v>
      </c>
      <c r="AQ465">
        <f>IF($AK464+$AK$1&lt;=Data!$H$4-0.5,AVERAGE(AP463:AP467),AQ464)</f>
        <v>1153.9999999999989</v>
      </c>
      <c r="AR465">
        <f>IF($AK464+$AK$1&lt;=Data!$H$4-0.5,SLOPE($AN461:$AN469,$AK461:$AK469),AR464)</f>
        <v>-11.349999999999836</v>
      </c>
      <c r="AS465">
        <f>IF($AK464+$AK$1&lt;=Data!$H$4-0.5,SLOPE($AQ461:$AQ469,$AK461:$AK469),AS464)</f>
        <v>-2.7999999999992418</v>
      </c>
      <c r="AT465" t="str">
        <f>IF(AND($AK465&gt;=Results!$G$13,$AK465&lt;=Results!$G$14),Curves!AR465,"")</f>
        <v/>
      </c>
      <c r="AU465" t="str">
        <f>IF(AND($AK465&gt;=Results!$G$13,$AK465&lt;=Results!$G$14),Curves!AS465,"")</f>
        <v/>
      </c>
      <c r="AV465" t="str">
        <f t="shared" si="333"/>
        <v/>
      </c>
      <c r="AW465" t="str">
        <f>IF(AND($AK465&lt;=Results!$I$21,$AK465&gt;=Results!$I$20,$AK465&lt;=Results!$F$4),$AN465,"")</f>
        <v/>
      </c>
      <c r="AX465">
        <f t="shared" si="333"/>
        <v>69.900000000000219</v>
      </c>
      <c r="AY465">
        <f>IF(AND($AK465&lt;=Results!$I$23,$AK465&gt;=Results!$I$22,$AK465&gt;=Results!$F$4),$AN465,"")</f>
        <v>1161.2999999999945</v>
      </c>
      <c r="AZ465" t="str">
        <f t="shared" si="312"/>
        <v/>
      </c>
      <c r="BA465" t="str">
        <f>IF(AND($AK465&lt;=Results!$I$27,$AK465&gt;=Results!$I$26,$AK465&lt;=Results!$F$4),$AQ465,"")</f>
        <v/>
      </c>
      <c r="BB465">
        <f t="shared" si="313"/>
        <v>69.900000000000219</v>
      </c>
      <c r="BC465">
        <f>IF(AND($AK465&lt;=Results!$I$29,$AK465&gt;=Results!$I$28,$AK465&gt;=Results!$F$4),$AQ465,"")</f>
        <v>1153.9999999999989</v>
      </c>
      <c r="BD465">
        <f t="shared" si="314"/>
        <v>7230.8615572627841</v>
      </c>
      <c r="BE465">
        <f t="shared" si="315"/>
        <v>1157.2724856653044</v>
      </c>
      <c r="BF465">
        <f t="shared" si="316"/>
        <v>8089.5503654261838</v>
      </c>
      <c r="BG465">
        <f t="shared" si="317"/>
        <v>1153.781166473542</v>
      </c>
      <c r="BH465">
        <f t="shared" si="318"/>
        <v>0</v>
      </c>
      <c r="BI465">
        <f t="shared" si="319"/>
        <v>6.6311933310159166E-4</v>
      </c>
      <c r="BJ465">
        <f t="shared" si="320"/>
        <v>3.1551442987831635E-5</v>
      </c>
      <c r="BK465" t="e">
        <f t="shared" si="321"/>
        <v>#DIV/0!</v>
      </c>
      <c r="BL465" t="e">
        <f t="shared" si="322"/>
        <v>#DIV/0!</v>
      </c>
      <c r="BM465" t="e">
        <f t="shared" si="334"/>
        <v>#DIV/0!</v>
      </c>
      <c r="BN465" t="e">
        <f t="shared" si="335"/>
        <v>#DIV/0!</v>
      </c>
      <c r="BO465" t="e">
        <f>Data!$H$2*(1-BI465)*(1-BI465/Data!$H$3)*BM465</f>
        <v>#DIV/0!</v>
      </c>
      <c r="BP465" t="e">
        <f t="shared" si="323"/>
        <v>#DIV/0!</v>
      </c>
      <c r="BQ465" t="e">
        <f>Data!$H$2*(1-BJ465)*(1-BJ465/Data!$H$3)*BN465</f>
        <v>#DIV/0!</v>
      </c>
      <c r="BR465" t="e">
        <f t="shared" si="324"/>
        <v>#DIV/0!</v>
      </c>
      <c r="BS465">
        <f t="shared" si="325"/>
        <v>0</v>
      </c>
      <c r="BT465">
        <f t="shared" si="326"/>
        <v>0</v>
      </c>
      <c r="BU465">
        <f t="shared" si="327"/>
        <v>0</v>
      </c>
      <c r="BV465">
        <f t="shared" si="310"/>
        <v>0</v>
      </c>
      <c r="BW465">
        <f t="shared" si="336"/>
        <v>0</v>
      </c>
      <c r="BX465" t="str">
        <f t="shared" si="337"/>
        <v/>
      </c>
      <c r="BY465" s="66" t="str">
        <f t="shared" si="328"/>
        <v/>
      </c>
      <c r="BZ465" t="str">
        <f t="shared" si="329"/>
        <v/>
      </c>
      <c r="CA465" s="67" t="str">
        <f t="shared" si="311"/>
        <v/>
      </c>
    </row>
    <row r="466" spans="4:79" x14ac:dyDescent="0.25">
      <c r="D466" s="3" t="e">
        <f t="shared" si="340"/>
        <v>#DIV/0!</v>
      </c>
      <c r="E466" s="3" t="e">
        <f t="shared" si="340"/>
        <v>#DIV/0!</v>
      </c>
      <c r="F466" t="str">
        <f>IF(A466&gt;0,IF(F465=1,1,IF(B466=Data!$H$4,1,0)),"")</f>
        <v/>
      </c>
      <c r="AA466" t="e">
        <f t="shared" si="308"/>
        <v>#VALUE!</v>
      </c>
      <c r="AE466" t="str">
        <f t="shared" si="309"/>
        <v/>
      </c>
      <c r="AK466" s="4">
        <f t="shared" si="338"/>
        <v>69.900000000000219</v>
      </c>
      <c r="AL466">
        <f t="shared" si="330"/>
        <v>5389.0000000000264</v>
      </c>
      <c r="AM466">
        <f t="shared" si="331"/>
        <v>1150.2166666666619</v>
      </c>
      <c r="AN466">
        <f>IF($AK465+$AK$1&lt;=Data!$H$4-0.5,AVERAGE(AM464:AM468),AN465)</f>
        <v>1161.2999999999945</v>
      </c>
      <c r="AO466">
        <f t="shared" si="332"/>
        <v>5416.9999999999654</v>
      </c>
      <c r="AP466">
        <f t="shared" si="339"/>
        <v>1151.4999999999989</v>
      </c>
      <c r="AQ466">
        <f>IF($AK465+$AK$1&lt;=Data!$H$4-0.5,AVERAGE(AP464:AP468),AQ465)</f>
        <v>1153.9999999999989</v>
      </c>
      <c r="AR466">
        <f>IF($AK465+$AK$1&lt;=Data!$H$4-0.5,SLOPE($AN462:$AN470,$AK462:$AK470),AR465)</f>
        <v>-11.349999999999836</v>
      </c>
      <c r="AS466">
        <f>IF($AK465+$AK$1&lt;=Data!$H$4-0.5,SLOPE($AQ462:$AQ470,$AK462:$AK470),AS465)</f>
        <v>-2.7999999999992418</v>
      </c>
      <c r="AT466" t="str">
        <f>IF(AND($AK466&gt;=Results!$G$13,$AK466&lt;=Results!$G$14),Curves!AR466,"")</f>
        <v/>
      </c>
      <c r="AU466" t="str">
        <f>IF(AND($AK466&gt;=Results!$G$13,$AK466&lt;=Results!$G$14),Curves!AS466,"")</f>
        <v/>
      </c>
      <c r="AV466" t="str">
        <f t="shared" si="333"/>
        <v/>
      </c>
      <c r="AW466" t="str">
        <f>IF(AND($AK466&lt;=Results!$I$21,$AK466&gt;=Results!$I$20,$AK466&lt;=Results!$F$4),$AN466,"")</f>
        <v/>
      </c>
      <c r="AX466">
        <f t="shared" si="333"/>
        <v>69.900000000000219</v>
      </c>
      <c r="AY466">
        <f>IF(AND($AK466&lt;=Results!$I$23,$AK466&gt;=Results!$I$22,$AK466&gt;=Results!$F$4),$AN466,"")</f>
        <v>1161.2999999999945</v>
      </c>
      <c r="AZ466" t="str">
        <f t="shared" si="312"/>
        <v/>
      </c>
      <c r="BA466" t="str">
        <f>IF(AND($AK466&lt;=Results!$I$27,$AK466&gt;=Results!$I$26,$AK466&lt;=Results!$F$4),$AQ466,"")</f>
        <v/>
      </c>
      <c r="BB466">
        <f t="shared" si="313"/>
        <v>69.900000000000219</v>
      </c>
      <c r="BC466">
        <f>IF(AND($AK466&lt;=Results!$I$29,$AK466&gt;=Results!$I$28,$AK466&gt;=Results!$F$4),$AQ466,"")</f>
        <v>1153.9999999999989</v>
      </c>
      <c r="BD466">
        <f t="shared" si="314"/>
        <v>7230.8615572627841</v>
      </c>
      <c r="BE466">
        <f t="shared" si="315"/>
        <v>1157.2724856653044</v>
      </c>
      <c r="BF466">
        <f t="shared" si="316"/>
        <v>8089.5503654261838</v>
      </c>
      <c r="BG466">
        <f t="shared" si="317"/>
        <v>1153.781166473542</v>
      </c>
      <c r="BH466">
        <f t="shared" si="318"/>
        <v>0</v>
      </c>
      <c r="BI466">
        <f t="shared" si="319"/>
        <v>6.6311933310159166E-4</v>
      </c>
      <c r="BJ466">
        <f t="shared" si="320"/>
        <v>3.1551442987831635E-5</v>
      </c>
      <c r="BK466" t="e">
        <f t="shared" si="321"/>
        <v>#DIV/0!</v>
      </c>
      <c r="BL466" t="e">
        <f t="shared" si="322"/>
        <v>#DIV/0!</v>
      </c>
      <c r="BM466" t="e">
        <f t="shared" si="334"/>
        <v>#DIV/0!</v>
      </c>
      <c r="BN466" t="e">
        <f t="shared" si="335"/>
        <v>#DIV/0!</v>
      </c>
      <c r="BO466" t="e">
        <f>Data!$H$2*(1-BI466)*(1-BI466/Data!$H$3)*BM466</f>
        <v>#DIV/0!</v>
      </c>
      <c r="BP466" t="e">
        <f t="shared" si="323"/>
        <v>#DIV/0!</v>
      </c>
      <c r="BQ466" t="e">
        <f>Data!$H$2*(1-BJ466)*(1-BJ466/Data!$H$3)*BN466</f>
        <v>#DIV/0!</v>
      </c>
      <c r="BR466" t="e">
        <f t="shared" si="324"/>
        <v>#DIV/0!</v>
      </c>
      <c r="BS466">
        <f t="shared" si="325"/>
        <v>0</v>
      </c>
      <c r="BT466">
        <f t="shared" si="326"/>
        <v>0</v>
      </c>
      <c r="BU466">
        <f t="shared" si="327"/>
        <v>0</v>
      </c>
      <c r="BV466">
        <f t="shared" si="310"/>
        <v>0</v>
      </c>
      <c r="BW466">
        <f t="shared" si="336"/>
        <v>0</v>
      </c>
      <c r="BX466" t="str">
        <f t="shared" si="337"/>
        <v/>
      </c>
      <c r="BY466" s="66" t="str">
        <f t="shared" si="328"/>
        <v/>
      </c>
      <c r="BZ466" t="str">
        <f t="shared" si="329"/>
        <v/>
      </c>
      <c r="CA466" s="67" t="str">
        <f t="shared" si="311"/>
        <v/>
      </c>
    </row>
    <row r="467" spans="4:79" x14ac:dyDescent="0.25">
      <c r="D467" s="3" t="e">
        <f t="shared" si="340"/>
        <v>#DIV/0!</v>
      </c>
      <c r="E467" s="3" t="e">
        <f t="shared" si="340"/>
        <v>#DIV/0!</v>
      </c>
      <c r="F467" t="str">
        <f>IF(A467&gt;0,IF(F466=1,1,IF(B467=Data!$H$4,1,0)),"")</f>
        <v/>
      </c>
      <c r="AA467" t="e">
        <f t="shared" si="308"/>
        <v>#VALUE!</v>
      </c>
      <c r="AE467" t="str">
        <f t="shared" si="309"/>
        <v/>
      </c>
      <c r="AK467" s="4">
        <f t="shared" si="338"/>
        <v>69.900000000000219</v>
      </c>
      <c r="AL467">
        <f t="shared" si="330"/>
        <v>5389.0000000000264</v>
      </c>
      <c r="AM467">
        <f t="shared" si="331"/>
        <v>1150.2166666666619</v>
      </c>
      <c r="AN467">
        <f>IF($AK466+$AK$1&lt;=Data!$H$4-0.5,AVERAGE(AM465:AM469),AN466)</f>
        <v>1161.2999999999945</v>
      </c>
      <c r="AO467">
        <f t="shared" si="332"/>
        <v>5416.9999999999654</v>
      </c>
      <c r="AP467">
        <f t="shared" si="339"/>
        <v>1151.4999999999989</v>
      </c>
      <c r="AQ467">
        <f>IF($AK466+$AK$1&lt;=Data!$H$4-0.5,AVERAGE(AP465:AP469),AQ466)</f>
        <v>1153.9999999999989</v>
      </c>
      <c r="AR467">
        <f>IF($AK466+$AK$1&lt;=Data!$H$4-0.5,SLOPE($AN463:$AN471,$AK463:$AK471),AR466)</f>
        <v>-11.349999999999836</v>
      </c>
      <c r="AS467">
        <f>IF($AK466+$AK$1&lt;=Data!$H$4-0.5,SLOPE($AQ463:$AQ471,$AK463:$AK471),AS466)</f>
        <v>-2.7999999999992418</v>
      </c>
      <c r="AT467" t="str">
        <f>IF(AND($AK467&gt;=Results!$G$13,$AK467&lt;=Results!$G$14),Curves!AR467,"")</f>
        <v/>
      </c>
      <c r="AU467" t="str">
        <f>IF(AND($AK467&gt;=Results!$G$13,$AK467&lt;=Results!$G$14),Curves!AS467,"")</f>
        <v/>
      </c>
      <c r="AV467" t="str">
        <f t="shared" si="333"/>
        <v/>
      </c>
      <c r="AW467" t="str">
        <f>IF(AND($AK467&lt;=Results!$I$21,$AK467&gt;=Results!$I$20,$AK467&lt;=Results!$F$4),$AN467,"")</f>
        <v/>
      </c>
      <c r="AX467">
        <f t="shared" si="333"/>
        <v>69.900000000000219</v>
      </c>
      <c r="AY467">
        <f>IF(AND($AK467&lt;=Results!$I$23,$AK467&gt;=Results!$I$22,$AK467&gt;=Results!$F$4),$AN467,"")</f>
        <v>1161.2999999999945</v>
      </c>
      <c r="AZ467" t="str">
        <f t="shared" si="312"/>
        <v/>
      </c>
      <c r="BA467" t="str">
        <f>IF(AND($AK467&lt;=Results!$I$27,$AK467&gt;=Results!$I$26,$AK467&lt;=Results!$F$4),$AQ467,"")</f>
        <v/>
      </c>
      <c r="BB467">
        <f t="shared" si="313"/>
        <v>69.900000000000219</v>
      </c>
      <c r="BC467">
        <f>IF(AND($AK467&lt;=Results!$I$29,$AK467&gt;=Results!$I$28,$AK467&gt;=Results!$F$4),$AQ467,"")</f>
        <v>1153.9999999999989</v>
      </c>
      <c r="BD467">
        <f t="shared" si="314"/>
        <v>7230.8615572627841</v>
      </c>
      <c r="BE467">
        <f t="shared" si="315"/>
        <v>1157.2724856653044</v>
      </c>
      <c r="BF467">
        <f t="shared" si="316"/>
        <v>8089.5503654261838</v>
      </c>
      <c r="BG467">
        <f t="shared" si="317"/>
        <v>1153.781166473542</v>
      </c>
      <c r="BH467">
        <f t="shared" si="318"/>
        <v>0</v>
      </c>
      <c r="BI467">
        <f t="shared" si="319"/>
        <v>6.6311933310159166E-4</v>
      </c>
      <c r="BJ467">
        <f t="shared" si="320"/>
        <v>3.1551442987831635E-5</v>
      </c>
      <c r="BK467" t="e">
        <f t="shared" si="321"/>
        <v>#DIV/0!</v>
      </c>
      <c r="BL467" t="e">
        <f t="shared" si="322"/>
        <v>#DIV/0!</v>
      </c>
      <c r="BM467" t="e">
        <f t="shared" si="334"/>
        <v>#DIV/0!</v>
      </c>
      <c r="BN467" t="e">
        <f t="shared" si="335"/>
        <v>#DIV/0!</v>
      </c>
      <c r="BO467" t="e">
        <f>Data!$H$2*(1-BI467)*(1-BI467/Data!$H$3)*BM467</f>
        <v>#DIV/0!</v>
      </c>
      <c r="BP467" t="e">
        <f t="shared" si="323"/>
        <v>#DIV/0!</v>
      </c>
      <c r="BQ467" t="e">
        <f>Data!$H$2*(1-BJ467)*(1-BJ467/Data!$H$3)*BN467</f>
        <v>#DIV/0!</v>
      </c>
      <c r="BR467" t="e">
        <f t="shared" si="324"/>
        <v>#DIV/0!</v>
      </c>
      <c r="BS467">
        <f t="shared" si="325"/>
        <v>0</v>
      </c>
      <c r="BT467">
        <f t="shared" si="326"/>
        <v>0</v>
      </c>
      <c r="BU467">
        <f t="shared" si="327"/>
        <v>0</v>
      </c>
      <c r="BV467">
        <f t="shared" si="310"/>
        <v>0</v>
      </c>
      <c r="BW467">
        <f t="shared" si="336"/>
        <v>0</v>
      </c>
      <c r="BX467" t="str">
        <f t="shared" si="337"/>
        <v/>
      </c>
      <c r="BY467" s="66" t="str">
        <f t="shared" si="328"/>
        <v/>
      </c>
      <c r="BZ467" t="str">
        <f t="shared" si="329"/>
        <v/>
      </c>
      <c r="CA467" s="67" t="str">
        <f t="shared" si="311"/>
        <v/>
      </c>
    </row>
    <row r="468" spans="4:79" x14ac:dyDescent="0.25">
      <c r="D468" s="3" t="e">
        <f t="shared" si="340"/>
        <v>#DIV/0!</v>
      </c>
      <c r="E468" s="3" t="e">
        <f t="shared" si="340"/>
        <v>#DIV/0!</v>
      </c>
      <c r="F468" t="str">
        <f>IF(A468&gt;0,IF(F467=1,1,IF(B468=Data!$H$4,1,0)),"")</f>
        <v/>
      </c>
      <c r="AA468" t="e">
        <f t="shared" si="308"/>
        <v>#VALUE!</v>
      </c>
      <c r="AE468" t="str">
        <f t="shared" si="309"/>
        <v/>
      </c>
      <c r="AK468" s="4">
        <f t="shared" si="338"/>
        <v>69.900000000000219</v>
      </c>
      <c r="AL468">
        <f t="shared" si="330"/>
        <v>5389.0000000000264</v>
      </c>
      <c r="AM468">
        <f t="shared" si="331"/>
        <v>1150.2166666666619</v>
      </c>
      <c r="AN468">
        <f>IF($AK467+$AK$1&lt;=Data!$H$4-0.5,AVERAGE(AM466:AM470),AN467)</f>
        <v>1161.2999999999945</v>
      </c>
      <c r="AO468">
        <f t="shared" si="332"/>
        <v>5416.9999999999654</v>
      </c>
      <c r="AP468">
        <f t="shared" si="339"/>
        <v>1151.4999999999989</v>
      </c>
      <c r="AQ468">
        <f>IF($AK467+$AK$1&lt;=Data!$H$4-0.5,AVERAGE(AP466:AP470),AQ467)</f>
        <v>1153.9999999999989</v>
      </c>
      <c r="AR468">
        <f>IF($AK467+$AK$1&lt;=Data!$H$4-0.5,SLOPE($AN464:$AN472,$AK464:$AK472),AR467)</f>
        <v>-11.349999999999836</v>
      </c>
      <c r="AS468">
        <f>IF($AK467+$AK$1&lt;=Data!$H$4-0.5,SLOPE($AQ464:$AQ472,$AK464:$AK472),AS467)</f>
        <v>-2.7999999999992418</v>
      </c>
      <c r="AT468" t="str">
        <f>IF(AND($AK468&gt;=Results!$G$13,$AK468&lt;=Results!$G$14),Curves!AR468,"")</f>
        <v/>
      </c>
      <c r="AU468" t="str">
        <f>IF(AND($AK468&gt;=Results!$G$13,$AK468&lt;=Results!$G$14),Curves!AS468,"")</f>
        <v/>
      </c>
      <c r="AV468" t="str">
        <f t="shared" si="333"/>
        <v/>
      </c>
      <c r="AW468" t="str">
        <f>IF(AND($AK468&lt;=Results!$I$21,$AK468&gt;=Results!$I$20,$AK468&lt;=Results!$F$4),$AN468,"")</f>
        <v/>
      </c>
      <c r="AX468">
        <f t="shared" si="333"/>
        <v>69.900000000000219</v>
      </c>
      <c r="AY468">
        <f>IF(AND($AK468&lt;=Results!$I$23,$AK468&gt;=Results!$I$22,$AK468&gt;=Results!$F$4),$AN468,"")</f>
        <v>1161.2999999999945</v>
      </c>
      <c r="AZ468" t="str">
        <f t="shared" si="312"/>
        <v/>
      </c>
      <c r="BA468" t="str">
        <f>IF(AND($AK468&lt;=Results!$I$27,$AK468&gt;=Results!$I$26,$AK468&lt;=Results!$F$4),$AQ468,"")</f>
        <v/>
      </c>
      <c r="BB468">
        <f t="shared" si="313"/>
        <v>69.900000000000219</v>
      </c>
      <c r="BC468">
        <f>IF(AND($AK468&lt;=Results!$I$29,$AK468&gt;=Results!$I$28,$AK468&gt;=Results!$F$4),$AQ468,"")</f>
        <v>1153.9999999999989</v>
      </c>
      <c r="BD468">
        <f t="shared" si="314"/>
        <v>7230.8615572627841</v>
      </c>
      <c r="BE468">
        <f t="shared" si="315"/>
        <v>1157.2724856653044</v>
      </c>
      <c r="BF468">
        <f t="shared" si="316"/>
        <v>8089.5503654261838</v>
      </c>
      <c r="BG468">
        <f t="shared" si="317"/>
        <v>1153.781166473542</v>
      </c>
      <c r="BH468">
        <f t="shared" si="318"/>
        <v>0</v>
      </c>
      <c r="BI468">
        <f t="shared" si="319"/>
        <v>6.6311933310159166E-4</v>
      </c>
      <c r="BJ468">
        <f t="shared" si="320"/>
        <v>3.1551442987831635E-5</v>
      </c>
      <c r="BK468" t="e">
        <f t="shared" si="321"/>
        <v>#DIV/0!</v>
      </c>
      <c r="BL468" t="e">
        <f t="shared" si="322"/>
        <v>#DIV/0!</v>
      </c>
      <c r="BM468" t="e">
        <f t="shared" si="334"/>
        <v>#DIV/0!</v>
      </c>
      <c r="BN468" t="e">
        <f t="shared" si="335"/>
        <v>#DIV/0!</v>
      </c>
      <c r="BO468" t="e">
        <f>Data!$H$2*(1-BI468)*(1-BI468/Data!$H$3)*BM468</f>
        <v>#DIV/0!</v>
      </c>
      <c r="BP468" t="e">
        <f t="shared" si="323"/>
        <v>#DIV/0!</v>
      </c>
      <c r="BQ468" t="e">
        <f>Data!$H$2*(1-BJ468)*(1-BJ468/Data!$H$3)*BN468</f>
        <v>#DIV/0!</v>
      </c>
      <c r="BR468" t="e">
        <f t="shared" si="324"/>
        <v>#DIV/0!</v>
      </c>
      <c r="BS468">
        <f t="shared" si="325"/>
        <v>0</v>
      </c>
      <c r="BT468">
        <f t="shared" si="326"/>
        <v>0</v>
      </c>
      <c r="BU468">
        <f t="shared" si="327"/>
        <v>0</v>
      </c>
      <c r="BV468">
        <f t="shared" si="310"/>
        <v>0</v>
      </c>
      <c r="BW468">
        <f t="shared" si="336"/>
        <v>0</v>
      </c>
      <c r="BX468" t="str">
        <f t="shared" si="337"/>
        <v/>
      </c>
      <c r="BY468" s="66" t="str">
        <f t="shared" si="328"/>
        <v/>
      </c>
      <c r="BZ468" t="str">
        <f t="shared" si="329"/>
        <v/>
      </c>
      <c r="CA468" s="67" t="str">
        <f t="shared" si="311"/>
        <v/>
      </c>
    </row>
    <row r="469" spans="4:79" x14ac:dyDescent="0.25">
      <c r="D469" s="3" t="e">
        <f t="shared" si="340"/>
        <v>#DIV/0!</v>
      </c>
      <c r="E469" s="3" t="e">
        <f t="shared" si="340"/>
        <v>#DIV/0!</v>
      </c>
      <c r="F469" t="str">
        <f>IF(A469&gt;0,IF(F468=1,1,IF(B469=Data!$H$4,1,0)),"")</f>
        <v/>
      </c>
      <c r="AA469" t="e">
        <f t="shared" si="308"/>
        <v>#VALUE!</v>
      </c>
      <c r="AE469" t="str">
        <f t="shared" si="309"/>
        <v/>
      </c>
      <c r="AK469" s="4">
        <f t="shared" si="338"/>
        <v>69.900000000000219</v>
      </c>
      <c r="AL469">
        <f t="shared" si="330"/>
        <v>5389.0000000000264</v>
      </c>
      <c r="AM469">
        <f t="shared" si="331"/>
        <v>1150.2166666666619</v>
      </c>
      <c r="AN469">
        <f>IF($AK468+$AK$1&lt;=Data!$H$4-0.5,AVERAGE(AM467:AM471),AN468)</f>
        <v>1161.2999999999945</v>
      </c>
      <c r="AO469">
        <f t="shared" si="332"/>
        <v>5416.9999999999654</v>
      </c>
      <c r="AP469">
        <f t="shared" si="339"/>
        <v>1151.4999999999989</v>
      </c>
      <c r="AQ469">
        <f>IF($AK468+$AK$1&lt;=Data!$H$4-0.5,AVERAGE(AP467:AP471),AQ468)</f>
        <v>1153.9999999999989</v>
      </c>
      <c r="AR469">
        <f>IF($AK468+$AK$1&lt;=Data!$H$4-0.5,SLOPE($AN465:$AN473,$AK465:$AK473),AR468)</f>
        <v>-11.349999999999836</v>
      </c>
      <c r="AS469">
        <f>IF($AK468+$AK$1&lt;=Data!$H$4-0.5,SLOPE($AQ465:$AQ473,$AK465:$AK473),AS468)</f>
        <v>-2.7999999999992418</v>
      </c>
      <c r="AT469" t="str">
        <f>IF(AND($AK469&gt;=Results!$G$13,$AK469&lt;=Results!$G$14),Curves!AR469,"")</f>
        <v/>
      </c>
      <c r="AU469" t="str">
        <f>IF(AND($AK469&gt;=Results!$G$13,$AK469&lt;=Results!$G$14),Curves!AS469,"")</f>
        <v/>
      </c>
      <c r="AV469" t="str">
        <f t="shared" si="333"/>
        <v/>
      </c>
      <c r="AW469" t="str">
        <f>IF(AND($AK469&lt;=Results!$I$21,$AK469&gt;=Results!$I$20,$AK469&lt;=Results!$F$4),$AN469,"")</f>
        <v/>
      </c>
      <c r="AX469">
        <f t="shared" si="333"/>
        <v>69.900000000000219</v>
      </c>
      <c r="AY469">
        <f>IF(AND($AK469&lt;=Results!$I$23,$AK469&gt;=Results!$I$22,$AK469&gt;=Results!$F$4),$AN469,"")</f>
        <v>1161.2999999999945</v>
      </c>
      <c r="AZ469" t="str">
        <f t="shared" si="312"/>
        <v/>
      </c>
      <c r="BA469" t="str">
        <f>IF(AND($AK469&lt;=Results!$I$27,$AK469&gt;=Results!$I$26,$AK469&lt;=Results!$F$4),$AQ469,"")</f>
        <v/>
      </c>
      <c r="BB469">
        <f t="shared" si="313"/>
        <v>69.900000000000219</v>
      </c>
      <c r="BC469">
        <f>IF(AND($AK469&lt;=Results!$I$29,$AK469&gt;=Results!$I$28,$AK469&gt;=Results!$F$4),$AQ469,"")</f>
        <v>1153.9999999999989</v>
      </c>
      <c r="BD469">
        <f t="shared" si="314"/>
        <v>7230.8615572627841</v>
      </c>
      <c r="BE469">
        <f t="shared" si="315"/>
        <v>1157.2724856653044</v>
      </c>
      <c r="BF469">
        <f t="shared" si="316"/>
        <v>8089.5503654261838</v>
      </c>
      <c r="BG469">
        <f t="shared" si="317"/>
        <v>1153.781166473542</v>
      </c>
      <c r="BH469">
        <f t="shared" si="318"/>
        <v>0</v>
      </c>
      <c r="BI469">
        <f t="shared" si="319"/>
        <v>6.6311933310159166E-4</v>
      </c>
      <c r="BJ469">
        <f t="shared" si="320"/>
        <v>3.1551442987831635E-5</v>
      </c>
      <c r="BK469" t="e">
        <f t="shared" si="321"/>
        <v>#DIV/0!</v>
      </c>
      <c r="BL469" t="e">
        <f t="shared" si="322"/>
        <v>#DIV/0!</v>
      </c>
      <c r="BM469" t="e">
        <f t="shared" si="334"/>
        <v>#DIV/0!</v>
      </c>
      <c r="BN469" t="e">
        <f t="shared" si="335"/>
        <v>#DIV/0!</v>
      </c>
      <c r="BO469" t="e">
        <f>Data!$H$2*(1-BI469)*(1-BI469/Data!$H$3)*BM469</f>
        <v>#DIV/0!</v>
      </c>
      <c r="BP469" t="e">
        <f t="shared" si="323"/>
        <v>#DIV/0!</v>
      </c>
      <c r="BQ469" t="e">
        <f>Data!$H$2*(1-BJ469)*(1-BJ469/Data!$H$3)*BN469</f>
        <v>#DIV/0!</v>
      </c>
      <c r="BR469" t="e">
        <f t="shared" si="324"/>
        <v>#DIV/0!</v>
      </c>
      <c r="BS469">
        <f t="shared" si="325"/>
        <v>0</v>
      </c>
      <c r="BT469">
        <f t="shared" si="326"/>
        <v>0</v>
      </c>
      <c r="BU469">
        <f t="shared" si="327"/>
        <v>0</v>
      </c>
      <c r="BV469">
        <f t="shared" si="310"/>
        <v>0</v>
      </c>
      <c r="BW469">
        <f t="shared" si="336"/>
        <v>0</v>
      </c>
      <c r="BX469" t="str">
        <f t="shared" si="337"/>
        <v/>
      </c>
      <c r="BY469" s="66" t="str">
        <f t="shared" si="328"/>
        <v/>
      </c>
      <c r="BZ469" t="str">
        <f t="shared" si="329"/>
        <v/>
      </c>
      <c r="CA469" s="67" t="str">
        <f t="shared" si="311"/>
        <v/>
      </c>
    </row>
    <row r="470" spans="4:79" x14ac:dyDescent="0.25">
      <c r="D470" s="3" t="e">
        <f t="shared" si="340"/>
        <v>#DIV/0!</v>
      </c>
      <c r="E470" s="3" t="e">
        <f t="shared" si="340"/>
        <v>#DIV/0!</v>
      </c>
      <c r="F470" t="str">
        <f>IF(A470&gt;0,IF(F469=1,1,IF(B470=Data!$H$4,1,0)),"")</f>
        <v/>
      </c>
      <c r="AA470" t="e">
        <f t="shared" si="308"/>
        <v>#VALUE!</v>
      </c>
      <c r="AE470" t="str">
        <f t="shared" si="309"/>
        <v/>
      </c>
      <c r="AK470" s="4">
        <f t="shared" si="338"/>
        <v>69.900000000000219</v>
      </c>
      <c r="AL470">
        <f t="shared" si="330"/>
        <v>5389.0000000000264</v>
      </c>
      <c r="AM470">
        <f t="shared" si="331"/>
        <v>1150.2166666666619</v>
      </c>
      <c r="AN470">
        <f>IF($AK469+$AK$1&lt;=Data!$H$4-0.5,AVERAGE(AM468:AM472),AN469)</f>
        <v>1161.2999999999945</v>
      </c>
      <c r="AO470">
        <f t="shared" si="332"/>
        <v>5416.9999999999654</v>
      </c>
      <c r="AP470">
        <f t="shared" si="339"/>
        <v>1151.4999999999989</v>
      </c>
      <c r="AQ470">
        <f>IF($AK469+$AK$1&lt;=Data!$H$4-0.5,AVERAGE(AP468:AP472),AQ469)</f>
        <v>1153.9999999999989</v>
      </c>
      <c r="AR470">
        <f>IF($AK469+$AK$1&lt;=Data!$H$4-0.5,SLOPE($AN466:$AN474,$AK466:$AK474),AR469)</f>
        <v>-11.349999999999836</v>
      </c>
      <c r="AS470">
        <f>IF($AK469+$AK$1&lt;=Data!$H$4-0.5,SLOPE($AQ466:$AQ474,$AK466:$AK474),AS469)</f>
        <v>-2.7999999999992418</v>
      </c>
      <c r="AT470" t="str">
        <f>IF(AND($AK470&gt;=Results!$G$13,$AK470&lt;=Results!$G$14),Curves!AR470,"")</f>
        <v/>
      </c>
      <c r="AU470" t="str">
        <f>IF(AND($AK470&gt;=Results!$G$13,$AK470&lt;=Results!$G$14),Curves!AS470,"")</f>
        <v/>
      </c>
      <c r="AV470" t="str">
        <f t="shared" si="333"/>
        <v/>
      </c>
      <c r="AW470" t="str">
        <f>IF(AND($AK470&lt;=Results!$I$21,$AK470&gt;=Results!$I$20,$AK470&lt;=Results!$F$4),$AN470,"")</f>
        <v/>
      </c>
      <c r="AX470">
        <f t="shared" si="333"/>
        <v>69.900000000000219</v>
      </c>
      <c r="AY470">
        <f>IF(AND($AK470&lt;=Results!$I$23,$AK470&gt;=Results!$I$22,$AK470&gt;=Results!$F$4),$AN470,"")</f>
        <v>1161.2999999999945</v>
      </c>
      <c r="AZ470" t="str">
        <f t="shared" si="312"/>
        <v/>
      </c>
      <c r="BA470" t="str">
        <f>IF(AND($AK470&lt;=Results!$I$27,$AK470&gt;=Results!$I$26,$AK470&lt;=Results!$F$4),$AQ470,"")</f>
        <v/>
      </c>
      <c r="BB470">
        <f t="shared" si="313"/>
        <v>69.900000000000219</v>
      </c>
      <c r="BC470">
        <f>IF(AND($AK470&lt;=Results!$I$29,$AK470&gt;=Results!$I$28,$AK470&gt;=Results!$F$4),$AQ470,"")</f>
        <v>1153.9999999999989</v>
      </c>
      <c r="BD470">
        <f t="shared" si="314"/>
        <v>7230.8615572627841</v>
      </c>
      <c r="BE470">
        <f t="shared" si="315"/>
        <v>1157.2724856653044</v>
      </c>
      <c r="BF470">
        <f t="shared" si="316"/>
        <v>8089.5503654261838</v>
      </c>
      <c r="BG470">
        <f t="shared" si="317"/>
        <v>1153.781166473542</v>
      </c>
      <c r="BH470">
        <f t="shared" si="318"/>
        <v>0</v>
      </c>
      <c r="BI470">
        <f t="shared" si="319"/>
        <v>6.6311933310159166E-4</v>
      </c>
      <c r="BJ470">
        <f t="shared" si="320"/>
        <v>3.1551442987831635E-5</v>
      </c>
      <c r="BK470" t="e">
        <f t="shared" si="321"/>
        <v>#DIV/0!</v>
      </c>
      <c r="BL470" t="e">
        <f t="shared" si="322"/>
        <v>#DIV/0!</v>
      </c>
      <c r="BM470" t="e">
        <f t="shared" si="334"/>
        <v>#DIV/0!</v>
      </c>
      <c r="BN470" t="e">
        <f t="shared" si="335"/>
        <v>#DIV/0!</v>
      </c>
      <c r="BO470" t="e">
        <f>Data!$H$2*(1-BI470)*(1-BI470/Data!$H$3)*BM470</f>
        <v>#DIV/0!</v>
      </c>
      <c r="BP470" t="e">
        <f t="shared" si="323"/>
        <v>#DIV/0!</v>
      </c>
      <c r="BQ470" t="e">
        <f>Data!$H$2*(1-BJ470)*(1-BJ470/Data!$H$3)*BN470</f>
        <v>#DIV/0!</v>
      </c>
      <c r="BR470" t="e">
        <f t="shared" si="324"/>
        <v>#DIV/0!</v>
      </c>
      <c r="BS470">
        <f t="shared" si="325"/>
        <v>0</v>
      </c>
      <c r="BT470">
        <f t="shared" si="326"/>
        <v>0</v>
      </c>
      <c r="BU470">
        <f t="shared" si="327"/>
        <v>0</v>
      </c>
      <c r="BV470">
        <f t="shared" si="310"/>
        <v>0</v>
      </c>
      <c r="BW470">
        <f t="shared" si="336"/>
        <v>0</v>
      </c>
      <c r="BX470" t="str">
        <f t="shared" si="337"/>
        <v/>
      </c>
      <c r="BY470" s="66" t="str">
        <f t="shared" si="328"/>
        <v/>
      </c>
      <c r="BZ470" t="str">
        <f t="shared" si="329"/>
        <v/>
      </c>
      <c r="CA470" s="67" t="str">
        <f t="shared" si="311"/>
        <v/>
      </c>
    </row>
    <row r="471" spans="4:79" x14ac:dyDescent="0.25">
      <c r="D471" s="3" t="e">
        <f t="shared" si="340"/>
        <v>#DIV/0!</v>
      </c>
      <c r="E471" s="3" t="e">
        <f t="shared" si="340"/>
        <v>#DIV/0!</v>
      </c>
      <c r="F471" t="str">
        <f>IF(A471&gt;0,IF(F470=1,1,IF(B471=Data!$H$4,1,0)),"")</f>
        <v/>
      </c>
      <c r="AA471" t="e">
        <f t="shared" si="308"/>
        <v>#VALUE!</v>
      </c>
      <c r="AE471" t="str">
        <f t="shared" si="309"/>
        <v/>
      </c>
      <c r="AK471" s="4">
        <f t="shared" si="338"/>
        <v>69.900000000000219</v>
      </c>
      <c r="AL471">
        <f t="shared" si="330"/>
        <v>5389.0000000000264</v>
      </c>
      <c r="AM471">
        <f t="shared" si="331"/>
        <v>1150.2166666666619</v>
      </c>
      <c r="AN471">
        <f>IF($AK470+$AK$1&lt;=Data!$H$4-0.5,AVERAGE(AM469:AM473),AN470)</f>
        <v>1161.2999999999945</v>
      </c>
      <c r="AO471">
        <f t="shared" si="332"/>
        <v>5416.9999999999654</v>
      </c>
      <c r="AP471">
        <f t="shared" si="339"/>
        <v>1151.4999999999989</v>
      </c>
      <c r="AQ471">
        <f>IF($AK470+$AK$1&lt;=Data!$H$4-0.5,AVERAGE(AP469:AP473),AQ470)</f>
        <v>1153.9999999999989</v>
      </c>
      <c r="AR471">
        <f>IF($AK470+$AK$1&lt;=Data!$H$4-0.5,SLOPE($AN467:$AN475,$AK467:$AK475),AR470)</f>
        <v>-11.349999999999836</v>
      </c>
      <c r="AS471">
        <f>IF($AK470+$AK$1&lt;=Data!$H$4-0.5,SLOPE($AQ467:$AQ475,$AK467:$AK475),AS470)</f>
        <v>-2.7999999999992418</v>
      </c>
      <c r="AT471" t="str">
        <f>IF(AND($AK471&gt;=Results!$G$13,$AK471&lt;=Results!$G$14),Curves!AR471,"")</f>
        <v/>
      </c>
      <c r="AU471" t="str">
        <f>IF(AND($AK471&gt;=Results!$G$13,$AK471&lt;=Results!$G$14),Curves!AS471,"")</f>
        <v/>
      </c>
      <c r="AV471" t="str">
        <f t="shared" si="333"/>
        <v/>
      </c>
      <c r="AW471" t="str">
        <f>IF(AND($AK471&lt;=Results!$I$21,$AK471&gt;=Results!$I$20,$AK471&lt;=Results!$F$4),$AN471,"")</f>
        <v/>
      </c>
      <c r="AX471">
        <f t="shared" si="333"/>
        <v>69.900000000000219</v>
      </c>
      <c r="AY471">
        <f>IF(AND($AK471&lt;=Results!$I$23,$AK471&gt;=Results!$I$22,$AK471&gt;=Results!$F$4),$AN471,"")</f>
        <v>1161.2999999999945</v>
      </c>
      <c r="AZ471" t="str">
        <f t="shared" si="312"/>
        <v/>
      </c>
      <c r="BA471" t="str">
        <f>IF(AND($AK471&lt;=Results!$I$27,$AK471&gt;=Results!$I$26,$AK471&lt;=Results!$F$4),$AQ471,"")</f>
        <v/>
      </c>
      <c r="BB471">
        <f t="shared" si="313"/>
        <v>69.900000000000219</v>
      </c>
      <c r="BC471">
        <f>IF(AND($AK471&lt;=Results!$I$29,$AK471&gt;=Results!$I$28,$AK471&gt;=Results!$F$4),$AQ471,"")</f>
        <v>1153.9999999999989</v>
      </c>
      <c r="BD471">
        <f t="shared" si="314"/>
        <v>7230.8615572627841</v>
      </c>
      <c r="BE471">
        <f t="shared" si="315"/>
        <v>1157.2724856653044</v>
      </c>
      <c r="BF471">
        <f t="shared" si="316"/>
        <v>8089.5503654261838</v>
      </c>
      <c r="BG471">
        <f t="shared" si="317"/>
        <v>1153.781166473542</v>
      </c>
      <c r="BH471">
        <f t="shared" si="318"/>
        <v>0</v>
      </c>
      <c r="BI471">
        <f t="shared" si="319"/>
        <v>6.6311933310159166E-4</v>
      </c>
      <c r="BJ471">
        <f t="shared" si="320"/>
        <v>3.1551442987831635E-5</v>
      </c>
      <c r="BK471" t="e">
        <f t="shared" si="321"/>
        <v>#DIV/0!</v>
      </c>
      <c r="BL471" t="e">
        <f t="shared" si="322"/>
        <v>#DIV/0!</v>
      </c>
      <c r="BM471" t="e">
        <f t="shared" si="334"/>
        <v>#DIV/0!</v>
      </c>
      <c r="BN471" t="e">
        <f t="shared" si="335"/>
        <v>#DIV/0!</v>
      </c>
      <c r="BO471" t="e">
        <f>Data!$H$2*(1-BI471)*(1-BI471/Data!$H$3)*BM471</f>
        <v>#DIV/0!</v>
      </c>
      <c r="BP471" t="e">
        <f t="shared" si="323"/>
        <v>#DIV/0!</v>
      </c>
      <c r="BQ471" t="e">
        <f>Data!$H$2*(1-BJ471)*(1-BJ471/Data!$H$3)*BN471</f>
        <v>#DIV/0!</v>
      </c>
      <c r="BR471" t="e">
        <f t="shared" si="324"/>
        <v>#DIV/0!</v>
      </c>
      <c r="BS471">
        <f t="shared" si="325"/>
        <v>0</v>
      </c>
      <c r="BT471">
        <f t="shared" si="326"/>
        <v>0</v>
      </c>
      <c r="BU471">
        <f t="shared" si="327"/>
        <v>0</v>
      </c>
      <c r="BV471">
        <f t="shared" si="310"/>
        <v>0</v>
      </c>
      <c r="BW471">
        <f t="shared" si="336"/>
        <v>0</v>
      </c>
      <c r="BX471" t="str">
        <f t="shared" si="337"/>
        <v/>
      </c>
      <c r="BY471" s="66" t="str">
        <f t="shared" si="328"/>
        <v/>
      </c>
      <c r="BZ471" t="str">
        <f t="shared" si="329"/>
        <v/>
      </c>
      <c r="CA471" s="67" t="str">
        <f t="shared" si="311"/>
        <v/>
      </c>
    </row>
    <row r="472" spans="4:79" x14ac:dyDescent="0.25">
      <c r="D472" s="3" t="e">
        <f t="shared" si="340"/>
        <v>#DIV/0!</v>
      </c>
      <c r="E472" s="3" t="e">
        <f t="shared" si="340"/>
        <v>#DIV/0!</v>
      </c>
      <c r="F472" t="str">
        <f>IF(A472&gt;0,IF(F471=1,1,IF(B472=Data!$H$4,1,0)),"")</f>
        <v/>
      </c>
      <c r="AA472" t="e">
        <f t="shared" si="308"/>
        <v>#VALUE!</v>
      </c>
      <c r="AE472" t="str">
        <f t="shared" si="309"/>
        <v/>
      </c>
      <c r="AK472" s="4">
        <f t="shared" si="338"/>
        <v>69.900000000000219</v>
      </c>
      <c r="AL472">
        <f t="shared" si="330"/>
        <v>5389.0000000000264</v>
      </c>
      <c r="AM472">
        <f t="shared" si="331"/>
        <v>1150.2166666666619</v>
      </c>
      <c r="AN472">
        <f>IF($AK471+$AK$1&lt;=Data!$H$4-0.5,AVERAGE(AM470:AM474),AN471)</f>
        <v>1161.2999999999945</v>
      </c>
      <c r="AO472">
        <f t="shared" si="332"/>
        <v>5416.9999999999654</v>
      </c>
      <c r="AP472">
        <f t="shared" si="339"/>
        <v>1151.4999999999989</v>
      </c>
      <c r="AQ472">
        <f>IF($AK471+$AK$1&lt;=Data!$H$4-0.5,AVERAGE(AP470:AP474),AQ471)</f>
        <v>1153.9999999999989</v>
      </c>
      <c r="AR472">
        <f>IF($AK471+$AK$1&lt;=Data!$H$4-0.5,SLOPE($AN468:$AN476,$AK468:$AK476),AR471)</f>
        <v>-11.349999999999836</v>
      </c>
      <c r="AS472">
        <f>IF($AK471+$AK$1&lt;=Data!$H$4-0.5,SLOPE($AQ468:$AQ476,$AK468:$AK476),AS471)</f>
        <v>-2.7999999999992418</v>
      </c>
      <c r="AT472" t="str">
        <f>IF(AND($AK472&gt;=Results!$G$13,$AK472&lt;=Results!$G$14),Curves!AR472,"")</f>
        <v/>
      </c>
      <c r="AU472" t="str">
        <f>IF(AND($AK472&gt;=Results!$G$13,$AK472&lt;=Results!$G$14),Curves!AS472,"")</f>
        <v/>
      </c>
      <c r="AV472" t="str">
        <f t="shared" si="333"/>
        <v/>
      </c>
      <c r="AW472" t="str">
        <f>IF(AND($AK472&lt;=Results!$I$21,$AK472&gt;=Results!$I$20,$AK472&lt;=Results!$F$4),$AN472,"")</f>
        <v/>
      </c>
      <c r="AX472">
        <f t="shared" si="333"/>
        <v>69.900000000000219</v>
      </c>
      <c r="AY472">
        <f>IF(AND($AK472&lt;=Results!$I$23,$AK472&gt;=Results!$I$22,$AK472&gt;=Results!$F$4),$AN472,"")</f>
        <v>1161.2999999999945</v>
      </c>
      <c r="AZ472" t="str">
        <f t="shared" si="312"/>
        <v/>
      </c>
      <c r="BA472" t="str">
        <f>IF(AND($AK472&lt;=Results!$I$27,$AK472&gt;=Results!$I$26,$AK472&lt;=Results!$F$4),$AQ472,"")</f>
        <v/>
      </c>
      <c r="BB472">
        <f t="shared" si="313"/>
        <v>69.900000000000219</v>
      </c>
      <c r="BC472">
        <f>IF(AND($AK472&lt;=Results!$I$29,$AK472&gt;=Results!$I$28,$AK472&gt;=Results!$F$4),$AQ472,"")</f>
        <v>1153.9999999999989</v>
      </c>
      <c r="BD472">
        <f t="shared" si="314"/>
        <v>7230.8615572627841</v>
      </c>
      <c r="BE472">
        <f t="shared" si="315"/>
        <v>1157.2724856653044</v>
      </c>
      <c r="BF472">
        <f t="shared" si="316"/>
        <v>8089.5503654261838</v>
      </c>
      <c r="BG472">
        <f t="shared" si="317"/>
        <v>1153.781166473542</v>
      </c>
      <c r="BH472">
        <f t="shared" si="318"/>
        <v>0</v>
      </c>
      <c r="BI472">
        <f t="shared" si="319"/>
        <v>6.6311933310159166E-4</v>
      </c>
      <c r="BJ472">
        <f t="shared" si="320"/>
        <v>3.1551442987831635E-5</v>
      </c>
      <c r="BK472" t="e">
        <f t="shared" si="321"/>
        <v>#DIV/0!</v>
      </c>
      <c r="BL472" t="e">
        <f t="shared" si="322"/>
        <v>#DIV/0!</v>
      </c>
      <c r="BM472" t="e">
        <f t="shared" si="334"/>
        <v>#DIV/0!</v>
      </c>
      <c r="BN472" t="e">
        <f t="shared" si="335"/>
        <v>#DIV/0!</v>
      </c>
      <c r="BO472" t="e">
        <f>Data!$H$2*(1-BI472)*(1-BI472/Data!$H$3)*BM472</f>
        <v>#DIV/0!</v>
      </c>
      <c r="BP472" t="e">
        <f t="shared" si="323"/>
        <v>#DIV/0!</v>
      </c>
      <c r="BQ472" t="e">
        <f>Data!$H$2*(1-BJ472)*(1-BJ472/Data!$H$3)*BN472</f>
        <v>#DIV/0!</v>
      </c>
      <c r="BR472" t="e">
        <f t="shared" si="324"/>
        <v>#DIV/0!</v>
      </c>
      <c r="BS472">
        <f t="shared" si="325"/>
        <v>0</v>
      </c>
      <c r="BT472">
        <f t="shared" si="326"/>
        <v>0</v>
      </c>
      <c r="BU472">
        <f t="shared" si="327"/>
        <v>0</v>
      </c>
      <c r="BV472">
        <f t="shared" si="310"/>
        <v>0</v>
      </c>
      <c r="BW472">
        <f t="shared" si="336"/>
        <v>0</v>
      </c>
      <c r="BX472" t="str">
        <f t="shared" si="337"/>
        <v/>
      </c>
      <c r="BY472" s="66" t="str">
        <f t="shared" si="328"/>
        <v/>
      </c>
      <c r="BZ472" t="str">
        <f t="shared" si="329"/>
        <v/>
      </c>
      <c r="CA472" s="67" t="str">
        <f t="shared" si="311"/>
        <v/>
      </c>
    </row>
    <row r="473" spans="4:79" x14ac:dyDescent="0.25">
      <c r="D473" s="3" t="e">
        <f t="shared" si="340"/>
        <v>#DIV/0!</v>
      </c>
      <c r="E473" s="3" t="e">
        <f t="shared" si="340"/>
        <v>#DIV/0!</v>
      </c>
      <c r="F473" t="str">
        <f>IF(A473&gt;0,IF(F472=1,1,IF(B473=Data!$H$4,1,0)),"")</f>
        <v/>
      </c>
      <c r="AA473" t="e">
        <f t="shared" si="308"/>
        <v>#VALUE!</v>
      </c>
      <c r="AE473" t="str">
        <f t="shared" si="309"/>
        <v/>
      </c>
      <c r="AK473" s="4">
        <f t="shared" si="338"/>
        <v>69.900000000000219</v>
      </c>
      <c r="AL473">
        <f t="shared" si="330"/>
        <v>5389.0000000000264</v>
      </c>
      <c r="AM473">
        <f t="shared" si="331"/>
        <v>1150.2166666666619</v>
      </c>
      <c r="AN473">
        <f>IF($AK472+$AK$1&lt;=Data!$H$4-0.5,AVERAGE(AM471:AM475),AN472)</f>
        <v>1161.2999999999945</v>
      </c>
      <c r="AO473">
        <f t="shared" si="332"/>
        <v>5416.9999999999654</v>
      </c>
      <c r="AP473">
        <f t="shared" si="339"/>
        <v>1151.4999999999989</v>
      </c>
      <c r="AQ473">
        <f>IF($AK472+$AK$1&lt;=Data!$H$4-0.5,AVERAGE(AP471:AP475),AQ472)</f>
        <v>1153.9999999999989</v>
      </c>
      <c r="AR473">
        <f>IF($AK472+$AK$1&lt;=Data!$H$4-0.5,SLOPE($AN469:$AN477,$AK469:$AK477),AR472)</f>
        <v>-11.349999999999836</v>
      </c>
      <c r="AS473">
        <f>IF($AK472+$AK$1&lt;=Data!$H$4-0.5,SLOPE($AQ469:$AQ477,$AK469:$AK477),AS472)</f>
        <v>-2.7999999999992418</v>
      </c>
      <c r="AT473" t="str">
        <f>IF(AND($AK473&gt;=Results!$G$13,$AK473&lt;=Results!$G$14),Curves!AR473,"")</f>
        <v/>
      </c>
      <c r="AU473" t="str">
        <f>IF(AND($AK473&gt;=Results!$G$13,$AK473&lt;=Results!$G$14),Curves!AS473,"")</f>
        <v/>
      </c>
      <c r="AV473" t="str">
        <f t="shared" si="333"/>
        <v/>
      </c>
      <c r="AW473" t="str">
        <f>IF(AND($AK473&lt;=Results!$I$21,$AK473&gt;=Results!$I$20,$AK473&lt;=Results!$F$4),$AN473,"")</f>
        <v/>
      </c>
      <c r="AX473">
        <f t="shared" si="333"/>
        <v>69.900000000000219</v>
      </c>
      <c r="AY473">
        <f>IF(AND($AK473&lt;=Results!$I$23,$AK473&gt;=Results!$I$22,$AK473&gt;=Results!$F$4),$AN473,"")</f>
        <v>1161.2999999999945</v>
      </c>
      <c r="AZ473" t="str">
        <f t="shared" si="312"/>
        <v/>
      </c>
      <c r="BA473" t="str">
        <f>IF(AND($AK473&lt;=Results!$I$27,$AK473&gt;=Results!$I$26,$AK473&lt;=Results!$F$4),$AQ473,"")</f>
        <v/>
      </c>
      <c r="BB473">
        <f t="shared" si="313"/>
        <v>69.900000000000219</v>
      </c>
      <c r="BC473">
        <f>IF(AND($AK473&lt;=Results!$I$29,$AK473&gt;=Results!$I$28,$AK473&gt;=Results!$F$4),$AQ473,"")</f>
        <v>1153.9999999999989</v>
      </c>
      <c r="BD473">
        <f t="shared" si="314"/>
        <v>7230.8615572627841</v>
      </c>
      <c r="BE473">
        <f t="shared" si="315"/>
        <v>1157.2724856653044</v>
      </c>
      <c r="BF473">
        <f t="shared" si="316"/>
        <v>8089.5503654261838</v>
      </c>
      <c r="BG473">
        <f t="shared" si="317"/>
        <v>1153.781166473542</v>
      </c>
      <c r="BH473">
        <f t="shared" si="318"/>
        <v>0</v>
      </c>
      <c r="BI473">
        <f t="shared" si="319"/>
        <v>6.6311933310159166E-4</v>
      </c>
      <c r="BJ473">
        <f t="shared" si="320"/>
        <v>3.1551442987831635E-5</v>
      </c>
      <c r="BK473" t="e">
        <f t="shared" si="321"/>
        <v>#DIV/0!</v>
      </c>
      <c r="BL473" t="e">
        <f t="shared" si="322"/>
        <v>#DIV/0!</v>
      </c>
      <c r="BM473" t="e">
        <f t="shared" si="334"/>
        <v>#DIV/0!</v>
      </c>
      <c r="BN473" t="e">
        <f t="shared" si="335"/>
        <v>#DIV/0!</v>
      </c>
      <c r="BO473" t="e">
        <f>Data!$H$2*(1-BI473)*(1-BI473/Data!$H$3)*BM473</f>
        <v>#DIV/0!</v>
      </c>
      <c r="BP473" t="e">
        <f t="shared" si="323"/>
        <v>#DIV/0!</v>
      </c>
      <c r="BQ473" t="e">
        <f>Data!$H$2*(1-BJ473)*(1-BJ473/Data!$H$3)*BN473</f>
        <v>#DIV/0!</v>
      </c>
      <c r="BR473" t="e">
        <f t="shared" si="324"/>
        <v>#DIV/0!</v>
      </c>
      <c r="BS473">
        <f t="shared" si="325"/>
        <v>0</v>
      </c>
      <c r="BT473">
        <f t="shared" si="326"/>
        <v>0</v>
      </c>
      <c r="BU473">
        <f t="shared" si="327"/>
        <v>0</v>
      </c>
      <c r="BV473">
        <f t="shared" si="310"/>
        <v>0</v>
      </c>
      <c r="BW473">
        <f t="shared" si="336"/>
        <v>0</v>
      </c>
      <c r="BX473" t="str">
        <f t="shared" si="337"/>
        <v/>
      </c>
      <c r="BY473" s="66" t="str">
        <f t="shared" si="328"/>
        <v/>
      </c>
      <c r="BZ473" t="str">
        <f t="shared" si="329"/>
        <v/>
      </c>
      <c r="CA473" s="67" t="str">
        <f t="shared" si="311"/>
        <v/>
      </c>
    </row>
    <row r="474" spans="4:79" x14ac:dyDescent="0.25">
      <c r="D474" s="3" t="e">
        <f t="shared" si="340"/>
        <v>#DIV/0!</v>
      </c>
      <c r="E474" s="3" t="e">
        <f t="shared" si="340"/>
        <v>#DIV/0!</v>
      </c>
      <c r="F474" t="str">
        <f>IF(A474&gt;0,IF(F473=1,1,IF(B474=Data!$H$4,1,0)),"")</f>
        <v/>
      </c>
      <c r="AA474" t="e">
        <f t="shared" si="308"/>
        <v>#VALUE!</v>
      </c>
      <c r="AE474" t="str">
        <f t="shared" si="309"/>
        <v/>
      </c>
      <c r="AK474" s="4">
        <f t="shared" si="338"/>
        <v>69.900000000000219</v>
      </c>
      <c r="AL474">
        <f t="shared" si="330"/>
        <v>5389.0000000000264</v>
      </c>
      <c r="AM474">
        <f t="shared" si="331"/>
        <v>1150.2166666666619</v>
      </c>
      <c r="AN474">
        <f>IF($AK473+$AK$1&lt;=Data!$H$4-0.5,AVERAGE(AM472:AM476),AN473)</f>
        <v>1161.2999999999945</v>
      </c>
      <c r="AO474">
        <f t="shared" si="332"/>
        <v>5416.9999999999654</v>
      </c>
      <c r="AP474">
        <f t="shared" si="339"/>
        <v>1151.4999999999989</v>
      </c>
      <c r="AQ474">
        <f>IF($AK473+$AK$1&lt;=Data!$H$4-0.5,AVERAGE(AP472:AP476),AQ473)</f>
        <v>1153.9999999999989</v>
      </c>
      <c r="AR474">
        <f>IF($AK473+$AK$1&lt;=Data!$H$4-0.5,SLOPE($AN470:$AN478,$AK470:$AK478),AR473)</f>
        <v>-11.349999999999836</v>
      </c>
      <c r="AS474">
        <f>IF($AK473+$AK$1&lt;=Data!$H$4-0.5,SLOPE($AQ470:$AQ478,$AK470:$AK478),AS473)</f>
        <v>-2.7999999999992418</v>
      </c>
      <c r="AT474" t="str">
        <f>IF(AND($AK474&gt;=Results!$G$13,$AK474&lt;=Results!$G$14),Curves!AR474,"")</f>
        <v/>
      </c>
      <c r="AU474" t="str">
        <f>IF(AND($AK474&gt;=Results!$G$13,$AK474&lt;=Results!$G$14),Curves!AS474,"")</f>
        <v/>
      </c>
      <c r="AV474" t="str">
        <f t="shared" si="333"/>
        <v/>
      </c>
      <c r="AW474" t="str">
        <f>IF(AND($AK474&lt;=Results!$I$21,$AK474&gt;=Results!$I$20,$AK474&lt;=Results!$F$4),$AN474,"")</f>
        <v/>
      </c>
      <c r="AX474">
        <f t="shared" si="333"/>
        <v>69.900000000000219</v>
      </c>
      <c r="AY474">
        <f>IF(AND($AK474&lt;=Results!$I$23,$AK474&gt;=Results!$I$22,$AK474&gt;=Results!$F$4),$AN474,"")</f>
        <v>1161.2999999999945</v>
      </c>
      <c r="AZ474" t="str">
        <f t="shared" si="312"/>
        <v/>
      </c>
      <c r="BA474" t="str">
        <f>IF(AND($AK474&lt;=Results!$I$27,$AK474&gt;=Results!$I$26,$AK474&lt;=Results!$F$4),$AQ474,"")</f>
        <v/>
      </c>
      <c r="BB474">
        <f t="shared" si="313"/>
        <v>69.900000000000219</v>
      </c>
      <c r="BC474">
        <f>IF(AND($AK474&lt;=Results!$I$29,$AK474&gt;=Results!$I$28,$AK474&gt;=Results!$F$4),$AQ474,"")</f>
        <v>1153.9999999999989</v>
      </c>
      <c r="BD474">
        <f t="shared" si="314"/>
        <v>7230.8615572627841</v>
      </c>
      <c r="BE474">
        <f t="shared" si="315"/>
        <v>1157.2724856653044</v>
      </c>
      <c r="BF474">
        <f t="shared" si="316"/>
        <v>8089.5503654261838</v>
      </c>
      <c r="BG474">
        <f t="shared" si="317"/>
        <v>1153.781166473542</v>
      </c>
      <c r="BH474">
        <f t="shared" si="318"/>
        <v>0</v>
      </c>
      <c r="BI474">
        <f t="shared" si="319"/>
        <v>6.6311933310159166E-4</v>
      </c>
      <c r="BJ474">
        <f t="shared" si="320"/>
        <v>3.1551442987831635E-5</v>
      </c>
      <c r="BK474" t="e">
        <f t="shared" si="321"/>
        <v>#DIV/0!</v>
      </c>
      <c r="BL474" t="e">
        <f t="shared" si="322"/>
        <v>#DIV/0!</v>
      </c>
      <c r="BM474" t="e">
        <f t="shared" si="334"/>
        <v>#DIV/0!</v>
      </c>
      <c r="BN474" t="e">
        <f t="shared" si="335"/>
        <v>#DIV/0!</v>
      </c>
      <c r="BO474" t="e">
        <f>Data!$H$2*(1-BI474)*(1-BI474/Data!$H$3)*BM474</f>
        <v>#DIV/0!</v>
      </c>
      <c r="BP474" t="e">
        <f t="shared" si="323"/>
        <v>#DIV/0!</v>
      </c>
      <c r="BQ474" t="e">
        <f>Data!$H$2*(1-BJ474)*(1-BJ474/Data!$H$3)*BN474</f>
        <v>#DIV/0!</v>
      </c>
      <c r="BR474" t="e">
        <f t="shared" si="324"/>
        <v>#DIV/0!</v>
      </c>
      <c r="BS474">
        <f t="shared" si="325"/>
        <v>0</v>
      </c>
      <c r="BT474">
        <f t="shared" si="326"/>
        <v>0</v>
      </c>
      <c r="BU474">
        <f t="shared" si="327"/>
        <v>0</v>
      </c>
      <c r="BV474">
        <f t="shared" si="310"/>
        <v>0</v>
      </c>
      <c r="BW474">
        <f t="shared" si="336"/>
        <v>0</v>
      </c>
      <c r="BX474" t="str">
        <f t="shared" si="337"/>
        <v/>
      </c>
      <c r="BY474" s="66" t="str">
        <f t="shared" si="328"/>
        <v/>
      </c>
      <c r="BZ474" t="str">
        <f t="shared" si="329"/>
        <v/>
      </c>
      <c r="CA474" s="67" t="str">
        <f t="shared" si="311"/>
        <v/>
      </c>
    </row>
    <row r="475" spans="4:79" x14ac:dyDescent="0.25">
      <c r="D475" s="3" t="e">
        <f t="shared" si="340"/>
        <v>#DIV/0!</v>
      </c>
      <c r="E475" s="3" t="e">
        <f t="shared" si="340"/>
        <v>#DIV/0!</v>
      </c>
      <c r="F475" t="str">
        <f>IF(A475&gt;0,IF(F474=1,1,IF(B475=Data!$H$4,1,0)),"")</f>
        <v/>
      </c>
      <c r="AA475" t="e">
        <f t="shared" si="308"/>
        <v>#VALUE!</v>
      </c>
      <c r="AE475" t="str">
        <f t="shared" si="309"/>
        <v/>
      </c>
      <c r="AK475" s="4">
        <f t="shared" si="338"/>
        <v>69.900000000000219</v>
      </c>
      <c r="AL475">
        <f t="shared" si="330"/>
        <v>5389.0000000000264</v>
      </c>
      <c r="AM475">
        <f t="shared" si="331"/>
        <v>1150.2166666666619</v>
      </c>
      <c r="AN475">
        <f>IF($AK474+$AK$1&lt;=Data!$H$4-0.5,AVERAGE(AM473:AM477),AN474)</f>
        <v>1161.2999999999945</v>
      </c>
      <c r="AO475">
        <f t="shared" si="332"/>
        <v>5416.9999999999654</v>
      </c>
      <c r="AP475">
        <f t="shared" si="339"/>
        <v>1151.4999999999989</v>
      </c>
      <c r="AQ475">
        <f>IF($AK474+$AK$1&lt;=Data!$H$4-0.5,AVERAGE(AP473:AP477),AQ474)</f>
        <v>1153.9999999999989</v>
      </c>
      <c r="AR475">
        <f>IF($AK474+$AK$1&lt;=Data!$H$4-0.5,SLOPE($AN471:$AN479,$AK471:$AK479),AR474)</f>
        <v>-11.349999999999836</v>
      </c>
      <c r="AS475">
        <f>IF($AK474+$AK$1&lt;=Data!$H$4-0.5,SLOPE($AQ471:$AQ479,$AK471:$AK479),AS474)</f>
        <v>-2.7999999999992418</v>
      </c>
      <c r="AT475" t="str">
        <f>IF(AND($AK475&gt;=Results!$G$13,$AK475&lt;=Results!$G$14),Curves!AR475,"")</f>
        <v/>
      </c>
      <c r="AU475" t="str">
        <f>IF(AND($AK475&gt;=Results!$G$13,$AK475&lt;=Results!$G$14),Curves!AS475,"")</f>
        <v/>
      </c>
      <c r="AV475" t="str">
        <f t="shared" si="333"/>
        <v/>
      </c>
      <c r="AW475" t="str">
        <f>IF(AND($AK475&lt;=Results!$I$21,$AK475&gt;=Results!$I$20,$AK475&lt;=Results!$F$4),$AN475,"")</f>
        <v/>
      </c>
      <c r="AX475">
        <f t="shared" si="333"/>
        <v>69.900000000000219</v>
      </c>
      <c r="AY475">
        <f>IF(AND($AK475&lt;=Results!$I$23,$AK475&gt;=Results!$I$22,$AK475&gt;=Results!$F$4),$AN475,"")</f>
        <v>1161.2999999999945</v>
      </c>
      <c r="AZ475" t="str">
        <f t="shared" si="312"/>
        <v/>
      </c>
      <c r="BA475" t="str">
        <f>IF(AND($AK475&lt;=Results!$I$27,$AK475&gt;=Results!$I$26,$AK475&lt;=Results!$F$4),$AQ475,"")</f>
        <v/>
      </c>
      <c r="BB475">
        <f t="shared" si="313"/>
        <v>69.900000000000219</v>
      </c>
      <c r="BC475">
        <f>IF(AND($AK475&lt;=Results!$I$29,$AK475&gt;=Results!$I$28,$AK475&gt;=Results!$F$4),$AQ475,"")</f>
        <v>1153.9999999999989</v>
      </c>
      <c r="BD475">
        <f t="shared" si="314"/>
        <v>7230.8615572627841</v>
      </c>
      <c r="BE475">
        <f t="shared" si="315"/>
        <v>1157.2724856653044</v>
      </c>
      <c r="BF475">
        <f t="shared" si="316"/>
        <v>8089.5503654261838</v>
      </c>
      <c r="BG475">
        <f t="shared" si="317"/>
        <v>1153.781166473542</v>
      </c>
      <c r="BH475">
        <f t="shared" si="318"/>
        <v>0</v>
      </c>
      <c r="BI475">
        <f t="shared" si="319"/>
        <v>6.6311933310159166E-4</v>
      </c>
      <c r="BJ475">
        <f t="shared" si="320"/>
        <v>3.1551442987831635E-5</v>
      </c>
      <c r="BK475" t="e">
        <f t="shared" si="321"/>
        <v>#DIV/0!</v>
      </c>
      <c r="BL475" t="e">
        <f t="shared" si="322"/>
        <v>#DIV/0!</v>
      </c>
      <c r="BM475" t="e">
        <f t="shared" si="334"/>
        <v>#DIV/0!</v>
      </c>
      <c r="BN475" t="e">
        <f t="shared" si="335"/>
        <v>#DIV/0!</v>
      </c>
      <c r="BO475" t="e">
        <f>Data!$H$2*(1-BI475)*(1-BI475/Data!$H$3)*BM475</f>
        <v>#DIV/0!</v>
      </c>
      <c r="BP475" t="e">
        <f t="shared" si="323"/>
        <v>#DIV/0!</v>
      </c>
      <c r="BQ475" t="e">
        <f>Data!$H$2*(1-BJ475)*(1-BJ475/Data!$H$3)*BN475</f>
        <v>#DIV/0!</v>
      </c>
      <c r="BR475" t="e">
        <f t="shared" si="324"/>
        <v>#DIV/0!</v>
      </c>
      <c r="BS475">
        <f t="shared" si="325"/>
        <v>0</v>
      </c>
      <c r="BT475">
        <f t="shared" si="326"/>
        <v>0</v>
      </c>
      <c r="BU475">
        <f t="shared" si="327"/>
        <v>0</v>
      </c>
      <c r="BV475">
        <f t="shared" si="310"/>
        <v>0</v>
      </c>
      <c r="BW475">
        <f t="shared" si="336"/>
        <v>0</v>
      </c>
      <c r="BX475" t="str">
        <f t="shared" si="337"/>
        <v/>
      </c>
      <c r="BY475" s="66" t="str">
        <f t="shared" si="328"/>
        <v/>
      </c>
      <c r="BZ475" t="str">
        <f t="shared" si="329"/>
        <v/>
      </c>
      <c r="CA475" s="67" t="str">
        <f t="shared" si="311"/>
        <v/>
      </c>
    </row>
    <row r="476" spans="4:79" x14ac:dyDescent="0.25">
      <c r="D476" s="3" t="e">
        <f t="shared" si="340"/>
        <v>#DIV/0!</v>
      </c>
      <c r="E476" s="3" t="e">
        <f t="shared" si="340"/>
        <v>#DIV/0!</v>
      </c>
      <c r="F476" t="str">
        <f>IF(A476&gt;0,IF(F475=1,1,IF(B476=Data!$H$4,1,0)),"")</f>
        <v/>
      </c>
      <c r="AA476" t="e">
        <f t="shared" si="308"/>
        <v>#VALUE!</v>
      </c>
      <c r="AE476" t="str">
        <f t="shared" si="309"/>
        <v/>
      </c>
      <c r="AK476" s="4">
        <f t="shared" si="338"/>
        <v>69.900000000000219</v>
      </c>
      <c r="AL476">
        <f t="shared" si="330"/>
        <v>5389.0000000000264</v>
      </c>
      <c r="AM476">
        <f t="shared" si="331"/>
        <v>1150.2166666666619</v>
      </c>
      <c r="AN476">
        <f>IF($AK475+$AK$1&lt;=Data!$H$4-0.5,AVERAGE(AM474:AM478),AN475)</f>
        <v>1161.2999999999945</v>
      </c>
      <c r="AO476">
        <f t="shared" si="332"/>
        <v>5416.9999999999654</v>
      </c>
      <c r="AP476">
        <f t="shared" si="339"/>
        <v>1151.4999999999989</v>
      </c>
      <c r="AQ476">
        <f>IF($AK475+$AK$1&lt;=Data!$H$4-0.5,AVERAGE(AP474:AP478),AQ475)</f>
        <v>1153.9999999999989</v>
      </c>
      <c r="AR476">
        <f>IF($AK475+$AK$1&lt;=Data!$H$4-0.5,SLOPE($AN472:$AN480,$AK472:$AK480),AR475)</f>
        <v>-11.349999999999836</v>
      </c>
      <c r="AS476">
        <f>IF($AK475+$AK$1&lt;=Data!$H$4-0.5,SLOPE($AQ472:$AQ480,$AK472:$AK480),AS475)</f>
        <v>-2.7999999999992418</v>
      </c>
      <c r="AT476" t="str">
        <f>IF(AND($AK476&gt;=Results!$G$13,$AK476&lt;=Results!$G$14),Curves!AR476,"")</f>
        <v/>
      </c>
      <c r="AU476" t="str">
        <f>IF(AND($AK476&gt;=Results!$G$13,$AK476&lt;=Results!$G$14),Curves!AS476,"")</f>
        <v/>
      </c>
      <c r="AV476" t="str">
        <f t="shared" si="333"/>
        <v/>
      </c>
      <c r="AW476" t="str">
        <f>IF(AND($AK476&lt;=Results!$I$21,$AK476&gt;=Results!$I$20,$AK476&lt;=Results!$F$4),$AN476,"")</f>
        <v/>
      </c>
      <c r="AX476">
        <f t="shared" si="333"/>
        <v>69.900000000000219</v>
      </c>
      <c r="AY476">
        <f>IF(AND($AK476&lt;=Results!$I$23,$AK476&gt;=Results!$I$22,$AK476&gt;=Results!$F$4),$AN476,"")</f>
        <v>1161.2999999999945</v>
      </c>
      <c r="AZ476" t="str">
        <f t="shared" si="312"/>
        <v/>
      </c>
      <c r="BA476" t="str">
        <f>IF(AND($AK476&lt;=Results!$I$27,$AK476&gt;=Results!$I$26,$AK476&lt;=Results!$F$4),$AQ476,"")</f>
        <v/>
      </c>
      <c r="BB476">
        <f t="shared" si="313"/>
        <v>69.900000000000219</v>
      </c>
      <c r="BC476">
        <f>IF(AND($AK476&lt;=Results!$I$29,$AK476&gt;=Results!$I$28,$AK476&gt;=Results!$F$4),$AQ476,"")</f>
        <v>1153.9999999999989</v>
      </c>
      <c r="BD476">
        <f t="shared" si="314"/>
        <v>7230.8615572627841</v>
      </c>
      <c r="BE476">
        <f t="shared" si="315"/>
        <v>1157.2724856653044</v>
      </c>
      <c r="BF476">
        <f t="shared" si="316"/>
        <v>8089.5503654261838</v>
      </c>
      <c r="BG476">
        <f t="shared" si="317"/>
        <v>1153.781166473542</v>
      </c>
      <c r="BH476">
        <f t="shared" si="318"/>
        <v>0</v>
      </c>
      <c r="BI476">
        <f t="shared" si="319"/>
        <v>6.6311933310159166E-4</v>
      </c>
      <c r="BJ476">
        <f t="shared" si="320"/>
        <v>3.1551442987831635E-5</v>
      </c>
      <c r="BK476" t="e">
        <f t="shared" si="321"/>
        <v>#DIV/0!</v>
      </c>
      <c r="BL476" t="e">
        <f t="shared" si="322"/>
        <v>#DIV/0!</v>
      </c>
      <c r="BM476" t="e">
        <f t="shared" si="334"/>
        <v>#DIV/0!</v>
      </c>
      <c r="BN476" t="e">
        <f t="shared" si="335"/>
        <v>#DIV/0!</v>
      </c>
      <c r="BO476" t="e">
        <f>Data!$H$2*(1-BI476)*(1-BI476/Data!$H$3)*BM476</f>
        <v>#DIV/0!</v>
      </c>
      <c r="BP476" t="e">
        <f t="shared" si="323"/>
        <v>#DIV/0!</v>
      </c>
      <c r="BQ476" t="e">
        <f>Data!$H$2*(1-BJ476)*(1-BJ476/Data!$H$3)*BN476</f>
        <v>#DIV/0!</v>
      </c>
      <c r="BR476" t="e">
        <f t="shared" si="324"/>
        <v>#DIV/0!</v>
      </c>
      <c r="BS476">
        <f t="shared" si="325"/>
        <v>0</v>
      </c>
      <c r="BT476">
        <f t="shared" si="326"/>
        <v>0</v>
      </c>
      <c r="BU476">
        <f t="shared" si="327"/>
        <v>0</v>
      </c>
      <c r="BV476">
        <f t="shared" si="310"/>
        <v>0</v>
      </c>
      <c r="BW476">
        <f t="shared" si="336"/>
        <v>0</v>
      </c>
      <c r="BX476" t="str">
        <f t="shared" si="337"/>
        <v/>
      </c>
      <c r="BY476" s="66" t="str">
        <f t="shared" si="328"/>
        <v/>
      </c>
      <c r="BZ476" t="str">
        <f t="shared" si="329"/>
        <v/>
      </c>
      <c r="CA476" s="67" t="str">
        <f t="shared" si="311"/>
        <v/>
      </c>
    </row>
    <row r="477" spans="4:79" x14ac:dyDescent="0.25">
      <c r="D477" s="3" t="e">
        <f t="shared" si="340"/>
        <v>#DIV/0!</v>
      </c>
      <c r="E477" s="3" t="e">
        <f t="shared" si="340"/>
        <v>#DIV/0!</v>
      </c>
      <c r="F477" t="str">
        <f>IF(A477&gt;0,IF(F476=1,1,IF(B477=Data!$H$4,1,0)),"")</f>
        <v/>
      </c>
      <c r="AA477" t="e">
        <f t="shared" si="308"/>
        <v>#VALUE!</v>
      </c>
      <c r="AE477" t="str">
        <f t="shared" si="309"/>
        <v/>
      </c>
      <c r="AK477" s="4">
        <f t="shared" si="338"/>
        <v>69.900000000000219</v>
      </c>
      <c r="AL477">
        <f t="shared" si="330"/>
        <v>5389.0000000000264</v>
      </c>
      <c r="AM477">
        <f t="shared" si="331"/>
        <v>1150.2166666666619</v>
      </c>
      <c r="AN477">
        <f>IF($AK476+$AK$1&lt;=Data!$H$4-0.5,AVERAGE(AM475:AM479),AN476)</f>
        <v>1161.2999999999945</v>
      </c>
      <c r="AO477">
        <f t="shared" si="332"/>
        <v>5416.9999999999654</v>
      </c>
      <c r="AP477">
        <f t="shared" si="339"/>
        <v>1151.4999999999989</v>
      </c>
      <c r="AQ477">
        <f>IF($AK476+$AK$1&lt;=Data!$H$4-0.5,AVERAGE(AP475:AP479),AQ476)</f>
        <v>1153.9999999999989</v>
      </c>
      <c r="AR477">
        <f>IF($AK476+$AK$1&lt;=Data!$H$4-0.5,SLOPE($AN473:$AN481,$AK473:$AK481),AR476)</f>
        <v>-11.349999999999836</v>
      </c>
      <c r="AS477">
        <f>IF($AK476+$AK$1&lt;=Data!$H$4-0.5,SLOPE($AQ473:$AQ481,$AK473:$AK481),AS476)</f>
        <v>-2.7999999999992418</v>
      </c>
      <c r="AT477" t="str">
        <f>IF(AND($AK477&gt;=Results!$G$13,$AK477&lt;=Results!$G$14),Curves!AR477,"")</f>
        <v/>
      </c>
      <c r="AU477" t="str">
        <f>IF(AND($AK477&gt;=Results!$G$13,$AK477&lt;=Results!$G$14),Curves!AS477,"")</f>
        <v/>
      </c>
      <c r="AV477" t="str">
        <f t="shared" si="333"/>
        <v/>
      </c>
      <c r="AW477" t="str">
        <f>IF(AND($AK477&lt;=Results!$I$21,$AK477&gt;=Results!$I$20,$AK477&lt;=Results!$F$4),$AN477,"")</f>
        <v/>
      </c>
      <c r="AX477">
        <f t="shared" si="333"/>
        <v>69.900000000000219</v>
      </c>
      <c r="AY477">
        <f>IF(AND($AK477&lt;=Results!$I$23,$AK477&gt;=Results!$I$22,$AK477&gt;=Results!$F$4),$AN477,"")</f>
        <v>1161.2999999999945</v>
      </c>
      <c r="AZ477" t="str">
        <f t="shared" si="312"/>
        <v/>
      </c>
      <c r="BA477" t="str">
        <f>IF(AND($AK477&lt;=Results!$I$27,$AK477&gt;=Results!$I$26,$AK477&lt;=Results!$F$4),$AQ477,"")</f>
        <v/>
      </c>
      <c r="BB477">
        <f t="shared" si="313"/>
        <v>69.900000000000219</v>
      </c>
      <c r="BC477">
        <f>IF(AND($AK477&lt;=Results!$I$29,$AK477&gt;=Results!$I$28,$AK477&gt;=Results!$F$4),$AQ477,"")</f>
        <v>1153.9999999999989</v>
      </c>
      <c r="BD477">
        <f t="shared" si="314"/>
        <v>7230.8615572627841</v>
      </c>
      <c r="BE477">
        <f t="shared" si="315"/>
        <v>1157.2724856653044</v>
      </c>
      <c r="BF477">
        <f t="shared" si="316"/>
        <v>8089.5503654261838</v>
      </c>
      <c r="BG477">
        <f t="shared" si="317"/>
        <v>1153.781166473542</v>
      </c>
      <c r="BH477">
        <f t="shared" si="318"/>
        <v>0</v>
      </c>
      <c r="BI477">
        <f t="shared" si="319"/>
        <v>6.6311933310159166E-4</v>
      </c>
      <c r="BJ477">
        <f t="shared" si="320"/>
        <v>3.1551442987831635E-5</v>
      </c>
      <c r="BK477" t="e">
        <f t="shared" si="321"/>
        <v>#DIV/0!</v>
      </c>
      <c r="BL477" t="e">
        <f t="shared" si="322"/>
        <v>#DIV/0!</v>
      </c>
      <c r="BM477" t="e">
        <f t="shared" si="334"/>
        <v>#DIV/0!</v>
      </c>
      <c r="BN477" t="e">
        <f t="shared" si="335"/>
        <v>#DIV/0!</v>
      </c>
      <c r="BO477" t="e">
        <f>Data!$H$2*(1-BI477)*(1-BI477/Data!$H$3)*BM477</f>
        <v>#DIV/0!</v>
      </c>
      <c r="BP477" t="e">
        <f t="shared" si="323"/>
        <v>#DIV/0!</v>
      </c>
      <c r="BQ477" t="e">
        <f>Data!$H$2*(1-BJ477)*(1-BJ477/Data!$H$3)*BN477</f>
        <v>#DIV/0!</v>
      </c>
      <c r="BR477" t="e">
        <f t="shared" si="324"/>
        <v>#DIV/0!</v>
      </c>
      <c r="BS477">
        <f t="shared" si="325"/>
        <v>0</v>
      </c>
      <c r="BT477">
        <f t="shared" si="326"/>
        <v>0</v>
      </c>
      <c r="BU477">
        <f t="shared" si="327"/>
        <v>0</v>
      </c>
      <c r="BV477">
        <f t="shared" si="310"/>
        <v>0</v>
      </c>
      <c r="BW477">
        <f t="shared" si="336"/>
        <v>0</v>
      </c>
      <c r="BX477" t="str">
        <f t="shared" si="337"/>
        <v/>
      </c>
      <c r="BY477" s="66" t="str">
        <f t="shared" si="328"/>
        <v/>
      </c>
      <c r="BZ477" t="str">
        <f t="shared" si="329"/>
        <v/>
      </c>
      <c r="CA477" s="67" t="str">
        <f t="shared" si="311"/>
        <v/>
      </c>
    </row>
    <row r="478" spans="4:79" x14ac:dyDescent="0.25">
      <c r="D478" s="3" t="e">
        <f t="shared" si="340"/>
        <v>#DIV/0!</v>
      </c>
      <c r="E478" s="3" t="e">
        <f t="shared" si="340"/>
        <v>#DIV/0!</v>
      </c>
      <c r="F478" t="str">
        <f>IF(A478&gt;0,IF(F477=1,1,IF(B478=Data!$H$4,1,0)),"")</f>
        <v/>
      </c>
      <c r="AA478" t="e">
        <f t="shared" si="308"/>
        <v>#VALUE!</v>
      </c>
      <c r="AE478" t="str">
        <f t="shared" si="309"/>
        <v/>
      </c>
      <c r="AK478" s="4">
        <f t="shared" si="338"/>
        <v>69.900000000000219</v>
      </c>
      <c r="AL478">
        <f t="shared" si="330"/>
        <v>5389.0000000000264</v>
      </c>
      <c r="AM478">
        <f t="shared" si="331"/>
        <v>1150.2166666666619</v>
      </c>
      <c r="AN478">
        <f>IF($AK477+$AK$1&lt;=Data!$H$4-0.5,AVERAGE(AM476:AM480),AN477)</f>
        <v>1161.2999999999945</v>
      </c>
      <c r="AO478">
        <f t="shared" si="332"/>
        <v>5416.9999999999654</v>
      </c>
      <c r="AP478">
        <f t="shared" si="339"/>
        <v>1151.4999999999989</v>
      </c>
      <c r="AQ478">
        <f>IF($AK477+$AK$1&lt;=Data!$H$4-0.5,AVERAGE(AP476:AP480),AQ477)</f>
        <v>1153.9999999999989</v>
      </c>
      <c r="AR478">
        <f>IF($AK477+$AK$1&lt;=Data!$H$4-0.5,SLOPE($AN474:$AN482,$AK474:$AK482),AR477)</f>
        <v>-11.349999999999836</v>
      </c>
      <c r="AS478">
        <f>IF($AK477+$AK$1&lt;=Data!$H$4-0.5,SLOPE($AQ474:$AQ482,$AK474:$AK482),AS477)</f>
        <v>-2.7999999999992418</v>
      </c>
      <c r="AT478" t="str">
        <f>IF(AND($AK478&gt;=Results!$G$13,$AK478&lt;=Results!$G$14),Curves!AR478,"")</f>
        <v/>
      </c>
      <c r="AU478" t="str">
        <f>IF(AND($AK478&gt;=Results!$G$13,$AK478&lt;=Results!$G$14),Curves!AS478,"")</f>
        <v/>
      </c>
      <c r="AV478" t="str">
        <f t="shared" si="333"/>
        <v/>
      </c>
      <c r="AW478" t="str">
        <f>IF(AND($AK478&lt;=Results!$I$21,$AK478&gt;=Results!$I$20,$AK478&lt;=Results!$F$4),$AN478,"")</f>
        <v/>
      </c>
      <c r="AX478">
        <f t="shared" si="333"/>
        <v>69.900000000000219</v>
      </c>
      <c r="AY478">
        <f>IF(AND($AK478&lt;=Results!$I$23,$AK478&gt;=Results!$I$22,$AK478&gt;=Results!$F$4),$AN478,"")</f>
        <v>1161.2999999999945</v>
      </c>
      <c r="AZ478" t="str">
        <f t="shared" si="312"/>
        <v/>
      </c>
      <c r="BA478" t="str">
        <f>IF(AND($AK478&lt;=Results!$I$27,$AK478&gt;=Results!$I$26,$AK478&lt;=Results!$F$4),$AQ478,"")</f>
        <v/>
      </c>
      <c r="BB478">
        <f t="shared" si="313"/>
        <v>69.900000000000219</v>
      </c>
      <c r="BC478">
        <f>IF(AND($AK478&lt;=Results!$I$29,$AK478&gt;=Results!$I$28,$AK478&gt;=Results!$F$4),$AQ478,"")</f>
        <v>1153.9999999999989</v>
      </c>
      <c r="BD478">
        <f t="shared" si="314"/>
        <v>7230.8615572627841</v>
      </c>
      <c r="BE478">
        <f t="shared" si="315"/>
        <v>1157.2724856653044</v>
      </c>
      <c r="BF478">
        <f t="shared" si="316"/>
        <v>8089.5503654261838</v>
      </c>
      <c r="BG478">
        <f t="shared" si="317"/>
        <v>1153.781166473542</v>
      </c>
      <c r="BH478">
        <f t="shared" si="318"/>
        <v>0</v>
      </c>
      <c r="BI478">
        <f t="shared" si="319"/>
        <v>6.6311933310159166E-4</v>
      </c>
      <c r="BJ478">
        <f t="shared" si="320"/>
        <v>3.1551442987831635E-5</v>
      </c>
      <c r="BK478" t="e">
        <f t="shared" si="321"/>
        <v>#DIV/0!</v>
      </c>
      <c r="BL478" t="e">
        <f t="shared" si="322"/>
        <v>#DIV/0!</v>
      </c>
      <c r="BM478" t="e">
        <f t="shared" si="334"/>
        <v>#DIV/0!</v>
      </c>
      <c r="BN478" t="e">
        <f t="shared" si="335"/>
        <v>#DIV/0!</v>
      </c>
      <c r="BO478" t="e">
        <f>Data!$H$2*(1-BI478)*(1-BI478/Data!$H$3)*BM478</f>
        <v>#DIV/0!</v>
      </c>
      <c r="BP478" t="e">
        <f t="shared" si="323"/>
        <v>#DIV/0!</v>
      </c>
      <c r="BQ478" t="e">
        <f>Data!$H$2*(1-BJ478)*(1-BJ478/Data!$H$3)*BN478</f>
        <v>#DIV/0!</v>
      </c>
      <c r="BR478" t="e">
        <f t="shared" si="324"/>
        <v>#DIV/0!</v>
      </c>
      <c r="BS478">
        <f t="shared" si="325"/>
        <v>0</v>
      </c>
      <c r="BT478">
        <f t="shared" si="326"/>
        <v>0</v>
      </c>
      <c r="BU478">
        <f t="shared" si="327"/>
        <v>0</v>
      </c>
      <c r="BV478">
        <f t="shared" si="310"/>
        <v>0</v>
      </c>
      <c r="BW478">
        <f t="shared" si="336"/>
        <v>0</v>
      </c>
      <c r="BX478" t="str">
        <f t="shared" si="337"/>
        <v/>
      </c>
      <c r="BY478" s="66" t="str">
        <f t="shared" si="328"/>
        <v/>
      </c>
      <c r="BZ478" t="str">
        <f t="shared" si="329"/>
        <v/>
      </c>
      <c r="CA478" s="67" t="str">
        <f t="shared" si="311"/>
        <v/>
      </c>
    </row>
    <row r="479" spans="4:79" x14ac:dyDescent="0.25">
      <c r="D479" s="3" t="e">
        <f t="shared" si="340"/>
        <v>#DIV/0!</v>
      </c>
      <c r="E479" s="3" t="e">
        <f t="shared" si="340"/>
        <v>#DIV/0!</v>
      </c>
      <c r="F479" t="str">
        <f>IF(A479&gt;0,IF(F478=1,1,IF(B479=Data!$H$4,1,0)),"")</f>
        <v/>
      </c>
      <c r="AA479" t="e">
        <f t="shared" si="308"/>
        <v>#VALUE!</v>
      </c>
      <c r="AE479" t="str">
        <f t="shared" si="309"/>
        <v/>
      </c>
      <c r="AK479" s="4">
        <f t="shared" si="338"/>
        <v>69.900000000000219</v>
      </c>
      <c r="AL479">
        <f t="shared" si="330"/>
        <v>5389.0000000000264</v>
      </c>
      <c r="AM479">
        <f t="shared" si="331"/>
        <v>1150.2166666666619</v>
      </c>
      <c r="AN479">
        <f>IF($AK478+$AK$1&lt;=Data!$H$4-0.5,AVERAGE(AM477:AM481),AN478)</f>
        <v>1161.2999999999945</v>
      </c>
      <c r="AO479">
        <f t="shared" si="332"/>
        <v>5416.9999999999654</v>
      </c>
      <c r="AP479">
        <f t="shared" si="339"/>
        <v>1151.4999999999989</v>
      </c>
      <c r="AQ479">
        <f>IF($AK478+$AK$1&lt;=Data!$H$4-0.5,AVERAGE(AP477:AP481),AQ478)</f>
        <v>1153.9999999999989</v>
      </c>
      <c r="AR479">
        <f>IF($AK478+$AK$1&lt;=Data!$H$4-0.5,SLOPE($AN475:$AN483,$AK475:$AK483),AR478)</f>
        <v>-11.349999999999836</v>
      </c>
      <c r="AS479">
        <f>IF($AK478+$AK$1&lt;=Data!$H$4-0.5,SLOPE($AQ475:$AQ483,$AK475:$AK483),AS478)</f>
        <v>-2.7999999999992418</v>
      </c>
      <c r="AT479" t="str">
        <f>IF(AND($AK479&gt;=Results!$G$13,$AK479&lt;=Results!$G$14),Curves!AR479,"")</f>
        <v/>
      </c>
      <c r="AU479" t="str">
        <f>IF(AND($AK479&gt;=Results!$G$13,$AK479&lt;=Results!$G$14),Curves!AS479,"")</f>
        <v/>
      </c>
      <c r="AV479" t="str">
        <f t="shared" si="333"/>
        <v/>
      </c>
      <c r="AW479" t="str">
        <f>IF(AND($AK479&lt;=Results!$I$21,$AK479&gt;=Results!$I$20,$AK479&lt;=Results!$F$4),$AN479,"")</f>
        <v/>
      </c>
      <c r="AX479">
        <f t="shared" si="333"/>
        <v>69.900000000000219</v>
      </c>
      <c r="AY479">
        <f>IF(AND($AK479&lt;=Results!$I$23,$AK479&gt;=Results!$I$22,$AK479&gt;=Results!$F$4),$AN479,"")</f>
        <v>1161.2999999999945</v>
      </c>
      <c r="AZ479" t="str">
        <f t="shared" si="312"/>
        <v/>
      </c>
      <c r="BA479" t="str">
        <f>IF(AND($AK479&lt;=Results!$I$27,$AK479&gt;=Results!$I$26,$AK479&lt;=Results!$F$4),$AQ479,"")</f>
        <v/>
      </c>
      <c r="BB479">
        <f t="shared" si="313"/>
        <v>69.900000000000219</v>
      </c>
      <c r="BC479">
        <f>IF(AND($AK479&lt;=Results!$I$29,$AK479&gt;=Results!$I$28,$AK479&gt;=Results!$F$4),$AQ479,"")</f>
        <v>1153.9999999999989</v>
      </c>
      <c r="BD479">
        <f t="shared" si="314"/>
        <v>7230.8615572627841</v>
      </c>
      <c r="BE479">
        <f t="shared" si="315"/>
        <v>1157.2724856653044</v>
      </c>
      <c r="BF479">
        <f t="shared" si="316"/>
        <v>8089.5503654261838</v>
      </c>
      <c r="BG479">
        <f t="shared" si="317"/>
        <v>1153.781166473542</v>
      </c>
      <c r="BH479">
        <f t="shared" si="318"/>
        <v>0</v>
      </c>
      <c r="BI479">
        <f t="shared" si="319"/>
        <v>6.6311933310159166E-4</v>
      </c>
      <c r="BJ479">
        <f t="shared" si="320"/>
        <v>3.1551442987831635E-5</v>
      </c>
      <c r="BK479" t="e">
        <f t="shared" si="321"/>
        <v>#DIV/0!</v>
      </c>
      <c r="BL479" t="e">
        <f t="shared" si="322"/>
        <v>#DIV/0!</v>
      </c>
      <c r="BM479" t="e">
        <f t="shared" si="334"/>
        <v>#DIV/0!</v>
      </c>
      <c r="BN479" t="e">
        <f t="shared" si="335"/>
        <v>#DIV/0!</v>
      </c>
      <c r="BO479" t="e">
        <f>Data!$H$2*(1-BI479)*(1-BI479/Data!$H$3)*BM479</f>
        <v>#DIV/0!</v>
      </c>
      <c r="BP479" t="e">
        <f t="shared" si="323"/>
        <v>#DIV/0!</v>
      </c>
      <c r="BQ479" t="e">
        <f>Data!$H$2*(1-BJ479)*(1-BJ479/Data!$H$3)*BN479</f>
        <v>#DIV/0!</v>
      </c>
      <c r="BR479" t="e">
        <f t="shared" si="324"/>
        <v>#DIV/0!</v>
      </c>
      <c r="BS479">
        <f t="shared" si="325"/>
        <v>0</v>
      </c>
      <c r="BT479">
        <f t="shared" si="326"/>
        <v>0</v>
      </c>
      <c r="BU479">
        <f t="shared" si="327"/>
        <v>0</v>
      </c>
      <c r="BV479">
        <f t="shared" si="310"/>
        <v>0</v>
      </c>
      <c r="BW479">
        <f t="shared" si="336"/>
        <v>0</v>
      </c>
      <c r="BX479" t="str">
        <f t="shared" si="337"/>
        <v/>
      </c>
      <c r="BY479" s="66" t="str">
        <f t="shared" si="328"/>
        <v/>
      </c>
      <c r="BZ479" t="str">
        <f t="shared" si="329"/>
        <v/>
      </c>
      <c r="CA479" s="67" t="str">
        <f t="shared" si="311"/>
        <v/>
      </c>
    </row>
    <row r="480" spans="4:79" x14ac:dyDescent="0.25">
      <c r="D480" s="3" t="e">
        <f t="shared" si="340"/>
        <v>#DIV/0!</v>
      </c>
      <c r="E480" s="3" t="e">
        <f t="shared" si="340"/>
        <v>#DIV/0!</v>
      </c>
      <c r="F480" t="str">
        <f>IF(A480&gt;0,IF(F479=1,1,IF(B480=Data!$H$4,1,0)),"")</f>
        <v/>
      </c>
      <c r="AA480" t="e">
        <f t="shared" si="308"/>
        <v>#VALUE!</v>
      </c>
      <c r="AE480" t="str">
        <f t="shared" si="309"/>
        <v/>
      </c>
      <c r="AK480" s="4">
        <f t="shared" si="338"/>
        <v>69.900000000000219</v>
      </c>
      <c r="AL480">
        <f t="shared" si="330"/>
        <v>5389.0000000000264</v>
      </c>
      <c r="AM480">
        <f t="shared" si="331"/>
        <v>1150.2166666666619</v>
      </c>
      <c r="AN480">
        <f>IF($AK479+$AK$1&lt;=Data!$H$4-0.5,AVERAGE(AM478:AM482),AN479)</f>
        <v>1161.2999999999945</v>
      </c>
      <c r="AO480">
        <f t="shared" si="332"/>
        <v>5416.9999999999654</v>
      </c>
      <c r="AP480">
        <f t="shared" si="339"/>
        <v>1151.4999999999989</v>
      </c>
      <c r="AQ480">
        <f>IF($AK479+$AK$1&lt;=Data!$H$4-0.5,AVERAGE(AP478:AP482),AQ479)</f>
        <v>1153.9999999999989</v>
      </c>
      <c r="AR480">
        <f>IF($AK479+$AK$1&lt;=Data!$H$4-0.5,SLOPE($AN476:$AN484,$AK476:$AK484),AR479)</f>
        <v>-11.349999999999836</v>
      </c>
      <c r="AS480">
        <f>IF($AK479+$AK$1&lt;=Data!$H$4-0.5,SLOPE($AQ476:$AQ484,$AK476:$AK484),AS479)</f>
        <v>-2.7999999999992418</v>
      </c>
      <c r="AT480" t="str">
        <f>IF(AND($AK480&gt;=Results!$G$13,$AK480&lt;=Results!$G$14),Curves!AR480,"")</f>
        <v/>
      </c>
      <c r="AU480" t="str">
        <f>IF(AND($AK480&gt;=Results!$G$13,$AK480&lt;=Results!$G$14),Curves!AS480,"")</f>
        <v/>
      </c>
      <c r="AV480" t="str">
        <f t="shared" si="333"/>
        <v/>
      </c>
      <c r="AW480" t="str">
        <f>IF(AND($AK480&lt;=Results!$I$21,$AK480&gt;=Results!$I$20,$AK480&lt;=Results!$F$4),$AN480,"")</f>
        <v/>
      </c>
      <c r="AX480">
        <f t="shared" si="333"/>
        <v>69.900000000000219</v>
      </c>
      <c r="AY480">
        <f>IF(AND($AK480&lt;=Results!$I$23,$AK480&gt;=Results!$I$22,$AK480&gt;=Results!$F$4),$AN480,"")</f>
        <v>1161.2999999999945</v>
      </c>
      <c r="AZ480" t="str">
        <f t="shared" si="312"/>
        <v/>
      </c>
      <c r="BA480" t="str">
        <f>IF(AND($AK480&lt;=Results!$I$27,$AK480&gt;=Results!$I$26,$AK480&lt;=Results!$F$4),$AQ480,"")</f>
        <v/>
      </c>
      <c r="BB480">
        <f t="shared" si="313"/>
        <v>69.900000000000219</v>
      </c>
      <c r="BC480">
        <f>IF(AND($AK480&lt;=Results!$I$29,$AK480&gt;=Results!$I$28,$AK480&gt;=Results!$F$4),$AQ480,"")</f>
        <v>1153.9999999999989</v>
      </c>
      <c r="BD480">
        <f t="shared" si="314"/>
        <v>7230.8615572627841</v>
      </c>
      <c r="BE480">
        <f t="shared" si="315"/>
        <v>1157.2724856653044</v>
      </c>
      <c r="BF480">
        <f t="shared" si="316"/>
        <v>8089.5503654261838</v>
      </c>
      <c r="BG480">
        <f t="shared" si="317"/>
        <v>1153.781166473542</v>
      </c>
      <c r="BH480">
        <f t="shared" si="318"/>
        <v>0</v>
      </c>
      <c r="BI480">
        <f t="shared" si="319"/>
        <v>6.6311933310159166E-4</v>
      </c>
      <c r="BJ480">
        <f t="shared" si="320"/>
        <v>3.1551442987831635E-5</v>
      </c>
      <c r="BK480" t="e">
        <f t="shared" si="321"/>
        <v>#DIV/0!</v>
      </c>
      <c r="BL480" t="e">
        <f t="shared" si="322"/>
        <v>#DIV/0!</v>
      </c>
      <c r="BM480" t="e">
        <f t="shared" si="334"/>
        <v>#DIV/0!</v>
      </c>
      <c r="BN480" t="e">
        <f t="shared" si="335"/>
        <v>#DIV/0!</v>
      </c>
      <c r="BO480" t="e">
        <f>Data!$H$2*(1-BI480)*(1-BI480/Data!$H$3)*BM480</f>
        <v>#DIV/0!</v>
      </c>
      <c r="BP480" t="e">
        <f t="shared" si="323"/>
        <v>#DIV/0!</v>
      </c>
      <c r="BQ480" t="e">
        <f>Data!$H$2*(1-BJ480)*(1-BJ480/Data!$H$3)*BN480</f>
        <v>#DIV/0!</v>
      </c>
      <c r="BR480" t="e">
        <f t="shared" si="324"/>
        <v>#DIV/0!</v>
      </c>
      <c r="BS480">
        <f t="shared" si="325"/>
        <v>0</v>
      </c>
      <c r="BT480">
        <f t="shared" si="326"/>
        <v>0</v>
      </c>
      <c r="BU480">
        <f t="shared" si="327"/>
        <v>0</v>
      </c>
      <c r="BV480">
        <f t="shared" si="310"/>
        <v>0</v>
      </c>
      <c r="BW480">
        <f t="shared" si="336"/>
        <v>0</v>
      </c>
      <c r="BX480" t="str">
        <f t="shared" si="337"/>
        <v/>
      </c>
      <c r="BY480" s="66" t="str">
        <f t="shared" si="328"/>
        <v/>
      </c>
      <c r="BZ480" t="str">
        <f t="shared" si="329"/>
        <v/>
      </c>
      <c r="CA480" s="67" t="str">
        <f t="shared" si="311"/>
        <v/>
      </c>
    </row>
    <row r="481" spans="4:79" x14ac:dyDescent="0.25">
      <c r="D481" s="3" t="e">
        <f t="shared" si="340"/>
        <v>#DIV/0!</v>
      </c>
      <c r="E481" s="3" t="e">
        <f t="shared" si="340"/>
        <v>#DIV/0!</v>
      </c>
      <c r="F481" t="str">
        <f>IF(A481&gt;0,IF(F480=1,1,IF(B481=Data!$H$4,1,0)),"")</f>
        <v/>
      </c>
      <c r="AA481" t="e">
        <f t="shared" si="308"/>
        <v>#VALUE!</v>
      </c>
      <c r="AE481" t="str">
        <f t="shared" si="309"/>
        <v/>
      </c>
      <c r="AK481" s="4">
        <f t="shared" si="338"/>
        <v>69.900000000000219</v>
      </c>
      <c r="AL481">
        <f t="shared" si="330"/>
        <v>5389.0000000000264</v>
      </c>
      <c r="AM481">
        <f t="shared" si="331"/>
        <v>1150.2166666666619</v>
      </c>
      <c r="AN481">
        <f>IF($AK480+$AK$1&lt;=Data!$H$4-0.5,AVERAGE(AM479:AM483),AN480)</f>
        <v>1161.2999999999945</v>
      </c>
      <c r="AO481">
        <f t="shared" si="332"/>
        <v>5416.9999999999654</v>
      </c>
      <c r="AP481">
        <f t="shared" si="339"/>
        <v>1151.4999999999989</v>
      </c>
      <c r="AQ481">
        <f>IF($AK480+$AK$1&lt;=Data!$H$4-0.5,AVERAGE(AP479:AP483),AQ480)</f>
        <v>1153.9999999999989</v>
      </c>
      <c r="AR481">
        <f>IF($AK480+$AK$1&lt;=Data!$H$4-0.5,SLOPE($AN477:$AN485,$AK477:$AK485),AR480)</f>
        <v>-11.349999999999836</v>
      </c>
      <c r="AS481">
        <f>IF($AK480+$AK$1&lt;=Data!$H$4-0.5,SLOPE($AQ477:$AQ485,$AK477:$AK485),AS480)</f>
        <v>-2.7999999999992418</v>
      </c>
      <c r="AT481" t="str">
        <f>IF(AND($AK481&gt;=Results!$G$13,$AK481&lt;=Results!$G$14),Curves!AR481,"")</f>
        <v/>
      </c>
      <c r="AU481" t="str">
        <f>IF(AND($AK481&gt;=Results!$G$13,$AK481&lt;=Results!$G$14),Curves!AS481,"")</f>
        <v/>
      </c>
      <c r="AV481" t="str">
        <f t="shared" si="333"/>
        <v/>
      </c>
      <c r="AW481" t="str">
        <f>IF(AND($AK481&lt;=Results!$I$21,$AK481&gt;=Results!$I$20,$AK481&lt;=Results!$F$4),$AN481,"")</f>
        <v/>
      </c>
      <c r="AX481">
        <f t="shared" si="333"/>
        <v>69.900000000000219</v>
      </c>
      <c r="AY481">
        <f>IF(AND($AK481&lt;=Results!$I$23,$AK481&gt;=Results!$I$22,$AK481&gt;=Results!$F$4),$AN481,"")</f>
        <v>1161.2999999999945</v>
      </c>
      <c r="AZ481" t="str">
        <f t="shared" si="312"/>
        <v/>
      </c>
      <c r="BA481" t="str">
        <f>IF(AND($AK481&lt;=Results!$I$27,$AK481&gt;=Results!$I$26,$AK481&lt;=Results!$F$4),$AQ481,"")</f>
        <v/>
      </c>
      <c r="BB481">
        <f t="shared" si="313"/>
        <v>69.900000000000219</v>
      </c>
      <c r="BC481">
        <f>IF(AND($AK481&lt;=Results!$I$29,$AK481&gt;=Results!$I$28,$AK481&gt;=Results!$F$4),$AQ481,"")</f>
        <v>1153.9999999999989</v>
      </c>
      <c r="BD481">
        <f t="shared" si="314"/>
        <v>7230.8615572627841</v>
      </c>
      <c r="BE481">
        <f t="shared" si="315"/>
        <v>1157.2724856653044</v>
      </c>
      <c r="BF481">
        <f t="shared" si="316"/>
        <v>8089.5503654261838</v>
      </c>
      <c r="BG481">
        <f t="shared" si="317"/>
        <v>1153.781166473542</v>
      </c>
      <c r="BH481">
        <f t="shared" si="318"/>
        <v>0</v>
      </c>
      <c r="BI481">
        <f t="shared" si="319"/>
        <v>6.6311933310159166E-4</v>
      </c>
      <c r="BJ481">
        <f t="shared" si="320"/>
        <v>3.1551442987831635E-5</v>
      </c>
      <c r="BK481" t="e">
        <f t="shared" si="321"/>
        <v>#DIV/0!</v>
      </c>
      <c r="BL481" t="e">
        <f t="shared" si="322"/>
        <v>#DIV/0!</v>
      </c>
      <c r="BM481" t="e">
        <f t="shared" si="334"/>
        <v>#DIV/0!</v>
      </c>
      <c r="BN481" t="e">
        <f t="shared" si="335"/>
        <v>#DIV/0!</v>
      </c>
      <c r="BO481" t="e">
        <f>Data!$H$2*(1-BI481)*(1-BI481/Data!$H$3)*BM481</f>
        <v>#DIV/0!</v>
      </c>
      <c r="BP481" t="e">
        <f t="shared" si="323"/>
        <v>#DIV/0!</v>
      </c>
      <c r="BQ481" t="e">
        <f>Data!$H$2*(1-BJ481)*(1-BJ481/Data!$H$3)*BN481</f>
        <v>#DIV/0!</v>
      </c>
      <c r="BR481" t="e">
        <f t="shared" si="324"/>
        <v>#DIV/0!</v>
      </c>
      <c r="BS481">
        <f t="shared" si="325"/>
        <v>0</v>
      </c>
      <c r="BT481">
        <f t="shared" si="326"/>
        <v>0</v>
      </c>
      <c r="BU481">
        <f t="shared" si="327"/>
        <v>0</v>
      </c>
      <c r="BV481">
        <f t="shared" si="310"/>
        <v>0</v>
      </c>
      <c r="BW481">
        <f t="shared" si="336"/>
        <v>0</v>
      </c>
      <c r="BX481" t="str">
        <f t="shared" si="337"/>
        <v/>
      </c>
      <c r="BY481" s="66" t="str">
        <f t="shared" si="328"/>
        <v/>
      </c>
      <c r="BZ481" t="str">
        <f t="shared" si="329"/>
        <v/>
      </c>
      <c r="CA481" s="67" t="str">
        <f t="shared" si="311"/>
        <v/>
      </c>
    </row>
    <row r="482" spans="4:79" x14ac:dyDescent="0.25">
      <c r="D482" s="3" t="e">
        <f t="shared" si="340"/>
        <v>#DIV/0!</v>
      </c>
      <c r="E482" s="3" t="e">
        <f t="shared" si="340"/>
        <v>#DIV/0!</v>
      </c>
      <c r="F482" t="str">
        <f>IF(A482&gt;0,IF(F481=1,1,IF(B482=Data!$H$4,1,0)),"")</f>
        <v/>
      </c>
      <c r="AA482" t="e">
        <f t="shared" si="308"/>
        <v>#VALUE!</v>
      </c>
      <c r="AE482" t="str">
        <f t="shared" si="309"/>
        <v/>
      </c>
      <c r="AK482" s="4">
        <f t="shared" si="338"/>
        <v>69.900000000000219</v>
      </c>
      <c r="AL482">
        <f t="shared" si="330"/>
        <v>5389.0000000000264</v>
      </c>
      <c r="AM482">
        <f t="shared" si="331"/>
        <v>1150.2166666666619</v>
      </c>
      <c r="AN482">
        <f>IF($AK481+$AK$1&lt;=Data!$H$4-0.5,AVERAGE(AM480:AM484),AN481)</f>
        <v>1161.2999999999945</v>
      </c>
      <c r="AO482">
        <f t="shared" si="332"/>
        <v>5416.9999999999654</v>
      </c>
      <c r="AP482">
        <f t="shared" si="339"/>
        <v>1151.4999999999989</v>
      </c>
      <c r="AQ482">
        <f>IF($AK481+$AK$1&lt;=Data!$H$4-0.5,AVERAGE(AP480:AP484),AQ481)</f>
        <v>1153.9999999999989</v>
      </c>
      <c r="AR482">
        <f>IF($AK481+$AK$1&lt;=Data!$H$4-0.5,SLOPE($AN478:$AN486,$AK478:$AK486),AR481)</f>
        <v>-11.349999999999836</v>
      </c>
      <c r="AS482">
        <f>IF($AK481+$AK$1&lt;=Data!$H$4-0.5,SLOPE($AQ478:$AQ486,$AK478:$AK486),AS481)</f>
        <v>-2.7999999999992418</v>
      </c>
      <c r="AT482" t="str">
        <f>IF(AND($AK482&gt;=Results!$G$13,$AK482&lt;=Results!$G$14),Curves!AR482,"")</f>
        <v/>
      </c>
      <c r="AU482" t="str">
        <f>IF(AND($AK482&gt;=Results!$G$13,$AK482&lt;=Results!$G$14),Curves!AS482,"")</f>
        <v/>
      </c>
      <c r="AV482" t="str">
        <f t="shared" si="333"/>
        <v/>
      </c>
      <c r="AW482" t="str">
        <f>IF(AND($AK482&lt;=Results!$I$21,$AK482&gt;=Results!$I$20,$AK482&lt;=Results!$F$4),$AN482,"")</f>
        <v/>
      </c>
      <c r="AX482">
        <f t="shared" si="333"/>
        <v>69.900000000000219</v>
      </c>
      <c r="AY482">
        <f>IF(AND($AK482&lt;=Results!$I$23,$AK482&gt;=Results!$I$22,$AK482&gt;=Results!$F$4),$AN482,"")</f>
        <v>1161.2999999999945</v>
      </c>
      <c r="AZ482" t="str">
        <f t="shared" si="312"/>
        <v/>
      </c>
      <c r="BA482" t="str">
        <f>IF(AND($AK482&lt;=Results!$I$27,$AK482&gt;=Results!$I$26,$AK482&lt;=Results!$F$4),$AQ482,"")</f>
        <v/>
      </c>
      <c r="BB482">
        <f t="shared" si="313"/>
        <v>69.900000000000219</v>
      </c>
      <c r="BC482">
        <f>IF(AND($AK482&lt;=Results!$I$29,$AK482&gt;=Results!$I$28,$AK482&gt;=Results!$F$4),$AQ482,"")</f>
        <v>1153.9999999999989</v>
      </c>
      <c r="BD482">
        <f t="shared" si="314"/>
        <v>7230.8615572627841</v>
      </c>
      <c r="BE482">
        <f t="shared" si="315"/>
        <v>1157.2724856653044</v>
      </c>
      <c r="BF482">
        <f t="shared" si="316"/>
        <v>8089.5503654261838</v>
      </c>
      <c r="BG482">
        <f t="shared" si="317"/>
        <v>1153.781166473542</v>
      </c>
      <c r="BH482">
        <f t="shared" si="318"/>
        <v>0</v>
      </c>
      <c r="BI482">
        <f t="shared" si="319"/>
        <v>6.6311933310159166E-4</v>
      </c>
      <c r="BJ482">
        <f t="shared" si="320"/>
        <v>3.1551442987831635E-5</v>
      </c>
      <c r="BK482" t="e">
        <f t="shared" si="321"/>
        <v>#DIV/0!</v>
      </c>
      <c r="BL482" t="e">
        <f t="shared" si="322"/>
        <v>#DIV/0!</v>
      </c>
      <c r="BM482" t="e">
        <f t="shared" si="334"/>
        <v>#DIV/0!</v>
      </c>
      <c r="BN482" t="e">
        <f t="shared" si="335"/>
        <v>#DIV/0!</v>
      </c>
      <c r="BO482" t="e">
        <f>Data!$H$2*(1-BI482)*(1-BI482/Data!$H$3)*BM482</f>
        <v>#DIV/0!</v>
      </c>
      <c r="BP482" t="e">
        <f t="shared" si="323"/>
        <v>#DIV/0!</v>
      </c>
      <c r="BQ482" t="e">
        <f>Data!$H$2*(1-BJ482)*(1-BJ482/Data!$H$3)*BN482</f>
        <v>#DIV/0!</v>
      </c>
      <c r="BR482" t="e">
        <f t="shared" si="324"/>
        <v>#DIV/0!</v>
      </c>
      <c r="BS482">
        <f t="shared" si="325"/>
        <v>0</v>
      </c>
      <c r="BT482">
        <f t="shared" si="326"/>
        <v>0</v>
      </c>
      <c r="BU482">
        <f t="shared" si="327"/>
        <v>0</v>
      </c>
      <c r="BV482">
        <f t="shared" si="310"/>
        <v>0</v>
      </c>
      <c r="BW482">
        <f t="shared" si="336"/>
        <v>0</v>
      </c>
      <c r="BX482" t="str">
        <f t="shared" si="337"/>
        <v/>
      </c>
      <c r="BY482" s="66" t="str">
        <f t="shared" si="328"/>
        <v/>
      </c>
      <c r="BZ482" t="str">
        <f t="shared" si="329"/>
        <v/>
      </c>
      <c r="CA482" s="67" t="str">
        <f t="shared" si="311"/>
        <v/>
      </c>
    </row>
    <row r="483" spans="4:79" x14ac:dyDescent="0.25">
      <c r="D483" s="3" t="e">
        <f t="shared" si="340"/>
        <v>#DIV/0!</v>
      </c>
      <c r="E483" s="3" t="e">
        <f t="shared" si="340"/>
        <v>#DIV/0!</v>
      </c>
      <c r="F483" t="str">
        <f>IF(A483&gt;0,IF(F482=1,1,IF(B483=Data!$H$4,1,0)),"")</f>
        <v/>
      </c>
      <c r="AA483" t="e">
        <f t="shared" si="308"/>
        <v>#VALUE!</v>
      </c>
      <c r="AE483" t="str">
        <f t="shared" si="309"/>
        <v/>
      </c>
      <c r="AK483" s="4">
        <f t="shared" si="338"/>
        <v>69.900000000000219</v>
      </c>
      <c r="AL483">
        <f t="shared" si="330"/>
        <v>5389.0000000000264</v>
      </c>
      <c r="AM483">
        <f t="shared" si="331"/>
        <v>1150.2166666666619</v>
      </c>
      <c r="AN483">
        <f>IF($AK482+$AK$1&lt;=Data!$H$4-0.5,AVERAGE(AM481:AM485),AN482)</f>
        <v>1161.2999999999945</v>
      </c>
      <c r="AO483">
        <f t="shared" si="332"/>
        <v>5416.9999999999654</v>
      </c>
      <c r="AP483">
        <f t="shared" si="339"/>
        <v>1151.4999999999989</v>
      </c>
      <c r="AQ483">
        <f>IF($AK482+$AK$1&lt;=Data!$H$4-0.5,AVERAGE(AP481:AP485),AQ482)</f>
        <v>1153.9999999999989</v>
      </c>
      <c r="AR483">
        <f>IF($AK482+$AK$1&lt;=Data!$H$4-0.5,SLOPE($AN479:$AN487,$AK479:$AK487),AR482)</f>
        <v>-11.349999999999836</v>
      </c>
      <c r="AS483">
        <f>IF($AK482+$AK$1&lt;=Data!$H$4-0.5,SLOPE($AQ479:$AQ487,$AK479:$AK487),AS482)</f>
        <v>-2.7999999999992418</v>
      </c>
      <c r="AT483" t="str">
        <f>IF(AND($AK483&gt;=Results!$G$13,$AK483&lt;=Results!$G$14),Curves!AR483,"")</f>
        <v/>
      </c>
      <c r="AU483" t="str">
        <f>IF(AND($AK483&gt;=Results!$G$13,$AK483&lt;=Results!$G$14),Curves!AS483,"")</f>
        <v/>
      </c>
      <c r="AV483" t="str">
        <f t="shared" si="333"/>
        <v/>
      </c>
      <c r="AW483" t="str">
        <f>IF(AND($AK483&lt;=Results!$I$21,$AK483&gt;=Results!$I$20,$AK483&lt;=Results!$F$4),$AN483,"")</f>
        <v/>
      </c>
      <c r="AX483">
        <f t="shared" si="333"/>
        <v>69.900000000000219</v>
      </c>
      <c r="AY483">
        <f>IF(AND($AK483&lt;=Results!$I$23,$AK483&gt;=Results!$I$22,$AK483&gt;=Results!$F$4),$AN483,"")</f>
        <v>1161.2999999999945</v>
      </c>
      <c r="AZ483" t="str">
        <f t="shared" si="312"/>
        <v/>
      </c>
      <c r="BA483" t="str">
        <f>IF(AND($AK483&lt;=Results!$I$27,$AK483&gt;=Results!$I$26,$AK483&lt;=Results!$F$4),$AQ483,"")</f>
        <v/>
      </c>
      <c r="BB483">
        <f t="shared" si="313"/>
        <v>69.900000000000219</v>
      </c>
      <c r="BC483">
        <f>IF(AND($AK483&lt;=Results!$I$29,$AK483&gt;=Results!$I$28,$AK483&gt;=Results!$F$4),$AQ483,"")</f>
        <v>1153.9999999999989</v>
      </c>
      <c r="BD483">
        <f t="shared" si="314"/>
        <v>7230.8615572627841</v>
      </c>
      <c r="BE483">
        <f t="shared" si="315"/>
        <v>1157.2724856653044</v>
      </c>
      <c r="BF483">
        <f t="shared" si="316"/>
        <v>8089.5503654261838</v>
      </c>
      <c r="BG483">
        <f t="shared" si="317"/>
        <v>1153.781166473542</v>
      </c>
      <c r="BH483">
        <f t="shared" si="318"/>
        <v>0</v>
      </c>
      <c r="BI483">
        <f t="shared" si="319"/>
        <v>6.6311933310159166E-4</v>
      </c>
      <c r="BJ483">
        <f t="shared" si="320"/>
        <v>3.1551442987831635E-5</v>
      </c>
      <c r="BK483" t="e">
        <f t="shared" si="321"/>
        <v>#DIV/0!</v>
      </c>
      <c r="BL483" t="e">
        <f t="shared" si="322"/>
        <v>#DIV/0!</v>
      </c>
      <c r="BM483" t="e">
        <f t="shared" si="334"/>
        <v>#DIV/0!</v>
      </c>
      <c r="BN483" t="e">
        <f t="shared" si="335"/>
        <v>#DIV/0!</v>
      </c>
      <c r="BO483" t="e">
        <f>Data!$H$2*(1-BI483)*(1-BI483/Data!$H$3)*BM483</f>
        <v>#DIV/0!</v>
      </c>
      <c r="BP483" t="e">
        <f t="shared" si="323"/>
        <v>#DIV/0!</v>
      </c>
      <c r="BQ483" t="e">
        <f>Data!$H$2*(1-BJ483)*(1-BJ483/Data!$H$3)*BN483</f>
        <v>#DIV/0!</v>
      </c>
      <c r="BR483" t="e">
        <f t="shared" si="324"/>
        <v>#DIV/0!</v>
      </c>
      <c r="BS483">
        <f t="shared" si="325"/>
        <v>0</v>
      </c>
      <c r="BT483">
        <f t="shared" si="326"/>
        <v>0</v>
      </c>
      <c r="BU483">
        <f t="shared" si="327"/>
        <v>0</v>
      </c>
      <c r="BV483">
        <f t="shared" si="310"/>
        <v>0</v>
      </c>
      <c r="BW483">
        <f t="shared" si="336"/>
        <v>0</v>
      </c>
      <c r="BX483" t="str">
        <f t="shared" si="337"/>
        <v/>
      </c>
      <c r="BY483" s="66" t="str">
        <f t="shared" si="328"/>
        <v/>
      </c>
      <c r="BZ483" t="str">
        <f t="shared" si="329"/>
        <v/>
      </c>
      <c r="CA483" s="67" t="str">
        <f t="shared" si="311"/>
        <v/>
      </c>
    </row>
    <row r="484" spans="4:79" x14ac:dyDescent="0.25">
      <c r="D484" s="3" t="e">
        <f t="shared" si="340"/>
        <v>#DIV/0!</v>
      </c>
      <c r="E484" s="3" t="e">
        <f t="shared" si="340"/>
        <v>#DIV/0!</v>
      </c>
      <c r="F484" t="str">
        <f>IF(A484&gt;0,IF(F483=1,1,IF(B484=Data!$H$4,1,0)),"")</f>
        <v/>
      </c>
      <c r="AA484" t="e">
        <f t="shared" si="308"/>
        <v>#VALUE!</v>
      </c>
      <c r="AE484" t="str">
        <f t="shared" si="309"/>
        <v/>
      </c>
      <c r="AK484" s="4">
        <f t="shared" si="338"/>
        <v>69.900000000000219</v>
      </c>
      <c r="AL484">
        <f t="shared" si="330"/>
        <v>5389.0000000000264</v>
      </c>
      <c r="AM484">
        <f t="shared" si="331"/>
        <v>1150.2166666666619</v>
      </c>
      <c r="AN484">
        <f>IF($AK483+$AK$1&lt;=Data!$H$4-0.5,AVERAGE(AM482:AM486),AN483)</f>
        <v>1161.2999999999945</v>
      </c>
      <c r="AO484">
        <f t="shared" si="332"/>
        <v>5416.9999999999654</v>
      </c>
      <c r="AP484">
        <f t="shared" si="339"/>
        <v>1151.4999999999989</v>
      </c>
      <c r="AQ484">
        <f>IF($AK483+$AK$1&lt;=Data!$H$4-0.5,AVERAGE(AP482:AP486),AQ483)</f>
        <v>1153.9999999999989</v>
      </c>
      <c r="AR484">
        <f>IF($AK483+$AK$1&lt;=Data!$H$4-0.5,SLOPE($AN480:$AN488,$AK480:$AK488),AR483)</f>
        <v>-11.349999999999836</v>
      </c>
      <c r="AS484">
        <f>IF($AK483+$AK$1&lt;=Data!$H$4-0.5,SLOPE($AQ480:$AQ488,$AK480:$AK488),AS483)</f>
        <v>-2.7999999999992418</v>
      </c>
      <c r="AT484" t="str">
        <f>IF(AND($AK484&gt;=Results!$G$13,$AK484&lt;=Results!$G$14),Curves!AR484,"")</f>
        <v/>
      </c>
      <c r="AU484" t="str">
        <f>IF(AND($AK484&gt;=Results!$G$13,$AK484&lt;=Results!$G$14),Curves!AS484,"")</f>
        <v/>
      </c>
      <c r="AV484" t="str">
        <f t="shared" si="333"/>
        <v/>
      </c>
      <c r="AW484" t="str">
        <f>IF(AND($AK484&lt;=Results!$I$21,$AK484&gt;=Results!$I$20,$AK484&lt;=Results!$F$4),$AN484,"")</f>
        <v/>
      </c>
      <c r="AX484">
        <f t="shared" si="333"/>
        <v>69.900000000000219</v>
      </c>
      <c r="AY484">
        <f>IF(AND($AK484&lt;=Results!$I$23,$AK484&gt;=Results!$I$22,$AK484&gt;=Results!$F$4),$AN484,"")</f>
        <v>1161.2999999999945</v>
      </c>
      <c r="AZ484" t="str">
        <f t="shared" si="312"/>
        <v/>
      </c>
      <c r="BA484" t="str">
        <f>IF(AND($AK484&lt;=Results!$I$27,$AK484&gt;=Results!$I$26,$AK484&lt;=Results!$F$4),$AQ484,"")</f>
        <v/>
      </c>
      <c r="BB484">
        <f t="shared" si="313"/>
        <v>69.900000000000219</v>
      </c>
      <c r="BC484">
        <f>IF(AND($AK484&lt;=Results!$I$29,$AK484&gt;=Results!$I$28,$AK484&gt;=Results!$F$4),$AQ484,"")</f>
        <v>1153.9999999999989</v>
      </c>
      <c r="BD484">
        <f t="shared" si="314"/>
        <v>7230.8615572627841</v>
      </c>
      <c r="BE484">
        <f t="shared" si="315"/>
        <v>1157.2724856653044</v>
      </c>
      <c r="BF484">
        <f t="shared" si="316"/>
        <v>8089.5503654261838</v>
      </c>
      <c r="BG484">
        <f t="shared" si="317"/>
        <v>1153.781166473542</v>
      </c>
      <c r="BH484">
        <f t="shared" si="318"/>
        <v>0</v>
      </c>
      <c r="BI484">
        <f t="shared" si="319"/>
        <v>6.6311933310159166E-4</v>
      </c>
      <c r="BJ484">
        <f t="shared" si="320"/>
        <v>3.1551442987831635E-5</v>
      </c>
      <c r="BK484" t="e">
        <f t="shared" si="321"/>
        <v>#DIV/0!</v>
      </c>
      <c r="BL484" t="e">
        <f t="shared" si="322"/>
        <v>#DIV/0!</v>
      </c>
      <c r="BM484" t="e">
        <f t="shared" si="334"/>
        <v>#DIV/0!</v>
      </c>
      <c r="BN484" t="e">
        <f t="shared" si="335"/>
        <v>#DIV/0!</v>
      </c>
      <c r="BO484" t="e">
        <f>Data!$H$2*(1-BI484)*(1-BI484/Data!$H$3)*BM484</f>
        <v>#DIV/0!</v>
      </c>
      <c r="BP484" t="e">
        <f t="shared" si="323"/>
        <v>#DIV/0!</v>
      </c>
      <c r="BQ484" t="e">
        <f>Data!$H$2*(1-BJ484)*(1-BJ484/Data!$H$3)*BN484</f>
        <v>#DIV/0!</v>
      </c>
      <c r="BR484" t="e">
        <f t="shared" si="324"/>
        <v>#DIV/0!</v>
      </c>
      <c r="BS484">
        <f t="shared" si="325"/>
        <v>0</v>
      </c>
      <c r="BT484">
        <f t="shared" si="326"/>
        <v>0</v>
      </c>
      <c r="BU484">
        <f t="shared" si="327"/>
        <v>0</v>
      </c>
      <c r="BV484">
        <f t="shared" si="310"/>
        <v>0</v>
      </c>
      <c r="BW484">
        <f t="shared" si="336"/>
        <v>0</v>
      </c>
      <c r="BX484" t="str">
        <f t="shared" si="337"/>
        <v/>
      </c>
      <c r="BY484" s="66" t="str">
        <f t="shared" si="328"/>
        <v/>
      </c>
      <c r="BZ484" t="str">
        <f t="shared" si="329"/>
        <v/>
      </c>
      <c r="CA484" s="67" t="str">
        <f t="shared" si="311"/>
        <v/>
      </c>
    </row>
    <row r="485" spans="4:79" x14ac:dyDescent="0.25">
      <c r="D485" s="3" t="e">
        <f t="shared" si="340"/>
        <v>#DIV/0!</v>
      </c>
      <c r="E485" s="3" t="e">
        <f t="shared" si="340"/>
        <v>#DIV/0!</v>
      </c>
      <c r="F485" t="str">
        <f>IF(A485&gt;0,IF(F484=1,1,IF(B485=Data!$H$4,1,0)),"")</f>
        <v/>
      </c>
      <c r="AA485" t="e">
        <f t="shared" si="308"/>
        <v>#VALUE!</v>
      </c>
      <c r="AE485" t="str">
        <f t="shared" si="309"/>
        <v/>
      </c>
      <c r="AK485" s="4">
        <f t="shared" si="338"/>
        <v>69.900000000000219</v>
      </c>
      <c r="AL485">
        <f t="shared" si="330"/>
        <v>5389.0000000000264</v>
      </c>
      <c r="AM485">
        <f t="shared" si="331"/>
        <v>1150.2166666666619</v>
      </c>
      <c r="AN485">
        <f>IF($AK484+$AK$1&lt;=Data!$H$4-0.5,AVERAGE(AM483:AM487),AN484)</f>
        <v>1161.2999999999945</v>
      </c>
      <c r="AO485">
        <f t="shared" si="332"/>
        <v>5416.9999999999654</v>
      </c>
      <c r="AP485">
        <f t="shared" si="339"/>
        <v>1151.4999999999989</v>
      </c>
      <c r="AQ485">
        <f>IF($AK484+$AK$1&lt;=Data!$H$4-0.5,AVERAGE(AP483:AP487),AQ484)</f>
        <v>1153.9999999999989</v>
      </c>
      <c r="AR485">
        <f>IF($AK484+$AK$1&lt;=Data!$H$4-0.5,SLOPE($AN481:$AN489,$AK481:$AK489),AR484)</f>
        <v>-11.349999999999836</v>
      </c>
      <c r="AS485">
        <f>IF($AK484+$AK$1&lt;=Data!$H$4-0.5,SLOPE($AQ481:$AQ489,$AK481:$AK489),AS484)</f>
        <v>-2.7999999999992418</v>
      </c>
      <c r="AT485" t="str">
        <f>IF(AND($AK485&gt;=Results!$G$13,$AK485&lt;=Results!$G$14),Curves!AR485,"")</f>
        <v/>
      </c>
      <c r="AU485" t="str">
        <f>IF(AND($AK485&gt;=Results!$G$13,$AK485&lt;=Results!$G$14),Curves!AS485,"")</f>
        <v/>
      </c>
      <c r="AV485" t="str">
        <f t="shared" si="333"/>
        <v/>
      </c>
      <c r="AW485" t="str">
        <f>IF(AND($AK485&lt;=Results!$I$21,$AK485&gt;=Results!$I$20,$AK485&lt;=Results!$F$4),$AN485,"")</f>
        <v/>
      </c>
      <c r="AX485">
        <f t="shared" si="333"/>
        <v>69.900000000000219</v>
      </c>
      <c r="AY485">
        <f>IF(AND($AK485&lt;=Results!$I$23,$AK485&gt;=Results!$I$22,$AK485&gt;=Results!$F$4),$AN485,"")</f>
        <v>1161.2999999999945</v>
      </c>
      <c r="AZ485" t="str">
        <f t="shared" si="312"/>
        <v/>
      </c>
      <c r="BA485" t="str">
        <f>IF(AND($AK485&lt;=Results!$I$27,$AK485&gt;=Results!$I$26,$AK485&lt;=Results!$F$4),$AQ485,"")</f>
        <v/>
      </c>
      <c r="BB485">
        <f t="shared" si="313"/>
        <v>69.900000000000219</v>
      </c>
      <c r="BC485">
        <f>IF(AND($AK485&lt;=Results!$I$29,$AK485&gt;=Results!$I$28,$AK485&gt;=Results!$F$4),$AQ485,"")</f>
        <v>1153.9999999999989</v>
      </c>
      <c r="BD485">
        <f t="shared" si="314"/>
        <v>7230.8615572627841</v>
      </c>
      <c r="BE485">
        <f t="shared" si="315"/>
        <v>1157.2724856653044</v>
      </c>
      <c r="BF485">
        <f t="shared" si="316"/>
        <v>8089.5503654261838</v>
      </c>
      <c r="BG485">
        <f t="shared" si="317"/>
        <v>1153.781166473542</v>
      </c>
      <c r="BH485">
        <f t="shared" si="318"/>
        <v>0</v>
      </c>
      <c r="BI485">
        <f t="shared" si="319"/>
        <v>6.6311933310159166E-4</v>
      </c>
      <c r="BJ485">
        <f t="shared" si="320"/>
        <v>3.1551442987831635E-5</v>
      </c>
      <c r="BK485" t="e">
        <f t="shared" si="321"/>
        <v>#DIV/0!</v>
      </c>
      <c r="BL485" t="e">
        <f t="shared" si="322"/>
        <v>#DIV/0!</v>
      </c>
      <c r="BM485" t="e">
        <f t="shared" si="334"/>
        <v>#DIV/0!</v>
      </c>
      <c r="BN485" t="e">
        <f t="shared" si="335"/>
        <v>#DIV/0!</v>
      </c>
      <c r="BO485" t="e">
        <f>Data!$H$2*(1-BI485)*(1-BI485/Data!$H$3)*BM485</f>
        <v>#DIV/0!</v>
      </c>
      <c r="BP485" t="e">
        <f t="shared" si="323"/>
        <v>#DIV/0!</v>
      </c>
      <c r="BQ485" t="e">
        <f>Data!$H$2*(1-BJ485)*(1-BJ485/Data!$H$3)*BN485</f>
        <v>#DIV/0!</v>
      </c>
      <c r="BR485" t="e">
        <f t="shared" si="324"/>
        <v>#DIV/0!</v>
      </c>
      <c r="BS485">
        <f t="shared" si="325"/>
        <v>0</v>
      </c>
      <c r="BT485">
        <f t="shared" si="326"/>
        <v>0</v>
      </c>
      <c r="BU485">
        <f t="shared" si="327"/>
        <v>0</v>
      </c>
      <c r="BV485">
        <f t="shared" si="310"/>
        <v>0</v>
      </c>
      <c r="BW485">
        <f t="shared" si="336"/>
        <v>0</v>
      </c>
      <c r="BX485" t="str">
        <f t="shared" si="337"/>
        <v/>
      </c>
      <c r="BY485" s="66" t="str">
        <f t="shared" si="328"/>
        <v/>
      </c>
      <c r="BZ485" t="str">
        <f t="shared" si="329"/>
        <v/>
      </c>
      <c r="CA485" s="67" t="str">
        <f t="shared" si="311"/>
        <v/>
      </c>
    </row>
    <row r="486" spans="4:79" x14ac:dyDescent="0.25">
      <c r="D486" s="3" t="e">
        <f t="shared" si="340"/>
        <v>#DIV/0!</v>
      </c>
      <c r="E486" s="3" t="e">
        <f t="shared" si="340"/>
        <v>#DIV/0!</v>
      </c>
      <c r="F486" t="str">
        <f>IF(A486&gt;0,IF(F485=1,1,IF(B486=Data!$H$4,1,0)),"")</f>
        <v/>
      </c>
      <c r="AA486" t="e">
        <f t="shared" si="308"/>
        <v>#VALUE!</v>
      </c>
      <c r="AE486" t="str">
        <f t="shared" si="309"/>
        <v/>
      </c>
      <c r="AK486" s="4">
        <f t="shared" si="338"/>
        <v>69.900000000000219</v>
      </c>
      <c r="AL486">
        <f t="shared" si="330"/>
        <v>5389.0000000000264</v>
      </c>
      <c r="AM486">
        <f t="shared" si="331"/>
        <v>1150.2166666666619</v>
      </c>
      <c r="AN486">
        <f>IF($AK485+$AK$1&lt;=Data!$H$4-0.5,AVERAGE(AM484:AM488),AN485)</f>
        <v>1161.2999999999945</v>
      </c>
      <c r="AO486">
        <f t="shared" si="332"/>
        <v>5416.9999999999654</v>
      </c>
      <c r="AP486">
        <f t="shared" si="339"/>
        <v>1151.4999999999989</v>
      </c>
      <c r="AQ486">
        <f>IF($AK485+$AK$1&lt;=Data!$H$4-0.5,AVERAGE(AP484:AP488),AQ485)</f>
        <v>1153.9999999999989</v>
      </c>
      <c r="AR486">
        <f>IF($AK485+$AK$1&lt;=Data!$H$4-0.5,SLOPE($AN482:$AN490,$AK482:$AK490),AR485)</f>
        <v>-11.349999999999836</v>
      </c>
      <c r="AS486">
        <f>IF($AK485+$AK$1&lt;=Data!$H$4-0.5,SLOPE($AQ482:$AQ490,$AK482:$AK490),AS485)</f>
        <v>-2.7999999999992418</v>
      </c>
      <c r="AT486" t="str">
        <f>IF(AND($AK486&gt;=Results!$G$13,$AK486&lt;=Results!$G$14),Curves!AR486,"")</f>
        <v/>
      </c>
      <c r="AU486" t="str">
        <f>IF(AND($AK486&gt;=Results!$G$13,$AK486&lt;=Results!$G$14),Curves!AS486,"")</f>
        <v/>
      </c>
      <c r="AV486" t="str">
        <f t="shared" si="333"/>
        <v/>
      </c>
      <c r="AW486" t="str">
        <f>IF(AND($AK486&lt;=Results!$I$21,$AK486&gt;=Results!$I$20,$AK486&lt;=Results!$F$4),$AN486,"")</f>
        <v/>
      </c>
      <c r="AX486">
        <f t="shared" si="333"/>
        <v>69.900000000000219</v>
      </c>
      <c r="AY486">
        <f>IF(AND($AK486&lt;=Results!$I$23,$AK486&gt;=Results!$I$22,$AK486&gt;=Results!$F$4),$AN486,"")</f>
        <v>1161.2999999999945</v>
      </c>
      <c r="AZ486" t="str">
        <f t="shared" si="312"/>
        <v/>
      </c>
      <c r="BA486" t="str">
        <f>IF(AND($AK486&lt;=Results!$I$27,$AK486&gt;=Results!$I$26,$AK486&lt;=Results!$F$4),$AQ486,"")</f>
        <v/>
      </c>
      <c r="BB486">
        <f t="shared" si="313"/>
        <v>69.900000000000219</v>
      </c>
      <c r="BC486">
        <f>IF(AND($AK486&lt;=Results!$I$29,$AK486&gt;=Results!$I$28,$AK486&gt;=Results!$F$4),$AQ486,"")</f>
        <v>1153.9999999999989</v>
      </c>
      <c r="BD486">
        <f t="shared" si="314"/>
        <v>7230.8615572627841</v>
      </c>
      <c r="BE486">
        <f t="shared" si="315"/>
        <v>1157.2724856653044</v>
      </c>
      <c r="BF486">
        <f t="shared" si="316"/>
        <v>8089.5503654261838</v>
      </c>
      <c r="BG486">
        <f t="shared" si="317"/>
        <v>1153.781166473542</v>
      </c>
      <c r="BH486">
        <f t="shared" si="318"/>
        <v>0</v>
      </c>
      <c r="BI486">
        <f t="shared" si="319"/>
        <v>6.6311933310159166E-4</v>
      </c>
      <c r="BJ486">
        <f t="shared" si="320"/>
        <v>3.1551442987831635E-5</v>
      </c>
      <c r="BK486" t="e">
        <f t="shared" si="321"/>
        <v>#DIV/0!</v>
      </c>
      <c r="BL486" t="e">
        <f t="shared" si="322"/>
        <v>#DIV/0!</v>
      </c>
      <c r="BM486" t="e">
        <f t="shared" si="334"/>
        <v>#DIV/0!</v>
      </c>
      <c r="BN486" t="e">
        <f t="shared" si="335"/>
        <v>#DIV/0!</v>
      </c>
      <c r="BO486" t="e">
        <f>Data!$H$2*(1-BI486)*(1-BI486/Data!$H$3)*BM486</f>
        <v>#DIV/0!</v>
      </c>
      <c r="BP486" t="e">
        <f t="shared" si="323"/>
        <v>#DIV/0!</v>
      </c>
      <c r="BQ486" t="e">
        <f>Data!$H$2*(1-BJ486)*(1-BJ486/Data!$H$3)*BN486</f>
        <v>#DIV/0!</v>
      </c>
      <c r="BR486" t="e">
        <f t="shared" si="324"/>
        <v>#DIV/0!</v>
      </c>
      <c r="BS486">
        <f t="shared" si="325"/>
        <v>0</v>
      </c>
      <c r="BT486">
        <f t="shared" si="326"/>
        <v>0</v>
      </c>
      <c r="BU486">
        <f t="shared" si="327"/>
        <v>0</v>
      </c>
      <c r="BV486">
        <f t="shared" si="310"/>
        <v>0</v>
      </c>
      <c r="BW486">
        <f t="shared" si="336"/>
        <v>0</v>
      </c>
      <c r="BX486" t="str">
        <f t="shared" si="337"/>
        <v/>
      </c>
      <c r="BY486" s="66" t="str">
        <f t="shared" si="328"/>
        <v/>
      </c>
      <c r="BZ486" t="str">
        <f t="shared" si="329"/>
        <v/>
      </c>
      <c r="CA486" s="67" t="str">
        <f t="shared" si="311"/>
        <v/>
      </c>
    </row>
    <row r="487" spans="4:79" x14ac:dyDescent="0.25">
      <c r="D487" s="3" t="e">
        <f t="shared" si="340"/>
        <v>#DIV/0!</v>
      </c>
      <c r="E487" s="3" t="e">
        <f t="shared" si="340"/>
        <v>#DIV/0!</v>
      </c>
      <c r="F487" t="str">
        <f>IF(A487&gt;0,IF(F486=1,1,IF(B487=Data!$H$4,1,0)),"")</f>
        <v/>
      </c>
      <c r="AA487" t="e">
        <f t="shared" si="308"/>
        <v>#VALUE!</v>
      </c>
      <c r="AE487" t="str">
        <f t="shared" si="309"/>
        <v/>
      </c>
      <c r="AK487" s="4">
        <f t="shared" si="338"/>
        <v>69.900000000000219</v>
      </c>
      <c r="AL487">
        <f t="shared" si="330"/>
        <v>5389.0000000000264</v>
      </c>
      <c r="AM487">
        <f t="shared" si="331"/>
        <v>1150.2166666666619</v>
      </c>
      <c r="AN487">
        <f>IF($AK486+$AK$1&lt;=Data!$H$4-0.5,AVERAGE(AM485:AM489),AN486)</f>
        <v>1161.2999999999945</v>
      </c>
      <c r="AO487">
        <f t="shared" si="332"/>
        <v>5416.9999999999654</v>
      </c>
      <c r="AP487">
        <f t="shared" si="339"/>
        <v>1151.4999999999989</v>
      </c>
      <c r="AQ487">
        <f>IF($AK486+$AK$1&lt;=Data!$H$4-0.5,AVERAGE(AP485:AP489),AQ486)</f>
        <v>1153.9999999999989</v>
      </c>
      <c r="AR487">
        <f>IF($AK486+$AK$1&lt;=Data!$H$4-0.5,SLOPE($AN483:$AN491,$AK483:$AK491),AR486)</f>
        <v>-11.349999999999836</v>
      </c>
      <c r="AS487">
        <f>IF($AK486+$AK$1&lt;=Data!$H$4-0.5,SLOPE($AQ483:$AQ491,$AK483:$AK491),AS486)</f>
        <v>-2.7999999999992418</v>
      </c>
      <c r="AT487" t="str">
        <f>IF(AND($AK487&gt;=Results!$G$13,$AK487&lt;=Results!$G$14),Curves!AR487,"")</f>
        <v/>
      </c>
      <c r="AU487" t="str">
        <f>IF(AND($AK487&gt;=Results!$G$13,$AK487&lt;=Results!$G$14),Curves!AS487,"")</f>
        <v/>
      </c>
      <c r="AV487" t="str">
        <f t="shared" si="333"/>
        <v/>
      </c>
      <c r="AW487" t="str">
        <f>IF(AND($AK487&lt;=Results!$I$21,$AK487&gt;=Results!$I$20,$AK487&lt;=Results!$F$4),$AN487,"")</f>
        <v/>
      </c>
      <c r="AX487">
        <f t="shared" si="333"/>
        <v>69.900000000000219</v>
      </c>
      <c r="AY487">
        <f>IF(AND($AK487&lt;=Results!$I$23,$AK487&gt;=Results!$I$22,$AK487&gt;=Results!$F$4),$AN487,"")</f>
        <v>1161.2999999999945</v>
      </c>
      <c r="AZ487" t="str">
        <f t="shared" si="312"/>
        <v/>
      </c>
      <c r="BA487" t="str">
        <f>IF(AND($AK487&lt;=Results!$I$27,$AK487&gt;=Results!$I$26,$AK487&lt;=Results!$F$4),$AQ487,"")</f>
        <v/>
      </c>
      <c r="BB487">
        <f t="shared" si="313"/>
        <v>69.900000000000219</v>
      </c>
      <c r="BC487">
        <f>IF(AND($AK487&lt;=Results!$I$29,$AK487&gt;=Results!$I$28,$AK487&gt;=Results!$F$4),$AQ487,"")</f>
        <v>1153.9999999999989</v>
      </c>
      <c r="BD487">
        <f t="shared" si="314"/>
        <v>7230.8615572627841</v>
      </c>
      <c r="BE487">
        <f t="shared" si="315"/>
        <v>1157.2724856653044</v>
      </c>
      <c r="BF487">
        <f t="shared" si="316"/>
        <v>8089.5503654261838</v>
      </c>
      <c r="BG487">
        <f t="shared" si="317"/>
        <v>1153.781166473542</v>
      </c>
      <c r="BH487">
        <f t="shared" si="318"/>
        <v>0</v>
      </c>
      <c r="BI487">
        <f t="shared" si="319"/>
        <v>6.6311933310159166E-4</v>
      </c>
      <c r="BJ487">
        <f t="shared" si="320"/>
        <v>3.1551442987831635E-5</v>
      </c>
      <c r="BK487" t="e">
        <f t="shared" si="321"/>
        <v>#DIV/0!</v>
      </c>
      <c r="BL487" t="e">
        <f t="shared" si="322"/>
        <v>#DIV/0!</v>
      </c>
      <c r="BM487" t="e">
        <f t="shared" si="334"/>
        <v>#DIV/0!</v>
      </c>
      <c r="BN487" t="e">
        <f t="shared" si="335"/>
        <v>#DIV/0!</v>
      </c>
      <c r="BO487" t="e">
        <f>Data!$H$2*(1-BI487)*(1-BI487/Data!$H$3)*BM487</f>
        <v>#DIV/0!</v>
      </c>
      <c r="BP487" t="e">
        <f t="shared" si="323"/>
        <v>#DIV/0!</v>
      </c>
      <c r="BQ487" t="e">
        <f>Data!$H$2*(1-BJ487)*(1-BJ487/Data!$H$3)*BN487</f>
        <v>#DIV/0!</v>
      </c>
      <c r="BR487" t="e">
        <f t="shared" si="324"/>
        <v>#DIV/0!</v>
      </c>
      <c r="BS487">
        <f t="shared" si="325"/>
        <v>0</v>
      </c>
      <c r="BT487">
        <f t="shared" si="326"/>
        <v>0</v>
      </c>
      <c r="BU487">
        <f t="shared" si="327"/>
        <v>0</v>
      </c>
      <c r="BV487">
        <f t="shared" si="310"/>
        <v>0</v>
      </c>
      <c r="BW487">
        <f t="shared" si="336"/>
        <v>0</v>
      </c>
      <c r="BX487" t="str">
        <f t="shared" si="337"/>
        <v/>
      </c>
      <c r="BY487" s="66" t="str">
        <f t="shared" si="328"/>
        <v/>
      </c>
      <c r="BZ487" t="str">
        <f t="shared" si="329"/>
        <v/>
      </c>
      <c r="CA487" s="67" t="str">
        <f t="shared" si="311"/>
        <v/>
      </c>
    </row>
    <row r="488" spans="4:79" x14ac:dyDescent="0.25">
      <c r="D488" s="3" t="e">
        <f t="shared" si="340"/>
        <v>#DIV/0!</v>
      </c>
      <c r="E488" s="3" t="e">
        <f t="shared" si="340"/>
        <v>#DIV/0!</v>
      </c>
      <c r="F488" t="str">
        <f>IF(A488&gt;0,IF(F487=1,1,IF(B488=Data!$H$4,1,0)),"")</f>
        <v/>
      </c>
      <c r="AA488" t="e">
        <f t="shared" si="308"/>
        <v>#VALUE!</v>
      </c>
      <c r="AE488" t="str">
        <f t="shared" si="309"/>
        <v/>
      </c>
      <c r="AK488" s="4">
        <f t="shared" si="338"/>
        <v>69.900000000000219</v>
      </c>
      <c r="AL488">
        <f t="shared" si="330"/>
        <v>5389.0000000000264</v>
      </c>
      <c r="AM488">
        <f t="shared" si="331"/>
        <v>1150.2166666666619</v>
      </c>
      <c r="AN488">
        <f>IF($AK487+$AK$1&lt;=Data!$H$4-0.5,AVERAGE(AM486:AM490),AN487)</f>
        <v>1161.2999999999945</v>
      </c>
      <c r="AO488">
        <f t="shared" si="332"/>
        <v>5416.9999999999654</v>
      </c>
      <c r="AP488">
        <f t="shared" si="339"/>
        <v>1151.4999999999989</v>
      </c>
      <c r="AQ488">
        <f>IF($AK487+$AK$1&lt;=Data!$H$4-0.5,AVERAGE(AP486:AP490),AQ487)</f>
        <v>1153.9999999999989</v>
      </c>
      <c r="AR488">
        <f>IF($AK487+$AK$1&lt;=Data!$H$4-0.5,SLOPE($AN484:$AN492,$AK484:$AK492),AR487)</f>
        <v>-11.349999999999836</v>
      </c>
      <c r="AS488">
        <f>IF($AK487+$AK$1&lt;=Data!$H$4-0.5,SLOPE($AQ484:$AQ492,$AK484:$AK492),AS487)</f>
        <v>-2.7999999999992418</v>
      </c>
      <c r="AT488" t="str">
        <f>IF(AND($AK488&gt;=Results!$G$13,$AK488&lt;=Results!$G$14),Curves!AR488,"")</f>
        <v/>
      </c>
      <c r="AU488" t="str">
        <f>IF(AND($AK488&gt;=Results!$G$13,$AK488&lt;=Results!$G$14),Curves!AS488,"")</f>
        <v/>
      </c>
      <c r="AV488" t="str">
        <f t="shared" si="333"/>
        <v/>
      </c>
      <c r="AW488" t="str">
        <f>IF(AND($AK488&lt;=Results!$I$21,$AK488&gt;=Results!$I$20,$AK488&lt;=Results!$F$4),$AN488,"")</f>
        <v/>
      </c>
      <c r="AX488">
        <f t="shared" si="333"/>
        <v>69.900000000000219</v>
      </c>
      <c r="AY488">
        <f>IF(AND($AK488&lt;=Results!$I$23,$AK488&gt;=Results!$I$22,$AK488&gt;=Results!$F$4),$AN488,"")</f>
        <v>1161.2999999999945</v>
      </c>
      <c r="AZ488" t="str">
        <f t="shared" si="312"/>
        <v/>
      </c>
      <c r="BA488" t="str">
        <f>IF(AND($AK488&lt;=Results!$I$27,$AK488&gt;=Results!$I$26,$AK488&lt;=Results!$F$4),$AQ488,"")</f>
        <v/>
      </c>
      <c r="BB488">
        <f t="shared" si="313"/>
        <v>69.900000000000219</v>
      </c>
      <c r="BC488">
        <f>IF(AND($AK488&lt;=Results!$I$29,$AK488&gt;=Results!$I$28,$AK488&gt;=Results!$F$4),$AQ488,"")</f>
        <v>1153.9999999999989</v>
      </c>
      <c r="BD488">
        <f t="shared" si="314"/>
        <v>7230.8615572627841</v>
      </c>
      <c r="BE488">
        <f t="shared" si="315"/>
        <v>1157.2724856653044</v>
      </c>
      <c r="BF488">
        <f t="shared" si="316"/>
        <v>8089.5503654261838</v>
      </c>
      <c r="BG488">
        <f t="shared" si="317"/>
        <v>1153.781166473542</v>
      </c>
      <c r="BH488">
        <f t="shared" si="318"/>
        <v>0</v>
      </c>
      <c r="BI488">
        <f t="shared" si="319"/>
        <v>6.6311933310159166E-4</v>
      </c>
      <c r="BJ488">
        <f t="shared" si="320"/>
        <v>3.1551442987831635E-5</v>
      </c>
      <c r="BK488" t="e">
        <f t="shared" si="321"/>
        <v>#DIV/0!</v>
      </c>
      <c r="BL488" t="e">
        <f t="shared" si="322"/>
        <v>#DIV/0!</v>
      </c>
      <c r="BM488" t="e">
        <f t="shared" si="334"/>
        <v>#DIV/0!</v>
      </c>
      <c r="BN488" t="e">
        <f t="shared" si="335"/>
        <v>#DIV/0!</v>
      </c>
      <c r="BO488" t="e">
        <f>Data!$H$2*(1-BI488)*(1-BI488/Data!$H$3)*BM488</f>
        <v>#DIV/0!</v>
      </c>
      <c r="BP488" t="e">
        <f t="shared" si="323"/>
        <v>#DIV/0!</v>
      </c>
      <c r="BQ488" t="e">
        <f>Data!$H$2*(1-BJ488)*(1-BJ488/Data!$H$3)*BN488</f>
        <v>#DIV/0!</v>
      </c>
      <c r="BR488" t="e">
        <f t="shared" si="324"/>
        <v>#DIV/0!</v>
      </c>
      <c r="BS488">
        <f t="shared" si="325"/>
        <v>0</v>
      </c>
      <c r="BT488">
        <f t="shared" si="326"/>
        <v>0</v>
      </c>
      <c r="BU488">
        <f t="shared" si="327"/>
        <v>0</v>
      </c>
      <c r="BV488">
        <f t="shared" si="310"/>
        <v>0</v>
      </c>
      <c r="BW488">
        <f t="shared" si="336"/>
        <v>0</v>
      </c>
      <c r="BX488" t="str">
        <f t="shared" si="337"/>
        <v/>
      </c>
      <c r="BY488" s="66" t="str">
        <f t="shared" si="328"/>
        <v/>
      </c>
      <c r="BZ488" t="str">
        <f t="shared" si="329"/>
        <v/>
      </c>
      <c r="CA488" s="67" t="str">
        <f t="shared" si="311"/>
        <v/>
      </c>
    </row>
    <row r="489" spans="4:79" x14ac:dyDescent="0.25">
      <c r="D489" s="3" t="e">
        <f t="shared" si="340"/>
        <v>#DIV/0!</v>
      </c>
      <c r="E489" s="3" t="e">
        <f t="shared" si="340"/>
        <v>#DIV/0!</v>
      </c>
      <c r="F489" t="str">
        <f>IF(A489&gt;0,IF(F488=1,1,IF(B489=Data!$H$4,1,0)),"")</f>
        <v/>
      </c>
      <c r="AA489" t="e">
        <f t="shared" si="308"/>
        <v>#VALUE!</v>
      </c>
      <c r="AE489" t="str">
        <f t="shared" si="309"/>
        <v/>
      </c>
      <c r="AK489" s="4">
        <f t="shared" si="338"/>
        <v>69.900000000000219</v>
      </c>
      <c r="AL489">
        <f t="shared" si="330"/>
        <v>5389.0000000000264</v>
      </c>
      <c r="AM489">
        <f t="shared" si="331"/>
        <v>1150.2166666666619</v>
      </c>
      <c r="AN489">
        <f>IF($AK488+$AK$1&lt;=Data!$H$4-0.5,AVERAGE(AM487:AM491),AN488)</f>
        <v>1161.2999999999945</v>
      </c>
      <c r="AO489">
        <f t="shared" si="332"/>
        <v>5416.9999999999654</v>
      </c>
      <c r="AP489">
        <f t="shared" si="339"/>
        <v>1151.4999999999989</v>
      </c>
      <c r="AQ489">
        <f>IF($AK488+$AK$1&lt;=Data!$H$4-0.5,AVERAGE(AP487:AP491),AQ488)</f>
        <v>1153.9999999999989</v>
      </c>
      <c r="AR489">
        <f>IF($AK488+$AK$1&lt;=Data!$H$4-0.5,SLOPE($AN485:$AN493,$AK485:$AK493),AR488)</f>
        <v>-11.349999999999836</v>
      </c>
      <c r="AS489">
        <f>IF($AK488+$AK$1&lt;=Data!$H$4-0.5,SLOPE($AQ485:$AQ493,$AK485:$AK493),AS488)</f>
        <v>-2.7999999999992418</v>
      </c>
      <c r="AT489" t="str">
        <f>IF(AND($AK489&gt;=Results!$G$13,$AK489&lt;=Results!$G$14),Curves!AR489,"")</f>
        <v/>
      </c>
      <c r="AU489" t="str">
        <f>IF(AND($AK489&gt;=Results!$G$13,$AK489&lt;=Results!$G$14),Curves!AS489,"")</f>
        <v/>
      </c>
      <c r="AV489" t="str">
        <f t="shared" si="333"/>
        <v/>
      </c>
      <c r="AW489" t="str">
        <f>IF(AND($AK489&lt;=Results!$I$21,$AK489&gt;=Results!$I$20,$AK489&lt;=Results!$F$4),$AN489,"")</f>
        <v/>
      </c>
      <c r="AX489">
        <f t="shared" si="333"/>
        <v>69.900000000000219</v>
      </c>
      <c r="AY489">
        <f>IF(AND($AK489&lt;=Results!$I$23,$AK489&gt;=Results!$I$22,$AK489&gt;=Results!$F$4),$AN489,"")</f>
        <v>1161.2999999999945</v>
      </c>
      <c r="AZ489" t="str">
        <f t="shared" si="312"/>
        <v/>
      </c>
      <c r="BA489" t="str">
        <f>IF(AND($AK489&lt;=Results!$I$27,$AK489&gt;=Results!$I$26,$AK489&lt;=Results!$F$4),$AQ489,"")</f>
        <v/>
      </c>
      <c r="BB489">
        <f t="shared" si="313"/>
        <v>69.900000000000219</v>
      </c>
      <c r="BC489">
        <f>IF(AND($AK489&lt;=Results!$I$29,$AK489&gt;=Results!$I$28,$AK489&gt;=Results!$F$4),$AQ489,"")</f>
        <v>1153.9999999999989</v>
      </c>
      <c r="BD489">
        <f t="shared" si="314"/>
        <v>7230.8615572627841</v>
      </c>
      <c r="BE489">
        <f t="shared" si="315"/>
        <v>1157.2724856653044</v>
      </c>
      <c r="BF489">
        <f t="shared" si="316"/>
        <v>8089.5503654261838</v>
      </c>
      <c r="BG489">
        <f t="shared" si="317"/>
        <v>1153.781166473542</v>
      </c>
      <c r="BH489">
        <f t="shared" si="318"/>
        <v>0</v>
      </c>
      <c r="BI489">
        <f t="shared" si="319"/>
        <v>6.6311933310159166E-4</v>
      </c>
      <c r="BJ489">
        <f t="shared" si="320"/>
        <v>3.1551442987831635E-5</v>
      </c>
      <c r="BK489" t="e">
        <f t="shared" si="321"/>
        <v>#DIV/0!</v>
      </c>
      <c r="BL489" t="e">
        <f t="shared" si="322"/>
        <v>#DIV/0!</v>
      </c>
      <c r="BM489" t="e">
        <f t="shared" si="334"/>
        <v>#DIV/0!</v>
      </c>
      <c r="BN489" t="e">
        <f t="shared" si="335"/>
        <v>#DIV/0!</v>
      </c>
      <c r="BO489" t="e">
        <f>Data!$H$2*(1-BI489)*(1-BI489/Data!$H$3)*BM489</f>
        <v>#DIV/0!</v>
      </c>
      <c r="BP489" t="e">
        <f t="shared" si="323"/>
        <v>#DIV/0!</v>
      </c>
      <c r="BQ489" t="e">
        <f>Data!$H$2*(1-BJ489)*(1-BJ489/Data!$H$3)*BN489</f>
        <v>#DIV/0!</v>
      </c>
      <c r="BR489" t="e">
        <f t="shared" si="324"/>
        <v>#DIV/0!</v>
      </c>
      <c r="BS489">
        <f t="shared" si="325"/>
        <v>0</v>
      </c>
      <c r="BT489">
        <f t="shared" si="326"/>
        <v>0</v>
      </c>
      <c r="BU489">
        <f t="shared" si="327"/>
        <v>0</v>
      </c>
      <c r="BV489">
        <f t="shared" si="310"/>
        <v>0</v>
      </c>
      <c r="BW489">
        <f t="shared" si="336"/>
        <v>0</v>
      </c>
      <c r="BX489" t="str">
        <f t="shared" si="337"/>
        <v/>
      </c>
      <c r="BY489" s="66" t="str">
        <f t="shared" si="328"/>
        <v/>
      </c>
      <c r="BZ489" t="str">
        <f t="shared" si="329"/>
        <v/>
      </c>
      <c r="CA489" s="67" t="str">
        <f t="shared" si="311"/>
        <v/>
      </c>
    </row>
    <row r="490" spans="4:79" x14ac:dyDescent="0.25">
      <c r="D490" s="3" t="e">
        <f t="shared" si="340"/>
        <v>#DIV/0!</v>
      </c>
      <c r="E490" s="3" t="e">
        <f t="shared" si="340"/>
        <v>#DIV/0!</v>
      </c>
      <c r="F490" t="str">
        <f>IF(A490&gt;0,IF(F489=1,1,IF(B490=Data!$H$4,1,0)),"")</f>
        <v/>
      </c>
      <c r="AA490" t="e">
        <f t="shared" si="308"/>
        <v>#VALUE!</v>
      </c>
      <c r="AE490" t="str">
        <f t="shared" si="309"/>
        <v/>
      </c>
      <c r="AK490" s="4">
        <f t="shared" si="338"/>
        <v>69.900000000000219</v>
      </c>
      <c r="AL490">
        <f t="shared" si="330"/>
        <v>5389.0000000000264</v>
      </c>
      <c r="AM490">
        <f t="shared" si="331"/>
        <v>1150.2166666666619</v>
      </c>
      <c r="AN490">
        <f>IF($AK489+$AK$1&lt;=Data!$H$4-0.5,AVERAGE(AM488:AM492),AN489)</f>
        <v>1161.2999999999945</v>
      </c>
      <c r="AO490">
        <f t="shared" si="332"/>
        <v>5416.9999999999654</v>
      </c>
      <c r="AP490">
        <f t="shared" si="339"/>
        <v>1151.4999999999989</v>
      </c>
      <c r="AQ490">
        <f>IF($AK489+$AK$1&lt;=Data!$H$4-0.5,AVERAGE(AP488:AP492),AQ489)</f>
        <v>1153.9999999999989</v>
      </c>
      <c r="AR490">
        <f>IF($AK489+$AK$1&lt;=Data!$H$4-0.5,SLOPE($AN486:$AN494,$AK486:$AK494),AR489)</f>
        <v>-11.349999999999836</v>
      </c>
      <c r="AS490">
        <f>IF($AK489+$AK$1&lt;=Data!$H$4-0.5,SLOPE($AQ486:$AQ494,$AK486:$AK494),AS489)</f>
        <v>-2.7999999999992418</v>
      </c>
      <c r="AT490" t="str">
        <f>IF(AND($AK490&gt;=Results!$G$13,$AK490&lt;=Results!$G$14),Curves!AR490,"")</f>
        <v/>
      </c>
      <c r="AU490" t="str">
        <f>IF(AND($AK490&gt;=Results!$G$13,$AK490&lt;=Results!$G$14),Curves!AS490,"")</f>
        <v/>
      </c>
      <c r="AV490" t="str">
        <f t="shared" si="333"/>
        <v/>
      </c>
      <c r="AW490" t="str">
        <f>IF(AND($AK490&lt;=Results!$I$21,$AK490&gt;=Results!$I$20,$AK490&lt;=Results!$F$4),$AN490,"")</f>
        <v/>
      </c>
      <c r="AX490">
        <f t="shared" si="333"/>
        <v>69.900000000000219</v>
      </c>
      <c r="AY490">
        <f>IF(AND($AK490&lt;=Results!$I$23,$AK490&gt;=Results!$I$22,$AK490&gt;=Results!$F$4),$AN490,"")</f>
        <v>1161.2999999999945</v>
      </c>
      <c r="AZ490" t="str">
        <f t="shared" si="312"/>
        <v/>
      </c>
      <c r="BA490" t="str">
        <f>IF(AND($AK490&lt;=Results!$I$27,$AK490&gt;=Results!$I$26,$AK490&lt;=Results!$F$4),$AQ490,"")</f>
        <v/>
      </c>
      <c r="BB490">
        <f t="shared" si="313"/>
        <v>69.900000000000219</v>
      </c>
      <c r="BC490">
        <f>IF(AND($AK490&lt;=Results!$I$29,$AK490&gt;=Results!$I$28,$AK490&gt;=Results!$F$4),$AQ490,"")</f>
        <v>1153.9999999999989</v>
      </c>
      <c r="BD490">
        <f t="shared" si="314"/>
        <v>7230.8615572627841</v>
      </c>
      <c r="BE490">
        <f t="shared" si="315"/>
        <v>1157.2724856653044</v>
      </c>
      <c r="BF490">
        <f t="shared" si="316"/>
        <v>8089.5503654261838</v>
      </c>
      <c r="BG490">
        <f t="shared" si="317"/>
        <v>1153.781166473542</v>
      </c>
      <c r="BH490">
        <f t="shared" si="318"/>
        <v>0</v>
      </c>
      <c r="BI490">
        <f t="shared" si="319"/>
        <v>6.6311933310159166E-4</v>
      </c>
      <c r="BJ490">
        <f t="shared" si="320"/>
        <v>3.1551442987831635E-5</v>
      </c>
      <c r="BK490" t="e">
        <f t="shared" si="321"/>
        <v>#DIV/0!</v>
      </c>
      <c r="BL490" t="e">
        <f t="shared" si="322"/>
        <v>#DIV/0!</v>
      </c>
      <c r="BM490" t="e">
        <f t="shared" si="334"/>
        <v>#DIV/0!</v>
      </c>
      <c r="BN490" t="e">
        <f t="shared" si="335"/>
        <v>#DIV/0!</v>
      </c>
      <c r="BO490" t="e">
        <f>Data!$H$2*(1-BI490)*(1-BI490/Data!$H$3)*BM490</f>
        <v>#DIV/0!</v>
      </c>
      <c r="BP490" t="e">
        <f t="shared" si="323"/>
        <v>#DIV/0!</v>
      </c>
      <c r="BQ490" t="e">
        <f>Data!$H$2*(1-BJ490)*(1-BJ490/Data!$H$3)*BN490</f>
        <v>#DIV/0!</v>
      </c>
      <c r="BR490" t="e">
        <f t="shared" si="324"/>
        <v>#DIV/0!</v>
      </c>
      <c r="BS490">
        <f t="shared" si="325"/>
        <v>0</v>
      </c>
      <c r="BT490">
        <f t="shared" si="326"/>
        <v>0</v>
      </c>
      <c r="BU490">
        <f t="shared" si="327"/>
        <v>0</v>
      </c>
      <c r="BV490">
        <f t="shared" si="310"/>
        <v>0</v>
      </c>
      <c r="BW490">
        <f t="shared" si="336"/>
        <v>0</v>
      </c>
      <c r="BX490" t="str">
        <f t="shared" si="337"/>
        <v/>
      </c>
      <c r="BY490" s="66" t="str">
        <f t="shared" si="328"/>
        <v/>
      </c>
      <c r="BZ490" t="str">
        <f t="shared" si="329"/>
        <v/>
      </c>
      <c r="CA490" s="67" t="str">
        <f t="shared" si="311"/>
        <v/>
      </c>
    </row>
    <row r="491" spans="4:79" x14ac:dyDescent="0.25">
      <c r="D491" s="3" t="e">
        <f t="shared" si="340"/>
        <v>#DIV/0!</v>
      </c>
      <c r="E491" s="3" t="e">
        <f t="shared" si="340"/>
        <v>#DIV/0!</v>
      </c>
      <c r="F491" t="str">
        <f>IF(A491&gt;0,IF(F490=1,1,IF(B491=Data!$H$4,1,0)),"")</f>
        <v/>
      </c>
      <c r="AA491" t="e">
        <f t="shared" si="308"/>
        <v>#VALUE!</v>
      </c>
      <c r="AE491" t="str">
        <f t="shared" si="309"/>
        <v/>
      </c>
      <c r="AK491" s="4">
        <f t="shared" si="338"/>
        <v>69.900000000000219</v>
      </c>
      <c r="AL491">
        <f t="shared" si="330"/>
        <v>5389.0000000000264</v>
      </c>
      <c r="AM491">
        <f t="shared" si="331"/>
        <v>1150.2166666666619</v>
      </c>
      <c r="AN491">
        <f>IF($AK490+$AK$1&lt;=Data!$H$4-0.5,AVERAGE(AM489:AM493),AN490)</f>
        <v>1161.2999999999945</v>
      </c>
      <c r="AO491">
        <f t="shared" si="332"/>
        <v>5416.9999999999654</v>
      </c>
      <c r="AP491">
        <f t="shared" si="339"/>
        <v>1151.4999999999989</v>
      </c>
      <c r="AQ491">
        <f>IF($AK490+$AK$1&lt;=Data!$H$4-0.5,AVERAGE(AP489:AP493),AQ490)</f>
        <v>1153.9999999999989</v>
      </c>
      <c r="AR491">
        <f>IF($AK490+$AK$1&lt;=Data!$H$4-0.5,SLOPE($AN487:$AN495,$AK487:$AK495),AR490)</f>
        <v>-11.349999999999836</v>
      </c>
      <c r="AS491">
        <f>IF($AK490+$AK$1&lt;=Data!$H$4-0.5,SLOPE($AQ487:$AQ495,$AK487:$AK495),AS490)</f>
        <v>-2.7999999999992418</v>
      </c>
      <c r="AT491" t="str">
        <f>IF(AND($AK491&gt;=Results!$G$13,$AK491&lt;=Results!$G$14),Curves!AR491,"")</f>
        <v/>
      </c>
      <c r="AU491" t="str">
        <f>IF(AND($AK491&gt;=Results!$G$13,$AK491&lt;=Results!$G$14),Curves!AS491,"")</f>
        <v/>
      </c>
      <c r="AV491" t="str">
        <f t="shared" si="333"/>
        <v/>
      </c>
      <c r="AW491" t="str">
        <f>IF(AND($AK491&lt;=Results!$I$21,$AK491&gt;=Results!$I$20,$AK491&lt;=Results!$F$4),$AN491,"")</f>
        <v/>
      </c>
      <c r="AX491">
        <f t="shared" si="333"/>
        <v>69.900000000000219</v>
      </c>
      <c r="AY491">
        <f>IF(AND($AK491&lt;=Results!$I$23,$AK491&gt;=Results!$I$22,$AK491&gt;=Results!$F$4),$AN491,"")</f>
        <v>1161.2999999999945</v>
      </c>
      <c r="AZ491" t="str">
        <f t="shared" si="312"/>
        <v/>
      </c>
      <c r="BA491" t="str">
        <f>IF(AND($AK491&lt;=Results!$I$27,$AK491&gt;=Results!$I$26,$AK491&lt;=Results!$F$4),$AQ491,"")</f>
        <v/>
      </c>
      <c r="BB491">
        <f t="shared" si="313"/>
        <v>69.900000000000219</v>
      </c>
      <c r="BC491">
        <f>IF(AND($AK491&lt;=Results!$I$29,$AK491&gt;=Results!$I$28,$AK491&gt;=Results!$F$4),$AQ491,"")</f>
        <v>1153.9999999999989</v>
      </c>
      <c r="BD491">
        <f t="shared" si="314"/>
        <v>7230.8615572627841</v>
      </c>
      <c r="BE491">
        <f t="shared" si="315"/>
        <v>1157.2724856653044</v>
      </c>
      <c r="BF491">
        <f t="shared" si="316"/>
        <v>8089.5503654261838</v>
      </c>
      <c r="BG491">
        <f t="shared" si="317"/>
        <v>1153.781166473542</v>
      </c>
      <c r="BH491">
        <f t="shared" si="318"/>
        <v>0</v>
      </c>
      <c r="BI491">
        <f t="shared" si="319"/>
        <v>6.6311933310159166E-4</v>
      </c>
      <c r="BJ491">
        <f t="shared" si="320"/>
        <v>3.1551442987831635E-5</v>
      </c>
      <c r="BK491" t="e">
        <f t="shared" si="321"/>
        <v>#DIV/0!</v>
      </c>
      <c r="BL491" t="e">
        <f t="shared" si="322"/>
        <v>#DIV/0!</v>
      </c>
      <c r="BM491" t="e">
        <f t="shared" si="334"/>
        <v>#DIV/0!</v>
      </c>
      <c r="BN491" t="e">
        <f t="shared" si="335"/>
        <v>#DIV/0!</v>
      </c>
      <c r="BO491" t="e">
        <f>Data!$H$2*(1-BI491)*(1-BI491/Data!$H$3)*BM491</f>
        <v>#DIV/0!</v>
      </c>
      <c r="BP491" t="e">
        <f t="shared" si="323"/>
        <v>#DIV/0!</v>
      </c>
      <c r="BQ491" t="e">
        <f>Data!$H$2*(1-BJ491)*(1-BJ491/Data!$H$3)*BN491</f>
        <v>#DIV/0!</v>
      </c>
      <c r="BR491" t="e">
        <f t="shared" si="324"/>
        <v>#DIV/0!</v>
      </c>
      <c r="BS491">
        <f t="shared" si="325"/>
        <v>0</v>
      </c>
      <c r="BT491">
        <f t="shared" si="326"/>
        <v>0</v>
      </c>
      <c r="BU491">
        <f t="shared" si="327"/>
        <v>0</v>
      </c>
      <c r="BV491">
        <f t="shared" si="310"/>
        <v>0</v>
      </c>
      <c r="BW491">
        <f t="shared" si="336"/>
        <v>0</v>
      </c>
      <c r="BX491" t="str">
        <f t="shared" si="337"/>
        <v/>
      </c>
      <c r="BY491" s="66" t="str">
        <f t="shared" si="328"/>
        <v/>
      </c>
      <c r="BZ491" t="str">
        <f t="shared" si="329"/>
        <v/>
      </c>
      <c r="CA491" s="67" t="str">
        <f t="shared" si="311"/>
        <v/>
      </c>
    </row>
    <row r="492" spans="4:79" x14ac:dyDescent="0.25">
      <c r="D492" s="3" t="e">
        <f t="shared" si="340"/>
        <v>#DIV/0!</v>
      </c>
      <c r="E492" s="3" t="e">
        <f t="shared" si="340"/>
        <v>#DIV/0!</v>
      </c>
      <c r="F492" t="str">
        <f>IF(A492&gt;0,IF(F491=1,1,IF(B492=Data!$H$4,1,0)),"")</f>
        <v/>
      </c>
      <c r="AA492" t="e">
        <f t="shared" si="308"/>
        <v>#VALUE!</v>
      </c>
      <c r="AE492" t="str">
        <f t="shared" si="309"/>
        <v/>
      </c>
      <c r="AK492" s="4">
        <f t="shared" si="338"/>
        <v>69.900000000000219</v>
      </c>
      <c r="AL492">
        <f t="shared" si="330"/>
        <v>5389.0000000000264</v>
      </c>
      <c r="AM492">
        <f t="shared" si="331"/>
        <v>1150.2166666666619</v>
      </c>
      <c r="AN492">
        <f>IF($AK491+$AK$1&lt;=Data!$H$4-0.5,AVERAGE(AM490:AM494),AN491)</f>
        <v>1161.2999999999945</v>
      </c>
      <c r="AO492">
        <f t="shared" si="332"/>
        <v>5416.9999999999654</v>
      </c>
      <c r="AP492">
        <f t="shared" si="339"/>
        <v>1151.4999999999989</v>
      </c>
      <c r="AQ492">
        <f>IF($AK491+$AK$1&lt;=Data!$H$4-0.5,AVERAGE(AP490:AP494),AQ491)</f>
        <v>1153.9999999999989</v>
      </c>
      <c r="AR492">
        <f>IF($AK491+$AK$1&lt;=Data!$H$4-0.5,SLOPE($AN488:$AN496,$AK488:$AK496),AR491)</f>
        <v>-11.349999999999836</v>
      </c>
      <c r="AS492">
        <f>IF($AK491+$AK$1&lt;=Data!$H$4-0.5,SLOPE($AQ488:$AQ496,$AK488:$AK496),AS491)</f>
        <v>-2.7999999999992418</v>
      </c>
      <c r="AT492" t="str">
        <f>IF(AND($AK492&gt;=Results!$G$13,$AK492&lt;=Results!$G$14),Curves!AR492,"")</f>
        <v/>
      </c>
      <c r="AU492" t="str">
        <f>IF(AND($AK492&gt;=Results!$G$13,$AK492&lt;=Results!$G$14),Curves!AS492,"")</f>
        <v/>
      </c>
      <c r="AV492" t="str">
        <f t="shared" si="333"/>
        <v/>
      </c>
      <c r="AW492" t="str">
        <f>IF(AND($AK492&lt;=Results!$I$21,$AK492&gt;=Results!$I$20,$AK492&lt;=Results!$F$4),$AN492,"")</f>
        <v/>
      </c>
      <c r="AX492">
        <f t="shared" si="333"/>
        <v>69.900000000000219</v>
      </c>
      <c r="AY492">
        <f>IF(AND($AK492&lt;=Results!$I$23,$AK492&gt;=Results!$I$22,$AK492&gt;=Results!$F$4),$AN492,"")</f>
        <v>1161.2999999999945</v>
      </c>
      <c r="AZ492" t="str">
        <f t="shared" si="312"/>
        <v/>
      </c>
      <c r="BA492" t="str">
        <f>IF(AND($AK492&lt;=Results!$I$27,$AK492&gt;=Results!$I$26,$AK492&lt;=Results!$F$4),$AQ492,"")</f>
        <v/>
      </c>
      <c r="BB492">
        <f t="shared" si="313"/>
        <v>69.900000000000219</v>
      </c>
      <c r="BC492">
        <f>IF(AND($AK492&lt;=Results!$I$29,$AK492&gt;=Results!$I$28,$AK492&gt;=Results!$F$4),$AQ492,"")</f>
        <v>1153.9999999999989</v>
      </c>
      <c r="BD492">
        <f t="shared" si="314"/>
        <v>7230.8615572627841</v>
      </c>
      <c r="BE492">
        <f t="shared" si="315"/>
        <v>1157.2724856653044</v>
      </c>
      <c r="BF492">
        <f t="shared" si="316"/>
        <v>8089.5503654261838</v>
      </c>
      <c r="BG492">
        <f t="shared" si="317"/>
        <v>1153.781166473542</v>
      </c>
      <c r="BH492">
        <f t="shared" si="318"/>
        <v>0</v>
      </c>
      <c r="BI492">
        <f t="shared" si="319"/>
        <v>6.6311933310159166E-4</v>
      </c>
      <c r="BJ492">
        <f t="shared" si="320"/>
        <v>3.1551442987831635E-5</v>
      </c>
      <c r="BK492" t="e">
        <f t="shared" si="321"/>
        <v>#DIV/0!</v>
      </c>
      <c r="BL492" t="e">
        <f t="shared" si="322"/>
        <v>#DIV/0!</v>
      </c>
      <c r="BM492" t="e">
        <f t="shared" si="334"/>
        <v>#DIV/0!</v>
      </c>
      <c r="BN492" t="e">
        <f t="shared" si="335"/>
        <v>#DIV/0!</v>
      </c>
      <c r="BO492" t="e">
        <f>Data!$H$2*(1-BI492)*(1-BI492/Data!$H$3)*BM492</f>
        <v>#DIV/0!</v>
      </c>
      <c r="BP492" t="e">
        <f t="shared" si="323"/>
        <v>#DIV/0!</v>
      </c>
      <c r="BQ492" t="e">
        <f>Data!$H$2*(1-BJ492)*(1-BJ492/Data!$H$3)*BN492</f>
        <v>#DIV/0!</v>
      </c>
      <c r="BR492" t="e">
        <f t="shared" si="324"/>
        <v>#DIV/0!</v>
      </c>
      <c r="BS492">
        <f t="shared" si="325"/>
        <v>0</v>
      </c>
      <c r="BT492">
        <f t="shared" si="326"/>
        <v>0</v>
      </c>
      <c r="BU492">
        <f t="shared" si="327"/>
        <v>0</v>
      </c>
      <c r="BV492">
        <f t="shared" si="310"/>
        <v>0</v>
      </c>
      <c r="BW492">
        <f t="shared" si="336"/>
        <v>0</v>
      </c>
      <c r="BX492" t="str">
        <f t="shared" si="337"/>
        <v/>
      </c>
      <c r="BY492" s="66" t="str">
        <f t="shared" si="328"/>
        <v/>
      </c>
      <c r="BZ492" t="str">
        <f t="shared" si="329"/>
        <v/>
      </c>
      <c r="CA492" s="67" t="str">
        <f t="shared" si="311"/>
        <v/>
      </c>
    </row>
    <row r="493" spans="4:79" x14ac:dyDescent="0.25">
      <c r="D493" s="3" t="e">
        <f t="shared" si="340"/>
        <v>#DIV/0!</v>
      </c>
      <c r="E493" s="3" t="e">
        <f t="shared" si="340"/>
        <v>#DIV/0!</v>
      </c>
      <c r="F493" t="str">
        <f>IF(A493&gt;0,IF(F492=1,1,IF(B493=Data!$H$4,1,0)),"")</f>
        <v/>
      </c>
      <c r="AA493" t="e">
        <f t="shared" si="308"/>
        <v>#VALUE!</v>
      </c>
      <c r="AE493" t="str">
        <f t="shared" si="309"/>
        <v/>
      </c>
      <c r="AK493" s="4">
        <f t="shared" si="338"/>
        <v>69.900000000000219</v>
      </c>
      <c r="AL493">
        <f t="shared" si="330"/>
        <v>5389.0000000000264</v>
      </c>
      <c r="AM493">
        <f t="shared" si="331"/>
        <v>1150.2166666666619</v>
      </c>
      <c r="AN493">
        <f>IF($AK492+$AK$1&lt;=Data!$H$4-0.5,AVERAGE(AM491:AM495),AN492)</f>
        <v>1161.2999999999945</v>
      </c>
      <c r="AO493">
        <f t="shared" si="332"/>
        <v>5416.9999999999654</v>
      </c>
      <c r="AP493">
        <f t="shared" si="339"/>
        <v>1151.4999999999989</v>
      </c>
      <c r="AQ493">
        <f>IF($AK492+$AK$1&lt;=Data!$H$4-0.5,AVERAGE(AP491:AP495),AQ492)</f>
        <v>1153.9999999999989</v>
      </c>
      <c r="AR493">
        <f>IF($AK492+$AK$1&lt;=Data!$H$4-0.5,SLOPE($AN489:$AN497,$AK489:$AK497),AR492)</f>
        <v>-11.349999999999836</v>
      </c>
      <c r="AS493">
        <f>IF($AK492+$AK$1&lt;=Data!$H$4-0.5,SLOPE($AQ489:$AQ497,$AK489:$AK497),AS492)</f>
        <v>-2.7999999999992418</v>
      </c>
      <c r="AT493" t="str">
        <f>IF(AND($AK493&gt;=Results!$G$13,$AK493&lt;=Results!$G$14),Curves!AR493,"")</f>
        <v/>
      </c>
      <c r="AU493" t="str">
        <f>IF(AND($AK493&gt;=Results!$G$13,$AK493&lt;=Results!$G$14),Curves!AS493,"")</f>
        <v/>
      </c>
      <c r="AV493" t="str">
        <f t="shared" si="333"/>
        <v/>
      </c>
      <c r="AW493" t="str">
        <f>IF(AND($AK493&lt;=Results!$I$21,$AK493&gt;=Results!$I$20,$AK493&lt;=Results!$F$4),$AN493,"")</f>
        <v/>
      </c>
      <c r="AX493">
        <f t="shared" si="333"/>
        <v>69.900000000000219</v>
      </c>
      <c r="AY493">
        <f>IF(AND($AK493&lt;=Results!$I$23,$AK493&gt;=Results!$I$22,$AK493&gt;=Results!$F$4),$AN493,"")</f>
        <v>1161.2999999999945</v>
      </c>
      <c r="AZ493" t="str">
        <f t="shared" si="312"/>
        <v/>
      </c>
      <c r="BA493" t="str">
        <f>IF(AND($AK493&lt;=Results!$I$27,$AK493&gt;=Results!$I$26,$AK493&lt;=Results!$F$4),$AQ493,"")</f>
        <v/>
      </c>
      <c r="BB493">
        <f t="shared" si="313"/>
        <v>69.900000000000219</v>
      </c>
      <c r="BC493">
        <f>IF(AND($AK493&lt;=Results!$I$29,$AK493&gt;=Results!$I$28,$AK493&gt;=Results!$F$4),$AQ493,"")</f>
        <v>1153.9999999999989</v>
      </c>
      <c r="BD493">
        <f t="shared" si="314"/>
        <v>7230.8615572627841</v>
      </c>
      <c r="BE493">
        <f t="shared" si="315"/>
        <v>1157.2724856653044</v>
      </c>
      <c r="BF493">
        <f t="shared" si="316"/>
        <v>8089.5503654261838</v>
      </c>
      <c r="BG493">
        <f t="shared" si="317"/>
        <v>1153.781166473542</v>
      </c>
      <c r="BH493">
        <f t="shared" si="318"/>
        <v>0</v>
      </c>
      <c r="BI493">
        <f t="shared" si="319"/>
        <v>6.6311933310159166E-4</v>
      </c>
      <c r="BJ493">
        <f t="shared" si="320"/>
        <v>3.1551442987831635E-5</v>
      </c>
      <c r="BK493" t="e">
        <f t="shared" si="321"/>
        <v>#DIV/0!</v>
      </c>
      <c r="BL493" t="e">
        <f t="shared" si="322"/>
        <v>#DIV/0!</v>
      </c>
      <c r="BM493" t="e">
        <f t="shared" si="334"/>
        <v>#DIV/0!</v>
      </c>
      <c r="BN493" t="e">
        <f t="shared" si="335"/>
        <v>#DIV/0!</v>
      </c>
      <c r="BO493" t="e">
        <f>Data!$H$2*(1-BI493)*(1-BI493/Data!$H$3)*BM493</f>
        <v>#DIV/0!</v>
      </c>
      <c r="BP493" t="e">
        <f t="shared" si="323"/>
        <v>#DIV/0!</v>
      </c>
      <c r="BQ493" t="e">
        <f>Data!$H$2*(1-BJ493)*(1-BJ493/Data!$H$3)*BN493</f>
        <v>#DIV/0!</v>
      </c>
      <c r="BR493" t="e">
        <f t="shared" si="324"/>
        <v>#DIV/0!</v>
      </c>
      <c r="BS493">
        <f t="shared" si="325"/>
        <v>0</v>
      </c>
      <c r="BT493">
        <f t="shared" si="326"/>
        <v>0</v>
      </c>
      <c r="BU493">
        <f t="shared" si="327"/>
        <v>0</v>
      </c>
      <c r="BV493">
        <f t="shared" si="310"/>
        <v>0</v>
      </c>
      <c r="BW493">
        <f t="shared" si="336"/>
        <v>0</v>
      </c>
      <c r="BX493" t="str">
        <f t="shared" si="337"/>
        <v/>
      </c>
      <c r="BY493" s="66" t="str">
        <f t="shared" si="328"/>
        <v/>
      </c>
      <c r="BZ493" t="str">
        <f t="shared" si="329"/>
        <v/>
      </c>
      <c r="CA493" s="67" t="str">
        <f t="shared" si="311"/>
        <v/>
      </c>
    </row>
    <row r="494" spans="4:79" x14ac:dyDescent="0.25">
      <c r="D494" s="3" t="e">
        <f t="shared" si="340"/>
        <v>#DIV/0!</v>
      </c>
      <c r="E494" s="3" t="e">
        <f t="shared" si="340"/>
        <v>#DIV/0!</v>
      </c>
      <c r="F494" t="str">
        <f>IF(A494&gt;0,IF(F493=1,1,IF(B494=Data!$H$4,1,0)),"")</f>
        <v/>
      </c>
      <c r="AA494" t="e">
        <f t="shared" ref="AA494:AA557" si="341">Y195</f>
        <v>#VALUE!</v>
      </c>
      <c r="AE494" t="str">
        <f t="shared" ref="AE494:AE557" si="342">AC195</f>
        <v/>
      </c>
      <c r="AK494" s="4">
        <f t="shared" si="338"/>
        <v>69.900000000000219</v>
      </c>
      <c r="AL494">
        <f t="shared" si="330"/>
        <v>5389.0000000000264</v>
      </c>
      <c r="AM494">
        <f t="shared" si="331"/>
        <v>1150.2166666666619</v>
      </c>
      <c r="AN494">
        <f>IF($AK493+$AK$1&lt;=Data!$H$4-0.5,AVERAGE(AM492:AM496),AN493)</f>
        <v>1161.2999999999945</v>
      </c>
      <c r="AO494">
        <f t="shared" si="332"/>
        <v>5416.9999999999654</v>
      </c>
      <c r="AP494">
        <f t="shared" si="339"/>
        <v>1151.4999999999989</v>
      </c>
      <c r="AQ494">
        <f>IF($AK493+$AK$1&lt;=Data!$H$4-0.5,AVERAGE(AP492:AP496),AQ493)</f>
        <v>1153.9999999999989</v>
      </c>
      <c r="AR494">
        <f>IF($AK493+$AK$1&lt;=Data!$H$4-0.5,SLOPE($AN490:$AN498,$AK490:$AK498),AR493)</f>
        <v>-11.349999999999836</v>
      </c>
      <c r="AS494">
        <f>IF($AK493+$AK$1&lt;=Data!$H$4-0.5,SLOPE($AQ490:$AQ498,$AK490:$AK498),AS493)</f>
        <v>-2.7999999999992418</v>
      </c>
      <c r="AT494" t="str">
        <f>IF(AND($AK494&gt;=Results!$G$13,$AK494&lt;=Results!$G$14),Curves!AR494,"")</f>
        <v/>
      </c>
      <c r="AU494" t="str">
        <f>IF(AND($AK494&gt;=Results!$G$13,$AK494&lt;=Results!$G$14),Curves!AS494,"")</f>
        <v/>
      </c>
      <c r="AV494" t="str">
        <f t="shared" si="333"/>
        <v/>
      </c>
      <c r="AW494" t="str">
        <f>IF(AND($AK494&lt;=Results!$I$21,$AK494&gt;=Results!$I$20,$AK494&lt;=Results!$F$4),$AN494,"")</f>
        <v/>
      </c>
      <c r="AX494">
        <f t="shared" si="333"/>
        <v>69.900000000000219</v>
      </c>
      <c r="AY494">
        <f>IF(AND($AK494&lt;=Results!$I$23,$AK494&gt;=Results!$I$22,$AK494&gt;=Results!$F$4),$AN494,"")</f>
        <v>1161.2999999999945</v>
      </c>
      <c r="AZ494" t="str">
        <f t="shared" si="312"/>
        <v/>
      </c>
      <c r="BA494" t="str">
        <f>IF(AND($AK494&lt;=Results!$I$27,$AK494&gt;=Results!$I$26,$AK494&lt;=Results!$F$4),$AQ494,"")</f>
        <v/>
      </c>
      <c r="BB494">
        <f t="shared" si="313"/>
        <v>69.900000000000219</v>
      </c>
      <c r="BC494">
        <f>IF(AND($AK494&lt;=Results!$I$29,$AK494&gt;=Results!$I$28,$AK494&gt;=Results!$F$4),$AQ494,"")</f>
        <v>1153.9999999999989</v>
      </c>
      <c r="BD494">
        <f t="shared" si="314"/>
        <v>7230.8615572627841</v>
      </c>
      <c r="BE494">
        <f t="shared" si="315"/>
        <v>1157.2724856653044</v>
      </c>
      <c r="BF494">
        <f t="shared" si="316"/>
        <v>8089.5503654261838</v>
      </c>
      <c r="BG494">
        <f t="shared" si="317"/>
        <v>1153.781166473542</v>
      </c>
      <c r="BH494">
        <f t="shared" si="318"/>
        <v>0</v>
      </c>
      <c r="BI494">
        <f t="shared" si="319"/>
        <v>6.6311933310159166E-4</v>
      </c>
      <c r="BJ494">
        <f t="shared" si="320"/>
        <v>3.1551442987831635E-5</v>
      </c>
      <c r="BK494" t="e">
        <f t="shared" si="321"/>
        <v>#DIV/0!</v>
      </c>
      <c r="BL494" t="e">
        <f t="shared" si="322"/>
        <v>#DIV/0!</v>
      </c>
      <c r="BM494" t="e">
        <f t="shared" si="334"/>
        <v>#DIV/0!</v>
      </c>
      <c r="BN494" t="e">
        <f t="shared" si="335"/>
        <v>#DIV/0!</v>
      </c>
      <c r="BO494" t="e">
        <f>Data!$H$2*(1-BI494)*(1-BI494/Data!$H$3)*BM494</f>
        <v>#DIV/0!</v>
      </c>
      <c r="BP494" t="e">
        <f t="shared" si="323"/>
        <v>#DIV/0!</v>
      </c>
      <c r="BQ494" t="e">
        <f>Data!$H$2*(1-BJ494)*(1-BJ494/Data!$H$3)*BN494</f>
        <v>#DIV/0!</v>
      </c>
      <c r="BR494" t="e">
        <f t="shared" si="324"/>
        <v>#DIV/0!</v>
      </c>
      <c r="BS494">
        <f t="shared" si="325"/>
        <v>0</v>
      </c>
      <c r="BT494">
        <f t="shared" si="326"/>
        <v>0</v>
      </c>
      <c r="BU494">
        <f t="shared" si="327"/>
        <v>0</v>
      </c>
      <c r="BV494">
        <f t="shared" si="310"/>
        <v>0</v>
      </c>
      <c r="BW494">
        <f t="shared" si="336"/>
        <v>0</v>
      </c>
      <c r="BX494" t="str">
        <f t="shared" si="337"/>
        <v/>
      </c>
      <c r="BY494" s="66" t="str">
        <f t="shared" si="328"/>
        <v/>
      </c>
      <c r="BZ494" t="str">
        <f t="shared" si="329"/>
        <v/>
      </c>
      <c r="CA494" s="67" t="str">
        <f t="shared" si="311"/>
        <v/>
      </c>
    </row>
    <row r="495" spans="4:79" x14ac:dyDescent="0.25">
      <c r="D495" s="3" t="e">
        <f t="shared" si="340"/>
        <v>#DIV/0!</v>
      </c>
      <c r="E495" s="3" t="e">
        <f t="shared" si="340"/>
        <v>#DIV/0!</v>
      </c>
      <c r="F495" t="str">
        <f>IF(A495&gt;0,IF(F494=1,1,IF(B495=Data!$H$4,1,0)),"")</f>
        <v/>
      </c>
      <c r="AA495" t="e">
        <f t="shared" si="341"/>
        <v>#VALUE!</v>
      </c>
      <c r="AE495" t="str">
        <f t="shared" si="342"/>
        <v/>
      </c>
      <c r="AK495" s="4">
        <f t="shared" si="338"/>
        <v>69.900000000000219</v>
      </c>
      <c r="AL495">
        <f t="shared" si="330"/>
        <v>5389.0000000000264</v>
      </c>
      <c r="AM495">
        <f t="shared" si="331"/>
        <v>1150.2166666666619</v>
      </c>
      <c r="AN495">
        <f>IF($AK494+$AK$1&lt;=Data!$H$4-0.5,AVERAGE(AM493:AM497),AN494)</f>
        <v>1161.2999999999945</v>
      </c>
      <c r="AO495">
        <f t="shared" si="332"/>
        <v>5416.9999999999654</v>
      </c>
      <c r="AP495">
        <f t="shared" si="339"/>
        <v>1151.4999999999989</v>
      </c>
      <c r="AQ495">
        <f>IF($AK494+$AK$1&lt;=Data!$H$4-0.5,AVERAGE(AP493:AP497),AQ494)</f>
        <v>1153.9999999999989</v>
      </c>
      <c r="AR495">
        <f>IF($AK494+$AK$1&lt;=Data!$H$4-0.5,SLOPE($AN491:$AN499,$AK491:$AK499),AR494)</f>
        <v>-11.349999999999836</v>
      </c>
      <c r="AS495">
        <f>IF($AK494+$AK$1&lt;=Data!$H$4-0.5,SLOPE($AQ491:$AQ499,$AK491:$AK499),AS494)</f>
        <v>-2.7999999999992418</v>
      </c>
      <c r="AT495" t="str">
        <f>IF(AND($AK495&gt;=Results!$G$13,$AK495&lt;=Results!$G$14),Curves!AR495,"")</f>
        <v/>
      </c>
      <c r="AU495" t="str">
        <f>IF(AND($AK495&gt;=Results!$G$13,$AK495&lt;=Results!$G$14),Curves!AS495,"")</f>
        <v/>
      </c>
      <c r="AV495" t="str">
        <f t="shared" si="333"/>
        <v/>
      </c>
      <c r="AW495" t="str">
        <f>IF(AND($AK495&lt;=Results!$I$21,$AK495&gt;=Results!$I$20,$AK495&lt;=Results!$F$4),$AN495,"")</f>
        <v/>
      </c>
      <c r="AX495">
        <f t="shared" si="333"/>
        <v>69.900000000000219</v>
      </c>
      <c r="AY495">
        <f>IF(AND($AK495&lt;=Results!$I$23,$AK495&gt;=Results!$I$22,$AK495&gt;=Results!$F$4),$AN495,"")</f>
        <v>1161.2999999999945</v>
      </c>
      <c r="AZ495" t="str">
        <f t="shared" si="312"/>
        <v/>
      </c>
      <c r="BA495" t="str">
        <f>IF(AND($AK495&lt;=Results!$I$27,$AK495&gt;=Results!$I$26,$AK495&lt;=Results!$F$4),$AQ495,"")</f>
        <v/>
      </c>
      <c r="BB495">
        <f t="shared" si="313"/>
        <v>69.900000000000219</v>
      </c>
      <c r="BC495">
        <f>IF(AND($AK495&lt;=Results!$I$29,$AK495&gt;=Results!$I$28,$AK495&gt;=Results!$F$4),$AQ495,"")</f>
        <v>1153.9999999999989</v>
      </c>
      <c r="BD495">
        <f t="shared" si="314"/>
        <v>7230.8615572627841</v>
      </c>
      <c r="BE495">
        <f t="shared" si="315"/>
        <v>1157.2724856653044</v>
      </c>
      <c r="BF495">
        <f t="shared" si="316"/>
        <v>8089.5503654261838</v>
      </c>
      <c r="BG495">
        <f t="shared" si="317"/>
        <v>1153.781166473542</v>
      </c>
      <c r="BH495">
        <f t="shared" si="318"/>
        <v>0</v>
      </c>
      <c r="BI495">
        <f t="shared" si="319"/>
        <v>6.6311933310159166E-4</v>
      </c>
      <c r="BJ495">
        <f t="shared" si="320"/>
        <v>3.1551442987831635E-5</v>
      </c>
      <c r="BK495" t="e">
        <f t="shared" si="321"/>
        <v>#DIV/0!</v>
      </c>
      <c r="BL495" t="e">
        <f t="shared" si="322"/>
        <v>#DIV/0!</v>
      </c>
      <c r="BM495" t="e">
        <f t="shared" si="334"/>
        <v>#DIV/0!</v>
      </c>
      <c r="BN495" t="e">
        <f t="shared" si="335"/>
        <v>#DIV/0!</v>
      </c>
      <c r="BO495" t="e">
        <f>Data!$H$2*(1-BI495)*(1-BI495/Data!$H$3)*BM495</f>
        <v>#DIV/0!</v>
      </c>
      <c r="BP495" t="e">
        <f t="shared" si="323"/>
        <v>#DIV/0!</v>
      </c>
      <c r="BQ495" t="e">
        <f>Data!$H$2*(1-BJ495)*(1-BJ495/Data!$H$3)*BN495</f>
        <v>#DIV/0!</v>
      </c>
      <c r="BR495" t="e">
        <f t="shared" si="324"/>
        <v>#DIV/0!</v>
      </c>
      <c r="BS495">
        <f t="shared" si="325"/>
        <v>0</v>
      </c>
      <c r="BT495">
        <f t="shared" si="326"/>
        <v>0</v>
      </c>
      <c r="BU495">
        <f t="shared" si="327"/>
        <v>0</v>
      </c>
      <c r="BV495">
        <f t="shared" ref="BV495:BV512" si="343">IF(BS495&lt;=0,0,LN(BS495))</f>
        <v>0</v>
      </c>
      <c r="BW495">
        <f t="shared" si="336"/>
        <v>0</v>
      </c>
      <c r="BX495" t="str">
        <f t="shared" si="337"/>
        <v/>
      </c>
      <c r="BY495" s="66" t="str">
        <f t="shared" si="328"/>
        <v/>
      </c>
      <c r="BZ495" t="str">
        <f t="shared" si="329"/>
        <v/>
      </c>
      <c r="CA495" s="67" t="str">
        <f t="shared" ref="CA495:CA558" si="344">IF(BU495=0,"",BW495)</f>
        <v/>
      </c>
    </row>
    <row r="496" spans="4:79" x14ac:dyDescent="0.25">
      <c r="D496" s="3" t="e">
        <f t="shared" si="340"/>
        <v>#DIV/0!</v>
      </c>
      <c r="E496" s="3" t="e">
        <f t="shared" si="340"/>
        <v>#DIV/0!</v>
      </c>
      <c r="F496" t="str">
        <f>IF(A496&gt;0,IF(F495=1,1,IF(B496=Data!$H$4,1,0)),"")</f>
        <v/>
      </c>
      <c r="AA496" t="e">
        <f t="shared" si="341"/>
        <v>#VALUE!</v>
      </c>
      <c r="AE496" t="str">
        <f t="shared" si="342"/>
        <v/>
      </c>
      <c r="AK496" s="4">
        <f t="shared" si="338"/>
        <v>69.900000000000219</v>
      </c>
      <c r="AL496">
        <f t="shared" si="330"/>
        <v>5389.0000000000264</v>
      </c>
      <c r="AM496">
        <f t="shared" si="331"/>
        <v>1150.2166666666619</v>
      </c>
      <c r="AN496">
        <f>IF($AK495+$AK$1&lt;=Data!$H$4-0.5,AVERAGE(AM494:AM498),AN495)</f>
        <v>1161.2999999999945</v>
      </c>
      <c r="AO496">
        <f t="shared" si="332"/>
        <v>5416.9999999999654</v>
      </c>
      <c r="AP496">
        <f t="shared" si="339"/>
        <v>1151.4999999999989</v>
      </c>
      <c r="AQ496">
        <f>IF($AK495+$AK$1&lt;=Data!$H$4-0.5,AVERAGE(AP494:AP498),AQ495)</f>
        <v>1153.9999999999989</v>
      </c>
      <c r="AR496">
        <f>IF($AK495+$AK$1&lt;=Data!$H$4-0.5,SLOPE($AN492:$AN500,$AK492:$AK500),AR495)</f>
        <v>-11.349999999999836</v>
      </c>
      <c r="AS496">
        <f>IF($AK495+$AK$1&lt;=Data!$H$4-0.5,SLOPE($AQ492:$AQ500,$AK492:$AK500),AS495)</f>
        <v>-2.7999999999992418</v>
      </c>
      <c r="AT496" t="str">
        <f>IF(AND($AK496&gt;=Results!$G$13,$AK496&lt;=Results!$G$14),Curves!AR496,"")</f>
        <v/>
      </c>
      <c r="AU496" t="str">
        <f>IF(AND($AK496&gt;=Results!$G$13,$AK496&lt;=Results!$G$14),Curves!AS496,"")</f>
        <v/>
      </c>
      <c r="AV496" t="str">
        <f t="shared" si="333"/>
        <v/>
      </c>
      <c r="AW496" t="str">
        <f>IF(AND($AK496&lt;=Results!$I$21,$AK496&gt;=Results!$I$20,$AK496&lt;=Results!$F$4),$AN496,"")</f>
        <v/>
      </c>
      <c r="AX496">
        <f t="shared" si="333"/>
        <v>69.900000000000219</v>
      </c>
      <c r="AY496">
        <f>IF(AND($AK496&lt;=Results!$I$23,$AK496&gt;=Results!$I$22,$AK496&gt;=Results!$F$4),$AN496,"")</f>
        <v>1161.2999999999945</v>
      </c>
      <c r="AZ496" t="str">
        <f t="shared" si="312"/>
        <v/>
      </c>
      <c r="BA496" t="str">
        <f>IF(AND($AK496&lt;=Results!$I$27,$AK496&gt;=Results!$I$26,$AK496&lt;=Results!$F$4),$AQ496,"")</f>
        <v/>
      </c>
      <c r="BB496">
        <f t="shared" si="313"/>
        <v>69.900000000000219</v>
      </c>
      <c r="BC496">
        <f>IF(AND($AK496&lt;=Results!$I$29,$AK496&gt;=Results!$I$28,$AK496&gt;=Results!$F$4),$AQ496,"")</f>
        <v>1153.9999999999989</v>
      </c>
      <c r="BD496">
        <f t="shared" si="314"/>
        <v>7230.8615572627841</v>
      </c>
      <c r="BE496">
        <f t="shared" si="315"/>
        <v>1157.2724856653044</v>
      </c>
      <c r="BF496">
        <f t="shared" si="316"/>
        <v>8089.5503654261838</v>
      </c>
      <c r="BG496">
        <f t="shared" si="317"/>
        <v>1153.781166473542</v>
      </c>
      <c r="BH496">
        <f t="shared" si="318"/>
        <v>0</v>
      </c>
      <c r="BI496">
        <f t="shared" si="319"/>
        <v>6.6311933310159166E-4</v>
      </c>
      <c r="BJ496">
        <f t="shared" si="320"/>
        <v>3.1551442987831635E-5</v>
      </c>
      <c r="BK496" t="e">
        <f t="shared" si="321"/>
        <v>#DIV/0!</v>
      </c>
      <c r="BL496" t="e">
        <f t="shared" si="322"/>
        <v>#DIV/0!</v>
      </c>
      <c r="BM496" t="e">
        <f t="shared" si="334"/>
        <v>#DIV/0!</v>
      </c>
      <c r="BN496" t="e">
        <f t="shared" si="335"/>
        <v>#DIV/0!</v>
      </c>
      <c r="BO496" t="e">
        <f>Data!$H$2*(1-BI496)*(1-BI496/Data!$H$3)*BM496</f>
        <v>#DIV/0!</v>
      </c>
      <c r="BP496" t="e">
        <f t="shared" si="323"/>
        <v>#DIV/0!</v>
      </c>
      <c r="BQ496" t="e">
        <f>Data!$H$2*(1-BJ496)*(1-BJ496/Data!$H$3)*BN496</f>
        <v>#DIV/0!</v>
      </c>
      <c r="BR496" t="e">
        <f t="shared" si="324"/>
        <v>#DIV/0!</v>
      </c>
      <c r="BS496">
        <f t="shared" si="325"/>
        <v>0</v>
      </c>
      <c r="BT496">
        <f t="shared" si="326"/>
        <v>0</v>
      </c>
      <c r="BU496">
        <f t="shared" si="327"/>
        <v>0</v>
      </c>
      <c r="BV496">
        <f t="shared" si="343"/>
        <v>0</v>
      </c>
      <c r="BW496">
        <f t="shared" si="336"/>
        <v>0</v>
      </c>
      <c r="BX496" t="str">
        <f t="shared" si="337"/>
        <v/>
      </c>
      <c r="BY496" s="66" t="str">
        <f t="shared" si="328"/>
        <v/>
      </c>
      <c r="BZ496" t="str">
        <f t="shared" si="329"/>
        <v/>
      </c>
      <c r="CA496" s="67" t="str">
        <f t="shared" si="344"/>
        <v/>
      </c>
    </row>
    <row r="497" spans="4:79" x14ac:dyDescent="0.25">
      <c r="D497" s="3" t="e">
        <f t="shared" si="340"/>
        <v>#DIV/0!</v>
      </c>
      <c r="E497" s="3" t="e">
        <f t="shared" si="340"/>
        <v>#DIV/0!</v>
      </c>
      <c r="F497" t="str">
        <f>IF(A497&gt;0,IF(F496=1,1,IF(B497=Data!$H$4,1,0)),"")</f>
        <v/>
      </c>
      <c r="AA497" t="e">
        <f t="shared" si="341"/>
        <v>#VALUE!</v>
      </c>
      <c r="AE497" t="str">
        <f t="shared" si="342"/>
        <v/>
      </c>
      <c r="AK497" s="4">
        <f t="shared" si="338"/>
        <v>69.900000000000219</v>
      </c>
      <c r="AL497">
        <f t="shared" si="330"/>
        <v>5389.0000000000264</v>
      </c>
      <c r="AM497">
        <f t="shared" si="331"/>
        <v>1150.2166666666619</v>
      </c>
      <c r="AN497">
        <f>IF($AK496+$AK$1&lt;=Data!$H$4-0.5,AVERAGE(AM495:AM499),AN496)</f>
        <v>1161.2999999999945</v>
      </c>
      <c r="AO497">
        <f t="shared" si="332"/>
        <v>5416.9999999999654</v>
      </c>
      <c r="AP497">
        <f t="shared" si="339"/>
        <v>1151.4999999999989</v>
      </c>
      <c r="AQ497">
        <f>IF($AK496+$AK$1&lt;=Data!$H$4-0.5,AVERAGE(AP495:AP499),AQ496)</f>
        <v>1153.9999999999989</v>
      </c>
      <c r="AR497">
        <f>IF($AK496+$AK$1&lt;=Data!$H$4-0.5,SLOPE($AN493:$AN501,$AK493:$AK501),AR496)</f>
        <v>-11.349999999999836</v>
      </c>
      <c r="AS497">
        <f>IF($AK496+$AK$1&lt;=Data!$H$4-0.5,SLOPE($AQ493:$AQ501,$AK493:$AK501),AS496)</f>
        <v>-2.7999999999992418</v>
      </c>
      <c r="AT497" t="str">
        <f>IF(AND($AK497&gt;=Results!$G$13,$AK497&lt;=Results!$G$14),Curves!AR497,"")</f>
        <v/>
      </c>
      <c r="AU497" t="str">
        <f>IF(AND($AK497&gt;=Results!$G$13,$AK497&lt;=Results!$G$14),Curves!AS497,"")</f>
        <v/>
      </c>
      <c r="AV497" t="str">
        <f t="shared" si="333"/>
        <v/>
      </c>
      <c r="AW497" t="str">
        <f>IF(AND($AK497&lt;=Results!$I$21,$AK497&gt;=Results!$I$20,$AK497&lt;=Results!$F$4),$AN497,"")</f>
        <v/>
      </c>
      <c r="AX497">
        <f t="shared" si="333"/>
        <v>69.900000000000219</v>
      </c>
      <c r="AY497">
        <f>IF(AND($AK497&lt;=Results!$I$23,$AK497&gt;=Results!$I$22,$AK497&gt;=Results!$F$4),$AN497,"")</f>
        <v>1161.2999999999945</v>
      </c>
      <c r="AZ497" t="str">
        <f t="shared" si="312"/>
        <v/>
      </c>
      <c r="BA497" t="str">
        <f>IF(AND($AK497&lt;=Results!$I$27,$AK497&gt;=Results!$I$26,$AK497&lt;=Results!$F$4),$AQ497,"")</f>
        <v/>
      </c>
      <c r="BB497">
        <f t="shared" si="313"/>
        <v>69.900000000000219</v>
      </c>
      <c r="BC497">
        <f>IF(AND($AK497&lt;=Results!$I$29,$AK497&gt;=Results!$I$28,$AK497&gt;=Results!$F$4),$AQ497,"")</f>
        <v>1153.9999999999989</v>
      </c>
      <c r="BD497">
        <f t="shared" si="314"/>
        <v>7230.8615572627841</v>
      </c>
      <c r="BE497">
        <f t="shared" si="315"/>
        <v>1157.2724856653044</v>
      </c>
      <c r="BF497">
        <f t="shared" si="316"/>
        <v>8089.5503654261838</v>
      </c>
      <c r="BG497">
        <f t="shared" si="317"/>
        <v>1153.781166473542</v>
      </c>
      <c r="BH497">
        <f t="shared" si="318"/>
        <v>0</v>
      </c>
      <c r="BI497">
        <f t="shared" si="319"/>
        <v>6.6311933310159166E-4</v>
      </c>
      <c r="BJ497">
        <f t="shared" si="320"/>
        <v>3.1551442987831635E-5</v>
      </c>
      <c r="BK497" t="e">
        <f t="shared" si="321"/>
        <v>#DIV/0!</v>
      </c>
      <c r="BL497" t="e">
        <f t="shared" si="322"/>
        <v>#DIV/0!</v>
      </c>
      <c r="BM497" t="e">
        <f t="shared" si="334"/>
        <v>#DIV/0!</v>
      </c>
      <c r="BN497" t="e">
        <f t="shared" si="335"/>
        <v>#DIV/0!</v>
      </c>
      <c r="BO497" t="e">
        <f>Data!$H$2*(1-BI497)*(1-BI497/Data!$H$3)*BM497</f>
        <v>#DIV/0!</v>
      </c>
      <c r="BP497" t="e">
        <f t="shared" si="323"/>
        <v>#DIV/0!</v>
      </c>
      <c r="BQ497" t="e">
        <f>Data!$H$2*(1-BJ497)*(1-BJ497/Data!$H$3)*BN497</f>
        <v>#DIV/0!</v>
      </c>
      <c r="BR497" t="e">
        <f t="shared" si="324"/>
        <v>#DIV/0!</v>
      </c>
      <c r="BS497">
        <f t="shared" si="325"/>
        <v>0</v>
      </c>
      <c r="BT497">
        <f t="shared" si="326"/>
        <v>0</v>
      </c>
      <c r="BU497">
        <f t="shared" si="327"/>
        <v>0</v>
      </c>
      <c r="BV497">
        <f t="shared" si="343"/>
        <v>0</v>
      </c>
      <c r="BW497">
        <f t="shared" si="336"/>
        <v>0</v>
      </c>
      <c r="BX497" t="str">
        <f t="shared" si="337"/>
        <v/>
      </c>
      <c r="BY497" s="66" t="str">
        <f t="shared" si="328"/>
        <v/>
      </c>
      <c r="BZ497" t="str">
        <f t="shared" si="329"/>
        <v/>
      </c>
      <c r="CA497" s="67" t="str">
        <f t="shared" si="344"/>
        <v/>
      </c>
    </row>
    <row r="498" spans="4:79" x14ac:dyDescent="0.25">
      <c r="D498" s="3" t="e">
        <f t="shared" si="340"/>
        <v>#DIV/0!</v>
      </c>
      <c r="E498" s="3" t="e">
        <f t="shared" si="340"/>
        <v>#DIV/0!</v>
      </c>
      <c r="F498" t="str">
        <f>IF(A498&gt;0,IF(F497=1,1,IF(B498=Data!$H$4,1,0)),"")</f>
        <v/>
      </c>
      <c r="AA498" t="e">
        <f t="shared" si="341"/>
        <v>#VALUE!</v>
      </c>
      <c r="AE498" t="str">
        <f t="shared" si="342"/>
        <v/>
      </c>
      <c r="AK498" s="4">
        <f t="shared" si="338"/>
        <v>69.900000000000219</v>
      </c>
      <c r="AL498">
        <f t="shared" si="330"/>
        <v>5389.0000000000264</v>
      </c>
      <c r="AM498">
        <f t="shared" si="331"/>
        <v>1150.2166666666619</v>
      </c>
      <c r="AN498">
        <f>IF($AK497+$AK$1&lt;=Data!$H$4-0.5,AVERAGE(AM496:AM500),AN497)</f>
        <v>1161.2999999999945</v>
      </c>
      <c r="AO498">
        <f t="shared" si="332"/>
        <v>5416.9999999999654</v>
      </c>
      <c r="AP498">
        <f t="shared" si="339"/>
        <v>1151.4999999999989</v>
      </c>
      <c r="AQ498">
        <f>IF($AK497+$AK$1&lt;=Data!$H$4-0.5,AVERAGE(AP496:AP500),AQ497)</f>
        <v>1153.9999999999989</v>
      </c>
      <c r="AR498">
        <f>IF($AK497+$AK$1&lt;=Data!$H$4-0.5,SLOPE($AN494:$AN502,$AK494:$AK502),AR497)</f>
        <v>-11.349999999999836</v>
      </c>
      <c r="AS498">
        <f>IF($AK497+$AK$1&lt;=Data!$H$4-0.5,SLOPE($AQ494:$AQ502,$AK494:$AK502),AS497)</f>
        <v>-2.7999999999992418</v>
      </c>
      <c r="AT498" t="str">
        <f>IF(AND($AK498&gt;=Results!$G$13,$AK498&lt;=Results!$G$14),Curves!AR498,"")</f>
        <v/>
      </c>
      <c r="AU498" t="str">
        <f>IF(AND($AK498&gt;=Results!$G$13,$AK498&lt;=Results!$G$14),Curves!AS498,"")</f>
        <v/>
      </c>
      <c r="AV498" t="str">
        <f t="shared" si="333"/>
        <v/>
      </c>
      <c r="AW498" t="str">
        <f>IF(AND($AK498&lt;=Results!$I$21,$AK498&gt;=Results!$I$20,$AK498&lt;=Results!$F$4),$AN498,"")</f>
        <v/>
      </c>
      <c r="AX498">
        <f t="shared" si="333"/>
        <v>69.900000000000219</v>
      </c>
      <c r="AY498">
        <f>IF(AND($AK498&lt;=Results!$I$23,$AK498&gt;=Results!$I$22,$AK498&gt;=Results!$F$4),$AN498,"")</f>
        <v>1161.2999999999945</v>
      </c>
      <c r="AZ498" t="str">
        <f t="shared" si="312"/>
        <v/>
      </c>
      <c r="BA498" t="str">
        <f>IF(AND($AK498&lt;=Results!$I$27,$AK498&gt;=Results!$I$26,$AK498&lt;=Results!$F$4),$AQ498,"")</f>
        <v/>
      </c>
      <c r="BB498">
        <f t="shared" si="313"/>
        <v>69.900000000000219</v>
      </c>
      <c r="BC498">
        <f>IF(AND($AK498&lt;=Results!$I$29,$AK498&gt;=Results!$I$28,$AK498&gt;=Results!$F$4),$AQ498,"")</f>
        <v>1153.9999999999989</v>
      </c>
      <c r="BD498">
        <f t="shared" si="314"/>
        <v>7230.8615572627841</v>
      </c>
      <c r="BE498">
        <f t="shared" si="315"/>
        <v>1157.2724856653044</v>
      </c>
      <c r="BF498">
        <f t="shared" si="316"/>
        <v>8089.5503654261838</v>
      </c>
      <c r="BG498">
        <f t="shared" si="317"/>
        <v>1153.781166473542</v>
      </c>
      <c r="BH498">
        <f t="shared" si="318"/>
        <v>0</v>
      </c>
      <c r="BI498">
        <f t="shared" si="319"/>
        <v>6.6311933310159166E-4</v>
      </c>
      <c r="BJ498">
        <f t="shared" si="320"/>
        <v>3.1551442987831635E-5</v>
      </c>
      <c r="BK498" t="e">
        <f t="shared" si="321"/>
        <v>#DIV/0!</v>
      </c>
      <c r="BL498" t="e">
        <f t="shared" si="322"/>
        <v>#DIV/0!</v>
      </c>
      <c r="BM498" t="e">
        <f t="shared" si="334"/>
        <v>#DIV/0!</v>
      </c>
      <c r="BN498" t="e">
        <f t="shared" si="335"/>
        <v>#DIV/0!</v>
      </c>
      <c r="BO498" t="e">
        <f>Data!$H$2*(1-BI498)*(1-BI498/Data!$H$3)*BM498</f>
        <v>#DIV/0!</v>
      </c>
      <c r="BP498" t="e">
        <f t="shared" si="323"/>
        <v>#DIV/0!</v>
      </c>
      <c r="BQ498" t="e">
        <f>Data!$H$2*(1-BJ498)*(1-BJ498/Data!$H$3)*BN498</f>
        <v>#DIV/0!</v>
      </c>
      <c r="BR498" t="e">
        <f t="shared" si="324"/>
        <v>#DIV/0!</v>
      </c>
      <c r="BS498">
        <f t="shared" si="325"/>
        <v>0</v>
      </c>
      <c r="BT498">
        <f t="shared" si="326"/>
        <v>0</v>
      </c>
      <c r="BU498">
        <f t="shared" si="327"/>
        <v>0</v>
      </c>
      <c r="BV498">
        <f t="shared" si="343"/>
        <v>0</v>
      </c>
      <c r="BW498">
        <f t="shared" si="336"/>
        <v>0</v>
      </c>
      <c r="BX498" t="str">
        <f t="shared" si="337"/>
        <v/>
      </c>
      <c r="BY498" s="66" t="str">
        <f t="shared" si="328"/>
        <v/>
      </c>
      <c r="BZ498" t="str">
        <f t="shared" si="329"/>
        <v/>
      </c>
      <c r="CA498" s="67" t="str">
        <f t="shared" si="344"/>
        <v/>
      </c>
    </row>
    <row r="499" spans="4:79" x14ac:dyDescent="0.25">
      <c r="D499" s="3" t="e">
        <f t="shared" si="340"/>
        <v>#DIV/0!</v>
      </c>
      <c r="E499" s="3" t="e">
        <f t="shared" si="340"/>
        <v>#DIV/0!</v>
      </c>
      <c r="F499" t="str">
        <f>IF(A499&gt;0,IF(F498=1,1,IF(B499=Data!$H$4,1,0)),"")</f>
        <v/>
      </c>
      <c r="AA499" t="e">
        <f t="shared" si="341"/>
        <v>#VALUE!</v>
      </c>
      <c r="AE499" t="str">
        <f t="shared" si="342"/>
        <v/>
      </c>
      <c r="AK499" s="4">
        <f t="shared" si="338"/>
        <v>69.900000000000219</v>
      </c>
      <c r="AL499">
        <f t="shared" si="330"/>
        <v>5389.0000000000264</v>
      </c>
      <c r="AM499">
        <f t="shared" si="331"/>
        <v>1150.2166666666619</v>
      </c>
      <c r="AN499">
        <f>IF($AK498+$AK$1&lt;=Data!$H$4-0.5,AVERAGE(AM497:AM501),AN498)</f>
        <v>1161.2999999999945</v>
      </c>
      <c r="AO499">
        <f t="shared" si="332"/>
        <v>5416.9999999999654</v>
      </c>
      <c r="AP499">
        <f t="shared" si="339"/>
        <v>1151.4999999999989</v>
      </c>
      <c r="AQ499">
        <f>IF($AK498+$AK$1&lt;=Data!$H$4-0.5,AVERAGE(AP497:AP501),AQ498)</f>
        <v>1153.9999999999989</v>
      </c>
      <c r="AR499">
        <f>IF($AK498+$AK$1&lt;=Data!$H$4-0.5,SLOPE($AN495:$AN503,$AK495:$AK503),AR498)</f>
        <v>-11.349999999999836</v>
      </c>
      <c r="AS499">
        <f>IF($AK498+$AK$1&lt;=Data!$H$4-0.5,SLOPE($AQ495:$AQ503,$AK495:$AK503),AS498)</f>
        <v>-2.7999999999992418</v>
      </c>
      <c r="AT499" t="str">
        <f>IF(AND($AK499&gt;=Results!$G$13,$AK499&lt;=Results!$G$14),Curves!AR499,"")</f>
        <v/>
      </c>
      <c r="AU499" t="str">
        <f>IF(AND($AK499&gt;=Results!$G$13,$AK499&lt;=Results!$G$14),Curves!AS499,"")</f>
        <v/>
      </c>
      <c r="AV499" t="str">
        <f t="shared" si="333"/>
        <v/>
      </c>
      <c r="AW499" t="str">
        <f>IF(AND($AK499&lt;=Results!$I$21,$AK499&gt;=Results!$I$20,$AK499&lt;=Results!$F$4),$AN499,"")</f>
        <v/>
      </c>
      <c r="AX499">
        <f t="shared" si="333"/>
        <v>69.900000000000219</v>
      </c>
      <c r="AY499">
        <f>IF(AND($AK499&lt;=Results!$I$23,$AK499&gt;=Results!$I$22,$AK499&gt;=Results!$F$4),$AN499,"")</f>
        <v>1161.2999999999945</v>
      </c>
      <c r="AZ499" t="str">
        <f t="shared" si="312"/>
        <v/>
      </c>
      <c r="BA499" t="str">
        <f>IF(AND($AK499&lt;=Results!$I$27,$AK499&gt;=Results!$I$26,$AK499&lt;=Results!$F$4),$AQ499,"")</f>
        <v/>
      </c>
      <c r="BB499">
        <f t="shared" si="313"/>
        <v>69.900000000000219</v>
      </c>
      <c r="BC499">
        <f>IF(AND($AK499&lt;=Results!$I$29,$AK499&gt;=Results!$I$28,$AK499&gt;=Results!$F$4),$AQ499,"")</f>
        <v>1153.9999999999989</v>
      </c>
      <c r="BD499">
        <f t="shared" si="314"/>
        <v>7230.8615572627841</v>
      </c>
      <c r="BE499">
        <f t="shared" si="315"/>
        <v>1157.2724856653044</v>
      </c>
      <c r="BF499">
        <f t="shared" si="316"/>
        <v>8089.5503654261838</v>
      </c>
      <c r="BG499">
        <f t="shared" si="317"/>
        <v>1153.781166473542</v>
      </c>
      <c r="BH499">
        <f t="shared" si="318"/>
        <v>0</v>
      </c>
      <c r="BI499">
        <f t="shared" si="319"/>
        <v>6.6311933310159166E-4</v>
      </c>
      <c r="BJ499">
        <f t="shared" si="320"/>
        <v>3.1551442987831635E-5</v>
      </c>
      <c r="BK499" t="e">
        <f t="shared" si="321"/>
        <v>#DIV/0!</v>
      </c>
      <c r="BL499" t="e">
        <f t="shared" si="322"/>
        <v>#DIV/0!</v>
      </c>
      <c r="BM499" t="e">
        <f t="shared" si="334"/>
        <v>#DIV/0!</v>
      </c>
      <c r="BN499" t="e">
        <f t="shared" si="335"/>
        <v>#DIV/0!</v>
      </c>
      <c r="BO499" t="e">
        <f>Data!$H$2*(1-BI499)*(1-BI499/Data!$H$3)*BM499</f>
        <v>#DIV/0!</v>
      </c>
      <c r="BP499" t="e">
        <f t="shared" si="323"/>
        <v>#DIV/0!</v>
      </c>
      <c r="BQ499" t="e">
        <f>Data!$H$2*(1-BJ499)*(1-BJ499/Data!$H$3)*BN499</f>
        <v>#DIV/0!</v>
      </c>
      <c r="BR499" t="e">
        <f t="shared" si="324"/>
        <v>#DIV/0!</v>
      </c>
      <c r="BS499">
        <f t="shared" si="325"/>
        <v>0</v>
      </c>
      <c r="BT499">
        <f t="shared" si="326"/>
        <v>0</v>
      </c>
      <c r="BU499">
        <f t="shared" si="327"/>
        <v>0</v>
      </c>
      <c r="BV499">
        <f t="shared" si="343"/>
        <v>0</v>
      </c>
      <c r="BW499">
        <f t="shared" si="336"/>
        <v>0</v>
      </c>
      <c r="BX499" t="str">
        <f t="shared" si="337"/>
        <v/>
      </c>
      <c r="BY499" s="66" t="str">
        <f t="shared" si="328"/>
        <v/>
      </c>
      <c r="BZ499" t="str">
        <f t="shared" si="329"/>
        <v/>
      </c>
      <c r="CA499" s="67" t="str">
        <f t="shared" si="344"/>
        <v/>
      </c>
    </row>
    <row r="500" spans="4:79" x14ac:dyDescent="0.25">
      <c r="D500" s="3" t="e">
        <f t="shared" si="340"/>
        <v>#DIV/0!</v>
      </c>
      <c r="E500" s="3" t="e">
        <f t="shared" si="340"/>
        <v>#DIV/0!</v>
      </c>
      <c r="F500" t="str">
        <f>IF(A500&gt;0,IF(F499=1,1,IF(B500=Data!$H$4,1,0)),"")</f>
        <v/>
      </c>
      <c r="AA500" t="e">
        <f t="shared" si="341"/>
        <v>#VALUE!</v>
      </c>
      <c r="AE500" t="str">
        <f t="shared" si="342"/>
        <v/>
      </c>
      <c r="AK500" s="4">
        <f t="shared" si="338"/>
        <v>69.900000000000219</v>
      </c>
      <c r="AL500">
        <f t="shared" si="330"/>
        <v>5389.0000000000264</v>
      </c>
      <c r="AM500">
        <f t="shared" si="331"/>
        <v>1150.2166666666619</v>
      </c>
      <c r="AN500">
        <f>IF($AK499+$AK$1&lt;=Data!$H$4-0.5,AVERAGE(AM498:AM502),AN499)</f>
        <v>1161.2999999999945</v>
      </c>
      <c r="AO500">
        <f t="shared" si="332"/>
        <v>5416.9999999999654</v>
      </c>
      <c r="AP500">
        <f t="shared" si="339"/>
        <v>1151.4999999999989</v>
      </c>
      <c r="AQ500">
        <f>IF($AK499+$AK$1&lt;=Data!$H$4-0.5,AVERAGE(AP498:AP502),AQ499)</f>
        <v>1153.9999999999989</v>
      </c>
      <c r="AR500">
        <f>IF($AK499+$AK$1&lt;=Data!$H$4-0.5,SLOPE($AN496:$AN504,$AK496:$AK504),AR499)</f>
        <v>-11.349999999999836</v>
      </c>
      <c r="AS500">
        <f>IF($AK499+$AK$1&lt;=Data!$H$4-0.5,SLOPE($AQ496:$AQ504,$AK496:$AK504),AS499)</f>
        <v>-2.7999999999992418</v>
      </c>
      <c r="AT500" t="str">
        <f>IF(AND($AK500&gt;=Results!$G$13,$AK500&lt;=Results!$G$14),Curves!AR500,"")</f>
        <v/>
      </c>
      <c r="AU500" t="str">
        <f>IF(AND($AK500&gt;=Results!$G$13,$AK500&lt;=Results!$G$14),Curves!AS500,"")</f>
        <v/>
      </c>
      <c r="AV500" t="str">
        <f t="shared" si="333"/>
        <v/>
      </c>
      <c r="AW500" t="str">
        <f>IF(AND($AK500&lt;=Results!$I$21,$AK500&gt;=Results!$I$20,$AK500&lt;=Results!$F$4),$AN500,"")</f>
        <v/>
      </c>
      <c r="AX500">
        <f t="shared" si="333"/>
        <v>69.900000000000219</v>
      </c>
      <c r="AY500">
        <f>IF(AND($AK500&lt;=Results!$I$23,$AK500&gt;=Results!$I$22,$AK500&gt;=Results!$F$4),$AN500,"")</f>
        <v>1161.2999999999945</v>
      </c>
      <c r="AZ500" t="str">
        <f t="shared" si="312"/>
        <v/>
      </c>
      <c r="BA500" t="str">
        <f>IF(AND($AK500&lt;=Results!$I$27,$AK500&gt;=Results!$I$26,$AK500&lt;=Results!$F$4),$AQ500,"")</f>
        <v/>
      </c>
      <c r="BB500">
        <f t="shared" si="313"/>
        <v>69.900000000000219</v>
      </c>
      <c r="BC500">
        <f>IF(AND($AK500&lt;=Results!$I$29,$AK500&gt;=Results!$I$28,$AK500&gt;=Results!$F$4),$AQ500,"")</f>
        <v>1153.9999999999989</v>
      </c>
      <c r="BD500">
        <f t="shared" si="314"/>
        <v>7230.8615572627841</v>
      </c>
      <c r="BE500">
        <f t="shared" si="315"/>
        <v>1157.2724856653044</v>
      </c>
      <c r="BF500">
        <f t="shared" si="316"/>
        <v>8089.5503654261838</v>
      </c>
      <c r="BG500">
        <f t="shared" si="317"/>
        <v>1153.781166473542</v>
      </c>
      <c r="BH500">
        <f t="shared" si="318"/>
        <v>0</v>
      </c>
      <c r="BI500">
        <f t="shared" si="319"/>
        <v>6.6311933310159166E-4</v>
      </c>
      <c r="BJ500">
        <f t="shared" si="320"/>
        <v>3.1551442987831635E-5</v>
      </c>
      <c r="BK500" t="e">
        <f t="shared" si="321"/>
        <v>#DIV/0!</v>
      </c>
      <c r="BL500" t="e">
        <f t="shared" si="322"/>
        <v>#DIV/0!</v>
      </c>
      <c r="BM500" t="e">
        <f t="shared" si="334"/>
        <v>#DIV/0!</v>
      </c>
      <c r="BN500" t="e">
        <f t="shared" si="335"/>
        <v>#DIV/0!</v>
      </c>
      <c r="BO500" t="e">
        <f>Data!$H$2*(1-BI500)*(1-BI500/Data!$H$3)*BM500</f>
        <v>#DIV/0!</v>
      </c>
      <c r="BP500" t="e">
        <f t="shared" si="323"/>
        <v>#DIV/0!</v>
      </c>
      <c r="BQ500" t="e">
        <f>Data!$H$2*(1-BJ500)*(1-BJ500/Data!$H$3)*BN500</f>
        <v>#DIV/0!</v>
      </c>
      <c r="BR500" t="e">
        <f t="shared" si="324"/>
        <v>#DIV/0!</v>
      </c>
      <c r="BS500">
        <f t="shared" si="325"/>
        <v>0</v>
      </c>
      <c r="BT500">
        <f t="shared" si="326"/>
        <v>0</v>
      </c>
      <c r="BU500">
        <f t="shared" si="327"/>
        <v>0</v>
      </c>
      <c r="BV500">
        <f t="shared" si="343"/>
        <v>0</v>
      </c>
      <c r="BW500">
        <f t="shared" si="336"/>
        <v>0</v>
      </c>
      <c r="BX500" t="str">
        <f t="shared" si="337"/>
        <v/>
      </c>
      <c r="BY500" s="66" t="str">
        <f t="shared" si="328"/>
        <v/>
      </c>
      <c r="BZ500" t="str">
        <f t="shared" si="329"/>
        <v/>
      </c>
      <c r="CA500" s="67" t="str">
        <f t="shared" si="344"/>
        <v/>
      </c>
    </row>
    <row r="501" spans="4:79" x14ac:dyDescent="0.25">
      <c r="D501" s="3" t="e">
        <f t="shared" si="340"/>
        <v>#DIV/0!</v>
      </c>
      <c r="E501" s="3" t="e">
        <f t="shared" si="340"/>
        <v>#DIV/0!</v>
      </c>
      <c r="F501" t="str">
        <f>IF(A501&gt;0,IF(F500=1,1,IF(B501=Data!$H$4,1,0)),"")</f>
        <v/>
      </c>
      <c r="AA501" t="e">
        <f t="shared" si="341"/>
        <v>#VALUE!</v>
      </c>
      <c r="AE501" t="str">
        <f t="shared" si="342"/>
        <v/>
      </c>
      <c r="AK501" s="4">
        <f t="shared" si="338"/>
        <v>69.900000000000219</v>
      </c>
      <c r="AL501">
        <f t="shared" si="330"/>
        <v>5389.0000000000264</v>
      </c>
      <c r="AM501">
        <f t="shared" si="331"/>
        <v>1150.2166666666619</v>
      </c>
      <c r="AN501">
        <f>IF($AK500+$AK$1&lt;=Data!$H$4-0.5,AVERAGE(AM499:AM503),AN500)</f>
        <v>1161.2999999999945</v>
      </c>
      <c r="AO501">
        <f t="shared" si="332"/>
        <v>5416.9999999999654</v>
      </c>
      <c r="AP501">
        <f t="shared" si="339"/>
        <v>1151.4999999999989</v>
      </c>
      <c r="AQ501">
        <f>IF($AK500+$AK$1&lt;=Data!$H$4-0.5,AVERAGE(AP499:AP503),AQ500)</f>
        <v>1153.9999999999989</v>
      </c>
      <c r="AR501">
        <f>IF($AK500+$AK$1&lt;=Data!$H$4-0.5,SLOPE($AN497:$AN505,$AK497:$AK505),AR500)</f>
        <v>-11.349999999999836</v>
      </c>
      <c r="AS501">
        <f>IF($AK500+$AK$1&lt;=Data!$H$4-0.5,SLOPE($AQ497:$AQ505,$AK497:$AK505),AS500)</f>
        <v>-2.7999999999992418</v>
      </c>
      <c r="AT501" t="str">
        <f>IF(AND($AK501&gt;=Results!$G$13,$AK501&lt;=Results!$G$14),Curves!AR501,"")</f>
        <v/>
      </c>
      <c r="AU501" t="str">
        <f>IF(AND($AK501&gt;=Results!$G$13,$AK501&lt;=Results!$G$14),Curves!AS501,"")</f>
        <v/>
      </c>
      <c r="AV501" t="str">
        <f t="shared" si="333"/>
        <v/>
      </c>
      <c r="AW501" t="str">
        <f>IF(AND($AK501&lt;=Results!$I$21,$AK501&gt;=Results!$I$20,$AK501&lt;=Results!$F$4),$AN501,"")</f>
        <v/>
      </c>
      <c r="AX501">
        <f t="shared" si="333"/>
        <v>69.900000000000219</v>
      </c>
      <c r="AY501">
        <f>IF(AND($AK501&lt;=Results!$I$23,$AK501&gt;=Results!$I$22,$AK501&gt;=Results!$F$4),$AN501,"")</f>
        <v>1161.2999999999945</v>
      </c>
      <c r="AZ501" t="str">
        <f t="shared" si="312"/>
        <v/>
      </c>
      <c r="BA501" t="str">
        <f>IF(AND($AK501&lt;=Results!$I$27,$AK501&gt;=Results!$I$26,$AK501&lt;=Results!$F$4),$AQ501,"")</f>
        <v/>
      </c>
      <c r="BB501">
        <f t="shared" si="313"/>
        <v>69.900000000000219</v>
      </c>
      <c r="BC501">
        <f>IF(AND($AK501&lt;=Results!$I$29,$AK501&gt;=Results!$I$28,$AK501&gt;=Results!$F$4),$AQ501,"")</f>
        <v>1153.9999999999989</v>
      </c>
      <c r="BD501">
        <f t="shared" si="314"/>
        <v>7230.8615572627841</v>
      </c>
      <c r="BE501">
        <f t="shared" si="315"/>
        <v>1157.2724856653044</v>
      </c>
      <c r="BF501">
        <f t="shared" si="316"/>
        <v>8089.5503654261838</v>
      </c>
      <c r="BG501">
        <f t="shared" si="317"/>
        <v>1153.781166473542</v>
      </c>
      <c r="BH501">
        <f t="shared" si="318"/>
        <v>0</v>
      </c>
      <c r="BI501">
        <f t="shared" si="319"/>
        <v>6.6311933310159166E-4</v>
      </c>
      <c r="BJ501">
        <f t="shared" si="320"/>
        <v>3.1551442987831635E-5</v>
      </c>
      <c r="BK501" t="e">
        <f t="shared" si="321"/>
        <v>#DIV/0!</v>
      </c>
      <c r="BL501" t="e">
        <f t="shared" si="322"/>
        <v>#DIV/0!</v>
      </c>
      <c r="BM501" t="e">
        <f t="shared" si="334"/>
        <v>#DIV/0!</v>
      </c>
      <c r="BN501" t="e">
        <f t="shared" si="335"/>
        <v>#DIV/0!</v>
      </c>
      <c r="BO501" t="e">
        <f>Data!$H$2*(1-BI501)*(1-BI501/Data!$H$3)*BM501</f>
        <v>#DIV/0!</v>
      </c>
      <c r="BP501" t="e">
        <f t="shared" si="323"/>
        <v>#DIV/0!</v>
      </c>
      <c r="BQ501" t="e">
        <f>Data!$H$2*(1-BJ501)*(1-BJ501/Data!$H$3)*BN501</f>
        <v>#DIV/0!</v>
      </c>
      <c r="BR501" t="e">
        <f t="shared" si="324"/>
        <v>#DIV/0!</v>
      </c>
      <c r="BS501">
        <f t="shared" si="325"/>
        <v>0</v>
      </c>
      <c r="BT501">
        <f t="shared" si="326"/>
        <v>0</v>
      </c>
      <c r="BU501">
        <f t="shared" si="327"/>
        <v>0</v>
      </c>
      <c r="BV501">
        <f t="shared" si="343"/>
        <v>0</v>
      </c>
      <c r="BW501">
        <f t="shared" si="336"/>
        <v>0</v>
      </c>
      <c r="BX501" t="str">
        <f t="shared" si="337"/>
        <v/>
      </c>
      <c r="BY501" s="66" t="str">
        <f t="shared" si="328"/>
        <v/>
      </c>
      <c r="BZ501" t="str">
        <f t="shared" si="329"/>
        <v/>
      </c>
      <c r="CA501" s="67" t="str">
        <f t="shared" si="344"/>
        <v/>
      </c>
    </row>
    <row r="502" spans="4:79" x14ac:dyDescent="0.25">
      <c r="D502" s="3" t="e">
        <f t="shared" si="340"/>
        <v>#DIV/0!</v>
      </c>
      <c r="E502" s="3" t="e">
        <f t="shared" si="340"/>
        <v>#DIV/0!</v>
      </c>
      <c r="F502" t="str">
        <f>IF(A502&gt;0,IF(F501=1,1,IF(B502=Data!$H$4,1,0)),"")</f>
        <v/>
      </c>
      <c r="AA502" t="e">
        <f t="shared" si="341"/>
        <v>#VALUE!</v>
      </c>
      <c r="AE502" t="str">
        <f t="shared" si="342"/>
        <v/>
      </c>
      <c r="AK502" s="4">
        <f t="shared" si="338"/>
        <v>69.900000000000219</v>
      </c>
      <c r="AL502">
        <f t="shared" si="330"/>
        <v>5389.0000000000264</v>
      </c>
      <c r="AM502">
        <f t="shared" si="331"/>
        <v>1150.2166666666619</v>
      </c>
      <c r="AN502">
        <f>IF($AK501+$AK$1&lt;=Data!$H$4-0.5,AVERAGE(AM500:AM504),AN501)</f>
        <v>1161.2999999999945</v>
      </c>
      <c r="AO502">
        <f t="shared" si="332"/>
        <v>5416.9999999999654</v>
      </c>
      <c r="AP502">
        <f t="shared" si="339"/>
        <v>1151.4999999999989</v>
      </c>
      <c r="AQ502">
        <f>IF($AK501+$AK$1&lt;=Data!$H$4-0.5,AVERAGE(AP500:AP504),AQ501)</f>
        <v>1153.9999999999989</v>
      </c>
      <c r="AR502">
        <f>IF($AK501+$AK$1&lt;=Data!$H$4-0.5,SLOPE($AN498:$AN506,$AK498:$AK506),AR501)</f>
        <v>-11.349999999999836</v>
      </c>
      <c r="AS502">
        <f>IF($AK501+$AK$1&lt;=Data!$H$4-0.5,SLOPE($AQ498:$AQ506,$AK498:$AK506),AS501)</f>
        <v>-2.7999999999992418</v>
      </c>
      <c r="AT502" t="str">
        <f>IF(AND($AK502&gt;=Results!$G$13,$AK502&lt;=Results!$G$14),Curves!AR502,"")</f>
        <v/>
      </c>
      <c r="AU502" t="str">
        <f>IF(AND($AK502&gt;=Results!$G$13,$AK502&lt;=Results!$G$14),Curves!AS502,"")</f>
        <v/>
      </c>
      <c r="AV502" t="str">
        <f t="shared" si="333"/>
        <v/>
      </c>
      <c r="AW502" t="str">
        <f>IF(AND($AK502&lt;=Results!$I$21,$AK502&gt;=Results!$I$20,$AK502&lt;=Results!$F$4),$AN502,"")</f>
        <v/>
      </c>
      <c r="AX502">
        <f t="shared" si="333"/>
        <v>69.900000000000219</v>
      </c>
      <c r="AY502">
        <f>IF(AND($AK502&lt;=Results!$I$23,$AK502&gt;=Results!$I$22,$AK502&gt;=Results!$F$4),$AN502,"")</f>
        <v>1161.2999999999945</v>
      </c>
      <c r="AZ502" t="str">
        <f t="shared" si="312"/>
        <v/>
      </c>
      <c r="BA502" t="str">
        <f>IF(AND($AK502&lt;=Results!$I$27,$AK502&gt;=Results!$I$26,$AK502&lt;=Results!$F$4),$AQ502,"")</f>
        <v/>
      </c>
      <c r="BB502">
        <f t="shared" si="313"/>
        <v>69.900000000000219</v>
      </c>
      <c r="BC502">
        <f>IF(AND($AK502&lt;=Results!$I$29,$AK502&gt;=Results!$I$28,$AK502&gt;=Results!$F$4),$AQ502,"")</f>
        <v>1153.9999999999989</v>
      </c>
      <c r="BD502">
        <f t="shared" si="314"/>
        <v>7230.8615572627841</v>
      </c>
      <c r="BE502">
        <f t="shared" si="315"/>
        <v>1157.2724856653044</v>
      </c>
      <c r="BF502">
        <f t="shared" si="316"/>
        <v>8089.5503654261838</v>
      </c>
      <c r="BG502">
        <f t="shared" si="317"/>
        <v>1153.781166473542</v>
      </c>
      <c r="BH502">
        <f t="shared" si="318"/>
        <v>0</v>
      </c>
      <c r="BI502">
        <f t="shared" si="319"/>
        <v>6.6311933310159166E-4</v>
      </c>
      <c r="BJ502">
        <f t="shared" si="320"/>
        <v>3.1551442987831635E-5</v>
      </c>
      <c r="BK502" t="e">
        <f t="shared" si="321"/>
        <v>#DIV/0!</v>
      </c>
      <c r="BL502" t="e">
        <f t="shared" si="322"/>
        <v>#DIV/0!</v>
      </c>
      <c r="BM502" t="e">
        <f t="shared" si="334"/>
        <v>#DIV/0!</v>
      </c>
      <c r="BN502" t="e">
        <f t="shared" si="335"/>
        <v>#DIV/0!</v>
      </c>
      <c r="BO502" t="e">
        <f>Data!$H$2*(1-BI502)*(1-BI502/Data!$H$3)*BM502</f>
        <v>#DIV/0!</v>
      </c>
      <c r="BP502" t="e">
        <f t="shared" si="323"/>
        <v>#DIV/0!</v>
      </c>
      <c r="BQ502" t="e">
        <f>Data!$H$2*(1-BJ502)*(1-BJ502/Data!$H$3)*BN502</f>
        <v>#DIV/0!</v>
      </c>
      <c r="BR502" t="e">
        <f t="shared" si="324"/>
        <v>#DIV/0!</v>
      </c>
      <c r="BS502">
        <f t="shared" si="325"/>
        <v>0</v>
      </c>
      <c r="BT502">
        <f t="shared" si="326"/>
        <v>0</v>
      </c>
      <c r="BU502">
        <f t="shared" si="327"/>
        <v>0</v>
      </c>
      <c r="BV502">
        <f t="shared" si="343"/>
        <v>0</v>
      </c>
      <c r="BW502">
        <f t="shared" si="336"/>
        <v>0</v>
      </c>
      <c r="BX502" t="str">
        <f t="shared" si="337"/>
        <v/>
      </c>
      <c r="BY502" s="66" t="str">
        <f t="shared" si="328"/>
        <v/>
      </c>
      <c r="BZ502" t="str">
        <f t="shared" si="329"/>
        <v/>
      </c>
      <c r="CA502" s="67" t="str">
        <f t="shared" si="344"/>
        <v/>
      </c>
    </row>
    <row r="503" spans="4:79" x14ac:dyDescent="0.25">
      <c r="D503" s="3" t="e">
        <f t="shared" si="340"/>
        <v>#DIV/0!</v>
      </c>
      <c r="E503" s="3" t="e">
        <f t="shared" si="340"/>
        <v>#DIV/0!</v>
      </c>
      <c r="F503" t="str">
        <f>IF(A503&gt;0,IF(F502=1,1,IF(B503=Data!$H$4,1,0)),"")</f>
        <v/>
      </c>
      <c r="AA503" t="e">
        <f t="shared" si="341"/>
        <v>#VALUE!</v>
      </c>
      <c r="AE503" t="str">
        <f t="shared" si="342"/>
        <v/>
      </c>
      <c r="AK503" s="4">
        <f t="shared" si="338"/>
        <v>69.900000000000219</v>
      </c>
      <c r="AL503">
        <f t="shared" si="330"/>
        <v>5389.0000000000264</v>
      </c>
      <c r="AM503">
        <f t="shared" si="331"/>
        <v>1150.2166666666619</v>
      </c>
      <c r="AN503">
        <f>IF($AK502+$AK$1&lt;=Data!$H$4-0.5,AVERAGE(AM501:AM505),AN502)</f>
        <v>1161.2999999999945</v>
      </c>
      <c r="AO503">
        <f t="shared" si="332"/>
        <v>5416.9999999999654</v>
      </c>
      <c r="AP503">
        <f t="shared" si="339"/>
        <v>1151.4999999999989</v>
      </c>
      <c r="AQ503">
        <f>IF($AK502+$AK$1&lt;=Data!$H$4-0.5,AVERAGE(AP501:AP505),AQ502)</f>
        <v>1153.9999999999989</v>
      </c>
      <c r="AR503">
        <f>IF($AK502+$AK$1&lt;=Data!$H$4-0.5,SLOPE($AN499:$AN507,$AK499:$AK507),AR502)</f>
        <v>-11.349999999999836</v>
      </c>
      <c r="AS503">
        <f>IF($AK502+$AK$1&lt;=Data!$H$4-0.5,SLOPE($AQ499:$AQ507,$AK499:$AK507),AS502)</f>
        <v>-2.7999999999992418</v>
      </c>
      <c r="AT503" t="str">
        <f>IF(AND($AK503&gt;=Results!$G$13,$AK503&lt;=Results!$G$14),Curves!AR503,"")</f>
        <v/>
      </c>
      <c r="AU503" t="str">
        <f>IF(AND($AK503&gt;=Results!$G$13,$AK503&lt;=Results!$G$14),Curves!AS503,"")</f>
        <v/>
      </c>
      <c r="AV503" t="str">
        <f t="shared" si="333"/>
        <v/>
      </c>
      <c r="AW503" t="str">
        <f>IF(AND($AK503&lt;=Results!$I$21,$AK503&gt;=Results!$I$20,$AK503&lt;=Results!$F$4),$AN503,"")</f>
        <v/>
      </c>
      <c r="AX503">
        <f t="shared" si="333"/>
        <v>69.900000000000219</v>
      </c>
      <c r="AY503">
        <f>IF(AND($AK503&lt;=Results!$I$23,$AK503&gt;=Results!$I$22,$AK503&gt;=Results!$F$4),$AN503,"")</f>
        <v>1161.2999999999945</v>
      </c>
      <c r="AZ503" t="str">
        <f t="shared" si="312"/>
        <v/>
      </c>
      <c r="BA503" t="str">
        <f>IF(AND($AK503&lt;=Results!$I$27,$AK503&gt;=Results!$I$26,$AK503&lt;=Results!$F$4),$AQ503,"")</f>
        <v/>
      </c>
      <c r="BB503">
        <f t="shared" si="313"/>
        <v>69.900000000000219</v>
      </c>
      <c r="BC503">
        <f>IF(AND($AK503&lt;=Results!$I$29,$AK503&gt;=Results!$I$28,$AK503&gt;=Results!$F$4),$AQ503,"")</f>
        <v>1153.9999999999989</v>
      </c>
      <c r="BD503">
        <f t="shared" si="314"/>
        <v>7230.8615572627841</v>
      </c>
      <c r="BE503">
        <f t="shared" si="315"/>
        <v>1157.2724856653044</v>
      </c>
      <c r="BF503">
        <f t="shared" si="316"/>
        <v>8089.5503654261838</v>
      </c>
      <c r="BG503">
        <f t="shared" si="317"/>
        <v>1153.781166473542</v>
      </c>
      <c r="BH503">
        <f t="shared" si="318"/>
        <v>0</v>
      </c>
      <c r="BI503">
        <f t="shared" si="319"/>
        <v>6.6311933310159166E-4</v>
      </c>
      <c r="BJ503">
        <f t="shared" si="320"/>
        <v>3.1551442987831635E-5</v>
      </c>
      <c r="BK503" t="e">
        <f t="shared" si="321"/>
        <v>#DIV/0!</v>
      </c>
      <c r="BL503" t="e">
        <f t="shared" si="322"/>
        <v>#DIV/0!</v>
      </c>
      <c r="BM503" t="e">
        <f t="shared" si="334"/>
        <v>#DIV/0!</v>
      </c>
      <c r="BN503" t="e">
        <f t="shared" si="335"/>
        <v>#DIV/0!</v>
      </c>
      <c r="BO503" t="e">
        <f>Data!$H$2*(1-BI503)*(1-BI503/Data!$H$3)*BM503</f>
        <v>#DIV/0!</v>
      </c>
      <c r="BP503" t="e">
        <f t="shared" si="323"/>
        <v>#DIV/0!</v>
      </c>
      <c r="BQ503" t="e">
        <f>Data!$H$2*(1-BJ503)*(1-BJ503/Data!$H$3)*BN503</f>
        <v>#DIV/0!</v>
      </c>
      <c r="BR503" t="e">
        <f t="shared" si="324"/>
        <v>#DIV/0!</v>
      </c>
      <c r="BS503">
        <f t="shared" si="325"/>
        <v>0</v>
      </c>
      <c r="BT503">
        <f t="shared" si="326"/>
        <v>0</v>
      </c>
      <c r="BU503">
        <f t="shared" si="327"/>
        <v>0</v>
      </c>
      <c r="BV503">
        <f t="shared" si="343"/>
        <v>0</v>
      </c>
      <c r="BW503">
        <f t="shared" si="336"/>
        <v>0</v>
      </c>
      <c r="BX503" t="str">
        <f t="shared" si="337"/>
        <v/>
      </c>
      <c r="BY503" s="66" t="str">
        <f t="shared" si="328"/>
        <v/>
      </c>
      <c r="BZ503" t="str">
        <f t="shared" si="329"/>
        <v/>
      </c>
      <c r="CA503" s="67" t="str">
        <f t="shared" si="344"/>
        <v/>
      </c>
    </row>
    <row r="504" spans="4:79" x14ac:dyDescent="0.25">
      <c r="D504" s="3" t="e">
        <f t="shared" si="340"/>
        <v>#DIV/0!</v>
      </c>
      <c r="E504" s="3" t="e">
        <f t="shared" si="340"/>
        <v>#DIV/0!</v>
      </c>
      <c r="F504" t="str">
        <f>IF(A504&gt;0,IF(F503=1,1,IF(B504=Data!$H$4,1,0)),"")</f>
        <v/>
      </c>
      <c r="AA504" t="e">
        <f t="shared" si="341"/>
        <v>#VALUE!</v>
      </c>
      <c r="AE504" t="str">
        <f t="shared" si="342"/>
        <v/>
      </c>
      <c r="AK504" s="4">
        <f t="shared" si="338"/>
        <v>69.900000000000219</v>
      </c>
      <c r="AL504">
        <f t="shared" si="330"/>
        <v>5389.0000000000264</v>
      </c>
      <c r="AM504">
        <f t="shared" si="331"/>
        <v>1150.2166666666619</v>
      </c>
      <c r="AN504">
        <f>IF($AK503+$AK$1&lt;=Data!$H$4-0.5,AVERAGE(AM502:AM506),AN503)</f>
        <v>1161.2999999999945</v>
      </c>
      <c r="AO504">
        <f t="shared" si="332"/>
        <v>5416.9999999999654</v>
      </c>
      <c r="AP504">
        <f t="shared" si="339"/>
        <v>1151.4999999999989</v>
      </c>
      <c r="AQ504">
        <f>IF($AK503+$AK$1&lt;=Data!$H$4-0.5,AVERAGE(AP502:AP506),AQ503)</f>
        <v>1153.9999999999989</v>
      </c>
      <c r="AR504">
        <f>IF($AK503+$AK$1&lt;=Data!$H$4-0.5,SLOPE($AN500:$AN508,$AK500:$AK508),AR503)</f>
        <v>-11.349999999999836</v>
      </c>
      <c r="AS504">
        <f>IF($AK503+$AK$1&lt;=Data!$H$4-0.5,SLOPE($AQ500:$AQ508,$AK500:$AK508),AS503)</f>
        <v>-2.7999999999992418</v>
      </c>
      <c r="AT504" t="str">
        <f>IF(AND($AK504&gt;=Results!$G$13,$AK504&lt;=Results!$G$14),Curves!AR504,"")</f>
        <v/>
      </c>
      <c r="AU504" t="str">
        <f>IF(AND($AK504&gt;=Results!$G$13,$AK504&lt;=Results!$G$14),Curves!AS504,"")</f>
        <v/>
      </c>
      <c r="AV504" t="str">
        <f t="shared" si="333"/>
        <v/>
      </c>
      <c r="AW504" t="str">
        <f>IF(AND($AK504&lt;=Results!$I$21,$AK504&gt;=Results!$I$20,$AK504&lt;=Results!$F$4),$AN504,"")</f>
        <v/>
      </c>
      <c r="AX504">
        <f t="shared" si="333"/>
        <v>69.900000000000219</v>
      </c>
      <c r="AY504">
        <f>IF(AND($AK504&lt;=Results!$I$23,$AK504&gt;=Results!$I$22,$AK504&gt;=Results!$F$4),$AN504,"")</f>
        <v>1161.2999999999945</v>
      </c>
      <c r="AZ504" t="str">
        <f t="shared" si="312"/>
        <v/>
      </c>
      <c r="BA504" t="str">
        <f>IF(AND($AK504&lt;=Results!$I$27,$AK504&gt;=Results!$I$26,$AK504&lt;=Results!$F$4),$AQ504,"")</f>
        <v/>
      </c>
      <c r="BB504">
        <f t="shared" si="313"/>
        <v>69.900000000000219</v>
      </c>
      <c r="BC504">
        <f>IF(AND($AK504&lt;=Results!$I$29,$AK504&gt;=Results!$I$28,$AK504&gt;=Results!$F$4),$AQ504,"")</f>
        <v>1153.9999999999989</v>
      </c>
      <c r="BD504">
        <f t="shared" si="314"/>
        <v>7230.8615572627841</v>
      </c>
      <c r="BE504">
        <f t="shared" si="315"/>
        <v>1157.2724856653044</v>
      </c>
      <c r="BF504">
        <f t="shared" si="316"/>
        <v>8089.5503654261838</v>
      </c>
      <c r="BG504">
        <f t="shared" si="317"/>
        <v>1153.781166473542</v>
      </c>
      <c r="BH504">
        <f t="shared" si="318"/>
        <v>0</v>
      </c>
      <c r="BI504">
        <f t="shared" si="319"/>
        <v>6.6311933310159166E-4</v>
      </c>
      <c r="BJ504">
        <f t="shared" si="320"/>
        <v>3.1551442987831635E-5</v>
      </c>
      <c r="BK504" t="e">
        <f t="shared" si="321"/>
        <v>#DIV/0!</v>
      </c>
      <c r="BL504" t="e">
        <f t="shared" si="322"/>
        <v>#DIV/0!</v>
      </c>
      <c r="BM504" t="e">
        <f t="shared" si="334"/>
        <v>#DIV/0!</v>
      </c>
      <c r="BN504" t="e">
        <f t="shared" si="335"/>
        <v>#DIV/0!</v>
      </c>
      <c r="BO504" t="e">
        <f>Data!$H$2*(1-BI504)*(1-BI504/Data!$H$3)*BM504</f>
        <v>#DIV/0!</v>
      </c>
      <c r="BP504" t="e">
        <f t="shared" si="323"/>
        <v>#DIV/0!</v>
      </c>
      <c r="BQ504" t="e">
        <f>Data!$H$2*(1-BJ504)*(1-BJ504/Data!$H$3)*BN504</f>
        <v>#DIV/0!</v>
      </c>
      <c r="BR504" t="e">
        <f t="shared" si="324"/>
        <v>#DIV/0!</v>
      </c>
      <c r="BS504">
        <f t="shared" si="325"/>
        <v>0</v>
      </c>
      <c r="BT504">
        <f t="shared" si="326"/>
        <v>0</v>
      </c>
      <c r="BU504">
        <f t="shared" si="327"/>
        <v>0</v>
      </c>
      <c r="BV504">
        <f t="shared" si="343"/>
        <v>0</v>
      </c>
      <c r="BW504">
        <f t="shared" si="336"/>
        <v>0</v>
      </c>
      <c r="BX504" t="str">
        <f t="shared" si="337"/>
        <v/>
      </c>
      <c r="BY504" s="66" t="str">
        <f t="shared" si="328"/>
        <v/>
      </c>
      <c r="BZ504" t="str">
        <f t="shared" si="329"/>
        <v/>
      </c>
      <c r="CA504" s="67" t="str">
        <f t="shared" si="344"/>
        <v/>
      </c>
    </row>
    <row r="505" spans="4:79" x14ac:dyDescent="0.25">
      <c r="D505" s="3" t="e">
        <f t="shared" si="340"/>
        <v>#DIV/0!</v>
      </c>
      <c r="E505" s="3" t="e">
        <f t="shared" si="340"/>
        <v>#DIV/0!</v>
      </c>
      <c r="F505" t="str">
        <f>IF(A505&gt;0,IF(F504=1,1,IF(B505=Data!$H$4,1,0)),"")</f>
        <v/>
      </c>
      <c r="AA505" t="e">
        <f t="shared" si="341"/>
        <v>#VALUE!</v>
      </c>
      <c r="AE505" t="str">
        <f t="shared" si="342"/>
        <v/>
      </c>
      <c r="AK505" s="4">
        <f t="shared" si="338"/>
        <v>69.900000000000219</v>
      </c>
      <c r="AL505">
        <f t="shared" si="330"/>
        <v>5389.0000000000264</v>
      </c>
      <c r="AM505">
        <f t="shared" si="331"/>
        <v>1150.2166666666619</v>
      </c>
      <c r="AN505">
        <f>IF($AK504+$AK$1&lt;=Data!$H$4-0.5,AVERAGE(AM503:AM507),AN504)</f>
        <v>1161.2999999999945</v>
      </c>
      <c r="AO505">
        <f t="shared" si="332"/>
        <v>5416.9999999999654</v>
      </c>
      <c r="AP505">
        <f t="shared" si="339"/>
        <v>1151.4999999999989</v>
      </c>
      <c r="AQ505">
        <f>IF($AK504+$AK$1&lt;=Data!$H$4-0.5,AVERAGE(AP503:AP507),AQ504)</f>
        <v>1153.9999999999989</v>
      </c>
      <c r="AR505">
        <f>IF($AK504+$AK$1&lt;=Data!$H$4-0.5,SLOPE($AN501:$AN509,$AK501:$AK509),AR504)</f>
        <v>-11.349999999999836</v>
      </c>
      <c r="AS505">
        <f>IF($AK504+$AK$1&lt;=Data!$H$4-0.5,SLOPE($AQ501:$AQ509,$AK501:$AK509),AS504)</f>
        <v>-2.7999999999992418</v>
      </c>
      <c r="AT505" t="str">
        <f>IF(AND($AK505&gt;=Results!$G$13,$AK505&lt;=Results!$G$14),Curves!AR505,"")</f>
        <v/>
      </c>
      <c r="AU505" t="str">
        <f>IF(AND($AK505&gt;=Results!$G$13,$AK505&lt;=Results!$G$14),Curves!AS505,"")</f>
        <v/>
      </c>
      <c r="AV505" t="str">
        <f t="shared" si="333"/>
        <v/>
      </c>
      <c r="AW505" t="str">
        <f>IF(AND($AK505&lt;=Results!$I$21,$AK505&gt;=Results!$I$20,$AK505&lt;=Results!$F$4),$AN505,"")</f>
        <v/>
      </c>
      <c r="AX505">
        <f t="shared" si="333"/>
        <v>69.900000000000219</v>
      </c>
      <c r="AY505">
        <f>IF(AND($AK505&lt;=Results!$I$23,$AK505&gt;=Results!$I$22,$AK505&gt;=Results!$F$4),$AN505,"")</f>
        <v>1161.2999999999945</v>
      </c>
      <c r="AZ505" t="str">
        <f t="shared" si="312"/>
        <v/>
      </c>
      <c r="BA505" t="str">
        <f>IF(AND($AK505&lt;=Results!$I$27,$AK505&gt;=Results!$I$26,$AK505&lt;=Results!$F$4),$AQ505,"")</f>
        <v/>
      </c>
      <c r="BB505">
        <f t="shared" si="313"/>
        <v>69.900000000000219</v>
      </c>
      <c r="BC505">
        <f>IF(AND($AK505&lt;=Results!$I$29,$AK505&gt;=Results!$I$28,$AK505&gt;=Results!$F$4),$AQ505,"")</f>
        <v>1153.9999999999989</v>
      </c>
      <c r="BD505">
        <f t="shared" si="314"/>
        <v>7230.8615572627841</v>
      </c>
      <c r="BE505">
        <f t="shared" si="315"/>
        <v>1157.2724856653044</v>
      </c>
      <c r="BF505">
        <f t="shared" si="316"/>
        <v>8089.5503654261838</v>
      </c>
      <c r="BG505">
        <f t="shared" si="317"/>
        <v>1153.781166473542</v>
      </c>
      <c r="BH505">
        <f t="shared" si="318"/>
        <v>0</v>
      </c>
      <c r="BI505">
        <f t="shared" si="319"/>
        <v>6.6311933310159166E-4</v>
      </c>
      <c r="BJ505">
        <f t="shared" si="320"/>
        <v>3.1551442987831635E-5</v>
      </c>
      <c r="BK505" t="e">
        <f t="shared" si="321"/>
        <v>#DIV/0!</v>
      </c>
      <c r="BL505" t="e">
        <f t="shared" si="322"/>
        <v>#DIV/0!</v>
      </c>
      <c r="BM505" t="e">
        <f t="shared" si="334"/>
        <v>#DIV/0!</v>
      </c>
      <c r="BN505" t="e">
        <f t="shared" si="335"/>
        <v>#DIV/0!</v>
      </c>
      <c r="BO505" t="e">
        <f>Data!$H$2*(1-BI505)*(1-BI505/Data!$H$3)*BM505</f>
        <v>#DIV/0!</v>
      </c>
      <c r="BP505" t="e">
        <f t="shared" si="323"/>
        <v>#DIV/0!</v>
      </c>
      <c r="BQ505" t="e">
        <f>Data!$H$2*(1-BJ505)*(1-BJ505/Data!$H$3)*BN505</f>
        <v>#DIV/0!</v>
      </c>
      <c r="BR505" t="e">
        <f t="shared" si="324"/>
        <v>#DIV/0!</v>
      </c>
      <c r="BS505">
        <f t="shared" si="325"/>
        <v>0</v>
      </c>
      <c r="BT505">
        <f t="shared" si="326"/>
        <v>0</v>
      </c>
      <c r="BU505">
        <f t="shared" si="327"/>
        <v>0</v>
      </c>
      <c r="BV505">
        <f t="shared" si="343"/>
        <v>0</v>
      </c>
      <c r="BW505">
        <f t="shared" si="336"/>
        <v>0</v>
      </c>
      <c r="BX505" t="str">
        <f t="shared" si="337"/>
        <v/>
      </c>
      <c r="BY505" s="66" t="str">
        <f t="shared" si="328"/>
        <v/>
      </c>
      <c r="BZ505" t="str">
        <f t="shared" si="329"/>
        <v/>
      </c>
      <c r="CA505" s="67" t="str">
        <f t="shared" si="344"/>
        <v/>
      </c>
    </row>
    <row r="506" spans="4:79" x14ac:dyDescent="0.25">
      <c r="D506" s="3" t="e">
        <f t="shared" si="340"/>
        <v>#DIV/0!</v>
      </c>
      <c r="E506" s="3" t="e">
        <f t="shared" si="340"/>
        <v>#DIV/0!</v>
      </c>
      <c r="F506" t="str">
        <f>IF(A506&gt;0,IF(F505=1,1,IF(B506=Data!$H$4,1,0)),"")</f>
        <v/>
      </c>
      <c r="AA506" t="e">
        <f t="shared" si="341"/>
        <v>#VALUE!</v>
      </c>
      <c r="AE506" t="str">
        <f t="shared" si="342"/>
        <v/>
      </c>
      <c r="AK506" s="4">
        <f t="shared" si="338"/>
        <v>69.900000000000219</v>
      </c>
      <c r="AL506">
        <f t="shared" si="330"/>
        <v>5389.0000000000264</v>
      </c>
      <c r="AM506">
        <f t="shared" si="331"/>
        <v>1150.2166666666619</v>
      </c>
      <c r="AN506">
        <f>IF($AK505+$AK$1&lt;=Data!$H$4-0.5,AVERAGE(AM504:AM508),AN505)</f>
        <v>1161.2999999999945</v>
      </c>
      <c r="AO506">
        <f t="shared" si="332"/>
        <v>5416.9999999999654</v>
      </c>
      <c r="AP506">
        <f t="shared" si="339"/>
        <v>1151.4999999999989</v>
      </c>
      <c r="AQ506">
        <f>IF($AK505+$AK$1&lt;=Data!$H$4-0.5,AVERAGE(AP504:AP508),AQ505)</f>
        <v>1153.9999999999989</v>
      </c>
      <c r="AR506">
        <f>IF($AK505+$AK$1&lt;=Data!$H$4-0.5,SLOPE($AN502:$AN510,$AK502:$AK510),AR505)</f>
        <v>-11.349999999999836</v>
      </c>
      <c r="AS506">
        <f>IF($AK505+$AK$1&lt;=Data!$H$4-0.5,SLOPE($AQ502:$AQ510,$AK502:$AK510),AS505)</f>
        <v>-2.7999999999992418</v>
      </c>
      <c r="AT506" t="str">
        <f>IF(AND($AK506&gt;=Results!$G$13,$AK506&lt;=Results!$G$14),Curves!AR506,"")</f>
        <v/>
      </c>
      <c r="AU506" t="str">
        <f>IF(AND($AK506&gt;=Results!$G$13,$AK506&lt;=Results!$G$14),Curves!AS506,"")</f>
        <v/>
      </c>
      <c r="AV506" t="str">
        <f t="shared" si="333"/>
        <v/>
      </c>
      <c r="AW506" t="str">
        <f>IF(AND($AK506&lt;=Results!$I$21,$AK506&gt;=Results!$I$20,$AK506&lt;=Results!$F$4),$AN506,"")</f>
        <v/>
      </c>
      <c r="AX506">
        <f t="shared" si="333"/>
        <v>69.900000000000219</v>
      </c>
      <c r="AY506">
        <f>IF(AND($AK506&lt;=Results!$I$23,$AK506&gt;=Results!$I$22,$AK506&gt;=Results!$F$4),$AN506,"")</f>
        <v>1161.2999999999945</v>
      </c>
      <c r="AZ506" t="str">
        <f t="shared" si="312"/>
        <v/>
      </c>
      <c r="BA506" t="str">
        <f>IF(AND($AK506&lt;=Results!$I$27,$AK506&gt;=Results!$I$26,$AK506&lt;=Results!$F$4),$AQ506,"")</f>
        <v/>
      </c>
      <c r="BB506">
        <f t="shared" si="313"/>
        <v>69.900000000000219</v>
      </c>
      <c r="BC506">
        <f>IF(AND($AK506&lt;=Results!$I$29,$AK506&gt;=Results!$I$28,$AK506&gt;=Results!$F$4),$AQ506,"")</f>
        <v>1153.9999999999989</v>
      </c>
      <c r="BD506">
        <f t="shared" si="314"/>
        <v>7230.8615572627841</v>
      </c>
      <c r="BE506">
        <f t="shared" si="315"/>
        <v>1157.2724856653044</v>
      </c>
      <c r="BF506">
        <f t="shared" si="316"/>
        <v>8089.5503654261838</v>
      </c>
      <c r="BG506">
        <f t="shared" si="317"/>
        <v>1153.781166473542</v>
      </c>
      <c r="BH506">
        <f t="shared" si="318"/>
        <v>0</v>
      </c>
      <c r="BI506">
        <f t="shared" si="319"/>
        <v>6.6311933310159166E-4</v>
      </c>
      <c r="BJ506">
        <f t="shared" si="320"/>
        <v>3.1551442987831635E-5</v>
      </c>
      <c r="BK506" t="e">
        <f t="shared" si="321"/>
        <v>#DIV/0!</v>
      </c>
      <c r="BL506" t="e">
        <f t="shared" si="322"/>
        <v>#DIV/0!</v>
      </c>
      <c r="BM506" t="e">
        <f t="shared" si="334"/>
        <v>#DIV/0!</v>
      </c>
      <c r="BN506" t="e">
        <f t="shared" si="335"/>
        <v>#DIV/0!</v>
      </c>
      <c r="BO506" t="e">
        <f>Data!$H$2*(1-BI506)*(1-BI506/Data!$H$3)*BM506</f>
        <v>#DIV/0!</v>
      </c>
      <c r="BP506" t="e">
        <f t="shared" si="323"/>
        <v>#DIV/0!</v>
      </c>
      <c r="BQ506" t="e">
        <f>Data!$H$2*(1-BJ506)*(1-BJ506/Data!$H$3)*BN506</f>
        <v>#DIV/0!</v>
      </c>
      <c r="BR506" t="e">
        <f t="shared" si="324"/>
        <v>#DIV/0!</v>
      </c>
      <c r="BS506">
        <f t="shared" si="325"/>
        <v>0</v>
      </c>
      <c r="BT506">
        <f t="shared" si="326"/>
        <v>0</v>
      </c>
      <c r="BU506">
        <f t="shared" si="327"/>
        <v>0</v>
      </c>
      <c r="BV506">
        <f t="shared" si="343"/>
        <v>0</v>
      </c>
      <c r="BW506">
        <f t="shared" si="336"/>
        <v>0</v>
      </c>
      <c r="BX506" t="str">
        <f t="shared" si="337"/>
        <v/>
      </c>
      <c r="BY506" s="66" t="str">
        <f t="shared" si="328"/>
        <v/>
      </c>
      <c r="BZ506" t="str">
        <f t="shared" si="329"/>
        <v/>
      </c>
      <c r="CA506" s="67" t="str">
        <f t="shared" si="344"/>
        <v/>
      </c>
    </row>
    <row r="507" spans="4:79" x14ac:dyDescent="0.25">
      <c r="D507" s="3" t="e">
        <f t="shared" si="340"/>
        <v>#DIV/0!</v>
      </c>
      <c r="E507" s="3" t="e">
        <f t="shared" si="340"/>
        <v>#DIV/0!</v>
      </c>
      <c r="F507" t="str">
        <f>IF(A507&gt;0,IF(F506=1,1,IF(B507=Data!$H$4,1,0)),"")</f>
        <v/>
      </c>
      <c r="AA507" t="e">
        <f t="shared" si="341"/>
        <v>#VALUE!</v>
      </c>
      <c r="AE507" t="str">
        <f t="shared" si="342"/>
        <v/>
      </c>
      <c r="AK507" s="4">
        <f t="shared" si="338"/>
        <v>69.900000000000219</v>
      </c>
      <c r="AL507">
        <f t="shared" si="330"/>
        <v>5389.0000000000264</v>
      </c>
      <c r="AM507">
        <f t="shared" si="331"/>
        <v>1150.2166666666619</v>
      </c>
      <c r="AN507">
        <f>IF($AK506+$AK$1&lt;=Data!$H$4-0.5,AVERAGE(AM505:AM509),AN506)</f>
        <v>1161.2999999999945</v>
      </c>
      <c r="AO507">
        <f t="shared" si="332"/>
        <v>5416.9999999999654</v>
      </c>
      <c r="AP507">
        <f t="shared" si="339"/>
        <v>1151.4999999999989</v>
      </c>
      <c r="AQ507">
        <f>IF($AK506+$AK$1&lt;=Data!$H$4-0.5,AVERAGE(AP505:AP509),AQ506)</f>
        <v>1153.9999999999989</v>
      </c>
      <c r="AR507">
        <f>IF($AK506+$AK$1&lt;=Data!$H$4-0.5,SLOPE($AN503:$AN511,$AK503:$AK511),AR506)</f>
        <v>-11.349999999999836</v>
      </c>
      <c r="AS507">
        <f>IF($AK506+$AK$1&lt;=Data!$H$4-0.5,SLOPE($AQ503:$AQ511,$AK503:$AK511),AS506)</f>
        <v>-2.7999999999992418</v>
      </c>
      <c r="AT507" t="str">
        <f>IF(AND($AK507&gt;=Results!$G$13,$AK507&lt;=Results!$G$14),Curves!AR507,"")</f>
        <v/>
      </c>
      <c r="AU507" t="str">
        <f>IF(AND($AK507&gt;=Results!$G$13,$AK507&lt;=Results!$G$14),Curves!AS507,"")</f>
        <v/>
      </c>
      <c r="AV507" t="str">
        <f t="shared" si="333"/>
        <v/>
      </c>
      <c r="AW507" t="str">
        <f>IF(AND($AK507&lt;=Results!$I$21,$AK507&gt;=Results!$I$20,$AK507&lt;=Results!$F$4),$AN507,"")</f>
        <v/>
      </c>
      <c r="AX507">
        <f t="shared" si="333"/>
        <v>69.900000000000219</v>
      </c>
      <c r="AY507">
        <f>IF(AND($AK507&lt;=Results!$I$23,$AK507&gt;=Results!$I$22,$AK507&gt;=Results!$F$4),$AN507,"")</f>
        <v>1161.2999999999945</v>
      </c>
      <c r="AZ507" t="str">
        <f t="shared" si="312"/>
        <v/>
      </c>
      <c r="BA507" t="str">
        <f>IF(AND($AK507&lt;=Results!$I$27,$AK507&gt;=Results!$I$26,$AK507&lt;=Results!$F$4),$AQ507,"")</f>
        <v/>
      </c>
      <c r="BB507">
        <f t="shared" si="313"/>
        <v>69.900000000000219</v>
      </c>
      <c r="BC507">
        <f>IF(AND($AK507&lt;=Results!$I$29,$AK507&gt;=Results!$I$28,$AK507&gt;=Results!$F$4),$AQ507,"")</f>
        <v>1153.9999999999989</v>
      </c>
      <c r="BD507">
        <f t="shared" si="314"/>
        <v>7230.8615572627841</v>
      </c>
      <c r="BE507">
        <f t="shared" si="315"/>
        <v>1157.2724856653044</v>
      </c>
      <c r="BF507">
        <f t="shared" si="316"/>
        <v>8089.5503654261838</v>
      </c>
      <c r="BG507">
        <f t="shared" si="317"/>
        <v>1153.781166473542</v>
      </c>
      <c r="BH507">
        <f t="shared" si="318"/>
        <v>0</v>
      </c>
      <c r="BI507">
        <f t="shared" si="319"/>
        <v>6.6311933310159166E-4</v>
      </c>
      <c r="BJ507">
        <f t="shared" si="320"/>
        <v>3.1551442987831635E-5</v>
      </c>
      <c r="BK507" t="e">
        <f t="shared" si="321"/>
        <v>#DIV/0!</v>
      </c>
      <c r="BL507" t="e">
        <f t="shared" si="322"/>
        <v>#DIV/0!</v>
      </c>
      <c r="BM507" t="e">
        <f t="shared" si="334"/>
        <v>#DIV/0!</v>
      </c>
      <c r="BN507" t="e">
        <f t="shared" si="335"/>
        <v>#DIV/0!</v>
      </c>
      <c r="BO507" t="e">
        <f>Data!$H$2*(1-BI507)*(1-BI507/Data!$H$3)*BM507</f>
        <v>#DIV/0!</v>
      </c>
      <c r="BP507" t="e">
        <f t="shared" si="323"/>
        <v>#DIV/0!</v>
      </c>
      <c r="BQ507" t="e">
        <f>Data!$H$2*(1-BJ507)*(1-BJ507/Data!$H$3)*BN507</f>
        <v>#DIV/0!</v>
      </c>
      <c r="BR507" t="e">
        <f t="shared" si="324"/>
        <v>#DIV/0!</v>
      </c>
      <c r="BS507">
        <f t="shared" si="325"/>
        <v>0</v>
      </c>
      <c r="BT507">
        <f t="shared" si="326"/>
        <v>0</v>
      </c>
      <c r="BU507">
        <f t="shared" si="327"/>
        <v>0</v>
      </c>
      <c r="BV507">
        <f t="shared" si="343"/>
        <v>0</v>
      </c>
      <c r="BW507">
        <f t="shared" si="336"/>
        <v>0</v>
      </c>
      <c r="BX507" t="str">
        <f t="shared" si="337"/>
        <v/>
      </c>
      <c r="BY507" s="66" t="str">
        <f t="shared" si="328"/>
        <v/>
      </c>
      <c r="BZ507" t="str">
        <f t="shared" si="329"/>
        <v/>
      </c>
      <c r="CA507" s="67" t="str">
        <f t="shared" si="344"/>
        <v/>
      </c>
    </row>
    <row r="508" spans="4:79" x14ac:dyDescent="0.25">
      <c r="D508" s="3" t="e">
        <f t="shared" si="340"/>
        <v>#DIV/0!</v>
      </c>
      <c r="E508" s="3" t="e">
        <f t="shared" si="340"/>
        <v>#DIV/0!</v>
      </c>
      <c r="F508" t="str">
        <f>IF(A508&gt;0,IF(F507=1,1,IF(B508=Data!$H$4,1,0)),"")</f>
        <v/>
      </c>
      <c r="AA508" t="e">
        <f t="shared" si="341"/>
        <v>#VALUE!</v>
      </c>
      <c r="AE508" t="str">
        <f t="shared" si="342"/>
        <v/>
      </c>
      <c r="AK508" s="4">
        <f t="shared" si="338"/>
        <v>69.900000000000219</v>
      </c>
      <c r="AL508">
        <f t="shared" si="330"/>
        <v>5389.0000000000264</v>
      </c>
      <c r="AM508">
        <f t="shared" si="331"/>
        <v>1150.2166666666619</v>
      </c>
      <c r="AN508">
        <f>IF($AK507+$AK$1&lt;=Data!$H$4-0.5,AVERAGE(AM506:AM510),AN507)</f>
        <v>1161.2999999999945</v>
      </c>
      <c r="AO508">
        <f t="shared" si="332"/>
        <v>5416.9999999999654</v>
      </c>
      <c r="AP508">
        <f t="shared" si="339"/>
        <v>1151.4999999999989</v>
      </c>
      <c r="AQ508">
        <f>IF($AK507+$AK$1&lt;=Data!$H$4-0.5,AVERAGE(AP506:AP510),AQ507)</f>
        <v>1153.9999999999989</v>
      </c>
      <c r="AR508">
        <f>IF($AK507+$AK$1&lt;=Data!$H$4-0.5,SLOPE($AN504:$AN512,$AK504:$AK512),AR507)</f>
        <v>-11.349999999999836</v>
      </c>
      <c r="AS508">
        <f>IF($AK507+$AK$1&lt;=Data!$H$4-0.5,SLOPE($AQ504:$AQ512,$AK504:$AK512),AS507)</f>
        <v>-2.7999999999992418</v>
      </c>
      <c r="AT508" t="str">
        <f>IF(AND($AK508&gt;=Results!$G$13,$AK508&lt;=Results!$G$14),Curves!AR508,"")</f>
        <v/>
      </c>
      <c r="AU508" t="str">
        <f>IF(AND($AK508&gt;=Results!$G$13,$AK508&lt;=Results!$G$14),Curves!AS508,"")</f>
        <v/>
      </c>
      <c r="AV508" t="str">
        <f t="shared" si="333"/>
        <v/>
      </c>
      <c r="AW508" t="str">
        <f>IF(AND($AK508&lt;=Results!$I$21,$AK508&gt;=Results!$I$20,$AK508&lt;=Results!$F$4),$AN508,"")</f>
        <v/>
      </c>
      <c r="AX508">
        <f t="shared" si="333"/>
        <v>69.900000000000219</v>
      </c>
      <c r="AY508">
        <f>IF(AND($AK508&lt;=Results!$I$23,$AK508&gt;=Results!$I$22,$AK508&gt;=Results!$F$4),$AN508,"")</f>
        <v>1161.2999999999945</v>
      </c>
      <c r="AZ508" t="str">
        <f t="shared" si="312"/>
        <v/>
      </c>
      <c r="BA508" t="str">
        <f>IF(AND($AK508&lt;=Results!$I$27,$AK508&gt;=Results!$I$26,$AK508&lt;=Results!$F$4),$AQ508,"")</f>
        <v/>
      </c>
      <c r="BB508">
        <f t="shared" si="313"/>
        <v>69.900000000000219</v>
      </c>
      <c r="BC508">
        <f>IF(AND($AK508&lt;=Results!$I$29,$AK508&gt;=Results!$I$28,$AK508&gt;=Results!$F$4),$AQ508,"")</f>
        <v>1153.9999999999989</v>
      </c>
      <c r="BD508">
        <f t="shared" si="314"/>
        <v>7230.8615572627841</v>
      </c>
      <c r="BE508">
        <f t="shared" si="315"/>
        <v>1157.2724856653044</v>
      </c>
      <c r="BF508">
        <f t="shared" si="316"/>
        <v>8089.5503654261838</v>
      </c>
      <c r="BG508">
        <f t="shared" si="317"/>
        <v>1153.781166473542</v>
      </c>
      <c r="BH508">
        <f t="shared" si="318"/>
        <v>0</v>
      </c>
      <c r="BI508">
        <f t="shared" si="319"/>
        <v>6.6311933310159166E-4</v>
      </c>
      <c r="BJ508">
        <f t="shared" si="320"/>
        <v>3.1551442987831635E-5</v>
      </c>
      <c r="BK508" t="e">
        <f t="shared" si="321"/>
        <v>#DIV/0!</v>
      </c>
      <c r="BL508" t="e">
        <f t="shared" si="322"/>
        <v>#DIV/0!</v>
      </c>
      <c r="BM508" t="e">
        <f t="shared" si="334"/>
        <v>#DIV/0!</v>
      </c>
      <c r="BN508" t="e">
        <f t="shared" si="335"/>
        <v>#DIV/0!</v>
      </c>
      <c r="BO508" t="e">
        <f>Data!$H$2*(1-BI508)*(1-BI508/Data!$H$3)*BM508</f>
        <v>#DIV/0!</v>
      </c>
      <c r="BP508" t="e">
        <f t="shared" si="323"/>
        <v>#DIV/0!</v>
      </c>
      <c r="BQ508" t="e">
        <f>Data!$H$2*(1-BJ508)*(1-BJ508/Data!$H$3)*BN508</f>
        <v>#DIV/0!</v>
      </c>
      <c r="BR508" t="e">
        <f t="shared" si="324"/>
        <v>#DIV/0!</v>
      </c>
      <c r="BS508">
        <f t="shared" si="325"/>
        <v>0</v>
      </c>
      <c r="BT508">
        <f t="shared" si="326"/>
        <v>0</v>
      </c>
      <c r="BU508">
        <f t="shared" si="327"/>
        <v>0</v>
      </c>
      <c r="BV508">
        <f t="shared" si="343"/>
        <v>0</v>
      </c>
      <c r="BW508">
        <f t="shared" si="336"/>
        <v>0</v>
      </c>
      <c r="BX508" t="str">
        <f t="shared" si="337"/>
        <v/>
      </c>
      <c r="BY508" s="66" t="str">
        <f t="shared" si="328"/>
        <v/>
      </c>
      <c r="BZ508" t="str">
        <f t="shared" si="329"/>
        <v/>
      </c>
      <c r="CA508" s="67" t="str">
        <f t="shared" si="344"/>
        <v/>
      </c>
    </row>
    <row r="509" spans="4:79" x14ac:dyDescent="0.25">
      <c r="D509" s="3" t="e">
        <f t="shared" si="340"/>
        <v>#DIV/0!</v>
      </c>
      <c r="E509" s="3" t="e">
        <f t="shared" si="340"/>
        <v>#DIV/0!</v>
      </c>
      <c r="F509" t="str">
        <f>IF(A509&gt;0,IF(F508=1,1,IF(B509=Data!$H$4,1,0)),"")</f>
        <v/>
      </c>
      <c r="AA509" t="e">
        <f t="shared" si="341"/>
        <v>#VALUE!</v>
      </c>
      <c r="AE509" t="str">
        <f t="shared" si="342"/>
        <v/>
      </c>
      <c r="AK509" s="4">
        <f t="shared" si="338"/>
        <v>69.900000000000219</v>
      </c>
      <c r="AL509">
        <f t="shared" si="330"/>
        <v>5389.0000000000264</v>
      </c>
      <c r="AM509">
        <f t="shared" si="331"/>
        <v>1150.2166666666619</v>
      </c>
      <c r="AN509">
        <f>IF($AK508+$AK$1&lt;=Data!$H$4-0.5,AVERAGE(AM507:AM511),AN508)</f>
        <v>1161.2999999999945</v>
      </c>
      <c r="AO509">
        <f t="shared" si="332"/>
        <v>5416.9999999999654</v>
      </c>
      <c r="AP509">
        <f t="shared" si="339"/>
        <v>1151.4999999999989</v>
      </c>
      <c r="AQ509">
        <f>IF($AK508+$AK$1&lt;=Data!$H$4-0.5,AVERAGE(AP507:AP511),AQ508)</f>
        <v>1153.9999999999989</v>
      </c>
      <c r="AR509">
        <f>IF($AK508+$AK$1&lt;=Data!$H$4-0.5,SLOPE($AN505:$AN513,$AK505:$AK513),AR508)</f>
        <v>-11.349999999999836</v>
      </c>
      <c r="AS509">
        <f>IF($AK508+$AK$1&lt;=Data!$H$4-0.5,SLOPE($AQ505:$AQ513,$AK505:$AK513),AS508)</f>
        <v>-2.7999999999992418</v>
      </c>
      <c r="AT509" t="str">
        <f>IF(AND($AK509&gt;=Results!$G$13,$AK509&lt;=Results!$G$14),Curves!AR509,"")</f>
        <v/>
      </c>
      <c r="AU509" t="str">
        <f>IF(AND($AK509&gt;=Results!$G$13,$AK509&lt;=Results!$G$14),Curves!AS509,"")</f>
        <v/>
      </c>
      <c r="AV509" t="str">
        <f t="shared" si="333"/>
        <v/>
      </c>
      <c r="AW509" t="str">
        <f>IF(AND($AK509&lt;=Results!$I$21,$AK509&gt;=Results!$I$20,$AK509&lt;=Results!$F$4),$AN509,"")</f>
        <v/>
      </c>
      <c r="AX509">
        <f t="shared" si="333"/>
        <v>69.900000000000219</v>
      </c>
      <c r="AY509">
        <f>IF(AND($AK509&lt;=Results!$I$23,$AK509&gt;=Results!$I$22,$AK509&gt;=Results!$F$4),$AN509,"")</f>
        <v>1161.2999999999945</v>
      </c>
      <c r="AZ509" t="str">
        <f t="shared" si="312"/>
        <v/>
      </c>
      <c r="BA509" t="str">
        <f>IF(AND($AK509&lt;=Results!$I$27,$AK509&gt;=Results!$I$26,$AK509&lt;=Results!$F$4),$AQ509,"")</f>
        <v/>
      </c>
      <c r="BB509">
        <f t="shared" si="313"/>
        <v>69.900000000000219</v>
      </c>
      <c r="BC509">
        <f>IF(AND($AK509&lt;=Results!$I$29,$AK509&gt;=Results!$I$28,$AK509&gt;=Results!$F$4),$AQ509,"")</f>
        <v>1153.9999999999989</v>
      </c>
      <c r="BD509">
        <f t="shared" si="314"/>
        <v>7230.8615572627841</v>
      </c>
      <c r="BE509">
        <f t="shared" si="315"/>
        <v>1157.2724856653044</v>
      </c>
      <c r="BF509">
        <f t="shared" si="316"/>
        <v>8089.5503654261838</v>
      </c>
      <c r="BG509">
        <f t="shared" si="317"/>
        <v>1153.781166473542</v>
      </c>
      <c r="BH509">
        <f t="shared" si="318"/>
        <v>0</v>
      </c>
      <c r="BI509">
        <f t="shared" si="319"/>
        <v>6.6311933310159166E-4</v>
      </c>
      <c r="BJ509">
        <f t="shared" si="320"/>
        <v>3.1551442987831635E-5</v>
      </c>
      <c r="BK509" t="e">
        <f t="shared" si="321"/>
        <v>#DIV/0!</v>
      </c>
      <c r="BL509" t="e">
        <f t="shared" si="322"/>
        <v>#DIV/0!</v>
      </c>
      <c r="BM509" t="e">
        <f t="shared" si="334"/>
        <v>#DIV/0!</v>
      </c>
      <c r="BN509" t="e">
        <f t="shared" si="335"/>
        <v>#DIV/0!</v>
      </c>
      <c r="BO509" t="e">
        <f>Data!$H$2*(1-BI509)*(1-BI509/Data!$H$3)*BM509</f>
        <v>#DIV/0!</v>
      </c>
      <c r="BP509" t="e">
        <f t="shared" si="323"/>
        <v>#DIV/0!</v>
      </c>
      <c r="BQ509" t="e">
        <f>Data!$H$2*(1-BJ509)*(1-BJ509/Data!$H$3)*BN509</f>
        <v>#DIV/0!</v>
      </c>
      <c r="BR509" t="e">
        <f t="shared" si="324"/>
        <v>#DIV/0!</v>
      </c>
      <c r="BS509">
        <f t="shared" si="325"/>
        <v>0</v>
      </c>
      <c r="BT509">
        <f t="shared" si="326"/>
        <v>0</v>
      </c>
      <c r="BU509">
        <f t="shared" si="327"/>
        <v>0</v>
      </c>
      <c r="BV509">
        <f t="shared" si="343"/>
        <v>0</v>
      </c>
      <c r="BW509">
        <f t="shared" si="336"/>
        <v>0</v>
      </c>
      <c r="BX509" t="str">
        <f t="shared" si="337"/>
        <v/>
      </c>
      <c r="BY509" s="66" t="str">
        <f t="shared" si="328"/>
        <v/>
      </c>
      <c r="BZ509" t="str">
        <f t="shared" si="329"/>
        <v/>
      </c>
      <c r="CA509" s="67" t="str">
        <f t="shared" si="344"/>
        <v/>
      </c>
    </row>
    <row r="510" spans="4:79" x14ac:dyDescent="0.25">
      <c r="D510" s="3" t="e">
        <f t="shared" si="340"/>
        <v>#DIV/0!</v>
      </c>
      <c r="E510" s="3" t="e">
        <f t="shared" si="340"/>
        <v>#DIV/0!</v>
      </c>
      <c r="F510" t="str">
        <f>IF(A510&gt;0,IF(F509=1,1,IF(B510=Data!$H$4,1,0)),"")</f>
        <v/>
      </c>
      <c r="AA510" t="e">
        <f t="shared" si="341"/>
        <v>#VALUE!</v>
      </c>
      <c r="AE510" t="str">
        <f t="shared" si="342"/>
        <v/>
      </c>
      <c r="AK510" s="4">
        <f t="shared" si="338"/>
        <v>69.900000000000219</v>
      </c>
      <c r="AL510">
        <f t="shared" si="330"/>
        <v>5389.0000000000264</v>
      </c>
      <c r="AM510">
        <f t="shared" si="331"/>
        <v>1150.2166666666619</v>
      </c>
      <c r="AN510">
        <f>IF($AK509+$AK$1&lt;=Data!$H$4-0.5,AVERAGE(AM508:AM512),AN509)</f>
        <v>1161.2999999999945</v>
      </c>
      <c r="AO510">
        <f t="shared" si="332"/>
        <v>5416.9999999999654</v>
      </c>
      <c r="AP510">
        <f t="shared" si="339"/>
        <v>1151.4999999999989</v>
      </c>
      <c r="AQ510">
        <f>IF($AK509+$AK$1&lt;=Data!$H$4-0.5,AVERAGE(AP508:AP512),AQ509)</f>
        <v>1153.9999999999989</v>
      </c>
      <c r="AR510">
        <f>IF($AK509+$AK$1&lt;=Data!$H$4-0.5,SLOPE($AN506:$AN514,$AK506:$AK514),AR509)</f>
        <v>-11.349999999999836</v>
      </c>
      <c r="AS510">
        <f>IF($AK509+$AK$1&lt;=Data!$H$4-0.5,SLOPE($AQ506:$AQ514,$AK506:$AK514),AS509)</f>
        <v>-2.7999999999992418</v>
      </c>
      <c r="AT510" t="str">
        <f>IF(AND($AK510&gt;=Results!$G$13,$AK510&lt;=Results!$G$14),Curves!AR510,"")</f>
        <v/>
      </c>
      <c r="AU510" t="str">
        <f>IF(AND($AK510&gt;=Results!$G$13,$AK510&lt;=Results!$G$14),Curves!AS510,"")</f>
        <v/>
      </c>
      <c r="AV510" t="str">
        <f t="shared" si="333"/>
        <v/>
      </c>
      <c r="AW510" t="str">
        <f>IF(AND($AK510&lt;=Results!$I$21,$AK510&gt;=Results!$I$20,$AK510&lt;=Results!$F$4),$AN510,"")</f>
        <v/>
      </c>
      <c r="AX510">
        <f t="shared" si="333"/>
        <v>69.900000000000219</v>
      </c>
      <c r="AY510">
        <f>IF(AND($AK510&lt;=Results!$I$23,$AK510&gt;=Results!$I$22,$AK510&gt;=Results!$F$4),$AN510,"")</f>
        <v>1161.2999999999945</v>
      </c>
      <c r="AZ510" t="str">
        <f t="shared" si="312"/>
        <v/>
      </c>
      <c r="BA510" t="str">
        <f>IF(AND($AK510&lt;=Results!$I$27,$AK510&gt;=Results!$I$26,$AK510&lt;=Results!$F$4),$AQ510,"")</f>
        <v/>
      </c>
      <c r="BB510">
        <f t="shared" si="313"/>
        <v>69.900000000000219</v>
      </c>
      <c r="BC510">
        <f>IF(AND($AK510&lt;=Results!$I$29,$AK510&gt;=Results!$I$28,$AK510&gt;=Results!$F$4),$AQ510,"")</f>
        <v>1153.9999999999989</v>
      </c>
      <c r="BD510">
        <f t="shared" si="314"/>
        <v>7230.8615572627841</v>
      </c>
      <c r="BE510">
        <f t="shared" si="315"/>
        <v>1157.2724856653044</v>
      </c>
      <c r="BF510">
        <f t="shared" si="316"/>
        <v>8089.5503654261838</v>
      </c>
      <c r="BG510">
        <f t="shared" si="317"/>
        <v>1153.781166473542</v>
      </c>
      <c r="BH510">
        <f t="shared" si="318"/>
        <v>0</v>
      </c>
      <c r="BI510">
        <f t="shared" si="319"/>
        <v>6.6311933310159166E-4</v>
      </c>
      <c r="BJ510">
        <f t="shared" si="320"/>
        <v>3.1551442987831635E-5</v>
      </c>
      <c r="BK510" t="e">
        <f t="shared" si="321"/>
        <v>#DIV/0!</v>
      </c>
      <c r="BL510" t="e">
        <f t="shared" si="322"/>
        <v>#DIV/0!</v>
      </c>
      <c r="BM510" t="e">
        <f t="shared" si="334"/>
        <v>#DIV/0!</v>
      </c>
      <c r="BN510" t="e">
        <f t="shared" si="335"/>
        <v>#DIV/0!</v>
      </c>
      <c r="BO510" t="e">
        <f>Data!$H$2*(1-BI510)*(1-BI510/Data!$H$3)*BM510</f>
        <v>#DIV/0!</v>
      </c>
      <c r="BP510" t="e">
        <f t="shared" si="323"/>
        <v>#DIV/0!</v>
      </c>
      <c r="BQ510" t="e">
        <f>Data!$H$2*(1-BJ510)*(1-BJ510/Data!$H$3)*BN510</f>
        <v>#DIV/0!</v>
      </c>
      <c r="BR510" t="e">
        <f t="shared" si="324"/>
        <v>#DIV/0!</v>
      </c>
      <c r="BS510">
        <f t="shared" si="325"/>
        <v>0</v>
      </c>
      <c r="BT510">
        <f t="shared" si="326"/>
        <v>0</v>
      </c>
      <c r="BU510">
        <f t="shared" si="327"/>
        <v>0</v>
      </c>
      <c r="BV510">
        <f t="shared" si="343"/>
        <v>0</v>
      </c>
      <c r="BW510">
        <f t="shared" si="336"/>
        <v>0</v>
      </c>
      <c r="BX510" t="str">
        <f t="shared" si="337"/>
        <v/>
      </c>
      <c r="BY510" s="66" t="str">
        <f t="shared" si="328"/>
        <v/>
      </c>
      <c r="BZ510" t="str">
        <f t="shared" si="329"/>
        <v/>
      </c>
      <c r="CA510" s="67" t="str">
        <f t="shared" si="344"/>
        <v/>
      </c>
    </row>
    <row r="511" spans="4:79" x14ac:dyDescent="0.25">
      <c r="D511" s="3" t="e">
        <f t="shared" si="340"/>
        <v>#DIV/0!</v>
      </c>
      <c r="E511" s="3" t="e">
        <f t="shared" si="340"/>
        <v>#DIV/0!</v>
      </c>
      <c r="F511" t="str">
        <f>IF(A511&gt;0,IF(F510=1,1,IF(B511=Data!$H$4,1,0)),"")</f>
        <v/>
      </c>
      <c r="AA511" t="e">
        <f t="shared" si="341"/>
        <v>#VALUE!</v>
      </c>
      <c r="AE511" t="str">
        <f t="shared" si="342"/>
        <v/>
      </c>
      <c r="AK511" s="4">
        <f t="shared" si="338"/>
        <v>69.900000000000219</v>
      </c>
      <c r="AL511">
        <f t="shared" si="330"/>
        <v>5389.0000000000264</v>
      </c>
      <c r="AM511">
        <f t="shared" si="331"/>
        <v>1150.2166666666619</v>
      </c>
      <c r="AN511">
        <f>IF($AK510+$AK$1&lt;=Data!$H$4-0.5,AVERAGE(AM509:AM513),AN510)</f>
        <v>1161.2999999999945</v>
      </c>
      <c r="AO511">
        <f t="shared" si="332"/>
        <v>5416.9999999999654</v>
      </c>
      <c r="AP511">
        <f t="shared" si="339"/>
        <v>1151.4999999999989</v>
      </c>
      <c r="AQ511">
        <f>IF($AK510+$AK$1&lt;=Data!$H$4-0.5,AVERAGE(AP509:AP513),AQ510)</f>
        <v>1153.9999999999989</v>
      </c>
      <c r="AR511">
        <f>IF($AK510+$AK$1&lt;=Data!$H$4-0.5,SLOPE($AN507:$AN515,$AK507:$AK515),AR510)</f>
        <v>-11.349999999999836</v>
      </c>
      <c r="AS511">
        <f>IF($AK510+$AK$1&lt;=Data!$H$4-0.5,SLOPE($AQ507:$AQ515,$AK507:$AK515),AS510)</f>
        <v>-2.7999999999992418</v>
      </c>
      <c r="AT511" t="str">
        <f>IF(AND($AK511&gt;=Results!$G$13,$AK511&lt;=Results!$G$14),Curves!AR511,"")</f>
        <v/>
      </c>
      <c r="AU511" t="str">
        <f>IF(AND($AK511&gt;=Results!$G$13,$AK511&lt;=Results!$G$14),Curves!AS511,"")</f>
        <v/>
      </c>
      <c r="AV511" t="str">
        <f t="shared" si="333"/>
        <v/>
      </c>
      <c r="AW511" t="str">
        <f>IF(AND($AK511&lt;=Results!$I$21,$AK511&gt;=Results!$I$20,$AK511&lt;=Results!$F$4),$AN511,"")</f>
        <v/>
      </c>
      <c r="AX511">
        <f t="shared" si="333"/>
        <v>69.900000000000219</v>
      </c>
      <c r="AY511">
        <f>IF(AND($AK511&lt;=Results!$I$23,$AK511&gt;=Results!$I$22,$AK511&gt;=Results!$F$4),$AN511,"")</f>
        <v>1161.2999999999945</v>
      </c>
      <c r="AZ511" t="str">
        <f t="shared" si="312"/>
        <v/>
      </c>
      <c r="BA511" t="str">
        <f>IF(AND($AK511&lt;=Results!$I$27,$AK511&gt;=Results!$I$26,$AK511&lt;=Results!$F$4),$AQ511,"")</f>
        <v/>
      </c>
      <c r="BB511">
        <f t="shared" si="313"/>
        <v>69.900000000000219</v>
      </c>
      <c r="BC511">
        <f>IF(AND($AK511&lt;=Results!$I$29,$AK511&gt;=Results!$I$28,$AK511&gt;=Results!$F$4),$AQ511,"")</f>
        <v>1153.9999999999989</v>
      </c>
      <c r="BD511">
        <f t="shared" si="314"/>
        <v>7230.8615572627841</v>
      </c>
      <c r="BE511">
        <f t="shared" si="315"/>
        <v>1157.2724856653044</v>
      </c>
      <c r="BF511">
        <f t="shared" si="316"/>
        <v>8089.5503654261838</v>
      </c>
      <c r="BG511">
        <f t="shared" si="317"/>
        <v>1153.781166473542</v>
      </c>
      <c r="BH511">
        <f t="shared" si="318"/>
        <v>0</v>
      </c>
      <c r="BI511">
        <f t="shared" si="319"/>
        <v>6.6311933310159166E-4</v>
      </c>
      <c r="BJ511">
        <f t="shared" si="320"/>
        <v>3.1551442987831635E-5</v>
      </c>
      <c r="BK511" t="e">
        <f t="shared" si="321"/>
        <v>#DIV/0!</v>
      </c>
      <c r="BL511" t="e">
        <f t="shared" si="322"/>
        <v>#DIV/0!</v>
      </c>
      <c r="BM511" t="e">
        <f t="shared" si="334"/>
        <v>#DIV/0!</v>
      </c>
      <c r="BN511" t="e">
        <f t="shared" si="335"/>
        <v>#DIV/0!</v>
      </c>
      <c r="BO511" t="e">
        <f>Data!$H$2*(1-BI511)*(1-BI511/Data!$H$3)*BM511</f>
        <v>#DIV/0!</v>
      </c>
      <c r="BP511" t="e">
        <f t="shared" si="323"/>
        <v>#DIV/0!</v>
      </c>
      <c r="BQ511" t="e">
        <f>Data!$H$2*(1-BJ511)*(1-BJ511/Data!$H$3)*BN511</f>
        <v>#DIV/0!</v>
      </c>
      <c r="BR511" t="e">
        <f t="shared" si="324"/>
        <v>#DIV/0!</v>
      </c>
      <c r="BS511">
        <f t="shared" si="325"/>
        <v>0</v>
      </c>
      <c r="BT511">
        <f t="shared" si="326"/>
        <v>0</v>
      </c>
      <c r="BU511">
        <f t="shared" si="327"/>
        <v>0</v>
      </c>
      <c r="BV511">
        <f t="shared" si="343"/>
        <v>0</v>
      </c>
      <c r="BW511">
        <f t="shared" si="336"/>
        <v>0</v>
      </c>
      <c r="BX511" t="str">
        <f t="shared" si="337"/>
        <v/>
      </c>
      <c r="BY511" s="66" t="str">
        <f t="shared" si="328"/>
        <v/>
      </c>
      <c r="BZ511" t="str">
        <f t="shared" si="329"/>
        <v/>
      </c>
      <c r="CA511" s="67" t="str">
        <f t="shared" si="344"/>
        <v/>
      </c>
    </row>
    <row r="512" spans="4:79" ht="13" thickBot="1" x14ac:dyDescent="0.3">
      <c r="D512" s="3" t="e">
        <f t="shared" si="340"/>
        <v>#DIV/0!</v>
      </c>
      <c r="E512" s="3" t="e">
        <f t="shared" si="340"/>
        <v>#DIV/0!</v>
      </c>
      <c r="F512" t="str">
        <f>IF(A512&gt;0,IF(F511=1,1,IF(B512=Data!$H$4,1,0)),"")</f>
        <v/>
      </c>
      <c r="AA512" t="e">
        <f t="shared" si="341"/>
        <v>#VALUE!</v>
      </c>
      <c r="AE512" t="str">
        <f t="shared" si="342"/>
        <v/>
      </c>
      <c r="AK512" s="4">
        <f t="shared" si="338"/>
        <v>69.900000000000219</v>
      </c>
      <c r="AL512">
        <f t="shared" si="330"/>
        <v>5389.0000000000264</v>
      </c>
      <c r="AM512">
        <f t="shared" si="331"/>
        <v>1150.2166666666619</v>
      </c>
      <c r="AN512">
        <f>IF($AK511+$AK$1&lt;=Data!$H$4-0.5,AVERAGE(AM510:AM514),AN511)</f>
        <v>1161.2999999999945</v>
      </c>
      <c r="AO512">
        <f t="shared" si="332"/>
        <v>5416.9999999999654</v>
      </c>
      <c r="AP512">
        <f t="shared" si="339"/>
        <v>1151.4999999999989</v>
      </c>
      <c r="AQ512">
        <f>IF($AK511+$AK$1&lt;=Data!$H$4-0.5,AVERAGE(AP510:AP514),AQ511)</f>
        <v>1153.9999999999989</v>
      </c>
      <c r="AR512">
        <f>IF($AK511+$AK$1&lt;=Data!$H$4-0.5,SLOPE($AN508:$AN516,$AK508:$AK516),AR511)</f>
        <v>-11.349999999999836</v>
      </c>
      <c r="AS512">
        <f>IF($AK511+$AK$1&lt;=Data!$H$4-0.5,SLOPE($AQ508:$AQ516,$AK508:$AK516),AS511)</f>
        <v>-2.7999999999992418</v>
      </c>
      <c r="AT512" t="str">
        <f>IF(AND($AK512&gt;=Results!$G$13,$AK512&lt;=Results!$G$14),Curves!AR512,"")</f>
        <v/>
      </c>
      <c r="AU512" t="str">
        <f>IF(AND($AK512&gt;=Results!$G$13,$AK512&lt;=Results!$G$14),Curves!AS512,"")</f>
        <v/>
      </c>
      <c r="AV512" s="69" t="str">
        <f t="shared" si="333"/>
        <v/>
      </c>
      <c r="AW512" t="str">
        <f>IF(AND($AK512&lt;=Results!$I$21,$AK512&gt;=Results!$I$20,$AK512&lt;=Results!$F$4),$AN512,"")</f>
        <v/>
      </c>
      <c r="AX512" s="69">
        <f t="shared" si="333"/>
        <v>69.900000000000219</v>
      </c>
      <c r="AY512">
        <f>IF(AND($AK512&lt;=Results!$I$23,$AK512&gt;=Results!$I$22,$AK512&gt;=Results!$F$4),$AN512,"")</f>
        <v>1161.2999999999945</v>
      </c>
      <c r="AZ512" s="69" t="str">
        <f t="shared" si="312"/>
        <v/>
      </c>
      <c r="BA512" t="str">
        <f>IF(AND($AK512&lt;=Results!$I$27,$AK512&gt;=Results!$I$26,$AK512&lt;=Results!$F$4),$AQ512,"")</f>
        <v/>
      </c>
      <c r="BB512" s="69">
        <f t="shared" si="313"/>
        <v>69.900000000000219</v>
      </c>
      <c r="BC512">
        <f>IF(AND($AK512&lt;=Results!$I$29,$AK512&gt;=Results!$I$28,$AK512&gt;=Results!$F$4),$AQ512,"")</f>
        <v>1153.9999999999989</v>
      </c>
      <c r="BD512">
        <f t="shared" si="314"/>
        <v>7230.8615572627841</v>
      </c>
      <c r="BE512">
        <f t="shared" si="315"/>
        <v>1157.2724856653044</v>
      </c>
      <c r="BF512">
        <f t="shared" si="316"/>
        <v>8089.5503654261838</v>
      </c>
      <c r="BG512">
        <f t="shared" si="317"/>
        <v>1153.781166473542</v>
      </c>
      <c r="BH512">
        <f t="shared" si="318"/>
        <v>0</v>
      </c>
      <c r="BI512">
        <f t="shared" si="319"/>
        <v>6.6311933310159166E-4</v>
      </c>
      <c r="BJ512">
        <f t="shared" si="320"/>
        <v>3.1551442987831635E-5</v>
      </c>
      <c r="BK512" t="e">
        <f t="shared" si="321"/>
        <v>#DIV/0!</v>
      </c>
      <c r="BL512" t="e">
        <f t="shared" si="322"/>
        <v>#DIV/0!</v>
      </c>
      <c r="BM512" t="e">
        <f t="shared" si="334"/>
        <v>#DIV/0!</v>
      </c>
      <c r="BN512" t="e">
        <f t="shared" si="335"/>
        <v>#DIV/0!</v>
      </c>
      <c r="BO512" t="e">
        <f>Data!$H$2*(1-BI512)*(1-BI512/Data!$H$3)*BM512</f>
        <v>#DIV/0!</v>
      </c>
      <c r="BP512" t="e">
        <f t="shared" si="323"/>
        <v>#DIV/0!</v>
      </c>
      <c r="BQ512" t="e">
        <f>Data!$H$2*(1-BJ512)*(1-BJ512/Data!$H$3)*BN512</f>
        <v>#DIV/0!</v>
      </c>
      <c r="BR512" t="e">
        <f t="shared" si="324"/>
        <v>#DIV/0!</v>
      </c>
      <c r="BS512">
        <f t="shared" si="325"/>
        <v>0</v>
      </c>
      <c r="BT512">
        <f t="shared" si="326"/>
        <v>0</v>
      </c>
      <c r="BU512">
        <f t="shared" si="327"/>
        <v>0</v>
      </c>
      <c r="BV512">
        <f t="shared" si="343"/>
        <v>0</v>
      </c>
      <c r="BW512">
        <f t="shared" si="336"/>
        <v>0</v>
      </c>
      <c r="BX512" t="str">
        <f t="shared" si="337"/>
        <v/>
      </c>
      <c r="BY512" s="68" t="str">
        <f t="shared" si="328"/>
        <v/>
      </c>
      <c r="BZ512" s="69" t="str">
        <f t="shared" si="329"/>
        <v/>
      </c>
      <c r="CA512" s="70" t="str">
        <f t="shared" si="344"/>
        <v/>
      </c>
    </row>
    <row r="513" spans="4:79" x14ac:dyDescent="0.25">
      <c r="D513" s="3" t="e">
        <f t="shared" si="340"/>
        <v>#DIV/0!</v>
      </c>
      <c r="E513" s="3" t="e">
        <f t="shared" si="340"/>
        <v>#DIV/0!</v>
      </c>
      <c r="F513" t="str">
        <f>IF(A513&gt;0,IF(F512=1,1,IF(B513=Data!$H$4,1,0)),"")</f>
        <v/>
      </c>
      <c r="AA513" t="e">
        <f t="shared" si="341"/>
        <v>#VALUE!</v>
      </c>
      <c r="AE513" t="str">
        <f t="shared" si="342"/>
        <v/>
      </c>
      <c r="AK513" s="4"/>
      <c r="AL513" s="4"/>
      <c r="AU513" t="s">
        <v>142</v>
      </c>
      <c r="AV513">
        <f>SUM(AW2:AW512)</f>
        <v>498593.80666666524</v>
      </c>
      <c r="AX513">
        <f>SUM(AY2:AY512)</f>
        <v>119470.83666666537</v>
      </c>
      <c r="AZ513">
        <f>SUM(BA2:BA512)</f>
        <v>522757.47999999928</v>
      </c>
      <c r="BB513">
        <f>SUM(BC2:BC512)</f>
        <v>93560.926666666623</v>
      </c>
      <c r="BZ513" t="str">
        <f t="shared" si="329"/>
        <v/>
      </c>
      <c r="CA513" t="str">
        <f t="shared" si="344"/>
        <v/>
      </c>
    </row>
    <row r="514" spans="4:79" x14ac:dyDescent="0.25">
      <c r="AA514" t="e">
        <f t="shared" si="341"/>
        <v>#VALUE!</v>
      </c>
      <c r="AE514" t="str">
        <f t="shared" si="342"/>
        <v/>
      </c>
      <c r="AK514" s="4"/>
      <c r="AL514" s="4"/>
      <c r="AV514" t="s">
        <v>143</v>
      </c>
      <c r="BZ514" t="str">
        <f t="shared" ref="BZ514:BZ577" si="345">IF(BU514=0,"",BV514)</f>
        <v/>
      </c>
      <c r="CA514" t="str">
        <f t="shared" si="344"/>
        <v/>
      </c>
    </row>
    <row r="515" spans="4:79" x14ac:dyDescent="0.25">
      <c r="AA515" t="e">
        <f t="shared" si="341"/>
        <v>#VALUE!</v>
      </c>
      <c r="AE515" t="str">
        <f t="shared" si="342"/>
        <v/>
      </c>
      <c r="AK515" s="4"/>
      <c r="AL515" s="4"/>
      <c r="BZ515" t="str">
        <f t="shared" si="345"/>
        <v/>
      </c>
      <c r="CA515" t="str">
        <f t="shared" si="344"/>
        <v/>
      </c>
    </row>
    <row r="516" spans="4:79" x14ac:dyDescent="0.25">
      <c r="AA516" t="e">
        <f t="shared" si="341"/>
        <v>#VALUE!</v>
      </c>
      <c r="AE516" t="str">
        <f t="shared" si="342"/>
        <v/>
      </c>
      <c r="AK516" s="4"/>
      <c r="AL516" s="4"/>
      <c r="BZ516" t="str">
        <f t="shared" si="345"/>
        <v/>
      </c>
      <c r="CA516" t="str">
        <f t="shared" si="344"/>
        <v/>
      </c>
    </row>
    <row r="517" spans="4:79" x14ac:dyDescent="0.25">
      <c r="AA517" t="e">
        <f t="shared" si="341"/>
        <v>#VALUE!</v>
      </c>
      <c r="AE517" t="str">
        <f t="shared" si="342"/>
        <v/>
      </c>
      <c r="AK517" s="4"/>
      <c r="AL517" s="4"/>
      <c r="BZ517" t="str">
        <f t="shared" si="345"/>
        <v/>
      </c>
      <c r="CA517" t="str">
        <f t="shared" si="344"/>
        <v/>
      </c>
    </row>
    <row r="518" spans="4:79" x14ac:dyDescent="0.25">
      <c r="AA518" t="e">
        <f t="shared" si="341"/>
        <v>#VALUE!</v>
      </c>
      <c r="AE518" t="str">
        <f t="shared" si="342"/>
        <v/>
      </c>
      <c r="AK518" s="4"/>
      <c r="AL518" s="4"/>
      <c r="BZ518" t="str">
        <f t="shared" si="345"/>
        <v/>
      </c>
      <c r="CA518" t="str">
        <f t="shared" si="344"/>
        <v/>
      </c>
    </row>
    <row r="519" spans="4:79" x14ac:dyDescent="0.25">
      <c r="AA519" t="e">
        <f t="shared" si="341"/>
        <v>#VALUE!</v>
      </c>
      <c r="AE519" t="str">
        <f t="shared" si="342"/>
        <v/>
      </c>
      <c r="AK519" s="4"/>
      <c r="AL519" s="4"/>
      <c r="BZ519" t="str">
        <f t="shared" si="345"/>
        <v/>
      </c>
      <c r="CA519" t="str">
        <f t="shared" si="344"/>
        <v/>
      </c>
    </row>
    <row r="520" spans="4:79" x14ac:dyDescent="0.25">
      <c r="AA520" t="e">
        <f t="shared" si="341"/>
        <v>#VALUE!</v>
      </c>
      <c r="AE520" t="str">
        <f t="shared" si="342"/>
        <v/>
      </c>
      <c r="AK520" s="4"/>
      <c r="AL520" s="4"/>
      <c r="BZ520" t="str">
        <f t="shared" si="345"/>
        <v/>
      </c>
      <c r="CA520" t="str">
        <f t="shared" si="344"/>
        <v/>
      </c>
    </row>
    <row r="521" spans="4:79" x14ac:dyDescent="0.25">
      <c r="AA521" t="e">
        <f t="shared" si="341"/>
        <v>#VALUE!</v>
      </c>
      <c r="AE521" t="str">
        <f t="shared" si="342"/>
        <v/>
      </c>
      <c r="AK521" s="4"/>
      <c r="AL521" s="4"/>
      <c r="BZ521" t="str">
        <f t="shared" si="345"/>
        <v/>
      </c>
      <c r="CA521" t="str">
        <f t="shared" si="344"/>
        <v/>
      </c>
    </row>
    <row r="522" spans="4:79" x14ac:dyDescent="0.25">
      <c r="AA522" t="e">
        <f t="shared" si="341"/>
        <v>#VALUE!</v>
      </c>
      <c r="AE522" t="str">
        <f t="shared" si="342"/>
        <v/>
      </c>
      <c r="AK522" s="4"/>
      <c r="AL522" s="4"/>
      <c r="BZ522" t="str">
        <f t="shared" si="345"/>
        <v/>
      </c>
      <c r="CA522" t="str">
        <f t="shared" si="344"/>
        <v/>
      </c>
    </row>
    <row r="523" spans="4:79" x14ac:dyDescent="0.25">
      <c r="AA523" t="e">
        <f t="shared" si="341"/>
        <v>#VALUE!</v>
      </c>
      <c r="AE523" t="str">
        <f t="shared" si="342"/>
        <v/>
      </c>
      <c r="AK523" s="4"/>
      <c r="AL523" s="4"/>
      <c r="BZ523" t="str">
        <f t="shared" si="345"/>
        <v/>
      </c>
      <c r="CA523" t="str">
        <f t="shared" si="344"/>
        <v/>
      </c>
    </row>
    <row r="524" spans="4:79" x14ac:dyDescent="0.25">
      <c r="AA524" t="e">
        <f t="shared" si="341"/>
        <v>#VALUE!</v>
      </c>
      <c r="AE524" t="str">
        <f t="shared" si="342"/>
        <v/>
      </c>
      <c r="AK524" s="4"/>
      <c r="AL524" s="4"/>
      <c r="BZ524" t="str">
        <f t="shared" si="345"/>
        <v/>
      </c>
      <c r="CA524" t="str">
        <f t="shared" si="344"/>
        <v/>
      </c>
    </row>
    <row r="525" spans="4:79" x14ac:dyDescent="0.25">
      <c r="AA525" t="e">
        <f t="shared" si="341"/>
        <v>#VALUE!</v>
      </c>
      <c r="AE525" t="str">
        <f t="shared" si="342"/>
        <v/>
      </c>
      <c r="AK525" s="4"/>
      <c r="AL525" s="4"/>
      <c r="BZ525" t="str">
        <f t="shared" si="345"/>
        <v/>
      </c>
      <c r="CA525" t="str">
        <f t="shared" si="344"/>
        <v/>
      </c>
    </row>
    <row r="526" spans="4:79" x14ac:dyDescent="0.25">
      <c r="AA526" t="e">
        <f t="shared" si="341"/>
        <v>#VALUE!</v>
      </c>
      <c r="AE526" t="str">
        <f t="shared" si="342"/>
        <v/>
      </c>
      <c r="AK526" s="4"/>
      <c r="AL526" s="4"/>
      <c r="BZ526" t="str">
        <f t="shared" si="345"/>
        <v/>
      </c>
      <c r="CA526" t="str">
        <f t="shared" si="344"/>
        <v/>
      </c>
    </row>
    <row r="527" spans="4:79" x14ac:dyDescent="0.25">
      <c r="AA527" t="e">
        <f t="shared" si="341"/>
        <v>#VALUE!</v>
      </c>
      <c r="AE527" t="str">
        <f t="shared" si="342"/>
        <v/>
      </c>
      <c r="AK527" s="4"/>
      <c r="AL527" s="4"/>
      <c r="BZ527" t="str">
        <f t="shared" si="345"/>
        <v/>
      </c>
      <c r="CA527" t="str">
        <f t="shared" si="344"/>
        <v/>
      </c>
    </row>
    <row r="528" spans="4:79" x14ac:dyDescent="0.25">
      <c r="AA528" t="e">
        <f t="shared" si="341"/>
        <v>#VALUE!</v>
      </c>
      <c r="AE528" t="str">
        <f t="shared" si="342"/>
        <v/>
      </c>
      <c r="AK528" s="4"/>
      <c r="AL528" s="4"/>
      <c r="BZ528" t="str">
        <f t="shared" si="345"/>
        <v/>
      </c>
      <c r="CA528" t="str">
        <f t="shared" si="344"/>
        <v/>
      </c>
    </row>
    <row r="529" spans="27:79" x14ac:dyDescent="0.25">
      <c r="AA529" t="e">
        <f t="shared" si="341"/>
        <v>#VALUE!</v>
      </c>
      <c r="AE529" t="str">
        <f t="shared" si="342"/>
        <v/>
      </c>
      <c r="AK529" s="4"/>
      <c r="AL529" s="4"/>
      <c r="BZ529" t="str">
        <f t="shared" si="345"/>
        <v/>
      </c>
      <c r="CA529" t="str">
        <f t="shared" si="344"/>
        <v/>
      </c>
    </row>
    <row r="530" spans="27:79" x14ac:dyDescent="0.25">
      <c r="AA530" t="e">
        <f t="shared" si="341"/>
        <v>#VALUE!</v>
      </c>
      <c r="AE530" t="str">
        <f t="shared" si="342"/>
        <v/>
      </c>
      <c r="AK530" s="4"/>
      <c r="AL530" s="4"/>
      <c r="BZ530" t="str">
        <f t="shared" si="345"/>
        <v/>
      </c>
      <c r="CA530" t="str">
        <f t="shared" si="344"/>
        <v/>
      </c>
    </row>
    <row r="531" spans="27:79" x14ac:dyDescent="0.25">
      <c r="AA531" t="e">
        <f t="shared" si="341"/>
        <v>#VALUE!</v>
      </c>
      <c r="AE531" t="str">
        <f t="shared" si="342"/>
        <v/>
      </c>
      <c r="AK531" s="4"/>
      <c r="AL531" s="4"/>
      <c r="BZ531" t="str">
        <f t="shared" si="345"/>
        <v/>
      </c>
      <c r="CA531" t="str">
        <f t="shared" si="344"/>
        <v/>
      </c>
    </row>
    <row r="532" spans="27:79" x14ac:dyDescent="0.25">
      <c r="AA532" t="e">
        <f t="shared" si="341"/>
        <v>#VALUE!</v>
      </c>
      <c r="AE532" t="str">
        <f t="shared" si="342"/>
        <v/>
      </c>
      <c r="AK532" s="4"/>
      <c r="AL532" s="4"/>
      <c r="BZ532" t="str">
        <f t="shared" si="345"/>
        <v/>
      </c>
      <c r="CA532" t="str">
        <f t="shared" si="344"/>
        <v/>
      </c>
    </row>
    <row r="533" spans="27:79" x14ac:dyDescent="0.25">
      <c r="AA533" t="e">
        <f t="shared" si="341"/>
        <v>#VALUE!</v>
      </c>
      <c r="AE533" t="str">
        <f t="shared" si="342"/>
        <v/>
      </c>
      <c r="AK533" s="4"/>
      <c r="AL533" s="4"/>
      <c r="BZ533" t="str">
        <f t="shared" si="345"/>
        <v/>
      </c>
      <c r="CA533" t="str">
        <f t="shared" si="344"/>
        <v/>
      </c>
    </row>
    <row r="534" spans="27:79" x14ac:dyDescent="0.25">
      <c r="AA534" t="e">
        <f t="shared" si="341"/>
        <v>#VALUE!</v>
      </c>
      <c r="AE534" t="str">
        <f t="shared" si="342"/>
        <v/>
      </c>
      <c r="AK534" s="4"/>
      <c r="AL534" s="4"/>
      <c r="BZ534" t="str">
        <f t="shared" si="345"/>
        <v/>
      </c>
      <c r="CA534" t="str">
        <f t="shared" si="344"/>
        <v/>
      </c>
    </row>
    <row r="535" spans="27:79" x14ac:dyDescent="0.25">
      <c r="AA535" t="e">
        <f t="shared" si="341"/>
        <v>#VALUE!</v>
      </c>
      <c r="AE535" t="str">
        <f t="shared" si="342"/>
        <v/>
      </c>
      <c r="AK535" s="4"/>
      <c r="AL535" s="4"/>
      <c r="BZ535" t="str">
        <f t="shared" si="345"/>
        <v/>
      </c>
      <c r="CA535" t="str">
        <f t="shared" si="344"/>
        <v/>
      </c>
    </row>
    <row r="536" spans="27:79" x14ac:dyDescent="0.25">
      <c r="AA536" t="e">
        <f t="shared" si="341"/>
        <v>#VALUE!</v>
      </c>
      <c r="AE536" t="str">
        <f t="shared" si="342"/>
        <v/>
      </c>
      <c r="AK536" s="4"/>
      <c r="AL536" s="4"/>
      <c r="BZ536" t="str">
        <f t="shared" si="345"/>
        <v/>
      </c>
      <c r="CA536" t="str">
        <f t="shared" si="344"/>
        <v/>
      </c>
    </row>
    <row r="537" spans="27:79" x14ac:dyDescent="0.25">
      <c r="AA537" t="e">
        <f t="shared" si="341"/>
        <v>#VALUE!</v>
      </c>
      <c r="AE537" t="str">
        <f t="shared" si="342"/>
        <v/>
      </c>
      <c r="AK537" s="4"/>
      <c r="AL537" s="4"/>
      <c r="BZ537" t="str">
        <f t="shared" si="345"/>
        <v/>
      </c>
      <c r="CA537" t="str">
        <f t="shared" si="344"/>
        <v/>
      </c>
    </row>
    <row r="538" spans="27:79" x14ac:dyDescent="0.25">
      <c r="AA538" t="e">
        <f t="shared" si="341"/>
        <v>#VALUE!</v>
      </c>
      <c r="AE538" t="str">
        <f t="shared" si="342"/>
        <v/>
      </c>
      <c r="AK538" s="4"/>
      <c r="AL538" s="4"/>
      <c r="BZ538" t="str">
        <f t="shared" si="345"/>
        <v/>
      </c>
      <c r="CA538" t="str">
        <f t="shared" si="344"/>
        <v/>
      </c>
    </row>
    <row r="539" spans="27:79" x14ac:dyDescent="0.25">
      <c r="AA539" t="e">
        <f t="shared" si="341"/>
        <v>#VALUE!</v>
      </c>
      <c r="AE539" t="str">
        <f t="shared" si="342"/>
        <v/>
      </c>
      <c r="AK539" s="4"/>
      <c r="AL539" s="4"/>
      <c r="BZ539" t="str">
        <f t="shared" si="345"/>
        <v/>
      </c>
      <c r="CA539" t="str">
        <f t="shared" si="344"/>
        <v/>
      </c>
    </row>
    <row r="540" spans="27:79" x14ac:dyDescent="0.25">
      <c r="AA540" t="e">
        <f t="shared" si="341"/>
        <v>#VALUE!</v>
      </c>
      <c r="AE540" t="str">
        <f t="shared" si="342"/>
        <v/>
      </c>
      <c r="AK540" s="4"/>
      <c r="AL540" s="4"/>
      <c r="BZ540" t="str">
        <f t="shared" si="345"/>
        <v/>
      </c>
      <c r="CA540" t="str">
        <f t="shared" si="344"/>
        <v/>
      </c>
    </row>
    <row r="541" spans="27:79" x14ac:dyDescent="0.25">
      <c r="AA541" t="e">
        <f t="shared" si="341"/>
        <v>#VALUE!</v>
      </c>
      <c r="AE541" t="str">
        <f t="shared" si="342"/>
        <v/>
      </c>
      <c r="AK541" s="4"/>
      <c r="AL541" s="4"/>
      <c r="BZ541" t="str">
        <f t="shared" si="345"/>
        <v/>
      </c>
      <c r="CA541" t="str">
        <f t="shared" si="344"/>
        <v/>
      </c>
    </row>
    <row r="542" spans="27:79" x14ac:dyDescent="0.25">
      <c r="AA542" t="e">
        <f t="shared" si="341"/>
        <v>#VALUE!</v>
      </c>
      <c r="AE542" t="str">
        <f t="shared" si="342"/>
        <v/>
      </c>
      <c r="AK542" s="4"/>
      <c r="AL542" s="4"/>
      <c r="BZ542" t="str">
        <f t="shared" si="345"/>
        <v/>
      </c>
      <c r="CA542" t="str">
        <f t="shared" si="344"/>
        <v/>
      </c>
    </row>
    <row r="543" spans="27:79" x14ac:dyDescent="0.25">
      <c r="AA543" t="e">
        <f t="shared" si="341"/>
        <v>#VALUE!</v>
      </c>
      <c r="AE543" t="str">
        <f t="shared" si="342"/>
        <v/>
      </c>
      <c r="AK543" s="4"/>
      <c r="AL543" s="4"/>
      <c r="BZ543" t="str">
        <f t="shared" si="345"/>
        <v/>
      </c>
      <c r="CA543" t="str">
        <f t="shared" si="344"/>
        <v/>
      </c>
    </row>
    <row r="544" spans="27:79" x14ac:dyDescent="0.25">
      <c r="AA544" t="e">
        <f t="shared" si="341"/>
        <v>#VALUE!</v>
      </c>
      <c r="AE544" t="str">
        <f t="shared" si="342"/>
        <v/>
      </c>
      <c r="AK544" s="4"/>
      <c r="AL544" s="4"/>
      <c r="BZ544" t="str">
        <f t="shared" si="345"/>
        <v/>
      </c>
      <c r="CA544" t="str">
        <f t="shared" si="344"/>
        <v/>
      </c>
    </row>
    <row r="545" spans="27:79" x14ac:dyDescent="0.25">
      <c r="AA545" t="e">
        <f t="shared" si="341"/>
        <v>#VALUE!</v>
      </c>
      <c r="AE545" t="str">
        <f t="shared" si="342"/>
        <v/>
      </c>
      <c r="AK545" s="4"/>
      <c r="AL545" s="4"/>
      <c r="BZ545" t="str">
        <f t="shared" si="345"/>
        <v/>
      </c>
      <c r="CA545" t="str">
        <f t="shared" si="344"/>
        <v/>
      </c>
    </row>
    <row r="546" spans="27:79" x14ac:dyDescent="0.25">
      <c r="AA546" t="e">
        <f t="shared" si="341"/>
        <v>#VALUE!</v>
      </c>
      <c r="AE546" t="str">
        <f t="shared" si="342"/>
        <v/>
      </c>
      <c r="AK546" s="4"/>
      <c r="AL546" s="4"/>
      <c r="BZ546" t="str">
        <f t="shared" si="345"/>
        <v/>
      </c>
      <c r="CA546" t="str">
        <f t="shared" si="344"/>
        <v/>
      </c>
    </row>
    <row r="547" spans="27:79" x14ac:dyDescent="0.25">
      <c r="AA547" t="e">
        <f t="shared" si="341"/>
        <v>#VALUE!</v>
      </c>
      <c r="AE547" t="str">
        <f t="shared" si="342"/>
        <v/>
      </c>
      <c r="AK547" s="4"/>
      <c r="AL547" s="4"/>
      <c r="BZ547" t="str">
        <f t="shared" si="345"/>
        <v/>
      </c>
      <c r="CA547" t="str">
        <f t="shared" si="344"/>
        <v/>
      </c>
    </row>
    <row r="548" spans="27:79" x14ac:dyDescent="0.25">
      <c r="AA548" t="e">
        <f t="shared" si="341"/>
        <v>#VALUE!</v>
      </c>
      <c r="AE548" t="str">
        <f t="shared" si="342"/>
        <v/>
      </c>
      <c r="AK548" s="4"/>
      <c r="AL548" s="4"/>
      <c r="BZ548" t="str">
        <f t="shared" si="345"/>
        <v/>
      </c>
      <c r="CA548" t="str">
        <f t="shared" si="344"/>
        <v/>
      </c>
    </row>
    <row r="549" spans="27:79" x14ac:dyDescent="0.25">
      <c r="AA549" t="e">
        <f t="shared" si="341"/>
        <v>#VALUE!</v>
      </c>
      <c r="AE549" t="str">
        <f t="shared" si="342"/>
        <v/>
      </c>
      <c r="AK549" s="4"/>
      <c r="AL549" s="4"/>
      <c r="BZ549" t="str">
        <f t="shared" si="345"/>
        <v/>
      </c>
      <c r="CA549" t="str">
        <f t="shared" si="344"/>
        <v/>
      </c>
    </row>
    <row r="550" spans="27:79" x14ac:dyDescent="0.25">
      <c r="AA550" t="e">
        <f t="shared" si="341"/>
        <v>#VALUE!</v>
      </c>
      <c r="AE550" t="str">
        <f t="shared" si="342"/>
        <v/>
      </c>
      <c r="AK550" s="4"/>
      <c r="AL550" s="4"/>
      <c r="BZ550" t="str">
        <f t="shared" si="345"/>
        <v/>
      </c>
      <c r="CA550" t="str">
        <f t="shared" si="344"/>
        <v/>
      </c>
    </row>
    <row r="551" spans="27:79" x14ac:dyDescent="0.25">
      <c r="AA551" t="e">
        <f t="shared" si="341"/>
        <v>#VALUE!</v>
      </c>
      <c r="AE551" t="str">
        <f t="shared" si="342"/>
        <v/>
      </c>
      <c r="AK551" s="4"/>
      <c r="AL551" s="4"/>
      <c r="BZ551" t="str">
        <f t="shared" si="345"/>
        <v/>
      </c>
      <c r="CA551" t="str">
        <f t="shared" si="344"/>
        <v/>
      </c>
    </row>
    <row r="552" spans="27:79" x14ac:dyDescent="0.25">
      <c r="AA552" t="e">
        <f t="shared" si="341"/>
        <v>#VALUE!</v>
      </c>
      <c r="AE552" t="str">
        <f t="shared" si="342"/>
        <v/>
      </c>
      <c r="AK552" s="4"/>
      <c r="AL552" s="4"/>
      <c r="BZ552" t="str">
        <f t="shared" si="345"/>
        <v/>
      </c>
      <c r="CA552" t="str">
        <f t="shared" si="344"/>
        <v/>
      </c>
    </row>
    <row r="553" spans="27:79" x14ac:dyDescent="0.25">
      <c r="AA553" t="e">
        <f t="shared" si="341"/>
        <v>#VALUE!</v>
      </c>
      <c r="AE553" t="str">
        <f t="shared" si="342"/>
        <v/>
      </c>
      <c r="AK553" s="4"/>
      <c r="AL553" s="4"/>
      <c r="BZ553" t="str">
        <f t="shared" si="345"/>
        <v/>
      </c>
      <c r="CA553" t="str">
        <f t="shared" si="344"/>
        <v/>
      </c>
    </row>
    <row r="554" spans="27:79" x14ac:dyDescent="0.25">
      <c r="AA554" t="e">
        <f t="shared" si="341"/>
        <v>#VALUE!</v>
      </c>
      <c r="AE554" t="str">
        <f t="shared" si="342"/>
        <v/>
      </c>
      <c r="AK554" s="4"/>
      <c r="AL554" s="4"/>
      <c r="BZ554" t="str">
        <f t="shared" si="345"/>
        <v/>
      </c>
      <c r="CA554" t="str">
        <f t="shared" si="344"/>
        <v/>
      </c>
    </row>
    <row r="555" spans="27:79" x14ac:dyDescent="0.25">
      <c r="AA555" t="e">
        <f t="shared" si="341"/>
        <v>#VALUE!</v>
      </c>
      <c r="AE555" t="str">
        <f t="shared" si="342"/>
        <v/>
      </c>
      <c r="BZ555" t="str">
        <f t="shared" si="345"/>
        <v/>
      </c>
      <c r="CA555" t="str">
        <f t="shared" si="344"/>
        <v/>
      </c>
    </row>
    <row r="556" spans="27:79" x14ac:dyDescent="0.25">
      <c r="AA556" t="e">
        <f t="shared" si="341"/>
        <v>#VALUE!</v>
      </c>
      <c r="AE556" t="str">
        <f t="shared" si="342"/>
        <v/>
      </c>
      <c r="BZ556" t="str">
        <f t="shared" si="345"/>
        <v/>
      </c>
      <c r="CA556" t="str">
        <f t="shared" si="344"/>
        <v/>
      </c>
    </row>
    <row r="557" spans="27:79" x14ac:dyDescent="0.25">
      <c r="AA557" t="e">
        <f t="shared" si="341"/>
        <v>#VALUE!</v>
      </c>
      <c r="AE557" t="str">
        <f t="shared" si="342"/>
        <v/>
      </c>
      <c r="BZ557" t="str">
        <f t="shared" si="345"/>
        <v/>
      </c>
      <c r="CA557" t="str">
        <f t="shared" si="344"/>
        <v/>
      </c>
    </row>
    <row r="558" spans="27:79" x14ac:dyDescent="0.25">
      <c r="AA558" t="e">
        <f t="shared" ref="AA558:AA600" si="346">Y259</f>
        <v>#VALUE!</v>
      </c>
      <c r="AE558" t="str">
        <f t="shared" ref="AE558:AE600" si="347">AC259</f>
        <v/>
      </c>
      <c r="BZ558" t="str">
        <f t="shared" si="345"/>
        <v/>
      </c>
      <c r="CA558" t="str">
        <f t="shared" si="344"/>
        <v/>
      </c>
    </row>
    <row r="559" spans="27:79" x14ac:dyDescent="0.25">
      <c r="AA559" t="e">
        <f t="shared" si="346"/>
        <v>#VALUE!</v>
      </c>
      <c r="AE559" t="str">
        <f t="shared" si="347"/>
        <v/>
      </c>
      <c r="BZ559" t="str">
        <f t="shared" si="345"/>
        <v/>
      </c>
      <c r="CA559" t="str">
        <f t="shared" ref="CA559:CA622" si="348">IF(BU559=0,"",BW559)</f>
        <v/>
      </c>
    </row>
    <row r="560" spans="27:79" x14ac:dyDescent="0.25">
      <c r="AA560" t="e">
        <f t="shared" si="346"/>
        <v>#VALUE!</v>
      </c>
      <c r="AE560" t="str">
        <f t="shared" si="347"/>
        <v/>
      </c>
      <c r="BZ560" t="str">
        <f t="shared" si="345"/>
        <v/>
      </c>
      <c r="CA560" t="str">
        <f t="shared" si="348"/>
        <v/>
      </c>
    </row>
    <row r="561" spans="27:79" x14ac:dyDescent="0.25">
      <c r="AA561" t="e">
        <f t="shared" si="346"/>
        <v>#VALUE!</v>
      </c>
      <c r="AE561" t="str">
        <f t="shared" si="347"/>
        <v/>
      </c>
      <c r="BZ561" t="str">
        <f t="shared" si="345"/>
        <v/>
      </c>
      <c r="CA561" t="str">
        <f t="shared" si="348"/>
        <v/>
      </c>
    </row>
    <row r="562" spans="27:79" x14ac:dyDescent="0.25">
      <c r="AA562" t="e">
        <f t="shared" si="346"/>
        <v>#VALUE!</v>
      </c>
      <c r="AE562" t="str">
        <f t="shared" si="347"/>
        <v/>
      </c>
      <c r="BZ562" t="str">
        <f t="shared" si="345"/>
        <v/>
      </c>
      <c r="CA562" t="str">
        <f t="shared" si="348"/>
        <v/>
      </c>
    </row>
    <row r="563" spans="27:79" x14ac:dyDescent="0.25">
      <c r="AA563" t="e">
        <f t="shared" si="346"/>
        <v>#VALUE!</v>
      </c>
      <c r="AE563" t="str">
        <f t="shared" si="347"/>
        <v/>
      </c>
      <c r="BZ563" t="str">
        <f t="shared" si="345"/>
        <v/>
      </c>
      <c r="CA563" t="str">
        <f t="shared" si="348"/>
        <v/>
      </c>
    </row>
    <row r="564" spans="27:79" x14ac:dyDescent="0.25">
      <c r="AA564" t="e">
        <f t="shared" si="346"/>
        <v>#VALUE!</v>
      </c>
      <c r="AE564" t="str">
        <f t="shared" si="347"/>
        <v/>
      </c>
      <c r="BZ564" t="str">
        <f t="shared" si="345"/>
        <v/>
      </c>
      <c r="CA564" t="str">
        <f t="shared" si="348"/>
        <v/>
      </c>
    </row>
    <row r="565" spans="27:79" x14ac:dyDescent="0.25">
      <c r="AA565" t="e">
        <f t="shared" si="346"/>
        <v>#VALUE!</v>
      </c>
      <c r="AE565" t="str">
        <f t="shared" si="347"/>
        <v/>
      </c>
      <c r="BZ565" t="str">
        <f t="shared" si="345"/>
        <v/>
      </c>
      <c r="CA565" t="str">
        <f t="shared" si="348"/>
        <v/>
      </c>
    </row>
    <row r="566" spans="27:79" x14ac:dyDescent="0.25">
      <c r="AA566" t="e">
        <f t="shared" si="346"/>
        <v>#VALUE!</v>
      </c>
      <c r="AE566" t="str">
        <f t="shared" si="347"/>
        <v/>
      </c>
      <c r="BZ566" t="str">
        <f t="shared" si="345"/>
        <v/>
      </c>
      <c r="CA566" t="str">
        <f t="shared" si="348"/>
        <v/>
      </c>
    </row>
    <row r="567" spans="27:79" x14ac:dyDescent="0.25">
      <c r="AA567" t="e">
        <f t="shared" si="346"/>
        <v>#VALUE!</v>
      </c>
      <c r="AE567" t="str">
        <f t="shared" si="347"/>
        <v/>
      </c>
      <c r="BZ567" t="str">
        <f t="shared" si="345"/>
        <v/>
      </c>
      <c r="CA567" t="str">
        <f t="shared" si="348"/>
        <v/>
      </c>
    </row>
    <row r="568" spans="27:79" x14ac:dyDescent="0.25">
      <c r="AA568" t="e">
        <f t="shared" si="346"/>
        <v>#VALUE!</v>
      </c>
      <c r="AE568" t="str">
        <f t="shared" si="347"/>
        <v/>
      </c>
      <c r="BZ568" t="str">
        <f t="shared" si="345"/>
        <v/>
      </c>
      <c r="CA568" t="str">
        <f t="shared" si="348"/>
        <v/>
      </c>
    </row>
    <row r="569" spans="27:79" x14ac:dyDescent="0.25">
      <c r="AA569" t="e">
        <f t="shared" si="346"/>
        <v>#VALUE!</v>
      </c>
      <c r="AE569" t="str">
        <f t="shared" si="347"/>
        <v/>
      </c>
      <c r="BZ569" t="str">
        <f t="shared" si="345"/>
        <v/>
      </c>
      <c r="CA569" t="str">
        <f t="shared" si="348"/>
        <v/>
      </c>
    </row>
    <row r="570" spans="27:79" x14ac:dyDescent="0.25">
      <c r="AA570" t="e">
        <f t="shared" si="346"/>
        <v>#VALUE!</v>
      </c>
      <c r="AE570" t="str">
        <f t="shared" si="347"/>
        <v/>
      </c>
      <c r="BZ570" t="str">
        <f t="shared" si="345"/>
        <v/>
      </c>
      <c r="CA570" t="str">
        <f t="shared" si="348"/>
        <v/>
      </c>
    </row>
    <row r="571" spans="27:79" x14ac:dyDescent="0.25">
      <c r="AA571" t="e">
        <f t="shared" si="346"/>
        <v>#VALUE!</v>
      </c>
      <c r="AE571" t="str">
        <f t="shared" si="347"/>
        <v/>
      </c>
      <c r="BZ571" t="str">
        <f t="shared" si="345"/>
        <v/>
      </c>
      <c r="CA571" t="str">
        <f t="shared" si="348"/>
        <v/>
      </c>
    </row>
    <row r="572" spans="27:79" x14ac:dyDescent="0.25">
      <c r="AA572" t="e">
        <f t="shared" si="346"/>
        <v>#VALUE!</v>
      </c>
      <c r="AE572" t="str">
        <f t="shared" si="347"/>
        <v/>
      </c>
      <c r="BZ572" t="str">
        <f t="shared" si="345"/>
        <v/>
      </c>
      <c r="CA572" t="str">
        <f t="shared" si="348"/>
        <v/>
      </c>
    </row>
    <row r="573" spans="27:79" x14ac:dyDescent="0.25">
      <c r="AA573" t="e">
        <f t="shared" si="346"/>
        <v>#VALUE!</v>
      </c>
      <c r="AE573" t="str">
        <f t="shared" si="347"/>
        <v/>
      </c>
      <c r="BZ573" t="str">
        <f t="shared" si="345"/>
        <v/>
      </c>
      <c r="CA573" t="str">
        <f t="shared" si="348"/>
        <v/>
      </c>
    </row>
    <row r="574" spans="27:79" x14ac:dyDescent="0.25">
      <c r="AA574" t="e">
        <f t="shared" si="346"/>
        <v>#VALUE!</v>
      </c>
      <c r="AE574" t="str">
        <f t="shared" si="347"/>
        <v/>
      </c>
      <c r="BZ574" t="str">
        <f t="shared" si="345"/>
        <v/>
      </c>
      <c r="CA574" t="str">
        <f t="shared" si="348"/>
        <v/>
      </c>
    </row>
    <row r="575" spans="27:79" x14ac:dyDescent="0.25">
      <c r="AA575" t="e">
        <f t="shared" si="346"/>
        <v>#VALUE!</v>
      </c>
      <c r="AE575" t="str">
        <f t="shared" si="347"/>
        <v/>
      </c>
      <c r="BZ575" t="str">
        <f t="shared" si="345"/>
        <v/>
      </c>
      <c r="CA575" t="str">
        <f t="shared" si="348"/>
        <v/>
      </c>
    </row>
    <row r="576" spans="27:79" x14ac:dyDescent="0.25">
      <c r="AA576" t="e">
        <f t="shared" si="346"/>
        <v>#VALUE!</v>
      </c>
      <c r="AE576" t="str">
        <f t="shared" si="347"/>
        <v/>
      </c>
      <c r="BZ576" t="str">
        <f t="shared" si="345"/>
        <v/>
      </c>
      <c r="CA576" t="str">
        <f t="shared" si="348"/>
        <v/>
      </c>
    </row>
    <row r="577" spans="27:79" x14ac:dyDescent="0.25">
      <c r="AA577" t="e">
        <f t="shared" si="346"/>
        <v>#VALUE!</v>
      </c>
      <c r="AE577" t="str">
        <f t="shared" si="347"/>
        <v/>
      </c>
      <c r="BZ577" t="str">
        <f t="shared" si="345"/>
        <v/>
      </c>
      <c r="CA577" t="str">
        <f t="shared" si="348"/>
        <v/>
      </c>
    </row>
    <row r="578" spans="27:79" x14ac:dyDescent="0.25">
      <c r="AA578" t="e">
        <f t="shared" si="346"/>
        <v>#VALUE!</v>
      </c>
      <c r="AE578" t="str">
        <f t="shared" si="347"/>
        <v/>
      </c>
      <c r="BZ578" t="str">
        <f t="shared" ref="BZ578:BZ641" si="349">IF(BU578=0,"",BV578)</f>
        <v/>
      </c>
      <c r="CA578" t="str">
        <f t="shared" si="348"/>
        <v/>
      </c>
    </row>
    <row r="579" spans="27:79" x14ac:dyDescent="0.25">
      <c r="AA579" t="e">
        <f t="shared" si="346"/>
        <v>#VALUE!</v>
      </c>
      <c r="AE579" t="str">
        <f t="shared" si="347"/>
        <v/>
      </c>
      <c r="BZ579" t="str">
        <f t="shared" si="349"/>
        <v/>
      </c>
      <c r="CA579" t="str">
        <f t="shared" si="348"/>
        <v/>
      </c>
    </row>
    <row r="580" spans="27:79" x14ac:dyDescent="0.25">
      <c r="AA580" t="e">
        <f t="shared" si="346"/>
        <v>#VALUE!</v>
      </c>
      <c r="AE580" t="str">
        <f t="shared" si="347"/>
        <v/>
      </c>
      <c r="BZ580" t="str">
        <f t="shared" si="349"/>
        <v/>
      </c>
      <c r="CA580" t="str">
        <f t="shared" si="348"/>
        <v/>
      </c>
    </row>
    <row r="581" spans="27:79" x14ac:dyDescent="0.25">
      <c r="AA581" t="e">
        <f t="shared" si="346"/>
        <v>#VALUE!</v>
      </c>
      <c r="AE581" t="str">
        <f t="shared" si="347"/>
        <v/>
      </c>
      <c r="BZ581" t="str">
        <f t="shared" si="349"/>
        <v/>
      </c>
      <c r="CA581" t="str">
        <f t="shared" si="348"/>
        <v/>
      </c>
    </row>
    <row r="582" spans="27:79" x14ac:dyDescent="0.25">
      <c r="AA582" t="e">
        <f t="shared" si="346"/>
        <v>#VALUE!</v>
      </c>
      <c r="AE582" t="str">
        <f t="shared" si="347"/>
        <v/>
      </c>
      <c r="BZ582" t="str">
        <f t="shared" si="349"/>
        <v/>
      </c>
      <c r="CA582" t="str">
        <f t="shared" si="348"/>
        <v/>
      </c>
    </row>
    <row r="583" spans="27:79" x14ac:dyDescent="0.25">
      <c r="AA583" t="e">
        <f t="shared" si="346"/>
        <v>#VALUE!</v>
      </c>
      <c r="AE583" t="str">
        <f t="shared" si="347"/>
        <v/>
      </c>
      <c r="BZ583" t="str">
        <f t="shared" si="349"/>
        <v/>
      </c>
      <c r="CA583" t="str">
        <f t="shared" si="348"/>
        <v/>
      </c>
    </row>
    <row r="584" spans="27:79" x14ac:dyDescent="0.25">
      <c r="AA584" t="e">
        <f t="shared" si="346"/>
        <v>#VALUE!</v>
      </c>
      <c r="AE584" t="str">
        <f t="shared" si="347"/>
        <v/>
      </c>
      <c r="BZ584" t="str">
        <f t="shared" si="349"/>
        <v/>
      </c>
      <c r="CA584" t="str">
        <f t="shared" si="348"/>
        <v/>
      </c>
    </row>
    <row r="585" spans="27:79" x14ac:dyDescent="0.25">
      <c r="AA585" t="e">
        <f t="shared" si="346"/>
        <v>#VALUE!</v>
      </c>
      <c r="AE585" t="str">
        <f t="shared" si="347"/>
        <v/>
      </c>
      <c r="BZ585" t="str">
        <f t="shared" si="349"/>
        <v/>
      </c>
      <c r="CA585" t="str">
        <f t="shared" si="348"/>
        <v/>
      </c>
    </row>
    <row r="586" spans="27:79" x14ac:dyDescent="0.25">
      <c r="AA586" t="e">
        <f t="shared" si="346"/>
        <v>#VALUE!</v>
      </c>
      <c r="AE586" t="str">
        <f t="shared" si="347"/>
        <v/>
      </c>
      <c r="BZ586" t="str">
        <f t="shared" si="349"/>
        <v/>
      </c>
      <c r="CA586" t="str">
        <f t="shared" si="348"/>
        <v/>
      </c>
    </row>
    <row r="587" spans="27:79" x14ac:dyDescent="0.25">
      <c r="AA587" t="e">
        <f t="shared" si="346"/>
        <v>#VALUE!</v>
      </c>
      <c r="AE587" t="str">
        <f t="shared" si="347"/>
        <v/>
      </c>
      <c r="BZ587" t="str">
        <f t="shared" si="349"/>
        <v/>
      </c>
      <c r="CA587" t="str">
        <f t="shared" si="348"/>
        <v/>
      </c>
    </row>
    <row r="588" spans="27:79" x14ac:dyDescent="0.25">
      <c r="AA588" t="e">
        <f t="shared" si="346"/>
        <v>#VALUE!</v>
      </c>
      <c r="AE588" t="str">
        <f t="shared" si="347"/>
        <v/>
      </c>
      <c r="BZ588" t="str">
        <f t="shared" si="349"/>
        <v/>
      </c>
      <c r="CA588" t="str">
        <f t="shared" si="348"/>
        <v/>
      </c>
    </row>
    <row r="589" spans="27:79" x14ac:dyDescent="0.25">
      <c r="AA589" t="e">
        <f t="shared" si="346"/>
        <v>#VALUE!</v>
      </c>
      <c r="AE589" t="str">
        <f t="shared" si="347"/>
        <v/>
      </c>
      <c r="BZ589" t="str">
        <f t="shared" si="349"/>
        <v/>
      </c>
      <c r="CA589" t="str">
        <f t="shared" si="348"/>
        <v/>
      </c>
    </row>
    <row r="590" spans="27:79" x14ac:dyDescent="0.25">
      <c r="AA590" t="e">
        <f t="shared" si="346"/>
        <v>#VALUE!</v>
      </c>
      <c r="AE590" t="str">
        <f t="shared" si="347"/>
        <v/>
      </c>
      <c r="BZ590" t="str">
        <f t="shared" si="349"/>
        <v/>
      </c>
      <c r="CA590" t="str">
        <f t="shared" si="348"/>
        <v/>
      </c>
    </row>
    <row r="591" spans="27:79" x14ac:dyDescent="0.25">
      <c r="AA591" t="e">
        <f t="shared" si="346"/>
        <v>#VALUE!</v>
      </c>
      <c r="AE591" t="str">
        <f t="shared" si="347"/>
        <v/>
      </c>
      <c r="BZ591" t="str">
        <f t="shared" si="349"/>
        <v/>
      </c>
      <c r="CA591" t="str">
        <f t="shared" si="348"/>
        <v/>
      </c>
    </row>
    <row r="592" spans="27:79" x14ac:dyDescent="0.25">
      <c r="AA592" t="e">
        <f t="shared" si="346"/>
        <v>#VALUE!</v>
      </c>
      <c r="AE592" t="str">
        <f t="shared" si="347"/>
        <v/>
      </c>
      <c r="BZ592" t="str">
        <f t="shared" si="349"/>
        <v/>
      </c>
      <c r="CA592" t="str">
        <f t="shared" si="348"/>
        <v/>
      </c>
    </row>
    <row r="593" spans="27:79" x14ac:dyDescent="0.25">
      <c r="AA593" t="e">
        <f t="shared" si="346"/>
        <v>#VALUE!</v>
      </c>
      <c r="AE593" t="str">
        <f t="shared" si="347"/>
        <v/>
      </c>
      <c r="BZ593" t="str">
        <f t="shared" si="349"/>
        <v/>
      </c>
      <c r="CA593" t="str">
        <f t="shared" si="348"/>
        <v/>
      </c>
    </row>
    <row r="594" spans="27:79" x14ac:dyDescent="0.25">
      <c r="AA594" t="e">
        <f t="shared" si="346"/>
        <v>#VALUE!</v>
      </c>
      <c r="AE594" t="str">
        <f t="shared" si="347"/>
        <v/>
      </c>
      <c r="BZ594" t="str">
        <f t="shared" si="349"/>
        <v/>
      </c>
      <c r="CA594" t="str">
        <f t="shared" si="348"/>
        <v/>
      </c>
    </row>
    <row r="595" spans="27:79" x14ac:dyDescent="0.25">
      <c r="AA595" t="e">
        <f t="shared" si="346"/>
        <v>#VALUE!</v>
      </c>
      <c r="AE595" t="str">
        <f t="shared" si="347"/>
        <v/>
      </c>
      <c r="BZ595" t="str">
        <f t="shared" si="349"/>
        <v/>
      </c>
      <c r="CA595" t="str">
        <f t="shared" si="348"/>
        <v/>
      </c>
    </row>
    <row r="596" spans="27:79" x14ac:dyDescent="0.25">
      <c r="AA596" t="e">
        <f t="shared" si="346"/>
        <v>#VALUE!</v>
      </c>
      <c r="AE596" t="str">
        <f t="shared" si="347"/>
        <v/>
      </c>
      <c r="BZ596" t="str">
        <f t="shared" si="349"/>
        <v/>
      </c>
      <c r="CA596" t="str">
        <f t="shared" si="348"/>
        <v/>
      </c>
    </row>
    <row r="597" spans="27:79" x14ac:dyDescent="0.25">
      <c r="AA597" t="e">
        <f t="shared" si="346"/>
        <v>#VALUE!</v>
      </c>
      <c r="AE597" t="str">
        <f t="shared" si="347"/>
        <v/>
      </c>
      <c r="BZ597" t="str">
        <f t="shared" si="349"/>
        <v/>
      </c>
      <c r="CA597" t="str">
        <f t="shared" si="348"/>
        <v/>
      </c>
    </row>
    <row r="598" spans="27:79" x14ac:dyDescent="0.25">
      <c r="AA598" t="e">
        <f t="shared" si="346"/>
        <v>#VALUE!</v>
      </c>
      <c r="AE598" t="str">
        <f t="shared" si="347"/>
        <v/>
      </c>
      <c r="BZ598" t="str">
        <f t="shared" si="349"/>
        <v/>
      </c>
      <c r="CA598" t="str">
        <f t="shared" si="348"/>
        <v/>
      </c>
    </row>
    <row r="599" spans="27:79" x14ac:dyDescent="0.25">
      <c r="AA599" t="e">
        <f t="shared" si="346"/>
        <v>#VALUE!</v>
      </c>
      <c r="AE599" t="str">
        <f t="shared" si="347"/>
        <v/>
      </c>
      <c r="BZ599" t="str">
        <f t="shared" si="349"/>
        <v/>
      </c>
      <c r="CA599" t="str">
        <f t="shared" si="348"/>
        <v/>
      </c>
    </row>
    <row r="600" spans="27:79" x14ac:dyDescent="0.25">
      <c r="AA600" t="e">
        <f t="shared" si="346"/>
        <v>#VALUE!</v>
      </c>
      <c r="AE600" t="str">
        <f t="shared" si="347"/>
        <v/>
      </c>
      <c r="BZ600" t="str">
        <f t="shared" si="349"/>
        <v/>
      </c>
      <c r="CA600" t="str">
        <f t="shared" si="348"/>
        <v/>
      </c>
    </row>
    <row r="601" spans="27:79" x14ac:dyDescent="0.25">
      <c r="AA601" t="str">
        <f t="shared" ref="AA601:AA664" si="350">Z3</f>
        <v/>
      </c>
      <c r="AE601" t="str">
        <f t="shared" ref="AE601:AE664" si="351">AD3</f>
        <v/>
      </c>
      <c r="BZ601" t="str">
        <f t="shared" si="349"/>
        <v/>
      </c>
      <c r="CA601" t="str">
        <f t="shared" si="348"/>
        <v/>
      </c>
    </row>
    <row r="602" spans="27:79" x14ac:dyDescent="0.25">
      <c r="AA602" t="str">
        <f t="shared" si="350"/>
        <v/>
      </c>
      <c r="AE602" t="str">
        <f t="shared" si="351"/>
        <v/>
      </c>
      <c r="BZ602" t="str">
        <f t="shared" si="349"/>
        <v/>
      </c>
      <c r="CA602" t="str">
        <f t="shared" si="348"/>
        <v/>
      </c>
    </row>
    <row r="603" spans="27:79" x14ac:dyDescent="0.25">
      <c r="AA603" t="str">
        <f t="shared" si="350"/>
        <v/>
      </c>
      <c r="AE603" t="str">
        <f t="shared" si="351"/>
        <v/>
      </c>
      <c r="BZ603" t="str">
        <f t="shared" si="349"/>
        <v/>
      </c>
      <c r="CA603" t="str">
        <f t="shared" si="348"/>
        <v/>
      </c>
    </row>
    <row r="604" spans="27:79" x14ac:dyDescent="0.25">
      <c r="AA604" t="str">
        <f t="shared" si="350"/>
        <v/>
      </c>
      <c r="AE604" t="str">
        <f t="shared" si="351"/>
        <v/>
      </c>
      <c r="BZ604" t="str">
        <f t="shared" si="349"/>
        <v/>
      </c>
      <c r="CA604" t="str">
        <f t="shared" si="348"/>
        <v/>
      </c>
    </row>
    <row r="605" spans="27:79" x14ac:dyDescent="0.25">
      <c r="AA605" t="str">
        <f t="shared" si="350"/>
        <v/>
      </c>
      <c r="AE605" t="str">
        <f t="shared" si="351"/>
        <v/>
      </c>
      <c r="BZ605" t="str">
        <f t="shared" si="349"/>
        <v/>
      </c>
      <c r="CA605" t="str">
        <f t="shared" si="348"/>
        <v/>
      </c>
    </row>
    <row r="606" spans="27:79" x14ac:dyDescent="0.25">
      <c r="AA606" t="str">
        <f t="shared" si="350"/>
        <v/>
      </c>
      <c r="AE606" t="str">
        <f t="shared" si="351"/>
        <v/>
      </c>
      <c r="BZ606" t="str">
        <f t="shared" si="349"/>
        <v/>
      </c>
      <c r="CA606" t="str">
        <f t="shared" si="348"/>
        <v/>
      </c>
    </row>
    <row r="607" spans="27:79" x14ac:dyDescent="0.25">
      <c r="AA607" t="str">
        <f t="shared" si="350"/>
        <v/>
      </c>
      <c r="AE607" t="str">
        <f t="shared" si="351"/>
        <v/>
      </c>
      <c r="BZ607" t="str">
        <f t="shared" si="349"/>
        <v/>
      </c>
      <c r="CA607" t="str">
        <f t="shared" si="348"/>
        <v/>
      </c>
    </row>
    <row r="608" spans="27:79" x14ac:dyDescent="0.25">
      <c r="AA608" t="str">
        <f t="shared" si="350"/>
        <v/>
      </c>
      <c r="AE608" t="str">
        <f t="shared" si="351"/>
        <v/>
      </c>
      <c r="BZ608" t="str">
        <f t="shared" si="349"/>
        <v/>
      </c>
      <c r="CA608" t="str">
        <f t="shared" si="348"/>
        <v/>
      </c>
    </row>
    <row r="609" spans="27:79" x14ac:dyDescent="0.25">
      <c r="AA609" t="str">
        <f t="shared" si="350"/>
        <v/>
      </c>
      <c r="AE609" t="str">
        <f t="shared" si="351"/>
        <v/>
      </c>
      <c r="BZ609" t="str">
        <f t="shared" si="349"/>
        <v/>
      </c>
      <c r="CA609" t="str">
        <f t="shared" si="348"/>
        <v/>
      </c>
    </row>
    <row r="610" spans="27:79" x14ac:dyDescent="0.25">
      <c r="AA610" t="str">
        <f t="shared" si="350"/>
        <v/>
      </c>
      <c r="AE610" t="str">
        <f t="shared" si="351"/>
        <v/>
      </c>
      <c r="BZ610" t="str">
        <f t="shared" si="349"/>
        <v/>
      </c>
      <c r="CA610" t="str">
        <f t="shared" si="348"/>
        <v/>
      </c>
    </row>
    <row r="611" spans="27:79" x14ac:dyDescent="0.25">
      <c r="AA611" t="str">
        <f t="shared" si="350"/>
        <v/>
      </c>
      <c r="AE611" t="str">
        <f t="shared" si="351"/>
        <v/>
      </c>
      <c r="BZ611" t="str">
        <f t="shared" si="349"/>
        <v/>
      </c>
      <c r="CA611" t="str">
        <f t="shared" si="348"/>
        <v/>
      </c>
    </row>
    <row r="612" spans="27:79" x14ac:dyDescent="0.25">
      <c r="AA612" t="str">
        <f t="shared" si="350"/>
        <v/>
      </c>
      <c r="AE612" t="str">
        <f t="shared" si="351"/>
        <v/>
      </c>
      <c r="BZ612" t="str">
        <f t="shared" si="349"/>
        <v/>
      </c>
      <c r="CA612" t="str">
        <f t="shared" si="348"/>
        <v/>
      </c>
    </row>
    <row r="613" spans="27:79" x14ac:dyDescent="0.25">
      <c r="AA613" t="str">
        <f t="shared" si="350"/>
        <v/>
      </c>
      <c r="AE613" t="str">
        <f t="shared" si="351"/>
        <v/>
      </c>
      <c r="BZ613" t="str">
        <f t="shared" si="349"/>
        <v/>
      </c>
      <c r="CA613" t="str">
        <f t="shared" si="348"/>
        <v/>
      </c>
    </row>
    <row r="614" spans="27:79" x14ac:dyDescent="0.25">
      <c r="AA614" t="str">
        <f t="shared" si="350"/>
        <v/>
      </c>
      <c r="AE614" t="str">
        <f t="shared" si="351"/>
        <v/>
      </c>
      <c r="BZ614" t="str">
        <f t="shared" si="349"/>
        <v/>
      </c>
      <c r="CA614" t="str">
        <f t="shared" si="348"/>
        <v/>
      </c>
    </row>
    <row r="615" spans="27:79" x14ac:dyDescent="0.25">
      <c r="AA615" t="str">
        <f t="shared" si="350"/>
        <v/>
      </c>
      <c r="AE615" t="str">
        <f t="shared" si="351"/>
        <v/>
      </c>
      <c r="BZ615" t="str">
        <f t="shared" si="349"/>
        <v/>
      </c>
      <c r="CA615" t="str">
        <f t="shared" si="348"/>
        <v/>
      </c>
    </row>
    <row r="616" spans="27:79" x14ac:dyDescent="0.25">
      <c r="AA616" t="str">
        <f t="shared" si="350"/>
        <v/>
      </c>
      <c r="AE616" t="str">
        <f t="shared" si="351"/>
        <v/>
      </c>
      <c r="BZ616" t="str">
        <f t="shared" si="349"/>
        <v/>
      </c>
      <c r="CA616" t="str">
        <f t="shared" si="348"/>
        <v/>
      </c>
    </row>
    <row r="617" spans="27:79" x14ac:dyDescent="0.25">
      <c r="AA617" t="str">
        <f t="shared" si="350"/>
        <v/>
      </c>
      <c r="AE617" t="str">
        <f t="shared" si="351"/>
        <v/>
      </c>
      <c r="BZ617" t="str">
        <f t="shared" si="349"/>
        <v/>
      </c>
      <c r="CA617" t="str">
        <f t="shared" si="348"/>
        <v/>
      </c>
    </row>
    <row r="618" spans="27:79" x14ac:dyDescent="0.25">
      <c r="AA618" t="str">
        <f t="shared" si="350"/>
        <v/>
      </c>
      <c r="AE618" t="str">
        <f t="shared" si="351"/>
        <v/>
      </c>
      <c r="BZ618" t="str">
        <f t="shared" si="349"/>
        <v/>
      </c>
      <c r="CA618" t="str">
        <f t="shared" si="348"/>
        <v/>
      </c>
    </row>
    <row r="619" spans="27:79" x14ac:dyDescent="0.25">
      <c r="AA619" t="str">
        <f t="shared" si="350"/>
        <v/>
      </c>
      <c r="AE619" t="str">
        <f t="shared" si="351"/>
        <v/>
      </c>
      <c r="BZ619" t="str">
        <f t="shared" si="349"/>
        <v/>
      </c>
      <c r="CA619" t="str">
        <f t="shared" si="348"/>
        <v/>
      </c>
    </row>
    <row r="620" spans="27:79" x14ac:dyDescent="0.25">
      <c r="AA620" t="str">
        <f t="shared" si="350"/>
        <v/>
      </c>
      <c r="AE620" t="str">
        <f t="shared" si="351"/>
        <v/>
      </c>
      <c r="BZ620" t="str">
        <f t="shared" si="349"/>
        <v/>
      </c>
      <c r="CA620" t="str">
        <f t="shared" si="348"/>
        <v/>
      </c>
    </row>
    <row r="621" spans="27:79" x14ac:dyDescent="0.25">
      <c r="AA621" t="str">
        <f t="shared" si="350"/>
        <v/>
      </c>
      <c r="AE621" t="str">
        <f t="shared" si="351"/>
        <v/>
      </c>
      <c r="BZ621" t="str">
        <f t="shared" si="349"/>
        <v/>
      </c>
      <c r="CA621" t="str">
        <f t="shared" si="348"/>
        <v/>
      </c>
    </row>
    <row r="622" spans="27:79" x14ac:dyDescent="0.25">
      <c r="AA622" t="str">
        <f t="shared" si="350"/>
        <v/>
      </c>
      <c r="AE622" t="str">
        <f t="shared" si="351"/>
        <v/>
      </c>
      <c r="BZ622" t="str">
        <f t="shared" si="349"/>
        <v/>
      </c>
      <c r="CA622" t="str">
        <f t="shared" si="348"/>
        <v/>
      </c>
    </row>
    <row r="623" spans="27:79" x14ac:dyDescent="0.25">
      <c r="AA623" t="str">
        <f t="shared" si="350"/>
        <v/>
      </c>
      <c r="AE623" t="str">
        <f t="shared" si="351"/>
        <v/>
      </c>
      <c r="BZ623" t="str">
        <f t="shared" si="349"/>
        <v/>
      </c>
      <c r="CA623" t="str">
        <f t="shared" ref="CA623:CA686" si="352">IF(BU623=0,"",BW623)</f>
        <v/>
      </c>
    </row>
    <row r="624" spans="27:79" x14ac:dyDescent="0.25">
      <c r="AA624" t="str">
        <f t="shared" si="350"/>
        <v/>
      </c>
      <c r="AE624" t="str">
        <f t="shared" si="351"/>
        <v/>
      </c>
      <c r="BZ624" t="str">
        <f t="shared" si="349"/>
        <v/>
      </c>
      <c r="CA624" t="str">
        <f t="shared" si="352"/>
        <v/>
      </c>
    </row>
    <row r="625" spans="27:79" x14ac:dyDescent="0.25">
      <c r="AA625" t="str">
        <f t="shared" si="350"/>
        <v/>
      </c>
      <c r="AE625" t="str">
        <f t="shared" si="351"/>
        <v/>
      </c>
      <c r="BZ625" t="str">
        <f t="shared" si="349"/>
        <v/>
      </c>
      <c r="CA625" t="str">
        <f t="shared" si="352"/>
        <v/>
      </c>
    </row>
    <row r="626" spans="27:79" x14ac:dyDescent="0.25">
      <c r="AA626" t="str">
        <f t="shared" si="350"/>
        <v/>
      </c>
      <c r="AE626" t="str">
        <f t="shared" si="351"/>
        <v/>
      </c>
      <c r="BZ626" t="str">
        <f t="shared" si="349"/>
        <v/>
      </c>
      <c r="CA626" t="str">
        <f t="shared" si="352"/>
        <v/>
      </c>
    </row>
    <row r="627" spans="27:79" x14ac:dyDescent="0.25">
      <c r="AA627" t="str">
        <f t="shared" si="350"/>
        <v/>
      </c>
      <c r="AE627" t="str">
        <f t="shared" si="351"/>
        <v/>
      </c>
      <c r="BZ627" t="str">
        <f t="shared" si="349"/>
        <v/>
      </c>
      <c r="CA627" t="str">
        <f t="shared" si="352"/>
        <v/>
      </c>
    </row>
    <row r="628" spans="27:79" x14ac:dyDescent="0.25">
      <c r="AA628" t="str">
        <f t="shared" si="350"/>
        <v/>
      </c>
      <c r="AE628" t="str">
        <f t="shared" si="351"/>
        <v/>
      </c>
      <c r="BZ628" t="str">
        <f t="shared" si="349"/>
        <v/>
      </c>
      <c r="CA628" t="str">
        <f t="shared" si="352"/>
        <v/>
      </c>
    </row>
    <row r="629" spans="27:79" x14ac:dyDescent="0.25">
      <c r="AA629" t="str">
        <f t="shared" si="350"/>
        <v/>
      </c>
      <c r="AE629" t="str">
        <f t="shared" si="351"/>
        <v/>
      </c>
      <c r="BZ629" t="str">
        <f t="shared" si="349"/>
        <v/>
      </c>
      <c r="CA629" t="str">
        <f t="shared" si="352"/>
        <v/>
      </c>
    </row>
    <row r="630" spans="27:79" x14ac:dyDescent="0.25">
      <c r="AA630" t="str">
        <f t="shared" si="350"/>
        <v/>
      </c>
      <c r="AE630" t="str">
        <f t="shared" si="351"/>
        <v/>
      </c>
      <c r="BZ630" t="str">
        <f t="shared" si="349"/>
        <v/>
      </c>
      <c r="CA630" t="str">
        <f t="shared" si="352"/>
        <v/>
      </c>
    </row>
    <row r="631" spans="27:79" x14ac:dyDescent="0.25">
      <c r="AA631" t="str">
        <f t="shared" si="350"/>
        <v/>
      </c>
      <c r="AE631" t="str">
        <f t="shared" si="351"/>
        <v/>
      </c>
      <c r="BZ631" t="str">
        <f t="shared" si="349"/>
        <v/>
      </c>
      <c r="CA631" t="str">
        <f t="shared" si="352"/>
        <v/>
      </c>
    </row>
    <row r="632" spans="27:79" x14ac:dyDescent="0.25">
      <c r="AA632" t="str">
        <f t="shared" si="350"/>
        <v/>
      </c>
      <c r="AE632" t="str">
        <f t="shared" si="351"/>
        <v/>
      </c>
      <c r="BZ632" t="str">
        <f t="shared" si="349"/>
        <v/>
      </c>
      <c r="CA632" t="str">
        <f t="shared" si="352"/>
        <v/>
      </c>
    </row>
    <row r="633" spans="27:79" x14ac:dyDescent="0.25">
      <c r="AA633" t="str">
        <f t="shared" si="350"/>
        <v/>
      </c>
      <c r="AE633" t="str">
        <f t="shared" si="351"/>
        <v/>
      </c>
      <c r="BZ633" t="str">
        <f t="shared" si="349"/>
        <v/>
      </c>
      <c r="CA633" t="str">
        <f t="shared" si="352"/>
        <v/>
      </c>
    </row>
    <row r="634" spans="27:79" x14ac:dyDescent="0.25">
      <c r="AA634" t="str">
        <f t="shared" si="350"/>
        <v/>
      </c>
      <c r="AE634" t="str">
        <f t="shared" si="351"/>
        <v/>
      </c>
      <c r="BZ634" t="str">
        <f t="shared" si="349"/>
        <v/>
      </c>
      <c r="CA634" t="str">
        <f t="shared" si="352"/>
        <v/>
      </c>
    </row>
    <row r="635" spans="27:79" x14ac:dyDescent="0.25">
      <c r="AA635" t="str">
        <f t="shared" si="350"/>
        <v/>
      </c>
      <c r="AE635" t="str">
        <f t="shared" si="351"/>
        <v/>
      </c>
      <c r="BZ635" t="str">
        <f t="shared" si="349"/>
        <v/>
      </c>
      <c r="CA635" t="str">
        <f t="shared" si="352"/>
        <v/>
      </c>
    </row>
    <row r="636" spans="27:79" x14ac:dyDescent="0.25">
      <c r="AA636" t="str">
        <f t="shared" si="350"/>
        <v/>
      </c>
      <c r="AE636" t="str">
        <f t="shared" si="351"/>
        <v/>
      </c>
      <c r="BZ636" t="str">
        <f t="shared" si="349"/>
        <v/>
      </c>
      <c r="CA636" t="str">
        <f t="shared" si="352"/>
        <v/>
      </c>
    </row>
    <row r="637" spans="27:79" x14ac:dyDescent="0.25">
      <c r="AA637" t="str">
        <f t="shared" si="350"/>
        <v/>
      </c>
      <c r="AE637" t="str">
        <f t="shared" si="351"/>
        <v/>
      </c>
      <c r="BZ637" t="str">
        <f t="shared" si="349"/>
        <v/>
      </c>
      <c r="CA637" t="str">
        <f t="shared" si="352"/>
        <v/>
      </c>
    </row>
    <row r="638" spans="27:79" x14ac:dyDescent="0.25">
      <c r="AA638" t="str">
        <f t="shared" si="350"/>
        <v/>
      </c>
      <c r="AE638" t="str">
        <f t="shared" si="351"/>
        <v/>
      </c>
      <c r="BZ638" t="str">
        <f t="shared" si="349"/>
        <v/>
      </c>
      <c r="CA638" t="str">
        <f t="shared" si="352"/>
        <v/>
      </c>
    </row>
    <row r="639" spans="27:79" x14ac:dyDescent="0.25">
      <c r="AA639" t="str">
        <f t="shared" si="350"/>
        <v/>
      </c>
      <c r="AE639" t="str">
        <f t="shared" si="351"/>
        <v/>
      </c>
      <c r="BZ639" t="str">
        <f t="shared" si="349"/>
        <v/>
      </c>
      <c r="CA639" t="str">
        <f t="shared" si="352"/>
        <v/>
      </c>
    </row>
    <row r="640" spans="27:79" x14ac:dyDescent="0.25">
      <c r="AA640" t="str">
        <f t="shared" si="350"/>
        <v/>
      </c>
      <c r="AE640" t="str">
        <f t="shared" si="351"/>
        <v/>
      </c>
      <c r="BZ640" t="str">
        <f t="shared" si="349"/>
        <v/>
      </c>
      <c r="CA640" t="str">
        <f t="shared" si="352"/>
        <v/>
      </c>
    </row>
    <row r="641" spans="27:79" x14ac:dyDescent="0.25">
      <c r="AA641" t="str">
        <f t="shared" si="350"/>
        <v/>
      </c>
      <c r="AE641" t="str">
        <f t="shared" si="351"/>
        <v/>
      </c>
      <c r="BZ641" t="str">
        <f t="shared" si="349"/>
        <v/>
      </c>
      <c r="CA641" t="str">
        <f t="shared" si="352"/>
        <v/>
      </c>
    </row>
    <row r="642" spans="27:79" x14ac:dyDescent="0.25">
      <c r="AA642" t="str">
        <f t="shared" si="350"/>
        <v/>
      </c>
      <c r="AE642" t="str">
        <f t="shared" si="351"/>
        <v/>
      </c>
      <c r="BZ642" t="str">
        <f t="shared" ref="BZ642:BZ705" si="353">IF(BU642=0,"",BV642)</f>
        <v/>
      </c>
      <c r="CA642" t="str">
        <f t="shared" si="352"/>
        <v/>
      </c>
    </row>
    <row r="643" spans="27:79" x14ac:dyDescent="0.25">
      <c r="AA643" t="str">
        <f t="shared" si="350"/>
        <v/>
      </c>
      <c r="AE643" t="str">
        <f t="shared" si="351"/>
        <v/>
      </c>
      <c r="BZ643" t="str">
        <f t="shared" si="353"/>
        <v/>
      </c>
      <c r="CA643" t="str">
        <f t="shared" si="352"/>
        <v/>
      </c>
    </row>
    <row r="644" spans="27:79" x14ac:dyDescent="0.25">
      <c r="AA644" t="str">
        <f t="shared" si="350"/>
        <v/>
      </c>
      <c r="AE644" t="str">
        <f t="shared" si="351"/>
        <v/>
      </c>
      <c r="BZ644" t="str">
        <f t="shared" si="353"/>
        <v/>
      </c>
      <c r="CA644" t="str">
        <f t="shared" si="352"/>
        <v/>
      </c>
    </row>
    <row r="645" spans="27:79" x14ac:dyDescent="0.25">
      <c r="AA645" t="str">
        <f t="shared" si="350"/>
        <v/>
      </c>
      <c r="AE645" t="str">
        <f t="shared" si="351"/>
        <v/>
      </c>
      <c r="BZ645" t="str">
        <f t="shared" si="353"/>
        <v/>
      </c>
      <c r="CA645" t="str">
        <f t="shared" si="352"/>
        <v/>
      </c>
    </row>
    <row r="646" spans="27:79" x14ac:dyDescent="0.25">
      <c r="AA646" t="str">
        <f t="shared" si="350"/>
        <v/>
      </c>
      <c r="AE646" t="str">
        <f t="shared" si="351"/>
        <v/>
      </c>
      <c r="BZ646" t="str">
        <f t="shared" si="353"/>
        <v/>
      </c>
      <c r="CA646" t="str">
        <f t="shared" si="352"/>
        <v/>
      </c>
    </row>
    <row r="647" spans="27:79" x14ac:dyDescent="0.25">
      <c r="AA647" t="str">
        <f t="shared" si="350"/>
        <v/>
      </c>
      <c r="AE647" t="str">
        <f t="shared" si="351"/>
        <v/>
      </c>
      <c r="BZ647" t="str">
        <f t="shared" si="353"/>
        <v/>
      </c>
      <c r="CA647" t="str">
        <f t="shared" si="352"/>
        <v/>
      </c>
    </row>
    <row r="648" spans="27:79" x14ac:dyDescent="0.25">
      <c r="AA648" t="str">
        <f t="shared" si="350"/>
        <v/>
      </c>
      <c r="AE648" t="str">
        <f t="shared" si="351"/>
        <v/>
      </c>
      <c r="BZ648" t="str">
        <f t="shared" si="353"/>
        <v/>
      </c>
      <c r="CA648" t="str">
        <f t="shared" si="352"/>
        <v/>
      </c>
    </row>
    <row r="649" spans="27:79" x14ac:dyDescent="0.25">
      <c r="AA649" t="str">
        <f t="shared" si="350"/>
        <v/>
      </c>
      <c r="AE649" t="str">
        <f t="shared" si="351"/>
        <v/>
      </c>
      <c r="BZ649" t="str">
        <f t="shared" si="353"/>
        <v/>
      </c>
      <c r="CA649" t="str">
        <f t="shared" si="352"/>
        <v/>
      </c>
    </row>
    <row r="650" spans="27:79" x14ac:dyDescent="0.25">
      <c r="AA650" t="str">
        <f t="shared" si="350"/>
        <v/>
      </c>
      <c r="AE650" t="str">
        <f t="shared" si="351"/>
        <v/>
      </c>
      <c r="BZ650" t="str">
        <f t="shared" si="353"/>
        <v/>
      </c>
      <c r="CA650" t="str">
        <f t="shared" si="352"/>
        <v/>
      </c>
    </row>
    <row r="651" spans="27:79" x14ac:dyDescent="0.25">
      <c r="AA651" t="str">
        <f t="shared" si="350"/>
        <v/>
      </c>
      <c r="AE651" t="str">
        <f t="shared" si="351"/>
        <v/>
      </c>
      <c r="BZ651" t="str">
        <f t="shared" si="353"/>
        <v/>
      </c>
      <c r="CA651" t="str">
        <f t="shared" si="352"/>
        <v/>
      </c>
    </row>
    <row r="652" spans="27:79" x14ac:dyDescent="0.25">
      <c r="AA652" t="str">
        <f t="shared" si="350"/>
        <v/>
      </c>
      <c r="AE652" t="str">
        <f t="shared" si="351"/>
        <v/>
      </c>
      <c r="BZ652" t="str">
        <f t="shared" si="353"/>
        <v/>
      </c>
      <c r="CA652" t="str">
        <f t="shared" si="352"/>
        <v/>
      </c>
    </row>
    <row r="653" spans="27:79" x14ac:dyDescent="0.25">
      <c r="AA653" t="str">
        <f t="shared" si="350"/>
        <v/>
      </c>
      <c r="AE653" t="str">
        <f t="shared" si="351"/>
        <v/>
      </c>
      <c r="BZ653" t="str">
        <f t="shared" si="353"/>
        <v/>
      </c>
      <c r="CA653" t="str">
        <f t="shared" si="352"/>
        <v/>
      </c>
    </row>
    <row r="654" spans="27:79" x14ac:dyDescent="0.25">
      <c r="AA654" t="str">
        <f t="shared" si="350"/>
        <v/>
      </c>
      <c r="AE654" t="str">
        <f t="shared" si="351"/>
        <v/>
      </c>
      <c r="BZ654" t="str">
        <f t="shared" si="353"/>
        <v/>
      </c>
      <c r="CA654" t="str">
        <f t="shared" si="352"/>
        <v/>
      </c>
    </row>
    <row r="655" spans="27:79" x14ac:dyDescent="0.25">
      <c r="AA655" t="str">
        <f t="shared" si="350"/>
        <v/>
      </c>
      <c r="AE655" t="str">
        <f t="shared" si="351"/>
        <v/>
      </c>
      <c r="BZ655" t="str">
        <f t="shared" si="353"/>
        <v/>
      </c>
      <c r="CA655" t="str">
        <f t="shared" si="352"/>
        <v/>
      </c>
    </row>
    <row r="656" spans="27:79" x14ac:dyDescent="0.25">
      <c r="AA656" t="str">
        <f t="shared" si="350"/>
        <v/>
      </c>
      <c r="AE656" t="str">
        <f t="shared" si="351"/>
        <v/>
      </c>
      <c r="BZ656" t="str">
        <f t="shared" si="353"/>
        <v/>
      </c>
      <c r="CA656" t="str">
        <f t="shared" si="352"/>
        <v/>
      </c>
    </row>
    <row r="657" spans="27:79" x14ac:dyDescent="0.25">
      <c r="AA657" t="str">
        <f t="shared" si="350"/>
        <v/>
      </c>
      <c r="AE657" t="str">
        <f t="shared" si="351"/>
        <v/>
      </c>
      <c r="BZ657" t="str">
        <f t="shared" si="353"/>
        <v/>
      </c>
      <c r="CA657" t="str">
        <f t="shared" si="352"/>
        <v/>
      </c>
    </row>
    <row r="658" spans="27:79" x14ac:dyDescent="0.25">
      <c r="AA658" t="str">
        <f t="shared" si="350"/>
        <v/>
      </c>
      <c r="AE658" t="str">
        <f t="shared" si="351"/>
        <v/>
      </c>
      <c r="BZ658" t="str">
        <f t="shared" si="353"/>
        <v/>
      </c>
      <c r="CA658" t="str">
        <f t="shared" si="352"/>
        <v/>
      </c>
    </row>
    <row r="659" spans="27:79" x14ac:dyDescent="0.25">
      <c r="AA659" t="str">
        <f t="shared" si="350"/>
        <v/>
      </c>
      <c r="AE659" t="str">
        <f t="shared" si="351"/>
        <v/>
      </c>
      <c r="BZ659" t="str">
        <f t="shared" si="353"/>
        <v/>
      </c>
      <c r="CA659" t="str">
        <f t="shared" si="352"/>
        <v/>
      </c>
    </row>
    <row r="660" spans="27:79" x14ac:dyDescent="0.25">
      <c r="AA660" t="str">
        <f t="shared" si="350"/>
        <v/>
      </c>
      <c r="AE660" t="str">
        <f t="shared" si="351"/>
        <v/>
      </c>
      <c r="BZ660" t="str">
        <f t="shared" si="353"/>
        <v/>
      </c>
      <c r="CA660" t="str">
        <f t="shared" si="352"/>
        <v/>
      </c>
    </row>
    <row r="661" spans="27:79" x14ac:dyDescent="0.25">
      <c r="AA661" t="str">
        <f t="shared" si="350"/>
        <v/>
      </c>
      <c r="AE661" t="str">
        <f t="shared" si="351"/>
        <v/>
      </c>
      <c r="BZ661" t="str">
        <f t="shared" si="353"/>
        <v/>
      </c>
      <c r="CA661" t="str">
        <f t="shared" si="352"/>
        <v/>
      </c>
    </row>
    <row r="662" spans="27:79" x14ac:dyDescent="0.25">
      <c r="AA662" t="str">
        <f t="shared" si="350"/>
        <v/>
      </c>
      <c r="AE662" t="str">
        <f t="shared" si="351"/>
        <v/>
      </c>
      <c r="BZ662" t="str">
        <f t="shared" si="353"/>
        <v/>
      </c>
      <c r="CA662" t="str">
        <f t="shared" si="352"/>
        <v/>
      </c>
    </row>
    <row r="663" spans="27:79" x14ac:dyDescent="0.25">
      <c r="AA663" t="str">
        <f t="shared" si="350"/>
        <v/>
      </c>
      <c r="AE663" t="str">
        <f t="shared" si="351"/>
        <v/>
      </c>
      <c r="BZ663" t="str">
        <f t="shared" si="353"/>
        <v/>
      </c>
      <c r="CA663" t="str">
        <f t="shared" si="352"/>
        <v/>
      </c>
    </row>
    <row r="664" spans="27:79" x14ac:dyDescent="0.25">
      <c r="AA664" t="str">
        <f t="shared" si="350"/>
        <v/>
      </c>
      <c r="AE664" t="str">
        <f t="shared" si="351"/>
        <v/>
      </c>
      <c r="BZ664" t="str">
        <f t="shared" si="353"/>
        <v/>
      </c>
      <c r="CA664" t="str">
        <f t="shared" si="352"/>
        <v/>
      </c>
    </row>
    <row r="665" spans="27:79" x14ac:dyDescent="0.25">
      <c r="AA665" t="str">
        <f t="shared" ref="AA665:AA728" si="354">Z67</f>
        <v/>
      </c>
      <c r="AE665" t="str">
        <f t="shared" ref="AE665:AE728" si="355">AD67</f>
        <v/>
      </c>
      <c r="BZ665" t="str">
        <f t="shared" si="353"/>
        <v/>
      </c>
      <c r="CA665" t="str">
        <f t="shared" si="352"/>
        <v/>
      </c>
    </row>
    <row r="666" spans="27:79" x14ac:dyDescent="0.25">
      <c r="AA666" t="str">
        <f t="shared" si="354"/>
        <v/>
      </c>
      <c r="AE666" t="str">
        <f t="shared" si="355"/>
        <v/>
      </c>
      <c r="BZ666" t="str">
        <f t="shared" si="353"/>
        <v/>
      </c>
      <c r="CA666" t="str">
        <f t="shared" si="352"/>
        <v/>
      </c>
    </row>
    <row r="667" spans="27:79" x14ac:dyDescent="0.25">
      <c r="AA667" t="str">
        <f t="shared" si="354"/>
        <v/>
      </c>
      <c r="AE667" t="str">
        <f t="shared" si="355"/>
        <v/>
      </c>
      <c r="BZ667" t="str">
        <f t="shared" si="353"/>
        <v/>
      </c>
      <c r="CA667" t="str">
        <f t="shared" si="352"/>
        <v/>
      </c>
    </row>
    <row r="668" spans="27:79" x14ac:dyDescent="0.25">
      <c r="AA668" t="str">
        <f t="shared" si="354"/>
        <v/>
      </c>
      <c r="AE668" t="str">
        <f t="shared" si="355"/>
        <v/>
      </c>
      <c r="BZ668" t="str">
        <f t="shared" si="353"/>
        <v/>
      </c>
      <c r="CA668" t="str">
        <f t="shared" si="352"/>
        <v/>
      </c>
    </row>
    <row r="669" spans="27:79" x14ac:dyDescent="0.25">
      <c r="AA669" t="str">
        <f t="shared" si="354"/>
        <v/>
      </c>
      <c r="AE669" t="str">
        <f t="shared" si="355"/>
        <v/>
      </c>
      <c r="BZ669" t="str">
        <f t="shared" si="353"/>
        <v/>
      </c>
      <c r="CA669" t="str">
        <f t="shared" si="352"/>
        <v/>
      </c>
    </row>
    <row r="670" spans="27:79" x14ac:dyDescent="0.25">
      <c r="AA670" t="str">
        <f t="shared" si="354"/>
        <v/>
      </c>
      <c r="AE670" t="str">
        <f t="shared" si="355"/>
        <v/>
      </c>
      <c r="BZ670" t="str">
        <f t="shared" si="353"/>
        <v/>
      </c>
      <c r="CA670" t="str">
        <f t="shared" si="352"/>
        <v/>
      </c>
    </row>
    <row r="671" spans="27:79" x14ac:dyDescent="0.25">
      <c r="AA671" t="str">
        <f t="shared" si="354"/>
        <v/>
      </c>
      <c r="AE671" t="str">
        <f t="shared" si="355"/>
        <v/>
      </c>
      <c r="BZ671" t="str">
        <f t="shared" si="353"/>
        <v/>
      </c>
      <c r="CA671" t="str">
        <f t="shared" si="352"/>
        <v/>
      </c>
    </row>
    <row r="672" spans="27:79" x14ac:dyDescent="0.25">
      <c r="AA672" t="str">
        <f t="shared" si="354"/>
        <v/>
      </c>
      <c r="AE672" t="str">
        <f t="shared" si="355"/>
        <v/>
      </c>
      <c r="BZ672" t="str">
        <f t="shared" si="353"/>
        <v/>
      </c>
      <c r="CA672" t="str">
        <f t="shared" si="352"/>
        <v/>
      </c>
    </row>
    <row r="673" spans="27:79" x14ac:dyDescent="0.25">
      <c r="AA673" t="str">
        <f t="shared" si="354"/>
        <v/>
      </c>
      <c r="AE673" t="str">
        <f t="shared" si="355"/>
        <v/>
      </c>
      <c r="BZ673" t="str">
        <f t="shared" si="353"/>
        <v/>
      </c>
      <c r="CA673" t="str">
        <f t="shared" si="352"/>
        <v/>
      </c>
    </row>
    <row r="674" spans="27:79" x14ac:dyDescent="0.25">
      <c r="AA674" t="str">
        <f t="shared" si="354"/>
        <v/>
      </c>
      <c r="AE674" t="str">
        <f t="shared" si="355"/>
        <v/>
      </c>
      <c r="BZ674" t="str">
        <f t="shared" si="353"/>
        <v/>
      </c>
      <c r="CA674" t="str">
        <f t="shared" si="352"/>
        <v/>
      </c>
    </row>
    <row r="675" spans="27:79" x14ac:dyDescent="0.25">
      <c r="AA675" t="e">
        <f t="shared" si="354"/>
        <v>#VALUE!</v>
      </c>
      <c r="AE675" t="str">
        <f t="shared" si="355"/>
        <v/>
      </c>
      <c r="BZ675" t="str">
        <f t="shared" si="353"/>
        <v/>
      </c>
      <c r="CA675" t="str">
        <f t="shared" si="352"/>
        <v/>
      </c>
    </row>
    <row r="676" spans="27:79" x14ac:dyDescent="0.25">
      <c r="AA676" t="e">
        <f t="shared" si="354"/>
        <v>#VALUE!</v>
      </c>
      <c r="AE676" t="str">
        <f t="shared" si="355"/>
        <v/>
      </c>
      <c r="BZ676" t="str">
        <f t="shared" si="353"/>
        <v/>
      </c>
      <c r="CA676" t="str">
        <f t="shared" si="352"/>
        <v/>
      </c>
    </row>
    <row r="677" spans="27:79" x14ac:dyDescent="0.25">
      <c r="AA677" t="e">
        <f t="shared" si="354"/>
        <v>#VALUE!</v>
      </c>
      <c r="AE677" t="str">
        <f t="shared" si="355"/>
        <v/>
      </c>
      <c r="BZ677" t="str">
        <f t="shared" si="353"/>
        <v/>
      </c>
      <c r="CA677" t="str">
        <f t="shared" si="352"/>
        <v/>
      </c>
    </row>
    <row r="678" spans="27:79" x14ac:dyDescent="0.25">
      <c r="AA678" t="e">
        <f t="shared" si="354"/>
        <v>#VALUE!</v>
      </c>
      <c r="AE678" t="str">
        <f t="shared" si="355"/>
        <v/>
      </c>
      <c r="BZ678" t="str">
        <f t="shared" si="353"/>
        <v/>
      </c>
      <c r="CA678" t="str">
        <f t="shared" si="352"/>
        <v/>
      </c>
    </row>
    <row r="679" spans="27:79" x14ac:dyDescent="0.25">
      <c r="AA679" t="e">
        <f t="shared" si="354"/>
        <v>#VALUE!</v>
      </c>
      <c r="AE679" t="str">
        <f t="shared" si="355"/>
        <v/>
      </c>
      <c r="BZ679" t="str">
        <f t="shared" si="353"/>
        <v/>
      </c>
      <c r="CA679" t="str">
        <f t="shared" si="352"/>
        <v/>
      </c>
    </row>
    <row r="680" spans="27:79" x14ac:dyDescent="0.25">
      <c r="AA680" t="e">
        <f t="shared" si="354"/>
        <v>#VALUE!</v>
      </c>
      <c r="AE680" t="str">
        <f t="shared" si="355"/>
        <v/>
      </c>
      <c r="BZ680" t="str">
        <f t="shared" si="353"/>
        <v/>
      </c>
      <c r="CA680" t="str">
        <f t="shared" si="352"/>
        <v/>
      </c>
    </row>
    <row r="681" spans="27:79" x14ac:dyDescent="0.25">
      <c r="AA681" t="e">
        <f t="shared" si="354"/>
        <v>#VALUE!</v>
      </c>
      <c r="AE681" t="str">
        <f t="shared" si="355"/>
        <v/>
      </c>
      <c r="BZ681" t="str">
        <f t="shared" si="353"/>
        <v/>
      </c>
      <c r="CA681" t="str">
        <f t="shared" si="352"/>
        <v/>
      </c>
    </row>
    <row r="682" spans="27:79" x14ac:dyDescent="0.25">
      <c r="AA682" t="e">
        <f t="shared" si="354"/>
        <v>#VALUE!</v>
      </c>
      <c r="AE682" t="str">
        <f t="shared" si="355"/>
        <v/>
      </c>
      <c r="BZ682" t="str">
        <f t="shared" si="353"/>
        <v/>
      </c>
      <c r="CA682" t="str">
        <f t="shared" si="352"/>
        <v/>
      </c>
    </row>
    <row r="683" spans="27:79" x14ac:dyDescent="0.25">
      <c r="AA683" t="e">
        <f t="shared" si="354"/>
        <v>#VALUE!</v>
      </c>
      <c r="AE683" t="str">
        <f t="shared" si="355"/>
        <v/>
      </c>
      <c r="BZ683" t="str">
        <f t="shared" si="353"/>
        <v/>
      </c>
      <c r="CA683" t="str">
        <f t="shared" si="352"/>
        <v/>
      </c>
    </row>
    <row r="684" spans="27:79" x14ac:dyDescent="0.25">
      <c r="AA684" t="e">
        <f t="shared" si="354"/>
        <v>#VALUE!</v>
      </c>
      <c r="AE684" t="str">
        <f t="shared" si="355"/>
        <v/>
      </c>
      <c r="BZ684" t="str">
        <f t="shared" si="353"/>
        <v/>
      </c>
      <c r="CA684" t="str">
        <f t="shared" si="352"/>
        <v/>
      </c>
    </row>
    <row r="685" spans="27:79" x14ac:dyDescent="0.25">
      <c r="AA685" t="e">
        <f t="shared" si="354"/>
        <v>#VALUE!</v>
      </c>
      <c r="AE685" t="str">
        <f t="shared" si="355"/>
        <v/>
      </c>
      <c r="BZ685" t="str">
        <f t="shared" si="353"/>
        <v/>
      </c>
      <c r="CA685" t="str">
        <f t="shared" si="352"/>
        <v/>
      </c>
    </row>
    <row r="686" spans="27:79" x14ac:dyDescent="0.25">
      <c r="AA686" t="e">
        <f t="shared" si="354"/>
        <v>#VALUE!</v>
      </c>
      <c r="AE686" t="str">
        <f t="shared" si="355"/>
        <v/>
      </c>
      <c r="BZ686" t="str">
        <f t="shared" si="353"/>
        <v/>
      </c>
      <c r="CA686" t="str">
        <f t="shared" si="352"/>
        <v/>
      </c>
    </row>
    <row r="687" spans="27:79" x14ac:dyDescent="0.25">
      <c r="AA687" t="e">
        <f t="shared" si="354"/>
        <v>#VALUE!</v>
      </c>
      <c r="AE687" t="str">
        <f t="shared" si="355"/>
        <v/>
      </c>
      <c r="BZ687" t="str">
        <f t="shared" si="353"/>
        <v/>
      </c>
      <c r="CA687" t="str">
        <f t="shared" ref="CA687:CA750" si="356">IF(BU687=0,"",BW687)</f>
        <v/>
      </c>
    </row>
    <row r="688" spans="27:79" x14ac:dyDescent="0.25">
      <c r="AA688" t="e">
        <f t="shared" si="354"/>
        <v>#VALUE!</v>
      </c>
      <c r="AE688" t="str">
        <f t="shared" si="355"/>
        <v/>
      </c>
      <c r="BZ688" t="str">
        <f t="shared" si="353"/>
        <v/>
      </c>
      <c r="CA688" t="str">
        <f t="shared" si="356"/>
        <v/>
      </c>
    </row>
    <row r="689" spans="27:79" x14ac:dyDescent="0.25">
      <c r="AA689" t="e">
        <f t="shared" si="354"/>
        <v>#VALUE!</v>
      </c>
      <c r="AE689" t="str">
        <f t="shared" si="355"/>
        <v/>
      </c>
      <c r="BZ689" t="str">
        <f t="shared" si="353"/>
        <v/>
      </c>
      <c r="CA689" t="str">
        <f t="shared" si="356"/>
        <v/>
      </c>
    </row>
    <row r="690" spans="27:79" x14ac:dyDescent="0.25">
      <c r="AA690" t="e">
        <f t="shared" si="354"/>
        <v>#VALUE!</v>
      </c>
      <c r="AE690" t="str">
        <f t="shared" si="355"/>
        <v/>
      </c>
      <c r="BZ690" t="str">
        <f t="shared" si="353"/>
        <v/>
      </c>
      <c r="CA690" t="str">
        <f t="shared" si="356"/>
        <v/>
      </c>
    </row>
    <row r="691" spans="27:79" x14ac:dyDescent="0.25">
      <c r="AA691" t="e">
        <f t="shared" si="354"/>
        <v>#VALUE!</v>
      </c>
      <c r="AE691" t="str">
        <f t="shared" si="355"/>
        <v/>
      </c>
      <c r="BZ691" t="str">
        <f t="shared" si="353"/>
        <v/>
      </c>
      <c r="CA691" t="str">
        <f t="shared" si="356"/>
        <v/>
      </c>
    </row>
    <row r="692" spans="27:79" x14ac:dyDescent="0.25">
      <c r="AA692" t="e">
        <f t="shared" si="354"/>
        <v>#VALUE!</v>
      </c>
      <c r="AE692" t="str">
        <f t="shared" si="355"/>
        <v/>
      </c>
      <c r="BZ692" t="str">
        <f t="shared" si="353"/>
        <v/>
      </c>
      <c r="CA692" t="str">
        <f t="shared" si="356"/>
        <v/>
      </c>
    </row>
    <row r="693" spans="27:79" x14ac:dyDescent="0.25">
      <c r="AA693" t="e">
        <f t="shared" si="354"/>
        <v>#VALUE!</v>
      </c>
      <c r="AE693" t="str">
        <f t="shared" si="355"/>
        <v/>
      </c>
      <c r="BZ693" t="str">
        <f t="shared" si="353"/>
        <v/>
      </c>
      <c r="CA693" t="str">
        <f t="shared" si="356"/>
        <v/>
      </c>
    </row>
    <row r="694" spans="27:79" x14ac:dyDescent="0.25">
      <c r="AA694" t="e">
        <f t="shared" si="354"/>
        <v>#VALUE!</v>
      </c>
      <c r="AE694" t="str">
        <f t="shared" si="355"/>
        <v/>
      </c>
      <c r="BZ694" t="str">
        <f t="shared" si="353"/>
        <v/>
      </c>
      <c r="CA694" t="str">
        <f t="shared" si="356"/>
        <v/>
      </c>
    </row>
    <row r="695" spans="27:79" x14ac:dyDescent="0.25">
      <c r="AA695" t="e">
        <f t="shared" si="354"/>
        <v>#VALUE!</v>
      </c>
      <c r="AE695" t="str">
        <f t="shared" si="355"/>
        <v/>
      </c>
      <c r="BZ695" t="str">
        <f t="shared" si="353"/>
        <v/>
      </c>
      <c r="CA695" t="str">
        <f t="shared" si="356"/>
        <v/>
      </c>
    </row>
    <row r="696" spans="27:79" x14ac:dyDescent="0.25">
      <c r="AA696" t="e">
        <f t="shared" si="354"/>
        <v>#VALUE!</v>
      </c>
      <c r="AE696" t="str">
        <f t="shared" si="355"/>
        <v/>
      </c>
      <c r="BZ696" t="str">
        <f t="shared" si="353"/>
        <v/>
      </c>
      <c r="CA696" t="str">
        <f t="shared" si="356"/>
        <v/>
      </c>
    </row>
    <row r="697" spans="27:79" x14ac:dyDescent="0.25">
      <c r="AA697" t="e">
        <f t="shared" si="354"/>
        <v>#VALUE!</v>
      </c>
      <c r="AE697" t="str">
        <f t="shared" si="355"/>
        <v/>
      </c>
      <c r="BZ697" t="str">
        <f t="shared" si="353"/>
        <v/>
      </c>
      <c r="CA697" t="str">
        <f t="shared" si="356"/>
        <v/>
      </c>
    </row>
    <row r="698" spans="27:79" x14ac:dyDescent="0.25">
      <c r="AA698" t="e">
        <f t="shared" si="354"/>
        <v>#VALUE!</v>
      </c>
      <c r="AE698" t="str">
        <f t="shared" si="355"/>
        <v/>
      </c>
      <c r="BZ698" t="str">
        <f t="shared" si="353"/>
        <v/>
      </c>
      <c r="CA698" t="str">
        <f t="shared" si="356"/>
        <v/>
      </c>
    </row>
    <row r="699" spans="27:79" x14ac:dyDescent="0.25">
      <c r="AA699" t="e">
        <f t="shared" si="354"/>
        <v>#VALUE!</v>
      </c>
      <c r="AE699" t="str">
        <f t="shared" si="355"/>
        <v/>
      </c>
      <c r="BZ699" t="str">
        <f t="shared" si="353"/>
        <v/>
      </c>
      <c r="CA699" t="str">
        <f t="shared" si="356"/>
        <v/>
      </c>
    </row>
    <row r="700" spans="27:79" x14ac:dyDescent="0.25">
      <c r="AA700" t="e">
        <f t="shared" si="354"/>
        <v>#VALUE!</v>
      </c>
      <c r="AE700" t="str">
        <f t="shared" si="355"/>
        <v/>
      </c>
      <c r="BZ700" t="str">
        <f t="shared" si="353"/>
        <v/>
      </c>
      <c r="CA700" t="str">
        <f t="shared" si="356"/>
        <v/>
      </c>
    </row>
    <row r="701" spans="27:79" x14ac:dyDescent="0.25">
      <c r="AA701" t="e">
        <f t="shared" si="354"/>
        <v>#VALUE!</v>
      </c>
      <c r="AE701" t="str">
        <f t="shared" si="355"/>
        <v/>
      </c>
      <c r="BZ701" t="str">
        <f t="shared" si="353"/>
        <v/>
      </c>
      <c r="CA701" t="str">
        <f t="shared" si="356"/>
        <v/>
      </c>
    </row>
    <row r="702" spans="27:79" x14ac:dyDescent="0.25">
      <c r="AA702" t="e">
        <f t="shared" si="354"/>
        <v>#VALUE!</v>
      </c>
      <c r="AE702" t="str">
        <f t="shared" si="355"/>
        <v/>
      </c>
      <c r="BZ702" t="str">
        <f t="shared" si="353"/>
        <v/>
      </c>
      <c r="CA702" t="str">
        <f t="shared" si="356"/>
        <v/>
      </c>
    </row>
    <row r="703" spans="27:79" x14ac:dyDescent="0.25">
      <c r="AA703" t="e">
        <f t="shared" si="354"/>
        <v>#VALUE!</v>
      </c>
      <c r="AE703" t="str">
        <f t="shared" si="355"/>
        <v/>
      </c>
      <c r="BZ703" t="str">
        <f t="shared" si="353"/>
        <v/>
      </c>
      <c r="CA703" t="str">
        <f t="shared" si="356"/>
        <v/>
      </c>
    </row>
    <row r="704" spans="27:79" x14ac:dyDescent="0.25">
      <c r="AA704" t="e">
        <f t="shared" si="354"/>
        <v>#VALUE!</v>
      </c>
      <c r="AE704" t="str">
        <f t="shared" si="355"/>
        <v/>
      </c>
      <c r="BZ704" t="str">
        <f t="shared" si="353"/>
        <v/>
      </c>
      <c r="CA704" t="str">
        <f t="shared" si="356"/>
        <v/>
      </c>
    </row>
    <row r="705" spans="27:79" x14ac:dyDescent="0.25">
      <c r="AA705" t="e">
        <f t="shared" si="354"/>
        <v>#VALUE!</v>
      </c>
      <c r="AE705" t="str">
        <f t="shared" si="355"/>
        <v/>
      </c>
      <c r="BZ705" t="str">
        <f t="shared" si="353"/>
        <v/>
      </c>
      <c r="CA705" t="str">
        <f t="shared" si="356"/>
        <v/>
      </c>
    </row>
    <row r="706" spans="27:79" x14ac:dyDescent="0.25">
      <c r="AA706" t="e">
        <f t="shared" si="354"/>
        <v>#VALUE!</v>
      </c>
      <c r="AE706" t="str">
        <f t="shared" si="355"/>
        <v/>
      </c>
      <c r="BZ706" t="str">
        <f t="shared" ref="BZ706:BZ769" si="357">IF(BU706=0,"",BV706)</f>
        <v/>
      </c>
      <c r="CA706" t="str">
        <f t="shared" si="356"/>
        <v/>
      </c>
    </row>
    <row r="707" spans="27:79" x14ac:dyDescent="0.25">
      <c r="AA707" t="e">
        <f t="shared" si="354"/>
        <v>#VALUE!</v>
      </c>
      <c r="AE707" t="str">
        <f t="shared" si="355"/>
        <v/>
      </c>
      <c r="BZ707" t="str">
        <f t="shared" si="357"/>
        <v/>
      </c>
      <c r="CA707" t="str">
        <f t="shared" si="356"/>
        <v/>
      </c>
    </row>
    <row r="708" spans="27:79" x14ac:dyDescent="0.25">
      <c r="AA708" t="e">
        <f t="shared" si="354"/>
        <v>#VALUE!</v>
      </c>
      <c r="AE708" t="str">
        <f t="shared" si="355"/>
        <v/>
      </c>
      <c r="BZ708" t="str">
        <f t="shared" si="357"/>
        <v/>
      </c>
      <c r="CA708" t="str">
        <f t="shared" si="356"/>
        <v/>
      </c>
    </row>
    <row r="709" spans="27:79" x14ac:dyDescent="0.25">
      <c r="AA709" t="e">
        <f t="shared" si="354"/>
        <v>#VALUE!</v>
      </c>
      <c r="AE709" t="str">
        <f t="shared" si="355"/>
        <v/>
      </c>
      <c r="BZ709" t="str">
        <f t="shared" si="357"/>
        <v/>
      </c>
      <c r="CA709" t="str">
        <f t="shared" si="356"/>
        <v/>
      </c>
    </row>
    <row r="710" spans="27:79" x14ac:dyDescent="0.25">
      <c r="AA710" t="e">
        <f t="shared" si="354"/>
        <v>#VALUE!</v>
      </c>
      <c r="AE710" t="str">
        <f t="shared" si="355"/>
        <v/>
      </c>
      <c r="BZ710" t="str">
        <f t="shared" si="357"/>
        <v/>
      </c>
      <c r="CA710" t="str">
        <f t="shared" si="356"/>
        <v/>
      </c>
    </row>
    <row r="711" spans="27:79" x14ac:dyDescent="0.25">
      <c r="AA711" t="e">
        <f t="shared" si="354"/>
        <v>#VALUE!</v>
      </c>
      <c r="AE711" t="str">
        <f t="shared" si="355"/>
        <v/>
      </c>
      <c r="BZ711" t="str">
        <f t="shared" si="357"/>
        <v/>
      </c>
      <c r="CA711" t="str">
        <f t="shared" si="356"/>
        <v/>
      </c>
    </row>
    <row r="712" spans="27:79" x14ac:dyDescent="0.25">
      <c r="AA712" t="e">
        <f t="shared" si="354"/>
        <v>#VALUE!</v>
      </c>
      <c r="AE712" t="str">
        <f t="shared" si="355"/>
        <v/>
      </c>
      <c r="BZ712" t="str">
        <f t="shared" si="357"/>
        <v/>
      </c>
      <c r="CA712" t="str">
        <f t="shared" si="356"/>
        <v/>
      </c>
    </row>
    <row r="713" spans="27:79" x14ac:dyDescent="0.25">
      <c r="AA713" t="e">
        <f t="shared" si="354"/>
        <v>#VALUE!</v>
      </c>
      <c r="AE713" t="str">
        <f t="shared" si="355"/>
        <v/>
      </c>
      <c r="BZ713" t="str">
        <f t="shared" si="357"/>
        <v/>
      </c>
      <c r="CA713" t="str">
        <f t="shared" si="356"/>
        <v/>
      </c>
    </row>
    <row r="714" spans="27:79" x14ac:dyDescent="0.25">
      <c r="AA714" t="e">
        <f t="shared" si="354"/>
        <v>#VALUE!</v>
      </c>
      <c r="AE714" t="str">
        <f t="shared" si="355"/>
        <v/>
      </c>
      <c r="BZ714" t="str">
        <f t="shared" si="357"/>
        <v/>
      </c>
      <c r="CA714" t="str">
        <f t="shared" si="356"/>
        <v/>
      </c>
    </row>
    <row r="715" spans="27:79" x14ac:dyDescent="0.25">
      <c r="AA715" t="e">
        <f t="shared" si="354"/>
        <v>#VALUE!</v>
      </c>
      <c r="AE715" t="str">
        <f t="shared" si="355"/>
        <v/>
      </c>
      <c r="BZ715" t="str">
        <f t="shared" si="357"/>
        <v/>
      </c>
      <c r="CA715" t="str">
        <f t="shared" si="356"/>
        <v/>
      </c>
    </row>
    <row r="716" spans="27:79" x14ac:dyDescent="0.25">
      <c r="AA716" t="e">
        <f t="shared" si="354"/>
        <v>#VALUE!</v>
      </c>
      <c r="AE716" t="str">
        <f t="shared" si="355"/>
        <v/>
      </c>
      <c r="BZ716" t="str">
        <f t="shared" si="357"/>
        <v/>
      </c>
      <c r="CA716" t="str">
        <f t="shared" si="356"/>
        <v/>
      </c>
    </row>
    <row r="717" spans="27:79" x14ac:dyDescent="0.25">
      <c r="AA717" t="e">
        <f t="shared" si="354"/>
        <v>#VALUE!</v>
      </c>
      <c r="AE717" t="str">
        <f t="shared" si="355"/>
        <v/>
      </c>
      <c r="BZ717" t="str">
        <f t="shared" si="357"/>
        <v/>
      </c>
      <c r="CA717" t="str">
        <f t="shared" si="356"/>
        <v/>
      </c>
    </row>
    <row r="718" spans="27:79" x14ac:dyDescent="0.25">
      <c r="AA718" t="e">
        <f t="shared" si="354"/>
        <v>#VALUE!</v>
      </c>
      <c r="AE718" t="str">
        <f t="shared" si="355"/>
        <v/>
      </c>
      <c r="BZ718" t="str">
        <f t="shared" si="357"/>
        <v/>
      </c>
      <c r="CA718" t="str">
        <f t="shared" si="356"/>
        <v/>
      </c>
    </row>
    <row r="719" spans="27:79" x14ac:dyDescent="0.25">
      <c r="AA719" t="e">
        <f t="shared" si="354"/>
        <v>#VALUE!</v>
      </c>
      <c r="AE719" t="str">
        <f t="shared" si="355"/>
        <v/>
      </c>
      <c r="BZ719" t="str">
        <f t="shared" si="357"/>
        <v/>
      </c>
      <c r="CA719" t="str">
        <f t="shared" si="356"/>
        <v/>
      </c>
    </row>
    <row r="720" spans="27:79" x14ac:dyDescent="0.25">
      <c r="AA720" t="e">
        <f t="shared" si="354"/>
        <v>#VALUE!</v>
      </c>
      <c r="AE720" t="str">
        <f t="shared" si="355"/>
        <v/>
      </c>
      <c r="BZ720" t="str">
        <f t="shared" si="357"/>
        <v/>
      </c>
      <c r="CA720" t="str">
        <f t="shared" si="356"/>
        <v/>
      </c>
    </row>
    <row r="721" spans="27:79" x14ac:dyDescent="0.25">
      <c r="AA721" t="e">
        <f t="shared" si="354"/>
        <v>#VALUE!</v>
      </c>
      <c r="AE721" t="str">
        <f t="shared" si="355"/>
        <v/>
      </c>
      <c r="BZ721" t="str">
        <f t="shared" si="357"/>
        <v/>
      </c>
      <c r="CA721" t="str">
        <f t="shared" si="356"/>
        <v/>
      </c>
    </row>
    <row r="722" spans="27:79" x14ac:dyDescent="0.25">
      <c r="AA722" t="e">
        <f t="shared" si="354"/>
        <v>#VALUE!</v>
      </c>
      <c r="AE722" t="str">
        <f t="shared" si="355"/>
        <v/>
      </c>
      <c r="BZ722" t="str">
        <f t="shared" si="357"/>
        <v/>
      </c>
      <c r="CA722" t="str">
        <f t="shared" si="356"/>
        <v/>
      </c>
    </row>
    <row r="723" spans="27:79" x14ac:dyDescent="0.25">
      <c r="AA723" t="e">
        <f t="shared" si="354"/>
        <v>#VALUE!</v>
      </c>
      <c r="AE723" t="str">
        <f t="shared" si="355"/>
        <v/>
      </c>
      <c r="BZ723" t="str">
        <f t="shared" si="357"/>
        <v/>
      </c>
      <c r="CA723" t="str">
        <f t="shared" si="356"/>
        <v/>
      </c>
    </row>
    <row r="724" spans="27:79" x14ac:dyDescent="0.25">
      <c r="AA724" t="e">
        <f t="shared" si="354"/>
        <v>#VALUE!</v>
      </c>
      <c r="AE724" t="str">
        <f t="shared" si="355"/>
        <v/>
      </c>
      <c r="BZ724" t="str">
        <f t="shared" si="357"/>
        <v/>
      </c>
      <c r="CA724" t="str">
        <f t="shared" si="356"/>
        <v/>
      </c>
    </row>
    <row r="725" spans="27:79" x14ac:dyDescent="0.25">
      <c r="AA725" t="e">
        <f t="shared" si="354"/>
        <v>#VALUE!</v>
      </c>
      <c r="AE725" t="str">
        <f t="shared" si="355"/>
        <v/>
      </c>
      <c r="BZ725" t="str">
        <f t="shared" si="357"/>
        <v/>
      </c>
      <c r="CA725" t="str">
        <f t="shared" si="356"/>
        <v/>
      </c>
    </row>
    <row r="726" spans="27:79" x14ac:dyDescent="0.25">
      <c r="AA726" t="e">
        <f t="shared" si="354"/>
        <v>#VALUE!</v>
      </c>
      <c r="AE726" t="str">
        <f t="shared" si="355"/>
        <v/>
      </c>
      <c r="BZ726" t="str">
        <f t="shared" si="357"/>
        <v/>
      </c>
      <c r="CA726" t="str">
        <f t="shared" si="356"/>
        <v/>
      </c>
    </row>
    <row r="727" spans="27:79" x14ac:dyDescent="0.25">
      <c r="AA727" t="e">
        <f t="shared" si="354"/>
        <v>#VALUE!</v>
      </c>
      <c r="AE727" t="str">
        <f t="shared" si="355"/>
        <v/>
      </c>
      <c r="BZ727" t="str">
        <f t="shared" si="357"/>
        <v/>
      </c>
      <c r="CA727" t="str">
        <f t="shared" si="356"/>
        <v/>
      </c>
    </row>
    <row r="728" spans="27:79" x14ac:dyDescent="0.25">
      <c r="AA728" t="e">
        <f t="shared" si="354"/>
        <v>#VALUE!</v>
      </c>
      <c r="AE728" t="str">
        <f t="shared" si="355"/>
        <v/>
      </c>
      <c r="BZ728" t="str">
        <f t="shared" si="357"/>
        <v/>
      </c>
      <c r="CA728" t="str">
        <f t="shared" si="356"/>
        <v/>
      </c>
    </row>
    <row r="729" spans="27:79" x14ac:dyDescent="0.25">
      <c r="AA729" t="e">
        <f t="shared" ref="AA729:AA792" si="358">Z131</f>
        <v>#VALUE!</v>
      </c>
      <c r="AE729" t="str">
        <f t="shared" ref="AE729:AE792" si="359">AD131</f>
        <v/>
      </c>
      <c r="BZ729" t="str">
        <f t="shared" si="357"/>
        <v/>
      </c>
      <c r="CA729" t="str">
        <f t="shared" si="356"/>
        <v/>
      </c>
    </row>
    <row r="730" spans="27:79" x14ac:dyDescent="0.25">
      <c r="AA730" t="e">
        <f t="shared" si="358"/>
        <v>#VALUE!</v>
      </c>
      <c r="AE730" t="str">
        <f t="shared" si="359"/>
        <v/>
      </c>
      <c r="BZ730" t="str">
        <f t="shared" si="357"/>
        <v/>
      </c>
      <c r="CA730" t="str">
        <f t="shared" si="356"/>
        <v/>
      </c>
    </row>
    <row r="731" spans="27:79" x14ac:dyDescent="0.25">
      <c r="AA731" t="e">
        <f t="shared" si="358"/>
        <v>#VALUE!</v>
      </c>
      <c r="AE731" t="str">
        <f t="shared" si="359"/>
        <v/>
      </c>
      <c r="BZ731" t="str">
        <f t="shared" si="357"/>
        <v/>
      </c>
      <c r="CA731" t="str">
        <f t="shared" si="356"/>
        <v/>
      </c>
    </row>
    <row r="732" spans="27:79" x14ac:dyDescent="0.25">
      <c r="AA732" t="e">
        <f t="shared" si="358"/>
        <v>#VALUE!</v>
      </c>
      <c r="AE732" t="str">
        <f t="shared" si="359"/>
        <v/>
      </c>
      <c r="BZ732" t="str">
        <f t="shared" si="357"/>
        <v/>
      </c>
      <c r="CA732" t="str">
        <f t="shared" si="356"/>
        <v/>
      </c>
    </row>
    <row r="733" spans="27:79" x14ac:dyDescent="0.25">
      <c r="AA733" t="e">
        <f t="shared" si="358"/>
        <v>#VALUE!</v>
      </c>
      <c r="AE733" t="str">
        <f t="shared" si="359"/>
        <v/>
      </c>
      <c r="BZ733" t="str">
        <f t="shared" si="357"/>
        <v/>
      </c>
      <c r="CA733" t="str">
        <f t="shared" si="356"/>
        <v/>
      </c>
    </row>
    <row r="734" spans="27:79" x14ac:dyDescent="0.25">
      <c r="AA734" t="e">
        <f t="shared" si="358"/>
        <v>#VALUE!</v>
      </c>
      <c r="AE734" t="str">
        <f t="shared" si="359"/>
        <v/>
      </c>
      <c r="BZ734" t="str">
        <f t="shared" si="357"/>
        <v/>
      </c>
      <c r="CA734" t="str">
        <f t="shared" si="356"/>
        <v/>
      </c>
    </row>
    <row r="735" spans="27:79" x14ac:dyDescent="0.25">
      <c r="AA735" t="e">
        <f t="shared" si="358"/>
        <v>#VALUE!</v>
      </c>
      <c r="AE735" t="str">
        <f t="shared" si="359"/>
        <v/>
      </c>
      <c r="BZ735" t="str">
        <f t="shared" si="357"/>
        <v/>
      </c>
      <c r="CA735" t="str">
        <f t="shared" si="356"/>
        <v/>
      </c>
    </row>
    <row r="736" spans="27:79" x14ac:dyDescent="0.25">
      <c r="AA736" t="e">
        <f t="shared" si="358"/>
        <v>#VALUE!</v>
      </c>
      <c r="AE736" t="str">
        <f t="shared" si="359"/>
        <v/>
      </c>
      <c r="BZ736" t="str">
        <f t="shared" si="357"/>
        <v/>
      </c>
      <c r="CA736" t="str">
        <f t="shared" si="356"/>
        <v/>
      </c>
    </row>
    <row r="737" spans="27:79" x14ac:dyDescent="0.25">
      <c r="AA737" t="e">
        <f t="shared" si="358"/>
        <v>#VALUE!</v>
      </c>
      <c r="AE737" t="str">
        <f t="shared" si="359"/>
        <v/>
      </c>
      <c r="BZ737" t="str">
        <f t="shared" si="357"/>
        <v/>
      </c>
      <c r="CA737" t="str">
        <f t="shared" si="356"/>
        <v/>
      </c>
    </row>
    <row r="738" spans="27:79" x14ac:dyDescent="0.25">
      <c r="AA738" t="e">
        <f t="shared" si="358"/>
        <v>#VALUE!</v>
      </c>
      <c r="AE738" t="str">
        <f t="shared" si="359"/>
        <v/>
      </c>
      <c r="BZ738" t="str">
        <f t="shared" si="357"/>
        <v/>
      </c>
      <c r="CA738" t="str">
        <f t="shared" si="356"/>
        <v/>
      </c>
    </row>
    <row r="739" spans="27:79" x14ac:dyDescent="0.25">
      <c r="AA739" t="e">
        <f t="shared" si="358"/>
        <v>#VALUE!</v>
      </c>
      <c r="AE739" t="str">
        <f t="shared" si="359"/>
        <v/>
      </c>
      <c r="BZ739" t="str">
        <f t="shared" si="357"/>
        <v/>
      </c>
      <c r="CA739" t="str">
        <f t="shared" si="356"/>
        <v/>
      </c>
    </row>
    <row r="740" spans="27:79" x14ac:dyDescent="0.25">
      <c r="AA740" t="e">
        <f t="shared" si="358"/>
        <v>#VALUE!</v>
      </c>
      <c r="AE740" t="str">
        <f t="shared" si="359"/>
        <v/>
      </c>
      <c r="BZ740" t="str">
        <f t="shared" si="357"/>
        <v/>
      </c>
      <c r="CA740" t="str">
        <f t="shared" si="356"/>
        <v/>
      </c>
    </row>
    <row r="741" spans="27:79" x14ac:dyDescent="0.25">
      <c r="AA741" t="e">
        <f t="shared" si="358"/>
        <v>#VALUE!</v>
      </c>
      <c r="AE741" t="str">
        <f t="shared" si="359"/>
        <v/>
      </c>
      <c r="BZ741" t="str">
        <f t="shared" si="357"/>
        <v/>
      </c>
      <c r="CA741" t="str">
        <f t="shared" si="356"/>
        <v/>
      </c>
    </row>
    <row r="742" spans="27:79" x14ac:dyDescent="0.25">
      <c r="AA742" t="e">
        <f t="shared" si="358"/>
        <v>#VALUE!</v>
      </c>
      <c r="AE742" t="str">
        <f t="shared" si="359"/>
        <v/>
      </c>
      <c r="BZ742" t="str">
        <f t="shared" si="357"/>
        <v/>
      </c>
      <c r="CA742" t="str">
        <f t="shared" si="356"/>
        <v/>
      </c>
    </row>
    <row r="743" spans="27:79" x14ac:dyDescent="0.25">
      <c r="AA743" t="e">
        <f t="shared" si="358"/>
        <v>#VALUE!</v>
      </c>
      <c r="AE743" t="str">
        <f t="shared" si="359"/>
        <v/>
      </c>
      <c r="BZ743" t="str">
        <f t="shared" si="357"/>
        <v/>
      </c>
      <c r="CA743" t="str">
        <f t="shared" si="356"/>
        <v/>
      </c>
    </row>
    <row r="744" spans="27:79" x14ac:dyDescent="0.25">
      <c r="AA744" t="e">
        <f t="shared" si="358"/>
        <v>#VALUE!</v>
      </c>
      <c r="AE744" t="str">
        <f t="shared" si="359"/>
        <v/>
      </c>
      <c r="BZ744" t="str">
        <f t="shared" si="357"/>
        <v/>
      </c>
      <c r="CA744" t="str">
        <f t="shared" si="356"/>
        <v/>
      </c>
    </row>
    <row r="745" spans="27:79" x14ac:dyDescent="0.25">
      <c r="AA745" t="e">
        <f t="shared" si="358"/>
        <v>#VALUE!</v>
      </c>
      <c r="AE745" t="str">
        <f t="shared" si="359"/>
        <v/>
      </c>
      <c r="BZ745" t="str">
        <f t="shared" si="357"/>
        <v/>
      </c>
      <c r="CA745" t="str">
        <f t="shared" si="356"/>
        <v/>
      </c>
    </row>
    <row r="746" spans="27:79" x14ac:dyDescent="0.25">
      <c r="AA746" t="e">
        <f t="shared" si="358"/>
        <v>#VALUE!</v>
      </c>
      <c r="AE746" t="str">
        <f t="shared" si="359"/>
        <v/>
      </c>
      <c r="BZ746" t="str">
        <f t="shared" si="357"/>
        <v/>
      </c>
      <c r="CA746" t="str">
        <f t="shared" si="356"/>
        <v/>
      </c>
    </row>
    <row r="747" spans="27:79" x14ac:dyDescent="0.25">
      <c r="AA747" t="e">
        <f t="shared" si="358"/>
        <v>#VALUE!</v>
      </c>
      <c r="AE747" t="str">
        <f t="shared" si="359"/>
        <v/>
      </c>
      <c r="BZ747" t="str">
        <f t="shared" si="357"/>
        <v/>
      </c>
      <c r="CA747" t="str">
        <f t="shared" si="356"/>
        <v/>
      </c>
    </row>
    <row r="748" spans="27:79" x14ac:dyDescent="0.25">
      <c r="AA748" t="e">
        <f t="shared" si="358"/>
        <v>#VALUE!</v>
      </c>
      <c r="AE748" t="str">
        <f t="shared" si="359"/>
        <v/>
      </c>
      <c r="BZ748" t="str">
        <f t="shared" si="357"/>
        <v/>
      </c>
      <c r="CA748" t="str">
        <f t="shared" si="356"/>
        <v/>
      </c>
    </row>
    <row r="749" spans="27:79" x14ac:dyDescent="0.25">
      <c r="AA749" t="e">
        <f t="shared" si="358"/>
        <v>#VALUE!</v>
      </c>
      <c r="AE749" t="str">
        <f t="shared" si="359"/>
        <v/>
      </c>
      <c r="BZ749" t="str">
        <f t="shared" si="357"/>
        <v/>
      </c>
      <c r="CA749" t="str">
        <f t="shared" si="356"/>
        <v/>
      </c>
    </row>
    <row r="750" spans="27:79" x14ac:dyDescent="0.25">
      <c r="AA750" t="e">
        <f t="shared" si="358"/>
        <v>#VALUE!</v>
      </c>
      <c r="AE750" t="str">
        <f t="shared" si="359"/>
        <v/>
      </c>
      <c r="BZ750" t="str">
        <f t="shared" si="357"/>
        <v/>
      </c>
      <c r="CA750" t="str">
        <f t="shared" si="356"/>
        <v/>
      </c>
    </row>
    <row r="751" spans="27:79" x14ac:dyDescent="0.25">
      <c r="AA751" t="e">
        <f t="shared" si="358"/>
        <v>#VALUE!</v>
      </c>
      <c r="AE751" t="str">
        <f t="shared" si="359"/>
        <v/>
      </c>
      <c r="BZ751" t="str">
        <f t="shared" si="357"/>
        <v/>
      </c>
      <c r="CA751" t="str">
        <f t="shared" ref="CA751:CA814" si="360">IF(BU751=0,"",BW751)</f>
        <v/>
      </c>
    </row>
    <row r="752" spans="27:79" x14ac:dyDescent="0.25">
      <c r="AA752" t="e">
        <f t="shared" si="358"/>
        <v>#VALUE!</v>
      </c>
      <c r="AE752" t="str">
        <f t="shared" si="359"/>
        <v/>
      </c>
      <c r="BZ752" t="str">
        <f t="shared" si="357"/>
        <v/>
      </c>
      <c r="CA752" t="str">
        <f t="shared" si="360"/>
        <v/>
      </c>
    </row>
    <row r="753" spans="27:79" x14ac:dyDescent="0.25">
      <c r="AA753" t="e">
        <f t="shared" si="358"/>
        <v>#VALUE!</v>
      </c>
      <c r="AE753" t="str">
        <f t="shared" si="359"/>
        <v/>
      </c>
      <c r="BZ753" t="str">
        <f t="shared" si="357"/>
        <v/>
      </c>
      <c r="CA753" t="str">
        <f t="shared" si="360"/>
        <v/>
      </c>
    </row>
    <row r="754" spans="27:79" x14ac:dyDescent="0.25">
      <c r="AA754" t="e">
        <f t="shared" si="358"/>
        <v>#VALUE!</v>
      </c>
      <c r="AE754" t="str">
        <f t="shared" si="359"/>
        <v/>
      </c>
      <c r="BZ754" t="str">
        <f t="shared" si="357"/>
        <v/>
      </c>
      <c r="CA754" t="str">
        <f t="shared" si="360"/>
        <v/>
      </c>
    </row>
    <row r="755" spans="27:79" x14ac:dyDescent="0.25">
      <c r="AA755" t="e">
        <f t="shared" si="358"/>
        <v>#VALUE!</v>
      </c>
      <c r="AE755" t="str">
        <f t="shared" si="359"/>
        <v/>
      </c>
      <c r="BZ755" t="str">
        <f t="shared" si="357"/>
        <v/>
      </c>
      <c r="CA755" t="str">
        <f t="shared" si="360"/>
        <v/>
      </c>
    </row>
    <row r="756" spans="27:79" x14ac:dyDescent="0.25">
      <c r="AA756" t="e">
        <f t="shared" si="358"/>
        <v>#VALUE!</v>
      </c>
      <c r="AE756" t="str">
        <f t="shared" si="359"/>
        <v/>
      </c>
      <c r="BZ756" t="str">
        <f t="shared" si="357"/>
        <v/>
      </c>
      <c r="CA756" t="str">
        <f t="shared" si="360"/>
        <v/>
      </c>
    </row>
    <row r="757" spans="27:79" x14ac:dyDescent="0.25">
      <c r="AA757" t="e">
        <f t="shared" si="358"/>
        <v>#VALUE!</v>
      </c>
      <c r="AE757" t="str">
        <f t="shared" si="359"/>
        <v/>
      </c>
      <c r="BZ757" t="str">
        <f t="shared" si="357"/>
        <v/>
      </c>
      <c r="CA757" t="str">
        <f t="shared" si="360"/>
        <v/>
      </c>
    </row>
    <row r="758" spans="27:79" x14ac:dyDescent="0.25">
      <c r="AA758" t="e">
        <f t="shared" si="358"/>
        <v>#VALUE!</v>
      </c>
      <c r="AE758" t="str">
        <f t="shared" si="359"/>
        <v/>
      </c>
      <c r="BZ758" t="str">
        <f t="shared" si="357"/>
        <v/>
      </c>
      <c r="CA758" t="str">
        <f t="shared" si="360"/>
        <v/>
      </c>
    </row>
    <row r="759" spans="27:79" x14ac:dyDescent="0.25">
      <c r="AA759" t="e">
        <f t="shared" si="358"/>
        <v>#VALUE!</v>
      </c>
      <c r="AE759" t="str">
        <f t="shared" si="359"/>
        <v/>
      </c>
      <c r="BZ759" t="str">
        <f t="shared" si="357"/>
        <v/>
      </c>
      <c r="CA759" t="str">
        <f t="shared" si="360"/>
        <v/>
      </c>
    </row>
    <row r="760" spans="27:79" x14ac:dyDescent="0.25">
      <c r="AA760" t="e">
        <f t="shared" si="358"/>
        <v>#VALUE!</v>
      </c>
      <c r="AE760" t="str">
        <f t="shared" si="359"/>
        <v/>
      </c>
      <c r="BZ760" t="str">
        <f t="shared" si="357"/>
        <v/>
      </c>
      <c r="CA760" t="str">
        <f t="shared" si="360"/>
        <v/>
      </c>
    </row>
    <row r="761" spans="27:79" x14ac:dyDescent="0.25">
      <c r="AA761" t="e">
        <f t="shared" si="358"/>
        <v>#VALUE!</v>
      </c>
      <c r="AE761" t="str">
        <f t="shared" si="359"/>
        <v/>
      </c>
      <c r="BZ761" t="str">
        <f t="shared" si="357"/>
        <v/>
      </c>
      <c r="CA761" t="str">
        <f t="shared" si="360"/>
        <v/>
      </c>
    </row>
    <row r="762" spans="27:79" x14ac:dyDescent="0.25">
      <c r="AA762" t="e">
        <f t="shared" si="358"/>
        <v>#VALUE!</v>
      </c>
      <c r="AE762" t="str">
        <f t="shared" si="359"/>
        <v/>
      </c>
      <c r="BZ762" t="str">
        <f t="shared" si="357"/>
        <v/>
      </c>
      <c r="CA762" t="str">
        <f t="shared" si="360"/>
        <v/>
      </c>
    </row>
    <row r="763" spans="27:79" x14ac:dyDescent="0.25">
      <c r="AA763" t="e">
        <f t="shared" si="358"/>
        <v>#VALUE!</v>
      </c>
      <c r="AE763" t="str">
        <f t="shared" si="359"/>
        <v/>
      </c>
      <c r="BZ763" t="str">
        <f t="shared" si="357"/>
        <v/>
      </c>
      <c r="CA763" t="str">
        <f t="shared" si="360"/>
        <v/>
      </c>
    </row>
    <row r="764" spans="27:79" x14ac:dyDescent="0.25">
      <c r="AA764" t="e">
        <f t="shared" si="358"/>
        <v>#VALUE!</v>
      </c>
      <c r="AE764" t="str">
        <f t="shared" si="359"/>
        <v/>
      </c>
      <c r="BZ764" t="str">
        <f t="shared" si="357"/>
        <v/>
      </c>
      <c r="CA764" t="str">
        <f t="shared" si="360"/>
        <v/>
      </c>
    </row>
    <row r="765" spans="27:79" x14ac:dyDescent="0.25">
      <c r="AA765" t="e">
        <f t="shared" si="358"/>
        <v>#VALUE!</v>
      </c>
      <c r="AE765" t="str">
        <f t="shared" si="359"/>
        <v/>
      </c>
      <c r="BZ765" t="str">
        <f t="shared" si="357"/>
        <v/>
      </c>
      <c r="CA765" t="str">
        <f t="shared" si="360"/>
        <v/>
      </c>
    </row>
    <row r="766" spans="27:79" x14ac:dyDescent="0.25">
      <c r="AA766" t="e">
        <f t="shared" si="358"/>
        <v>#VALUE!</v>
      </c>
      <c r="AE766" t="str">
        <f t="shared" si="359"/>
        <v/>
      </c>
      <c r="BZ766" t="str">
        <f t="shared" si="357"/>
        <v/>
      </c>
      <c r="CA766" t="str">
        <f t="shared" si="360"/>
        <v/>
      </c>
    </row>
    <row r="767" spans="27:79" x14ac:dyDescent="0.25">
      <c r="AA767" t="e">
        <f t="shared" si="358"/>
        <v>#VALUE!</v>
      </c>
      <c r="AE767" t="str">
        <f t="shared" si="359"/>
        <v/>
      </c>
      <c r="BZ767" t="str">
        <f t="shared" si="357"/>
        <v/>
      </c>
      <c r="CA767" t="str">
        <f t="shared" si="360"/>
        <v/>
      </c>
    </row>
    <row r="768" spans="27:79" x14ac:dyDescent="0.25">
      <c r="AA768" t="e">
        <f t="shared" si="358"/>
        <v>#VALUE!</v>
      </c>
      <c r="AE768" t="str">
        <f t="shared" si="359"/>
        <v/>
      </c>
      <c r="BZ768" t="str">
        <f t="shared" si="357"/>
        <v/>
      </c>
      <c r="CA768" t="str">
        <f t="shared" si="360"/>
        <v/>
      </c>
    </row>
    <row r="769" spans="27:79" x14ac:dyDescent="0.25">
      <c r="AA769" t="e">
        <f t="shared" si="358"/>
        <v>#VALUE!</v>
      </c>
      <c r="AE769" t="str">
        <f t="shared" si="359"/>
        <v/>
      </c>
      <c r="BZ769" t="str">
        <f t="shared" si="357"/>
        <v/>
      </c>
      <c r="CA769" t="str">
        <f t="shared" si="360"/>
        <v/>
      </c>
    </row>
    <row r="770" spans="27:79" x14ac:dyDescent="0.25">
      <c r="AA770" t="e">
        <f t="shared" si="358"/>
        <v>#VALUE!</v>
      </c>
      <c r="AE770" t="str">
        <f t="shared" si="359"/>
        <v/>
      </c>
      <c r="BZ770" t="str">
        <f t="shared" ref="BZ770:BZ833" si="361">IF(BU770=0,"",BV770)</f>
        <v/>
      </c>
      <c r="CA770" t="str">
        <f t="shared" si="360"/>
        <v/>
      </c>
    </row>
    <row r="771" spans="27:79" x14ac:dyDescent="0.25">
      <c r="AA771" t="e">
        <f t="shared" si="358"/>
        <v>#VALUE!</v>
      </c>
      <c r="AE771" t="str">
        <f t="shared" si="359"/>
        <v/>
      </c>
      <c r="BZ771" t="str">
        <f t="shared" si="361"/>
        <v/>
      </c>
      <c r="CA771" t="str">
        <f t="shared" si="360"/>
        <v/>
      </c>
    </row>
    <row r="772" spans="27:79" x14ac:dyDescent="0.25">
      <c r="AA772" t="e">
        <f t="shared" si="358"/>
        <v>#VALUE!</v>
      </c>
      <c r="AE772" t="str">
        <f t="shared" si="359"/>
        <v/>
      </c>
      <c r="BZ772" t="str">
        <f t="shared" si="361"/>
        <v/>
      </c>
      <c r="CA772" t="str">
        <f t="shared" si="360"/>
        <v/>
      </c>
    </row>
    <row r="773" spans="27:79" x14ac:dyDescent="0.25">
      <c r="AA773" t="e">
        <f t="shared" si="358"/>
        <v>#VALUE!</v>
      </c>
      <c r="AE773" t="str">
        <f t="shared" si="359"/>
        <v/>
      </c>
      <c r="BZ773" t="str">
        <f t="shared" si="361"/>
        <v/>
      </c>
      <c r="CA773" t="str">
        <f t="shared" si="360"/>
        <v/>
      </c>
    </row>
    <row r="774" spans="27:79" x14ac:dyDescent="0.25">
      <c r="AA774" t="e">
        <f t="shared" si="358"/>
        <v>#VALUE!</v>
      </c>
      <c r="AE774" t="str">
        <f t="shared" si="359"/>
        <v/>
      </c>
      <c r="BZ774" t="str">
        <f t="shared" si="361"/>
        <v/>
      </c>
      <c r="CA774" t="str">
        <f t="shared" si="360"/>
        <v/>
      </c>
    </row>
    <row r="775" spans="27:79" x14ac:dyDescent="0.25">
      <c r="AA775" t="e">
        <f t="shared" si="358"/>
        <v>#VALUE!</v>
      </c>
      <c r="AE775" t="str">
        <f t="shared" si="359"/>
        <v/>
      </c>
      <c r="BZ775" t="str">
        <f t="shared" si="361"/>
        <v/>
      </c>
      <c r="CA775" t="str">
        <f t="shared" si="360"/>
        <v/>
      </c>
    </row>
    <row r="776" spans="27:79" x14ac:dyDescent="0.25">
      <c r="AA776" t="e">
        <f t="shared" si="358"/>
        <v>#VALUE!</v>
      </c>
      <c r="AE776" t="str">
        <f t="shared" si="359"/>
        <v/>
      </c>
      <c r="BZ776" t="str">
        <f t="shared" si="361"/>
        <v/>
      </c>
      <c r="CA776" t="str">
        <f t="shared" si="360"/>
        <v/>
      </c>
    </row>
    <row r="777" spans="27:79" x14ac:dyDescent="0.25">
      <c r="AA777" t="e">
        <f t="shared" si="358"/>
        <v>#VALUE!</v>
      </c>
      <c r="AE777" t="str">
        <f t="shared" si="359"/>
        <v/>
      </c>
      <c r="BZ777" t="str">
        <f t="shared" si="361"/>
        <v/>
      </c>
      <c r="CA777" t="str">
        <f t="shared" si="360"/>
        <v/>
      </c>
    </row>
    <row r="778" spans="27:79" x14ac:dyDescent="0.25">
      <c r="AA778" t="e">
        <f t="shared" si="358"/>
        <v>#VALUE!</v>
      </c>
      <c r="AE778" t="str">
        <f t="shared" si="359"/>
        <v/>
      </c>
      <c r="BZ778" t="str">
        <f t="shared" si="361"/>
        <v/>
      </c>
      <c r="CA778" t="str">
        <f t="shared" si="360"/>
        <v/>
      </c>
    </row>
    <row r="779" spans="27:79" x14ac:dyDescent="0.25">
      <c r="AA779" t="e">
        <f t="shared" si="358"/>
        <v>#VALUE!</v>
      </c>
      <c r="AE779" t="str">
        <f t="shared" si="359"/>
        <v/>
      </c>
      <c r="BZ779" t="str">
        <f t="shared" si="361"/>
        <v/>
      </c>
      <c r="CA779" t="str">
        <f t="shared" si="360"/>
        <v/>
      </c>
    </row>
    <row r="780" spans="27:79" x14ac:dyDescent="0.25">
      <c r="AA780" t="e">
        <f t="shared" si="358"/>
        <v>#VALUE!</v>
      </c>
      <c r="AE780" t="str">
        <f t="shared" si="359"/>
        <v/>
      </c>
      <c r="BZ780" t="str">
        <f t="shared" si="361"/>
        <v/>
      </c>
      <c r="CA780" t="str">
        <f t="shared" si="360"/>
        <v/>
      </c>
    </row>
    <row r="781" spans="27:79" x14ac:dyDescent="0.25">
      <c r="AA781" t="e">
        <f t="shared" si="358"/>
        <v>#VALUE!</v>
      </c>
      <c r="AE781" t="str">
        <f t="shared" si="359"/>
        <v/>
      </c>
      <c r="BZ781" t="str">
        <f t="shared" si="361"/>
        <v/>
      </c>
      <c r="CA781" t="str">
        <f t="shared" si="360"/>
        <v/>
      </c>
    </row>
    <row r="782" spans="27:79" x14ac:dyDescent="0.25">
      <c r="AA782" t="e">
        <f t="shared" si="358"/>
        <v>#VALUE!</v>
      </c>
      <c r="AE782" t="str">
        <f t="shared" si="359"/>
        <v/>
      </c>
      <c r="BZ782" t="str">
        <f t="shared" si="361"/>
        <v/>
      </c>
      <c r="CA782" t="str">
        <f t="shared" si="360"/>
        <v/>
      </c>
    </row>
    <row r="783" spans="27:79" x14ac:dyDescent="0.25">
      <c r="AA783" t="e">
        <f t="shared" si="358"/>
        <v>#VALUE!</v>
      </c>
      <c r="AE783" t="str">
        <f t="shared" si="359"/>
        <v/>
      </c>
      <c r="BZ783" t="str">
        <f t="shared" si="361"/>
        <v/>
      </c>
      <c r="CA783" t="str">
        <f t="shared" si="360"/>
        <v/>
      </c>
    </row>
    <row r="784" spans="27:79" x14ac:dyDescent="0.25">
      <c r="AA784" t="e">
        <f t="shared" si="358"/>
        <v>#VALUE!</v>
      </c>
      <c r="AE784" t="str">
        <f t="shared" si="359"/>
        <v/>
      </c>
      <c r="BZ784" t="str">
        <f t="shared" si="361"/>
        <v/>
      </c>
      <c r="CA784" t="str">
        <f t="shared" si="360"/>
        <v/>
      </c>
    </row>
    <row r="785" spans="27:79" x14ac:dyDescent="0.25">
      <c r="AA785" t="e">
        <f t="shared" si="358"/>
        <v>#VALUE!</v>
      </c>
      <c r="AE785" t="str">
        <f t="shared" si="359"/>
        <v/>
      </c>
      <c r="BZ785" t="str">
        <f t="shared" si="361"/>
        <v/>
      </c>
      <c r="CA785" t="str">
        <f t="shared" si="360"/>
        <v/>
      </c>
    </row>
    <row r="786" spans="27:79" x14ac:dyDescent="0.25">
      <c r="AA786" t="e">
        <f t="shared" si="358"/>
        <v>#VALUE!</v>
      </c>
      <c r="AE786" t="str">
        <f t="shared" si="359"/>
        <v/>
      </c>
      <c r="BZ786" t="str">
        <f t="shared" si="361"/>
        <v/>
      </c>
      <c r="CA786" t="str">
        <f t="shared" si="360"/>
        <v/>
      </c>
    </row>
    <row r="787" spans="27:79" x14ac:dyDescent="0.25">
      <c r="AA787" t="e">
        <f t="shared" si="358"/>
        <v>#VALUE!</v>
      </c>
      <c r="AE787" t="str">
        <f t="shared" si="359"/>
        <v/>
      </c>
      <c r="BZ787" t="str">
        <f t="shared" si="361"/>
        <v/>
      </c>
      <c r="CA787" t="str">
        <f t="shared" si="360"/>
        <v/>
      </c>
    </row>
    <row r="788" spans="27:79" x14ac:dyDescent="0.25">
      <c r="AA788" t="e">
        <f t="shared" si="358"/>
        <v>#VALUE!</v>
      </c>
      <c r="AE788" t="str">
        <f t="shared" si="359"/>
        <v/>
      </c>
      <c r="BZ788" t="str">
        <f t="shared" si="361"/>
        <v/>
      </c>
      <c r="CA788" t="str">
        <f t="shared" si="360"/>
        <v/>
      </c>
    </row>
    <row r="789" spans="27:79" x14ac:dyDescent="0.25">
      <c r="AA789" t="e">
        <f t="shared" si="358"/>
        <v>#VALUE!</v>
      </c>
      <c r="AE789" t="str">
        <f t="shared" si="359"/>
        <v/>
      </c>
      <c r="BZ789" t="str">
        <f t="shared" si="361"/>
        <v/>
      </c>
      <c r="CA789" t="str">
        <f t="shared" si="360"/>
        <v/>
      </c>
    </row>
    <row r="790" spans="27:79" x14ac:dyDescent="0.25">
      <c r="AA790" t="e">
        <f t="shared" si="358"/>
        <v>#VALUE!</v>
      </c>
      <c r="AE790" t="str">
        <f t="shared" si="359"/>
        <v/>
      </c>
      <c r="BZ790" t="str">
        <f t="shared" si="361"/>
        <v/>
      </c>
      <c r="CA790" t="str">
        <f t="shared" si="360"/>
        <v/>
      </c>
    </row>
    <row r="791" spans="27:79" x14ac:dyDescent="0.25">
      <c r="AA791" t="e">
        <f t="shared" si="358"/>
        <v>#VALUE!</v>
      </c>
      <c r="AE791" t="str">
        <f t="shared" si="359"/>
        <v/>
      </c>
      <c r="BZ791" t="str">
        <f t="shared" si="361"/>
        <v/>
      </c>
      <c r="CA791" t="str">
        <f t="shared" si="360"/>
        <v/>
      </c>
    </row>
    <row r="792" spans="27:79" x14ac:dyDescent="0.25">
      <c r="AA792" t="e">
        <f t="shared" si="358"/>
        <v>#VALUE!</v>
      </c>
      <c r="AE792" t="str">
        <f t="shared" si="359"/>
        <v/>
      </c>
      <c r="BZ792" t="str">
        <f t="shared" si="361"/>
        <v/>
      </c>
      <c r="CA792" t="str">
        <f t="shared" si="360"/>
        <v/>
      </c>
    </row>
    <row r="793" spans="27:79" x14ac:dyDescent="0.25">
      <c r="AA793" t="e">
        <f t="shared" ref="AA793:AA856" si="362">Z195</f>
        <v>#VALUE!</v>
      </c>
      <c r="AE793" t="str">
        <f t="shared" ref="AE793:AE856" si="363">AD195</f>
        <v/>
      </c>
      <c r="BZ793" t="str">
        <f t="shared" si="361"/>
        <v/>
      </c>
      <c r="CA793" t="str">
        <f t="shared" si="360"/>
        <v/>
      </c>
    </row>
    <row r="794" spans="27:79" x14ac:dyDescent="0.25">
      <c r="AA794" t="e">
        <f t="shared" si="362"/>
        <v>#VALUE!</v>
      </c>
      <c r="AE794" t="str">
        <f t="shared" si="363"/>
        <v/>
      </c>
      <c r="BZ794" t="str">
        <f t="shared" si="361"/>
        <v/>
      </c>
      <c r="CA794" t="str">
        <f t="shared" si="360"/>
        <v/>
      </c>
    </row>
    <row r="795" spans="27:79" x14ac:dyDescent="0.25">
      <c r="AA795" t="e">
        <f t="shared" si="362"/>
        <v>#VALUE!</v>
      </c>
      <c r="AE795" t="str">
        <f t="shared" si="363"/>
        <v/>
      </c>
      <c r="BZ795" t="str">
        <f t="shared" si="361"/>
        <v/>
      </c>
      <c r="CA795" t="str">
        <f t="shared" si="360"/>
        <v/>
      </c>
    </row>
    <row r="796" spans="27:79" x14ac:dyDescent="0.25">
      <c r="AA796" t="e">
        <f t="shared" si="362"/>
        <v>#VALUE!</v>
      </c>
      <c r="AE796" t="str">
        <f t="shared" si="363"/>
        <v/>
      </c>
      <c r="BZ796" t="str">
        <f t="shared" si="361"/>
        <v/>
      </c>
      <c r="CA796" t="str">
        <f t="shared" si="360"/>
        <v/>
      </c>
    </row>
    <row r="797" spans="27:79" x14ac:dyDescent="0.25">
      <c r="AA797" t="e">
        <f t="shared" si="362"/>
        <v>#VALUE!</v>
      </c>
      <c r="AE797" t="str">
        <f t="shared" si="363"/>
        <v/>
      </c>
      <c r="BZ797" t="str">
        <f t="shared" si="361"/>
        <v/>
      </c>
      <c r="CA797" t="str">
        <f t="shared" si="360"/>
        <v/>
      </c>
    </row>
    <row r="798" spans="27:79" x14ac:dyDescent="0.25">
      <c r="AA798" t="e">
        <f t="shared" si="362"/>
        <v>#VALUE!</v>
      </c>
      <c r="AE798" t="str">
        <f t="shared" si="363"/>
        <v/>
      </c>
      <c r="BZ798" t="str">
        <f t="shared" si="361"/>
        <v/>
      </c>
      <c r="CA798" t="str">
        <f t="shared" si="360"/>
        <v/>
      </c>
    </row>
    <row r="799" spans="27:79" x14ac:dyDescent="0.25">
      <c r="AA799" t="e">
        <f t="shared" si="362"/>
        <v>#VALUE!</v>
      </c>
      <c r="AE799" t="str">
        <f t="shared" si="363"/>
        <v/>
      </c>
      <c r="BZ799" t="str">
        <f t="shared" si="361"/>
        <v/>
      </c>
      <c r="CA799" t="str">
        <f t="shared" si="360"/>
        <v/>
      </c>
    </row>
    <row r="800" spans="27:79" x14ac:dyDescent="0.25">
      <c r="AA800" t="e">
        <f t="shared" si="362"/>
        <v>#VALUE!</v>
      </c>
      <c r="AE800" t="str">
        <f t="shared" si="363"/>
        <v/>
      </c>
      <c r="BZ800" t="str">
        <f t="shared" si="361"/>
        <v/>
      </c>
      <c r="CA800" t="str">
        <f t="shared" si="360"/>
        <v/>
      </c>
    </row>
    <row r="801" spans="27:79" x14ac:dyDescent="0.25">
      <c r="AA801" t="e">
        <f t="shared" si="362"/>
        <v>#VALUE!</v>
      </c>
      <c r="AE801" t="str">
        <f t="shared" si="363"/>
        <v/>
      </c>
      <c r="BZ801" t="str">
        <f t="shared" si="361"/>
        <v/>
      </c>
      <c r="CA801" t="str">
        <f t="shared" si="360"/>
        <v/>
      </c>
    </row>
    <row r="802" spans="27:79" x14ac:dyDescent="0.25">
      <c r="AA802" t="e">
        <f t="shared" si="362"/>
        <v>#VALUE!</v>
      </c>
      <c r="AE802" t="str">
        <f t="shared" si="363"/>
        <v/>
      </c>
      <c r="BZ802" t="str">
        <f t="shared" si="361"/>
        <v/>
      </c>
      <c r="CA802" t="str">
        <f t="shared" si="360"/>
        <v/>
      </c>
    </row>
    <row r="803" spans="27:79" x14ac:dyDescent="0.25">
      <c r="AA803" t="e">
        <f t="shared" si="362"/>
        <v>#VALUE!</v>
      </c>
      <c r="AE803" t="str">
        <f t="shared" si="363"/>
        <v/>
      </c>
      <c r="BZ803" t="str">
        <f t="shared" si="361"/>
        <v/>
      </c>
      <c r="CA803" t="str">
        <f t="shared" si="360"/>
        <v/>
      </c>
    </row>
    <row r="804" spans="27:79" x14ac:dyDescent="0.25">
      <c r="AA804" t="e">
        <f t="shared" si="362"/>
        <v>#VALUE!</v>
      </c>
      <c r="AE804" t="str">
        <f t="shared" si="363"/>
        <v/>
      </c>
      <c r="BZ804" t="str">
        <f t="shared" si="361"/>
        <v/>
      </c>
      <c r="CA804" t="str">
        <f t="shared" si="360"/>
        <v/>
      </c>
    </row>
    <row r="805" spans="27:79" x14ac:dyDescent="0.25">
      <c r="AA805" t="e">
        <f t="shared" si="362"/>
        <v>#VALUE!</v>
      </c>
      <c r="AE805" t="str">
        <f t="shared" si="363"/>
        <v/>
      </c>
      <c r="BZ805" t="str">
        <f t="shared" si="361"/>
        <v/>
      </c>
      <c r="CA805" t="str">
        <f t="shared" si="360"/>
        <v/>
      </c>
    </row>
    <row r="806" spans="27:79" x14ac:dyDescent="0.25">
      <c r="AA806" t="e">
        <f t="shared" si="362"/>
        <v>#VALUE!</v>
      </c>
      <c r="AE806" t="str">
        <f t="shared" si="363"/>
        <v/>
      </c>
      <c r="BZ806" t="str">
        <f t="shared" si="361"/>
        <v/>
      </c>
      <c r="CA806" t="str">
        <f t="shared" si="360"/>
        <v/>
      </c>
    </row>
    <row r="807" spans="27:79" x14ac:dyDescent="0.25">
      <c r="AA807" t="e">
        <f t="shared" si="362"/>
        <v>#VALUE!</v>
      </c>
      <c r="AE807" t="str">
        <f t="shared" si="363"/>
        <v/>
      </c>
      <c r="BZ807" t="str">
        <f t="shared" si="361"/>
        <v/>
      </c>
      <c r="CA807" t="str">
        <f t="shared" si="360"/>
        <v/>
      </c>
    </row>
    <row r="808" spans="27:79" x14ac:dyDescent="0.25">
      <c r="AA808" t="e">
        <f t="shared" si="362"/>
        <v>#VALUE!</v>
      </c>
      <c r="AE808" t="str">
        <f t="shared" si="363"/>
        <v/>
      </c>
      <c r="BZ808" t="str">
        <f t="shared" si="361"/>
        <v/>
      </c>
      <c r="CA808" t="str">
        <f t="shared" si="360"/>
        <v/>
      </c>
    </row>
    <row r="809" spans="27:79" x14ac:dyDescent="0.25">
      <c r="AA809" t="e">
        <f t="shared" si="362"/>
        <v>#VALUE!</v>
      </c>
      <c r="AE809" t="str">
        <f t="shared" si="363"/>
        <v/>
      </c>
      <c r="BZ809" t="str">
        <f t="shared" si="361"/>
        <v/>
      </c>
      <c r="CA809" t="str">
        <f t="shared" si="360"/>
        <v/>
      </c>
    </row>
    <row r="810" spans="27:79" x14ac:dyDescent="0.25">
      <c r="AA810" t="e">
        <f t="shared" si="362"/>
        <v>#VALUE!</v>
      </c>
      <c r="AE810" t="str">
        <f t="shared" si="363"/>
        <v/>
      </c>
      <c r="BZ810" t="str">
        <f t="shared" si="361"/>
        <v/>
      </c>
      <c r="CA810" t="str">
        <f t="shared" si="360"/>
        <v/>
      </c>
    </row>
    <row r="811" spans="27:79" x14ac:dyDescent="0.25">
      <c r="AA811" t="e">
        <f t="shared" si="362"/>
        <v>#VALUE!</v>
      </c>
      <c r="AE811" t="str">
        <f t="shared" si="363"/>
        <v/>
      </c>
      <c r="BZ811" t="str">
        <f t="shared" si="361"/>
        <v/>
      </c>
      <c r="CA811" t="str">
        <f t="shared" si="360"/>
        <v/>
      </c>
    </row>
    <row r="812" spans="27:79" x14ac:dyDescent="0.25">
      <c r="AA812" t="e">
        <f t="shared" si="362"/>
        <v>#VALUE!</v>
      </c>
      <c r="AE812" t="str">
        <f t="shared" si="363"/>
        <v/>
      </c>
      <c r="BZ812" t="str">
        <f t="shared" si="361"/>
        <v/>
      </c>
      <c r="CA812" t="str">
        <f t="shared" si="360"/>
        <v/>
      </c>
    </row>
    <row r="813" spans="27:79" x14ac:dyDescent="0.25">
      <c r="AA813" t="e">
        <f t="shared" si="362"/>
        <v>#VALUE!</v>
      </c>
      <c r="AE813" t="str">
        <f t="shared" si="363"/>
        <v/>
      </c>
      <c r="BZ813" t="str">
        <f t="shared" si="361"/>
        <v/>
      </c>
      <c r="CA813" t="str">
        <f t="shared" si="360"/>
        <v/>
      </c>
    </row>
    <row r="814" spans="27:79" x14ac:dyDescent="0.25">
      <c r="AA814" t="e">
        <f t="shared" si="362"/>
        <v>#VALUE!</v>
      </c>
      <c r="AE814" t="str">
        <f t="shared" si="363"/>
        <v/>
      </c>
      <c r="BZ814" t="str">
        <f t="shared" si="361"/>
        <v/>
      </c>
      <c r="CA814" t="str">
        <f t="shared" si="360"/>
        <v/>
      </c>
    </row>
    <row r="815" spans="27:79" x14ac:dyDescent="0.25">
      <c r="AA815" t="e">
        <f t="shared" si="362"/>
        <v>#VALUE!</v>
      </c>
      <c r="AE815" t="str">
        <f t="shared" si="363"/>
        <v/>
      </c>
      <c r="BZ815" t="str">
        <f t="shared" si="361"/>
        <v/>
      </c>
      <c r="CA815" t="str">
        <f t="shared" ref="CA815:CA878" si="364">IF(BU815=0,"",BW815)</f>
        <v/>
      </c>
    </row>
    <row r="816" spans="27:79" x14ac:dyDescent="0.25">
      <c r="AA816" t="e">
        <f t="shared" si="362"/>
        <v>#VALUE!</v>
      </c>
      <c r="AE816" t="str">
        <f t="shared" si="363"/>
        <v/>
      </c>
      <c r="BZ816" t="str">
        <f t="shared" si="361"/>
        <v/>
      </c>
      <c r="CA816" t="str">
        <f t="shared" si="364"/>
        <v/>
      </c>
    </row>
    <row r="817" spans="27:79" x14ac:dyDescent="0.25">
      <c r="AA817" t="e">
        <f t="shared" si="362"/>
        <v>#VALUE!</v>
      </c>
      <c r="AE817" t="str">
        <f t="shared" si="363"/>
        <v/>
      </c>
      <c r="BZ817" t="str">
        <f t="shared" si="361"/>
        <v/>
      </c>
      <c r="CA817" t="str">
        <f t="shared" si="364"/>
        <v/>
      </c>
    </row>
    <row r="818" spans="27:79" x14ac:dyDescent="0.25">
      <c r="AA818" t="e">
        <f t="shared" si="362"/>
        <v>#VALUE!</v>
      </c>
      <c r="AE818" t="str">
        <f t="shared" si="363"/>
        <v/>
      </c>
      <c r="BZ818" t="str">
        <f t="shared" si="361"/>
        <v/>
      </c>
      <c r="CA818" t="str">
        <f t="shared" si="364"/>
        <v/>
      </c>
    </row>
    <row r="819" spans="27:79" x14ac:dyDescent="0.25">
      <c r="AA819" t="e">
        <f t="shared" si="362"/>
        <v>#VALUE!</v>
      </c>
      <c r="AE819" t="str">
        <f t="shared" si="363"/>
        <v/>
      </c>
      <c r="BZ819" t="str">
        <f t="shared" si="361"/>
        <v/>
      </c>
      <c r="CA819" t="str">
        <f t="shared" si="364"/>
        <v/>
      </c>
    </row>
    <row r="820" spans="27:79" x14ac:dyDescent="0.25">
      <c r="AA820" t="e">
        <f t="shared" si="362"/>
        <v>#VALUE!</v>
      </c>
      <c r="AE820" t="str">
        <f t="shared" si="363"/>
        <v/>
      </c>
      <c r="BZ820" t="str">
        <f t="shared" si="361"/>
        <v/>
      </c>
      <c r="CA820" t="str">
        <f t="shared" si="364"/>
        <v/>
      </c>
    </row>
    <row r="821" spans="27:79" x14ac:dyDescent="0.25">
      <c r="AA821" t="e">
        <f t="shared" si="362"/>
        <v>#VALUE!</v>
      </c>
      <c r="AE821" t="str">
        <f t="shared" si="363"/>
        <v/>
      </c>
      <c r="BZ821" t="str">
        <f t="shared" si="361"/>
        <v/>
      </c>
      <c r="CA821" t="str">
        <f t="shared" si="364"/>
        <v/>
      </c>
    </row>
    <row r="822" spans="27:79" x14ac:dyDescent="0.25">
      <c r="AA822" t="e">
        <f t="shared" si="362"/>
        <v>#VALUE!</v>
      </c>
      <c r="AE822" t="str">
        <f t="shared" si="363"/>
        <v/>
      </c>
      <c r="BZ822" t="str">
        <f t="shared" si="361"/>
        <v/>
      </c>
      <c r="CA822" t="str">
        <f t="shared" si="364"/>
        <v/>
      </c>
    </row>
    <row r="823" spans="27:79" x14ac:dyDescent="0.25">
      <c r="AA823" t="e">
        <f t="shared" si="362"/>
        <v>#VALUE!</v>
      </c>
      <c r="AE823" t="str">
        <f t="shared" si="363"/>
        <v/>
      </c>
      <c r="BZ823" t="str">
        <f t="shared" si="361"/>
        <v/>
      </c>
      <c r="CA823" t="str">
        <f t="shared" si="364"/>
        <v/>
      </c>
    </row>
    <row r="824" spans="27:79" x14ac:dyDescent="0.25">
      <c r="AA824" t="e">
        <f t="shared" si="362"/>
        <v>#VALUE!</v>
      </c>
      <c r="AE824" t="str">
        <f t="shared" si="363"/>
        <v/>
      </c>
      <c r="BZ824" t="str">
        <f t="shared" si="361"/>
        <v/>
      </c>
      <c r="CA824" t="str">
        <f t="shared" si="364"/>
        <v/>
      </c>
    </row>
    <row r="825" spans="27:79" x14ac:dyDescent="0.25">
      <c r="AA825" t="e">
        <f t="shared" si="362"/>
        <v>#VALUE!</v>
      </c>
      <c r="AE825" t="str">
        <f t="shared" si="363"/>
        <v/>
      </c>
      <c r="BZ825" t="str">
        <f t="shared" si="361"/>
        <v/>
      </c>
      <c r="CA825" t="str">
        <f t="shared" si="364"/>
        <v/>
      </c>
    </row>
    <row r="826" spans="27:79" x14ac:dyDescent="0.25">
      <c r="AA826" t="e">
        <f t="shared" si="362"/>
        <v>#VALUE!</v>
      </c>
      <c r="AE826" t="str">
        <f t="shared" si="363"/>
        <v/>
      </c>
      <c r="BZ826" t="str">
        <f t="shared" si="361"/>
        <v/>
      </c>
      <c r="CA826" t="str">
        <f t="shared" si="364"/>
        <v/>
      </c>
    </row>
    <row r="827" spans="27:79" x14ac:dyDescent="0.25">
      <c r="AA827" t="e">
        <f t="shared" si="362"/>
        <v>#VALUE!</v>
      </c>
      <c r="AE827" t="str">
        <f t="shared" si="363"/>
        <v/>
      </c>
      <c r="BZ827" t="str">
        <f t="shared" si="361"/>
        <v/>
      </c>
      <c r="CA827" t="str">
        <f t="shared" si="364"/>
        <v/>
      </c>
    </row>
    <row r="828" spans="27:79" x14ac:dyDescent="0.25">
      <c r="AA828" t="e">
        <f t="shared" si="362"/>
        <v>#VALUE!</v>
      </c>
      <c r="AE828" t="str">
        <f t="shared" si="363"/>
        <v/>
      </c>
      <c r="BZ828" t="str">
        <f t="shared" si="361"/>
        <v/>
      </c>
      <c r="CA828" t="str">
        <f t="shared" si="364"/>
        <v/>
      </c>
    </row>
    <row r="829" spans="27:79" x14ac:dyDescent="0.25">
      <c r="AA829" t="e">
        <f t="shared" si="362"/>
        <v>#VALUE!</v>
      </c>
      <c r="AE829" t="str">
        <f t="shared" si="363"/>
        <v/>
      </c>
      <c r="BZ829" t="str">
        <f t="shared" si="361"/>
        <v/>
      </c>
      <c r="CA829" t="str">
        <f t="shared" si="364"/>
        <v/>
      </c>
    </row>
    <row r="830" spans="27:79" x14ac:dyDescent="0.25">
      <c r="AA830" t="e">
        <f t="shared" si="362"/>
        <v>#VALUE!</v>
      </c>
      <c r="AE830" t="str">
        <f t="shared" si="363"/>
        <v/>
      </c>
      <c r="BZ830" t="str">
        <f t="shared" si="361"/>
        <v/>
      </c>
      <c r="CA830" t="str">
        <f t="shared" si="364"/>
        <v/>
      </c>
    </row>
    <row r="831" spans="27:79" x14ac:dyDescent="0.25">
      <c r="AA831" t="e">
        <f t="shared" si="362"/>
        <v>#VALUE!</v>
      </c>
      <c r="AE831" t="str">
        <f t="shared" si="363"/>
        <v/>
      </c>
      <c r="BZ831" t="str">
        <f t="shared" si="361"/>
        <v/>
      </c>
      <c r="CA831" t="str">
        <f t="shared" si="364"/>
        <v/>
      </c>
    </row>
    <row r="832" spans="27:79" x14ac:dyDescent="0.25">
      <c r="AA832" t="e">
        <f t="shared" si="362"/>
        <v>#VALUE!</v>
      </c>
      <c r="AE832" t="str">
        <f t="shared" si="363"/>
        <v/>
      </c>
      <c r="BZ832" t="str">
        <f t="shared" si="361"/>
        <v/>
      </c>
      <c r="CA832" t="str">
        <f t="shared" si="364"/>
        <v/>
      </c>
    </row>
    <row r="833" spans="27:79" x14ac:dyDescent="0.25">
      <c r="AA833" t="e">
        <f t="shared" si="362"/>
        <v>#VALUE!</v>
      </c>
      <c r="AE833" t="str">
        <f t="shared" si="363"/>
        <v/>
      </c>
      <c r="BZ833" t="str">
        <f t="shared" si="361"/>
        <v/>
      </c>
      <c r="CA833" t="str">
        <f t="shared" si="364"/>
        <v/>
      </c>
    </row>
    <row r="834" spans="27:79" x14ac:dyDescent="0.25">
      <c r="AA834" t="e">
        <f t="shared" si="362"/>
        <v>#VALUE!</v>
      </c>
      <c r="AE834" t="str">
        <f t="shared" si="363"/>
        <v/>
      </c>
      <c r="BZ834" t="str">
        <f t="shared" ref="BZ834:BZ897" si="365">IF(BU834=0,"",BV834)</f>
        <v/>
      </c>
      <c r="CA834" t="str">
        <f t="shared" si="364"/>
        <v/>
      </c>
    </row>
    <row r="835" spans="27:79" x14ac:dyDescent="0.25">
      <c r="AA835" t="e">
        <f t="shared" si="362"/>
        <v>#VALUE!</v>
      </c>
      <c r="AE835" t="str">
        <f t="shared" si="363"/>
        <v/>
      </c>
      <c r="BZ835" t="str">
        <f t="shared" si="365"/>
        <v/>
      </c>
      <c r="CA835" t="str">
        <f t="shared" si="364"/>
        <v/>
      </c>
    </row>
    <row r="836" spans="27:79" x14ac:dyDescent="0.25">
      <c r="AA836" t="e">
        <f t="shared" si="362"/>
        <v>#VALUE!</v>
      </c>
      <c r="AE836" t="str">
        <f t="shared" si="363"/>
        <v/>
      </c>
      <c r="BZ836" t="str">
        <f t="shared" si="365"/>
        <v/>
      </c>
      <c r="CA836" t="str">
        <f t="shared" si="364"/>
        <v/>
      </c>
    </row>
    <row r="837" spans="27:79" x14ac:dyDescent="0.25">
      <c r="AA837" t="e">
        <f t="shared" si="362"/>
        <v>#VALUE!</v>
      </c>
      <c r="AE837" t="str">
        <f t="shared" si="363"/>
        <v/>
      </c>
      <c r="BZ837" t="str">
        <f t="shared" si="365"/>
        <v/>
      </c>
      <c r="CA837" t="str">
        <f t="shared" si="364"/>
        <v/>
      </c>
    </row>
    <row r="838" spans="27:79" x14ac:dyDescent="0.25">
      <c r="AA838" t="e">
        <f t="shared" si="362"/>
        <v>#VALUE!</v>
      </c>
      <c r="AE838" t="str">
        <f t="shared" si="363"/>
        <v/>
      </c>
      <c r="BZ838" t="str">
        <f t="shared" si="365"/>
        <v/>
      </c>
      <c r="CA838" t="str">
        <f t="shared" si="364"/>
        <v/>
      </c>
    </row>
    <row r="839" spans="27:79" x14ac:dyDescent="0.25">
      <c r="AA839" t="e">
        <f t="shared" si="362"/>
        <v>#VALUE!</v>
      </c>
      <c r="AE839" t="str">
        <f t="shared" si="363"/>
        <v/>
      </c>
      <c r="BZ839" t="str">
        <f t="shared" si="365"/>
        <v/>
      </c>
      <c r="CA839" t="str">
        <f t="shared" si="364"/>
        <v/>
      </c>
    </row>
    <row r="840" spans="27:79" x14ac:dyDescent="0.25">
      <c r="AA840" t="e">
        <f t="shared" si="362"/>
        <v>#VALUE!</v>
      </c>
      <c r="AE840" t="str">
        <f t="shared" si="363"/>
        <v/>
      </c>
      <c r="BZ840" t="str">
        <f t="shared" si="365"/>
        <v/>
      </c>
      <c r="CA840" t="str">
        <f t="shared" si="364"/>
        <v/>
      </c>
    </row>
    <row r="841" spans="27:79" x14ac:dyDescent="0.25">
      <c r="AA841" t="e">
        <f t="shared" si="362"/>
        <v>#VALUE!</v>
      </c>
      <c r="AE841" t="str">
        <f t="shared" si="363"/>
        <v/>
      </c>
      <c r="BZ841" t="str">
        <f t="shared" si="365"/>
        <v/>
      </c>
      <c r="CA841" t="str">
        <f t="shared" si="364"/>
        <v/>
      </c>
    </row>
    <row r="842" spans="27:79" x14ac:dyDescent="0.25">
      <c r="AA842" t="e">
        <f t="shared" si="362"/>
        <v>#VALUE!</v>
      </c>
      <c r="AE842" t="str">
        <f t="shared" si="363"/>
        <v/>
      </c>
      <c r="BZ842" t="str">
        <f t="shared" si="365"/>
        <v/>
      </c>
      <c r="CA842" t="str">
        <f t="shared" si="364"/>
        <v/>
      </c>
    </row>
    <row r="843" spans="27:79" x14ac:dyDescent="0.25">
      <c r="AA843" t="e">
        <f t="shared" si="362"/>
        <v>#VALUE!</v>
      </c>
      <c r="AE843" t="str">
        <f t="shared" si="363"/>
        <v/>
      </c>
      <c r="BZ843" t="str">
        <f t="shared" si="365"/>
        <v/>
      </c>
      <c r="CA843" t="str">
        <f t="shared" si="364"/>
        <v/>
      </c>
    </row>
    <row r="844" spans="27:79" x14ac:dyDescent="0.25">
      <c r="AA844" t="e">
        <f t="shared" si="362"/>
        <v>#VALUE!</v>
      </c>
      <c r="AE844" t="str">
        <f t="shared" si="363"/>
        <v/>
      </c>
      <c r="BZ844" t="str">
        <f t="shared" si="365"/>
        <v/>
      </c>
      <c r="CA844" t="str">
        <f t="shared" si="364"/>
        <v/>
      </c>
    </row>
    <row r="845" spans="27:79" x14ac:dyDescent="0.25">
      <c r="AA845" t="e">
        <f t="shared" si="362"/>
        <v>#VALUE!</v>
      </c>
      <c r="AE845" t="str">
        <f t="shared" si="363"/>
        <v/>
      </c>
      <c r="BZ845" t="str">
        <f t="shared" si="365"/>
        <v/>
      </c>
      <c r="CA845" t="str">
        <f t="shared" si="364"/>
        <v/>
      </c>
    </row>
    <row r="846" spans="27:79" x14ac:dyDescent="0.25">
      <c r="AA846" t="e">
        <f t="shared" si="362"/>
        <v>#VALUE!</v>
      </c>
      <c r="AE846" t="str">
        <f t="shared" si="363"/>
        <v/>
      </c>
      <c r="BZ846" t="str">
        <f t="shared" si="365"/>
        <v/>
      </c>
      <c r="CA846" t="str">
        <f t="shared" si="364"/>
        <v/>
      </c>
    </row>
    <row r="847" spans="27:79" x14ac:dyDescent="0.25">
      <c r="AA847" t="e">
        <f t="shared" si="362"/>
        <v>#VALUE!</v>
      </c>
      <c r="AE847" t="str">
        <f t="shared" si="363"/>
        <v/>
      </c>
      <c r="BZ847" t="str">
        <f t="shared" si="365"/>
        <v/>
      </c>
      <c r="CA847" t="str">
        <f t="shared" si="364"/>
        <v/>
      </c>
    </row>
    <row r="848" spans="27:79" x14ac:dyDescent="0.25">
      <c r="AA848" t="e">
        <f t="shared" si="362"/>
        <v>#VALUE!</v>
      </c>
      <c r="AE848" t="str">
        <f t="shared" si="363"/>
        <v/>
      </c>
      <c r="BZ848" t="str">
        <f t="shared" si="365"/>
        <v/>
      </c>
      <c r="CA848" t="str">
        <f t="shared" si="364"/>
        <v/>
      </c>
    </row>
    <row r="849" spans="27:79" x14ac:dyDescent="0.25">
      <c r="AA849" t="e">
        <f t="shared" si="362"/>
        <v>#VALUE!</v>
      </c>
      <c r="AE849" t="str">
        <f t="shared" si="363"/>
        <v/>
      </c>
      <c r="BZ849" t="str">
        <f t="shared" si="365"/>
        <v/>
      </c>
      <c r="CA849" t="str">
        <f t="shared" si="364"/>
        <v/>
      </c>
    </row>
    <row r="850" spans="27:79" x14ac:dyDescent="0.25">
      <c r="AA850" t="e">
        <f t="shared" si="362"/>
        <v>#VALUE!</v>
      </c>
      <c r="AE850" t="str">
        <f t="shared" si="363"/>
        <v/>
      </c>
      <c r="BZ850" t="str">
        <f t="shared" si="365"/>
        <v/>
      </c>
      <c r="CA850" t="str">
        <f t="shared" si="364"/>
        <v/>
      </c>
    </row>
    <row r="851" spans="27:79" x14ac:dyDescent="0.25">
      <c r="AA851" t="e">
        <f t="shared" si="362"/>
        <v>#VALUE!</v>
      </c>
      <c r="AE851" t="str">
        <f t="shared" si="363"/>
        <v/>
      </c>
      <c r="BZ851" t="str">
        <f t="shared" si="365"/>
        <v/>
      </c>
      <c r="CA851" t="str">
        <f t="shared" si="364"/>
        <v/>
      </c>
    </row>
    <row r="852" spans="27:79" x14ac:dyDescent="0.25">
      <c r="AA852" t="e">
        <f t="shared" si="362"/>
        <v>#VALUE!</v>
      </c>
      <c r="AE852" t="str">
        <f t="shared" si="363"/>
        <v/>
      </c>
      <c r="BZ852" t="str">
        <f t="shared" si="365"/>
        <v/>
      </c>
      <c r="CA852" t="str">
        <f t="shared" si="364"/>
        <v/>
      </c>
    </row>
    <row r="853" spans="27:79" x14ac:dyDescent="0.25">
      <c r="AA853" t="e">
        <f t="shared" si="362"/>
        <v>#VALUE!</v>
      </c>
      <c r="AE853" t="str">
        <f t="shared" si="363"/>
        <v/>
      </c>
      <c r="BZ853" t="str">
        <f t="shared" si="365"/>
        <v/>
      </c>
      <c r="CA853" t="str">
        <f t="shared" si="364"/>
        <v/>
      </c>
    </row>
    <row r="854" spans="27:79" x14ac:dyDescent="0.25">
      <c r="AA854" t="e">
        <f t="shared" si="362"/>
        <v>#VALUE!</v>
      </c>
      <c r="AE854" t="str">
        <f t="shared" si="363"/>
        <v/>
      </c>
      <c r="BZ854" t="str">
        <f t="shared" si="365"/>
        <v/>
      </c>
      <c r="CA854" t="str">
        <f t="shared" si="364"/>
        <v/>
      </c>
    </row>
    <row r="855" spans="27:79" x14ac:dyDescent="0.25">
      <c r="AA855" t="e">
        <f t="shared" si="362"/>
        <v>#VALUE!</v>
      </c>
      <c r="AE855" t="str">
        <f t="shared" si="363"/>
        <v/>
      </c>
      <c r="BZ855" t="str">
        <f t="shared" si="365"/>
        <v/>
      </c>
      <c r="CA855" t="str">
        <f t="shared" si="364"/>
        <v/>
      </c>
    </row>
    <row r="856" spans="27:79" x14ac:dyDescent="0.25">
      <c r="AA856" t="e">
        <f t="shared" si="362"/>
        <v>#VALUE!</v>
      </c>
      <c r="AE856" t="str">
        <f t="shared" si="363"/>
        <v/>
      </c>
      <c r="BZ856" t="str">
        <f t="shared" si="365"/>
        <v/>
      </c>
      <c r="CA856" t="str">
        <f t="shared" si="364"/>
        <v/>
      </c>
    </row>
    <row r="857" spans="27:79" x14ac:dyDescent="0.25">
      <c r="AA857" t="e">
        <f t="shared" ref="AA857:AA899" si="366">Z259</f>
        <v>#VALUE!</v>
      </c>
      <c r="AE857" t="str">
        <f t="shared" ref="AE857:AE899" si="367">AD259</f>
        <v/>
      </c>
      <c r="BZ857" t="str">
        <f t="shared" si="365"/>
        <v/>
      </c>
      <c r="CA857" t="str">
        <f t="shared" si="364"/>
        <v/>
      </c>
    </row>
    <row r="858" spans="27:79" x14ac:dyDescent="0.25">
      <c r="AA858" t="e">
        <f t="shared" si="366"/>
        <v>#VALUE!</v>
      </c>
      <c r="AE858" t="str">
        <f t="shared" si="367"/>
        <v/>
      </c>
      <c r="BZ858" t="str">
        <f t="shared" si="365"/>
        <v/>
      </c>
      <c r="CA858" t="str">
        <f t="shared" si="364"/>
        <v/>
      </c>
    </row>
    <row r="859" spans="27:79" x14ac:dyDescent="0.25">
      <c r="AA859" t="e">
        <f t="shared" si="366"/>
        <v>#VALUE!</v>
      </c>
      <c r="AE859" t="str">
        <f t="shared" si="367"/>
        <v/>
      </c>
      <c r="BZ859" t="str">
        <f t="shared" si="365"/>
        <v/>
      </c>
      <c r="CA859" t="str">
        <f t="shared" si="364"/>
        <v/>
      </c>
    </row>
    <row r="860" spans="27:79" x14ac:dyDescent="0.25">
      <c r="AA860" t="e">
        <f t="shared" si="366"/>
        <v>#VALUE!</v>
      </c>
      <c r="AE860" t="str">
        <f t="shared" si="367"/>
        <v/>
      </c>
      <c r="BZ860" t="str">
        <f t="shared" si="365"/>
        <v/>
      </c>
      <c r="CA860" t="str">
        <f t="shared" si="364"/>
        <v/>
      </c>
    </row>
    <row r="861" spans="27:79" x14ac:dyDescent="0.25">
      <c r="AA861" t="e">
        <f t="shared" si="366"/>
        <v>#VALUE!</v>
      </c>
      <c r="AE861" t="str">
        <f t="shared" si="367"/>
        <v/>
      </c>
      <c r="BZ861" t="str">
        <f t="shared" si="365"/>
        <v/>
      </c>
      <c r="CA861" t="str">
        <f t="shared" si="364"/>
        <v/>
      </c>
    </row>
    <row r="862" spans="27:79" x14ac:dyDescent="0.25">
      <c r="AA862" t="e">
        <f t="shared" si="366"/>
        <v>#VALUE!</v>
      </c>
      <c r="AE862" t="str">
        <f t="shared" si="367"/>
        <v/>
      </c>
      <c r="BZ862" t="str">
        <f t="shared" si="365"/>
        <v/>
      </c>
      <c r="CA862" t="str">
        <f t="shared" si="364"/>
        <v/>
      </c>
    </row>
    <row r="863" spans="27:79" x14ac:dyDescent="0.25">
      <c r="AA863" t="e">
        <f t="shared" si="366"/>
        <v>#VALUE!</v>
      </c>
      <c r="AE863" t="str">
        <f t="shared" si="367"/>
        <v/>
      </c>
      <c r="BZ863" t="str">
        <f t="shared" si="365"/>
        <v/>
      </c>
      <c r="CA863" t="str">
        <f t="shared" si="364"/>
        <v/>
      </c>
    </row>
    <row r="864" spans="27:79" x14ac:dyDescent="0.25">
      <c r="AA864" t="e">
        <f t="shared" si="366"/>
        <v>#VALUE!</v>
      </c>
      <c r="AE864" t="str">
        <f t="shared" si="367"/>
        <v/>
      </c>
      <c r="BZ864" t="str">
        <f t="shared" si="365"/>
        <v/>
      </c>
      <c r="CA864" t="str">
        <f t="shared" si="364"/>
        <v/>
      </c>
    </row>
    <row r="865" spans="27:79" x14ac:dyDescent="0.25">
      <c r="AA865" t="e">
        <f t="shared" si="366"/>
        <v>#VALUE!</v>
      </c>
      <c r="AE865" t="str">
        <f t="shared" si="367"/>
        <v/>
      </c>
      <c r="BZ865" t="str">
        <f t="shared" si="365"/>
        <v/>
      </c>
      <c r="CA865" t="str">
        <f t="shared" si="364"/>
        <v/>
      </c>
    </row>
    <row r="866" spans="27:79" x14ac:dyDescent="0.25">
      <c r="AA866" t="e">
        <f t="shared" si="366"/>
        <v>#VALUE!</v>
      </c>
      <c r="AE866" t="str">
        <f t="shared" si="367"/>
        <v/>
      </c>
      <c r="BZ866" t="str">
        <f t="shared" si="365"/>
        <v/>
      </c>
      <c r="CA866" t="str">
        <f t="shared" si="364"/>
        <v/>
      </c>
    </row>
    <row r="867" spans="27:79" x14ac:dyDescent="0.25">
      <c r="AA867" t="e">
        <f t="shared" si="366"/>
        <v>#VALUE!</v>
      </c>
      <c r="AE867" t="str">
        <f t="shared" si="367"/>
        <v/>
      </c>
      <c r="BZ867" t="str">
        <f t="shared" si="365"/>
        <v/>
      </c>
      <c r="CA867" t="str">
        <f t="shared" si="364"/>
        <v/>
      </c>
    </row>
    <row r="868" spans="27:79" x14ac:dyDescent="0.25">
      <c r="AA868" t="e">
        <f t="shared" si="366"/>
        <v>#VALUE!</v>
      </c>
      <c r="AE868" t="str">
        <f t="shared" si="367"/>
        <v/>
      </c>
      <c r="BZ868" t="str">
        <f t="shared" si="365"/>
        <v/>
      </c>
      <c r="CA868" t="str">
        <f t="shared" si="364"/>
        <v/>
      </c>
    </row>
    <row r="869" spans="27:79" x14ac:dyDescent="0.25">
      <c r="AA869" t="e">
        <f t="shared" si="366"/>
        <v>#VALUE!</v>
      </c>
      <c r="AE869" t="str">
        <f t="shared" si="367"/>
        <v/>
      </c>
      <c r="BZ869" t="str">
        <f t="shared" si="365"/>
        <v/>
      </c>
      <c r="CA869" t="str">
        <f t="shared" si="364"/>
        <v/>
      </c>
    </row>
    <row r="870" spans="27:79" x14ac:dyDescent="0.25">
      <c r="AA870" t="e">
        <f t="shared" si="366"/>
        <v>#VALUE!</v>
      </c>
      <c r="AE870" t="str">
        <f t="shared" si="367"/>
        <v/>
      </c>
      <c r="BZ870" t="str">
        <f t="shared" si="365"/>
        <v/>
      </c>
      <c r="CA870" t="str">
        <f t="shared" si="364"/>
        <v/>
      </c>
    </row>
    <row r="871" spans="27:79" x14ac:dyDescent="0.25">
      <c r="AA871" t="e">
        <f t="shared" si="366"/>
        <v>#VALUE!</v>
      </c>
      <c r="AE871" t="str">
        <f t="shared" si="367"/>
        <v/>
      </c>
      <c r="BZ871" t="str">
        <f t="shared" si="365"/>
        <v/>
      </c>
      <c r="CA871" t="str">
        <f t="shared" si="364"/>
        <v/>
      </c>
    </row>
    <row r="872" spans="27:79" x14ac:dyDescent="0.25">
      <c r="AA872" t="e">
        <f t="shared" si="366"/>
        <v>#VALUE!</v>
      </c>
      <c r="AE872" t="str">
        <f t="shared" si="367"/>
        <v/>
      </c>
      <c r="BZ872" t="str">
        <f t="shared" si="365"/>
        <v/>
      </c>
      <c r="CA872" t="str">
        <f t="shared" si="364"/>
        <v/>
      </c>
    </row>
    <row r="873" spans="27:79" x14ac:dyDescent="0.25">
      <c r="AA873" t="e">
        <f t="shared" si="366"/>
        <v>#VALUE!</v>
      </c>
      <c r="AE873" t="str">
        <f t="shared" si="367"/>
        <v/>
      </c>
      <c r="BZ873" t="str">
        <f t="shared" si="365"/>
        <v/>
      </c>
      <c r="CA873" t="str">
        <f t="shared" si="364"/>
        <v/>
      </c>
    </row>
    <row r="874" spans="27:79" x14ac:dyDescent="0.25">
      <c r="AA874" t="e">
        <f t="shared" si="366"/>
        <v>#VALUE!</v>
      </c>
      <c r="AE874" t="str">
        <f t="shared" si="367"/>
        <v/>
      </c>
      <c r="BZ874" t="str">
        <f t="shared" si="365"/>
        <v/>
      </c>
      <c r="CA874" t="str">
        <f t="shared" si="364"/>
        <v/>
      </c>
    </row>
    <row r="875" spans="27:79" x14ac:dyDescent="0.25">
      <c r="AA875" t="e">
        <f t="shared" si="366"/>
        <v>#VALUE!</v>
      </c>
      <c r="AE875" t="str">
        <f t="shared" si="367"/>
        <v/>
      </c>
      <c r="BZ875" t="str">
        <f t="shared" si="365"/>
        <v/>
      </c>
      <c r="CA875" t="str">
        <f t="shared" si="364"/>
        <v/>
      </c>
    </row>
    <row r="876" spans="27:79" x14ac:dyDescent="0.25">
      <c r="AA876" t="e">
        <f t="shared" si="366"/>
        <v>#VALUE!</v>
      </c>
      <c r="AE876" t="str">
        <f t="shared" si="367"/>
        <v/>
      </c>
      <c r="BZ876" t="str">
        <f t="shared" si="365"/>
        <v/>
      </c>
      <c r="CA876" t="str">
        <f t="shared" si="364"/>
        <v/>
      </c>
    </row>
    <row r="877" spans="27:79" x14ac:dyDescent="0.25">
      <c r="AA877" t="e">
        <f t="shared" si="366"/>
        <v>#VALUE!</v>
      </c>
      <c r="AE877" t="str">
        <f t="shared" si="367"/>
        <v/>
      </c>
      <c r="BZ877" t="str">
        <f t="shared" si="365"/>
        <v/>
      </c>
      <c r="CA877" t="str">
        <f t="shared" si="364"/>
        <v/>
      </c>
    </row>
    <row r="878" spans="27:79" x14ac:dyDescent="0.25">
      <c r="AA878" t="e">
        <f t="shared" si="366"/>
        <v>#VALUE!</v>
      </c>
      <c r="AE878" t="str">
        <f t="shared" si="367"/>
        <v/>
      </c>
      <c r="BZ878" t="str">
        <f t="shared" si="365"/>
        <v/>
      </c>
      <c r="CA878" t="str">
        <f t="shared" si="364"/>
        <v/>
      </c>
    </row>
    <row r="879" spans="27:79" x14ac:dyDescent="0.25">
      <c r="AA879" t="e">
        <f t="shared" si="366"/>
        <v>#VALUE!</v>
      </c>
      <c r="AE879" t="str">
        <f t="shared" si="367"/>
        <v/>
      </c>
      <c r="BZ879" t="str">
        <f t="shared" si="365"/>
        <v/>
      </c>
      <c r="CA879" t="str">
        <f t="shared" ref="CA879:CA942" si="368">IF(BU879=0,"",BW879)</f>
        <v/>
      </c>
    </row>
    <row r="880" spans="27:79" x14ac:dyDescent="0.25">
      <c r="AA880" t="e">
        <f t="shared" si="366"/>
        <v>#VALUE!</v>
      </c>
      <c r="AE880" t="str">
        <f t="shared" si="367"/>
        <v/>
      </c>
      <c r="BZ880" t="str">
        <f t="shared" si="365"/>
        <v/>
      </c>
      <c r="CA880" t="str">
        <f t="shared" si="368"/>
        <v/>
      </c>
    </row>
    <row r="881" spans="27:79" x14ac:dyDescent="0.25">
      <c r="AA881" t="e">
        <f t="shared" si="366"/>
        <v>#VALUE!</v>
      </c>
      <c r="AE881" t="str">
        <f t="shared" si="367"/>
        <v/>
      </c>
      <c r="BZ881" t="str">
        <f t="shared" si="365"/>
        <v/>
      </c>
      <c r="CA881" t="str">
        <f t="shared" si="368"/>
        <v/>
      </c>
    </row>
    <row r="882" spans="27:79" x14ac:dyDescent="0.25">
      <c r="AA882" t="e">
        <f t="shared" si="366"/>
        <v>#VALUE!</v>
      </c>
      <c r="AE882" t="str">
        <f t="shared" si="367"/>
        <v/>
      </c>
      <c r="BZ882" t="str">
        <f t="shared" si="365"/>
        <v/>
      </c>
      <c r="CA882" t="str">
        <f t="shared" si="368"/>
        <v/>
      </c>
    </row>
    <row r="883" spans="27:79" x14ac:dyDescent="0.25">
      <c r="AA883" t="e">
        <f t="shared" si="366"/>
        <v>#VALUE!</v>
      </c>
      <c r="AE883" t="str">
        <f t="shared" si="367"/>
        <v/>
      </c>
      <c r="BZ883" t="str">
        <f t="shared" si="365"/>
        <v/>
      </c>
      <c r="CA883" t="str">
        <f t="shared" si="368"/>
        <v/>
      </c>
    </row>
    <row r="884" spans="27:79" x14ac:dyDescent="0.25">
      <c r="AA884" t="e">
        <f t="shared" si="366"/>
        <v>#VALUE!</v>
      </c>
      <c r="AE884" t="str">
        <f t="shared" si="367"/>
        <v/>
      </c>
      <c r="BZ884" t="str">
        <f t="shared" si="365"/>
        <v/>
      </c>
      <c r="CA884" t="str">
        <f t="shared" si="368"/>
        <v/>
      </c>
    </row>
    <row r="885" spans="27:79" x14ac:dyDescent="0.25">
      <c r="AA885" t="e">
        <f t="shared" si="366"/>
        <v>#VALUE!</v>
      </c>
      <c r="AE885" t="str">
        <f t="shared" si="367"/>
        <v/>
      </c>
      <c r="BZ885" t="str">
        <f t="shared" si="365"/>
        <v/>
      </c>
      <c r="CA885" t="str">
        <f t="shared" si="368"/>
        <v/>
      </c>
    </row>
    <row r="886" spans="27:79" x14ac:dyDescent="0.25">
      <c r="AA886" t="e">
        <f t="shared" si="366"/>
        <v>#VALUE!</v>
      </c>
      <c r="AE886" t="str">
        <f t="shared" si="367"/>
        <v/>
      </c>
      <c r="BZ886" t="str">
        <f t="shared" si="365"/>
        <v/>
      </c>
      <c r="CA886" t="str">
        <f t="shared" si="368"/>
        <v/>
      </c>
    </row>
    <row r="887" spans="27:79" x14ac:dyDescent="0.25">
      <c r="AA887" t="e">
        <f t="shared" si="366"/>
        <v>#VALUE!</v>
      </c>
      <c r="AE887" t="str">
        <f t="shared" si="367"/>
        <v/>
      </c>
      <c r="BZ887" t="str">
        <f t="shared" si="365"/>
        <v/>
      </c>
      <c r="CA887" t="str">
        <f t="shared" si="368"/>
        <v/>
      </c>
    </row>
    <row r="888" spans="27:79" x14ac:dyDescent="0.25">
      <c r="AA888" t="e">
        <f t="shared" si="366"/>
        <v>#VALUE!</v>
      </c>
      <c r="AE888" t="str">
        <f t="shared" si="367"/>
        <v/>
      </c>
      <c r="BZ888" t="str">
        <f t="shared" si="365"/>
        <v/>
      </c>
      <c r="CA888" t="str">
        <f t="shared" si="368"/>
        <v/>
      </c>
    </row>
    <row r="889" spans="27:79" x14ac:dyDescent="0.25">
      <c r="AA889" t="e">
        <f t="shared" si="366"/>
        <v>#VALUE!</v>
      </c>
      <c r="AE889" t="str">
        <f t="shared" si="367"/>
        <v/>
      </c>
      <c r="BZ889" t="str">
        <f t="shared" si="365"/>
        <v/>
      </c>
      <c r="CA889" t="str">
        <f t="shared" si="368"/>
        <v/>
      </c>
    </row>
    <row r="890" spans="27:79" x14ac:dyDescent="0.25">
      <c r="AA890" t="e">
        <f t="shared" si="366"/>
        <v>#VALUE!</v>
      </c>
      <c r="AE890" t="str">
        <f t="shared" si="367"/>
        <v/>
      </c>
      <c r="BZ890" t="str">
        <f t="shared" si="365"/>
        <v/>
      </c>
      <c r="CA890" t="str">
        <f t="shared" si="368"/>
        <v/>
      </c>
    </row>
    <row r="891" spans="27:79" x14ac:dyDescent="0.25">
      <c r="AA891" t="e">
        <f t="shared" si="366"/>
        <v>#VALUE!</v>
      </c>
      <c r="AE891" t="str">
        <f t="shared" si="367"/>
        <v/>
      </c>
      <c r="BZ891" t="str">
        <f t="shared" si="365"/>
        <v/>
      </c>
      <c r="CA891" t="str">
        <f t="shared" si="368"/>
        <v/>
      </c>
    </row>
    <row r="892" spans="27:79" x14ac:dyDescent="0.25">
      <c r="AA892" t="e">
        <f t="shared" si="366"/>
        <v>#VALUE!</v>
      </c>
      <c r="AE892" t="str">
        <f t="shared" si="367"/>
        <v/>
      </c>
      <c r="BZ892" t="str">
        <f t="shared" si="365"/>
        <v/>
      </c>
      <c r="CA892" t="str">
        <f t="shared" si="368"/>
        <v/>
      </c>
    </row>
    <row r="893" spans="27:79" x14ac:dyDescent="0.25">
      <c r="AA893" t="e">
        <f t="shared" si="366"/>
        <v>#VALUE!</v>
      </c>
      <c r="AE893" t="str">
        <f t="shared" si="367"/>
        <v/>
      </c>
      <c r="BZ893" t="str">
        <f t="shared" si="365"/>
        <v/>
      </c>
      <c r="CA893" t="str">
        <f t="shared" si="368"/>
        <v/>
      </c>
    </row>
    <row r="894" spans="27:79" x14ac:dyDescent="0.25">
      <c r="AA894" t="e">
        <f t="shared" si="366"/>
        <v>#VALUE!</v>
      </c>
      <c r="AE894" t="str">
        <f t="shared" si="367"/>
        <v/>
      </c>
      <c r="BZ894" t="str">
        <f t="shared" si="365"/>
        <v/>
      </c>
      <c r="CA894" t="str">
        <f t="shared" si="368"/>
        <v/>
      </c>
    </row>
    <row r="895" spans="27:79" x14ac:dyDescent="0.25">
      <c r="AA895" t="e">
        <f t="shared" si="366"/>
        <v>#VALUE!</v>
      </c>
      <c r="AE895" t="str">
        <f t="shared" si="367"/>
        <v/>
      </c>
      <c r="BZ895" t="str">
        <f t="shared" si="365"/>
        <v/>
      </c>
      <c r="CA895" t="str">
        <f t="shared" si="368"/>
        <v/>
      </c>
    </row>
    <row r="896" spans="27:79" x14ac:dyDescent="0.25">
      <c r="AA896" t="e">
        <f t="shared" si="366"/>
        <v>#VALUE!</v>
      </c>
      <c r="AE896" t="str">
        <f t="shared" si="367"/>
        <v/>
      </c>
      <c r="BZ896" t="str">
        <f t="shared" si="365"/>
        <v/>
      </c>
      <c r="CA896" t="str">
        <f t="shared" si="368"/>
        <v/>
      </c>
    </row>
    <row r="897" spans="27:79" x14ac:dyDescent="0.25">
      <c r="AA897" t="e">
        <f t="shared" si="366"/>
        <v>#VALUE!</v>
      </c>
      <c r="AE897" t="str">
        <f t="shared" si="367"/>
        <v/>
      </c>
      <c r="BZ897" t="str">
        <f t="shared" si="365"/>
        <v/>
      </c>
      <c r="CA897" t="str">
        <f t="shared" si="368"/>
        <v/>
      </c>
    </row>
    <row r="898" spans="27:79" x14ac:dyDescent="0.25">
      <c r="AA898" t="e">
        <f t="shared" si="366"/>
        <v>#VALUE!</v>
      </c>
      <c r="AE898" t="str">
        <f t="shared" si="367"/>
        <v/>
      </c>
      <c r="BZ898" t="str">
        <f t="shared" ref="BZ898:BZ961" si="369">IF(BU898=0,"",BV898)</f>
        <v/>
      </c>
      <c r="CA898" t="str">
        <f t="shared" si="368"/>
        <v/>
      </c>
    </row>
    <row r="899" spans="27:79" x14ac:dyDescent="0.25">
      <c r="AA899" t="e">
        <f t="shared" si="366"/>
        <v>#VALUE!</v>
      </c>
      <c r="AE899" t="str">
        <f t="shared" si="367"/>
        <v/>
      </c>
      <c r="BZ899" t="str">
        <f t="shared" si="369"/>
        <v/>
      </c>
      <c r="CA899" t="str">
        <f t="shared" si="368"/>
        <v/>
      </c>
    </row>
    <row r="900" spans="27:79" x14ac:dyDescent="0.25">
      <c r="AA900" s="4">
        <f>$AF$2</f>
        <v>25</v>
      </c>
      <c r="AE900" s="4">
        <f>+AA900</f>
        <v>25</v>
      </c>
      <c r="BZ900" t="str">
        <f t="shared" si="369"/>
        <v/>
      </c>
      <c r="CA900" t="str">
        <f t="shared" si="368"/>
        <v/>
      </c>
    </row>
    <row r="901" spans="27:79" x14ac:dyDescent="0.25">
      <c r="AA901" s="4">
        <f>$AF$3</f>
        <v>26</v>
      </c>
      <c r="AE901" s="4">
        <f t="shared" ref="AE901:AE964" si="370">+AA901</f>
        <v>26</v>
      </c>
      <c r="BZ901" t="str">
        <f t="shared" si="369"/>
        <v/>
      </c>
      <c r="CA901" t="str">
        <f t="shared" si="368"/>
        <v/>
      </c>
    </row>
    <row r="902" spans="27:79" x14ac:dyDescent="0.25">
      <c r="AA902" s="4">
        <f>$AF$4</f>
        <v>27</v>
      </c>
      <c r="AE902" s="4">
        <f t="shared" si="370"/>
        <v>27</v>
      </c>
      <c r="BZ902" t="str">
        <f t="shared" si="369"/>
        <v/>
      </c>
      <c r="CA902" t="str">
        <f t="shared" si="368"/>
        <v/>
      </c>
    </row>
    <row r="903" spans="27:79" x14ac:dyDescent="0.25">
      <c r="AA903" s="4">
        <f>$AF$5</f>
        <v>28</v>
      </c>
      <c r="AE903" s="4">
        <f t="shared" si="370"/>
        <v>28</v>
      </c>
      <c r="BZ903" t="str">
        <f t="shared" si="369"/>
        <v/>
      </c>
      <c r="CA903" t="str">
        <f t="shared" si="368"/>
        <v/>
      </c>
    </row>
    <row r="904" spans="27:79" x14ac:dyDescent="0.25">
      <c r="AA904" s="4">
        <f>$AF$6</f>
        <v>29</v>
      </c>
      <c r="AE904" s="4">
        <f t="shared" si="370"/>
        <v>29</v>
      </c>
      <c r="BZ904" t="str">
        <f t="shared" si="369"/>
        <v/>
      </c>
      <c r="CA904" t="str">
        <f t="shared" si="368"/>
        <v/>
      </c>
    </row>
    <row r="905" spans="27:79" x14ac:dyDescent="0.25">
      <c r="AA905" s="4">
        <f>$AF$7</f>
        <v>30</v>
      </c>
      <c r="AE905" s="4">
        <f t="shared" si="370"/>
        <v>30</v>
      </c>
      <c r="BZ905" t="str">
        <f t="shared" si="369"/>
        <v/>
      </c>
      <c r="CA905" t="str">
        <f t="shared" si="368"/>
        <v/>
      </c>
    </row>
    <row r="906" spans="27:79" x14ac:dyDescent="0.25">
      <c r="AA906" s="4">
        <f>$AF$8</f>
        <v>31</v>
      </c>
      <c r="AE906" s="4">
        <f t="shared" si="370"/>
        <v>31</v>
      </c>
      <c r="BZ906" t="str">
        <f t="shared" si="369"/>
        <v/>
      </c>
      <c r="CA906" t="str">
        <f t="shared" si="368"/>
        <v/>
      </c>
    </row>
    <row r="907" spans="27:79" x14ac:dyDescent="0.25">
      <c r="AA907" s="4">
        <f>$AF$9</f>
        <v>32</v>
      </c>
      <c r="AE907" s="4">
        <f t="shared" si="370"/>
        <v>32</v>
      </c>
      <c r="BZ907" t="str">
        <f t="shared" si="369"/>
        <v/>
      </c>
      <c r="CA907" t="str">
        <f t="shared" si="368"/>
        <v/>
      </c>
    </row>
    <row r="908" spans="27:79" x14ac:dyDescent="0.25">
      <c r="AA908" s="4">
        <f>$AF$10</f>
        <v>33</v>
      </c>
      <c r="AE908" s="4">
        <f t="shared" si="370"/>
        <v>33</v>
      </c>
      <c r="BZ908" t="str">
        <f t="shared" si="369"/>
        <v/>
      </c>
      <c r="CA908" t="str">
        <f t="shared" si="368"/>
        <v/>
      </c>
    </row>
    <row r="909" spans="27:79" x14ac:dyDescent="0.25">
      <c r="AA909" s="4">
        <f>$AF$11</f>
        <v>34</v>
      </c>
      <c r="AE909" s="4">
        <f t="shared" si="370"/>
        <v>34</v>
      </c>
      <c r="BZ909" t="str">
        <f t="shared" si="369"/>
        <v/>
      </c>
      <c r="CA909" t="str">
        <f t="shared" si="368"/>
        <v/>
      </c>
    </row>
    <row r="910" spans="27:79" x14ac:dyDescent="0.25">
      <c r="AA910" s="4">
        <f>$AF$12</f>
        <v>35</v>
      </c>
      <c r="AE910" s="4">
        <f t="shared" si="370"/>
        <v>35</v>
      </c>
      <c r="BZ910" t="str">
        <f t="shared" si="369"/>
        <v/>
      </c>
      <c r="CA910" t="str">
        <f t="shared" si="368"/>
        <v/>
      </c>
    </row>
    <row r="911" spans="27:79" x14ac:dyDescent="0.25">
      <c r="AA911" s="4">
        <f>$AF$13</f>
        <v>36</v>
      </c>
      <c r="AE911" s="4">
        <f t="shared" si="370"/>
        <v>36</v>
      </c>
      <c r="BZ911" t="str">
        <f t="shared" si="369"/>
        <v/>
      </c>
      <c r="CA911" t="str">
        <f t="shared" si="368"/>
        <v/>
      </c>
    </row>
    <row r="912" spans="27:79" x14ac:dyDescent="0.25">
      <c r="AA912" s="4">
        <f>$AF$14</f>
        <v>37</v>
      </c>
      <c r="AE912" s="4">
        <f t="shared" si="370"/>
        <v>37</v>
      </c>
      <c r="BZ912" t="str">
        <f t="shared" si="369"/>
        <v/>
      </c>
      <c r="CA912" t="str">
        <f t="shared" si="368"/>
        <v/>
      </c>
    </row>
    <row r="913" spans="27:79" x14ac:dyDescent="0.25">
      <c r="AA913" s="4">
        <f>$AF$15</f>
        <v>38</v>
      </c>
      <c r="AE913" s="4">
        <f t="shared" si="370"/>
        <v>38</v>
      </c>
      <c r="BZ913" t="str">
        <f t="shared" si="369"/>
        <v/>
      </c>
      <c r="CA913" t="str">
        <f t="shared" si="368"/>
        <v/>
      </c>
    </row>
    <row r="914" spans="27:79" x14ac:dyDescent="0.25">
      <c r="AA914" s="4">
        <f>$AF$16</f>
        <v>39</v>
      </c>
      <c r="AE914" s="4">
        <f t="shared" si="370"/>
        <v>39</v>
      </c>
      <c r="BZ914" t="str">
        <f t="shared" si="369"/>
        <v/>
      </c>
      <c r="CA914" t="str">
        <f t="shared" si="368"/>
        <v/>
      </c>
    </row>
    <row r="915" spans="27:79" x14ac:dyDescent="0.25">
      <c r="AA915" s="4">
        <f>$AF$17</f>
        <v>40</v>
      </c>
      <c r="AE915" s="4">
        <f t="shared" si="370"/>
        <v>40</v>
      </c>
      <c r="BZ915" t="str">
        <f t="shared" si="369"/>
        <v/>
      </c>
      <c r="CA915" t="str">
        <f t="shared" si="368"/>
        <v/>
      </c>
    </row>
    <row r="916" spans="27:79" x14ac:dyDescent="0.25">
      <c r="AA916" s="4">
        <f>$AF$18</f>
        <v>41</v>
      </c>
      <c r="AE916" s="4">
        <f t="shared" si="370"/>
        <v>41</v>
      </c>
      <c r="BZ916" t="str">
        <f t="shared" si="369"/>
        <v/>
      </c>
      <c r="CA916" t="str">
        <f t="shared" si="368"/>
        <v/>
      </c>
    </row>
    <row r="917" spans="27:79" x14ac:dyDescent="0.25">
      <c r="AA917" s="4">
        <f>$AF$19</f>
        <v>42</v>
      </c>
      <c r="AE917" s="4">
        <f t="shared" si="370"/>
        <v>42</v>
      </c>
      <c r="BZ917" t="str">
        <f t="shared" si="369"/>
        <v/>
      </c>
      <c r="CA917" t="str">
        <f t="shared" si="368"/>
        <v/>
      </c>
    </row>
    <row r="918" spans="27:79" x14ac:dyDescent="0.25">
      <c r="AA918" s="4">
        <f>$AF$20</f>
        <v>43</v>
      </c>
      <c r="AE918" s="4">
        <f t="shared" si="370"/>
        <v>43</v>
      </c>
      <c r="BZ918" t="str">
        <f t="shared" si="369"/>
        <v/>
      </c>
      <c r="CA918" t="str">
        <f t="shared" si="368"/>
        <v/>
      </c>
    </row>
    <row r="919" spans="27:79" x14ac:dyDescent="0.25">
      <c r="AA919" s="4">
        <f>$AF$21</f>
        <v>44</v>
      </c>
      <c r="AE919" s="4">
        <f t="shared" si="370"/>
        <v>44</v>
      </c>
      <c r="BZ919" t="str">
        <f t="shared" si="369"/>
        <v/>
      </c>
      <c r="CA919" t="str">
        <f t="shared" si="368"/>
        <v/>
      </c>
    </row>
    <row r="920" spans="27:79" x14ac:dyDescent="0.25">
      <c r="AA920" s="4">
        <f>$AF$22</f>
        <v>45</v>
      </c>
      <c r="AE920" s="4">
        <f t="shared" si="370"/>
        <v>45</v>
      </c>
      <c r="BZ920" t="str">
        <f t="shared" si="369"/>
        <v/>
      </c>
      <c r="CA920" t="str">
        <f t="shared" si="368"/>
        <v/>
      </c>
    </row>
    <row r="921" spans="27:79" x14ac:dyDescent="0.25">
      <c r="AA921" s="4">
        <f>$AF$23</f>
        <v>46</v>
      </c>
      <c r="AE921" s="4">
        <f t="shared" si="370"/>
        <v>46</v>
      </c>
      <c r="BZ921" t="str">
        <f t="shared" si="369"/>
        <v/>
      </c>
      <c r="CA921" t="str">
        <f t="shared" si="368"/>
        <v/>
      </c>
    </row>
    <row r="922" spans="27:79" x14ac:dyDescent="0.25">
      <c r="AA922" s="4">
        <f>$AF$24</f>
        <v>47</v>
      </c>
      <c r="AE922" s="4">
        <f t="shared" si="370"/>
        <v>47</v>
      </c>
      <c r="BZ922" t="str">
        <f t="shared" si="369"/>
        <v/>
      </c>
      <c r="CA922" t="str">
        <f t="shared" si="368"/>
        <v/>
      </c>
    </row>
    <row r="923" spans="27:79" x14ac:dyDescent="0.25">
      <c r="AA923" s="4">
        <f>$AF$25</f>
        <v>48</v>
      </c>
      <c r="AE923" s="4">
        <f t="shared" si="370"/>
        <v>48</v>
      </c>
      <c r="BZ923" t="str">
        <f t="shared" si="369"/>
        <v/>
      </c>
      <c r="CA923" t="str">
        <f t="shared" si="368"/>
        <v/>
      </c>
    </row>
    <row r="924" spans="27:79" x14ac:dyDescent="0.25">
      <c r="AA924" s="4">
        <f>$AF$26</f>
        <v>49</v>
      </c>
      <c r="AE924" s="4">
        <f t="shared" si="370"/>
        <v>49</v>
      </c>
      <c r="BZ924" t="str">
        <f t="shared" si="369"/>
        <v/>
      </c>
      <c r="CA924" t="str">
        <f t="shared" si="368"/>
        <v/>
      </c>
    </row>
    <row r="925" spans="27:79" x14ac:dyDescent="0.25">
      <c r="AA925" s="4">
        <f>$AF$27</f>
        <v>50</v>
      </c>
      <c r="AE925" s="4">
        <f t="shared" si="370"/>
        <v>50</v>
      </c>
      <c r="BZ925" t="str">
        <f t="shared" si="369"/>
        <v/>
      </c>
      <c r="CA925" t="str">
        <f t="shared" si="368"/>
        <v/>
      </c>
    </row>
    <row r="926" spans="27:79" x14ac:dyDescent="0.25">
      <c r="AA926" s="4">
        <f>$AF$28</f>
        <v>51</v>
      </c>
      <c r="AE926" s="4">
        <f t="shared" si="370"/>
        <v>51</v>
      </c>
      <c r="BZ926" t="str">
        <f t="shared" si="369"/>
        <v/>
      </c>
      <c r="CA926" t="str">
        <f t="shared" si="368"/>
        <v/>
      </c>
    </row>
    <row r="927" spans="27:79" x14ac:dyDescent="0.25">
      <c r="AA927" s="4">
        <f>$AF$29</f>
        <v>52</v>
      </c>
      <c r="AE927" s="4">
        <f t="shared" si="370"/>
        <v>52</v>
      </c>
      <c r="BZ927" t="str">
        <f t="shared" si="369"/>
        <v/>
      </c>
      <c r="CA927" t="str">
        <f t="shared" si="368"/>
        <v/>
      </c>
    </row>
    <row r="928" spans="27:79" x14ac:dyDescent="0.25">
      <c r="AA928" s="4">
        <f>$AF$30</f>
        <v>53</v>
      </c>
      <c r="AE928" s="4">
        <f t="shared" si="370"/>
        <v>53</v>
      </c>
      <c r="BZ928" t="str">
        <f t="shared" si="369"/>
        <v/>
      </c>
      <c r="CA928" t="str">
        <f t="shared" si="368"/>
        <v/>
      </c>
    </row>
    <row r="929" spans="27:79" x14ac:dyDescent="0.25">
      <c r="AA929" s="4">
        <f>$AF$31</f>
        <v>54</v>
      </c>
      <c r="AE929" s="4">
        <f t="shared" si="370"/>
        <v>54</v>
      </c>
      <c r="BZ929" t="str">
        <f t="shared" si="369"/>
        <v/>
      </c>
      <c r="CA929" t="str">
        <f t="shared" si="368"/>
        <v/>
      </c>
    </row>
    <row r="930" spans="27:79" x14ac:dyDescent="0.25">
      <c r="AA930" s="4">
        <f>$AF$32</f>
        <v>55</v>
      </c>
      <c r="AE930" s="4">
        <f t="shared" si="370"/>
        <v>55</v>
      </c>
      <c r="BZ930" t="str">
        <f t="shared" si="369"/>
        <v/>
      </c>
      <c r="CA930" t="str">
        <f t="shared" si="368"/>
        <v/>
      </c>
    </row>
    <row r="931" spans="27:79" x14ac:dyDescent="0.25">
      <c r="AA931" s="4">
        <f>$AF$33</f>
        <v>56</v>
      </c>
      <c r="AE931" s="4">
        <f t="shared" si="370"/>
        <v>56</v>
      </c>
      <c r="BZ931" t="str">
        <f t="shared" si="369"/>
        <v/>
      </c>
      <c r="CA931" t="str">
        <f t="shared" si="368"/>
        <v/>
      </c>
    </row>
    <row r="932" spans="27:79" x14ac:dyDescent="0.25">
      <c r="AA932" s="4">
        <f>$AF$34</f>
        <v>57</v>
      </c>
      <c r="AE932" s="4">
        <f t="shared" si="370"/>
        <v>57</v>
      </c>
      <c r="BZ932" t="str">
        <f t="shared" si="369"/>
        <v/>
      </c>
      <c r="CA932" t="str">
        <f t="shared" si="368"/>
        <v/>
      </c>
    </row>
    <row r="933" spans="27:79" x14ac:dyDescent="0.25">
      <c r="AA933" s="4">
        <f>$AF$35</f>
        <v>58</v>
      </c>
      <c r="AE933" s="4">
        <f t="shared" si="370"/>
        <v>58</v>
      </c>
      <c r="BZ933" t="str">
        <f t="shared" si="369"/>
        <v/>
      </c>
      <c r="CA933" t="str">
        <f t="shared" si="368"/>
        <v/>
      </c>
    </row>
    <row r="934" spans="27:79" x14ac:dyDescent="0.25">
      <c r="AA934" s="4">
        <f>$AF$36</f>
        <v>59</v>
      </c>
      <c r="AE934" s="4">
        <f t="shared" si="370"/>
        <v>59</v>
      </c>
      <c r="BZ934" t="str">
        <f t="shared" si="369"/>
        <v/>
      </c>
      <c r="CA934" t="str">
        <f t="shared" si="368"/>
        <v/>
      </c>
    </row>
    <row r="935" spans="27:79" x14ac:dyDescent="0.25">
      <c r="AA935" s="4">
        <f>$AF$37</f>
        <v>60</v>
      </c>
      <c r="AE935" s="4">
        <f t="shared" si="370"/>
        <v>60</v>
      </c>
      <c r="BZ935" t="str">
        <f t="shared" si="369"/>
        <v/>
      </c>
      <c r="CA935" t="str">
        <f t="shared" si="368"/>
        <v/>
      </c>
    </row>
    <row r="936" spans="27:79" x14ac:dyDescent="0.25">
      <c r="AA936" s="4">
        <f>$AF$38</f>
        <v>61</v>
      </c>
      <c r="AE936" s="4">
        <f t="shared" si="370"/>
        <v>61</v>
      </c>
      <c r="BZ936" t="str">
        <f t="shared" si="369"/>
        <v/>
      </c>
      <c r="CA936" t="str">
        <f t="shared" si="368"/>
        <v/>
      </c>
    </row>
    <row r="937" spans="27:79" x14ac:dyDescent="0.25">
      <c r="AA937" s="4">
        <f>$AF$39</f>
        <v>62</v>
      </c>
      <c r="AE937" s="4">
        <f t="shared" si="370"/>
        <v>62</v>
      </c>
      <c r="BZ937" t="str">
        <f t="shared" si="369"/>
        <v/>
      </c>
      <c r="CA937" t="str">
        <f t="shared" si="368"/>
        <v/>
      </c>
    </row>
    <row r="938" spans="27:79" x14ac:dyDescent="0.25">
      <c r="AA938" s="4">
        <f>$AF$40</f>
        <v>63</v>
      </c>
      <c r="AE938" s="4">
        <f t="shared" si="370"/>
        <v>63</v>
      </c>
      <c r="BZ938" t="str">
        <f t="shared" si="369"/>
        <v/>
      </c>
      <c r="CA938" t="str">
        <f t="shared" si="368"/>
        <v/>
      </c>
    </row>
    <row r="939" spans="27:79" x14ac:dyDescent="0.25">
      <c r="AA939" s="4">
        <f>$AF$41</f>
        <v>64</v>
      </c>
      <c r="AE939" s="4">
        <f t="shared" si="370"/>
        <v>64</v>
      </c>
      <c r="BZ939" t="str">
        <f t="shared" si="369"/>
        <v/>
      </c>
      <c r="CA939" t="str">
        <f t="shared" si="368"/>
        <v/>
      </c>
    </row>
    <row r="940" spans="27:79" x14ac:dyDescent="0.25">
      <c r="AA940" s="4">
        <f>$AF$42</f>
        <v>65</v>
      </c>
      <c r="AE940" s="4">
        <f t="shared" si="370"/>
        <v>65</v>
      </c>
      <c r="BZ940" t="str">
        <f t="shared" si="369"/>
        <v/>
      </c>
      <c r="CA940" t="str">
        <f t="shared" si="368"/>
        <v/>
      </c>
    </row>
    <row r="941" spans="27:79" x14ac:dyDescent="0.25">
      <c r="AA941" s="4">
        <f>$AF$43</f>
        <v>66</v>
      </c>
      <c r="AE941" s="4">
        <f t="shared" si="370"/>
        <v>66</v>
      </c>
      <c r="BZ941" t="str">
        <f t="shared" si="369"/>
        <v/>
      </c>
      <c r="CA941" t="str">
        <f t="shared" si="368"/>
        <v/>
      </c>
    </row>
    <row r="942" spans="27:79" x14ac:dyDescent="0.25">
      <c r="AA942" s="4">
        <f>$AF$44</f>
        <v>67</v>
      </c>
      <c r="AE942" s="4">
        <f t="shared" si="370"/>
        <v>67</v>
      </c>
      <c r="BZ942" t="str">
        <f t="shared" si="369"/>
        <v/>
      </c>
      <c r="CA942" t="str">
        <f t="shared" si="368"/>
        <v/>
      </c>
    </row>
    <row r="943" spans="27:79" x14ac:dyDescent="0.25">
      <c r="AA943" s="4">
        <f>$AF$45</f>
        <v>68</v>
      </c>
      <c r="AE943" s="4">
        <f t="shared" si="370"/>
        <v>68</v>
      </c>
      <c r="BZ943" t="str">
        <f t="shared" si="369"/>
        <v/>
      </c>
      <c r="CA943" t="str">
        <f t="shared" ref="CA943:CA1006" si="371">IF(BU943=0,"",BW943)</f>
        <v/>
      </c>
    </row>
    <row r="944" spans="27:79" x14ac:dyDescent="0.25">
      <c r="AA944" s="4">
        <f>$AF$46</f>
        <v>69</v>
      </c>
      <c r="AE944" s="4">
        <f t="shared" si="370"/>
        <v>69</v>
      </c>
      <c r="BZ944" t="str">
        <f t="shared" si="369"/>
        <v/>
      </c>
      <c r="CA944" t="str">
        <f t="shared" si="371"/>
        <v/>
      </c>
    </row>
    <row r="945" spans="27:79" x14ac:dyDescent="0.25">
      <c r="AA945" s="4">
        <f>$AF$47</f>
        <v>70</v>
      </c>
      <c r="AE945" s="4">
        <f t="shared" si="370"/>
        <v>70</v>
      </c>
      <c r="BZ945" t="str">
        <f t="shared" si="369"/>
        <v/>
      </c>
      <c r="CA945" t="str">
        <f t="shared" si="371"/>
        <v/>
      </c>
    </row>
    <row r="946" spans="27:79" x14ac:dyDescent="0.25">
      <c r="AA946" s="4">
        <f>$AF$48</f>
        <v>70</v>
      </c>
      <c r="AE946" s="4">
        <f t="shared" si="370"/>
        <v>70</v>
      </c>
      <c r="BZ946" t="str">
        <f t="shared" si="369"/>
        <v/>
      </c>
      <c r="CA946" t="str">
        <f t="shared" si="371"/>
        <v/>
      </c>
    </row>
    <row r="947" spans="27:79" x14ac:dyDescent="0.25">
      <c r="AA947" s="4">
        <f>$AF$49</f>
        <v>70</v>
      </c>
      <c r="AE947" s="4">
        <f t="shared" si="370"/>
        <v>70</v>
      </c>
      <c r="BZ947" t="str">
        <f t="shared" si="369"/>
        <v/>
      </c>
      <c r="CA947" t="str">
        <f t="shared" si="371"/>
        <v/>
      </c>
    </row>
    <row r="948" spans="27:79" x14ac:dyDescent="0.25">
      <c r="AA948" s="4">
        <f>$AF$50</f>
        <v>70</v>
      </c>
      <c r="AE948" s="4">
        <f t="shared" si="370"/>
        <v>70</v>
      </c>
      <c r="BZ948" t="str">
        <f t="shared" si="369"/>
        <v/>
      </c>
      <c r="CA948" t="str">
        <f t="shared" si="371"/>
        <v/>
      </c>
    </row>
    <row r="949" spans="27:79" x14ac:dyDescent="0.25">
      <c r="AA949" s="4">
        <f>$AF$51</f>
        <v>70</v>
      </c>
      <c r="AE949" s="4">
        <f t="shared" si="370"/>
        <v>70</v>
      </c>
      <c r="BZ949" t="str">
        <f t="shared" si="369"/>
        <v/>
      </c>
      <c r="CA949" t="str">
        <f t="shared" si="371"/>
        <v/>
      </c>
    </row>
    <row r="950" spans="27:79" x14ac:dyDescent="0.25">
      <c r="AA950" s="4">
        <f>$AF$52</f>
        <v>70</v>
      </c>
      <c r="AE950" s="4">
        <f t="shared" si="370"/>
        <v>70</v>
      </c>
      <c r="BZ950" t="str">
        <f t="shared" si="369"/>
        <v/>
      </c>
      <c r="CA950" t="str">
        <f t="shared" si="371"/>
        <v/>
      </c>
    </row>
    <row r="951" spans="27:79" x14ac:dyDescent="0.25">
      <c r="AA951" s="4">
        <f>$AF$53</f>
        <v>70</v>
      </c>
      <c r="AE951" s="4">
        <f t="shared" si="370"/>
        <v>70</v>
      </c>
      <c r="BZ951" t="str">
        <f t="shared" si="369"/>
        <v/>
      </c>
      <c r="CA951" t="str">
        <f t="shared" si="371"/>
        <v/>
      </c>
    </row>
    <row r="952" spans="27:79" x14ac:dyDescent="0.25">
      <c r="AA952" s="4">
        <f>$AF$54</f>
        <v>70</v>
      </c>
      <c r="AE952" s="4">
        <f t="shared" si="370"/>
        <v>70</v>
      </c>
      <c r="BZ952" t="str">
        <f t="shared" si="369"/>
        <v/>
      </c>
      <c r="CA952" t="str">
        <f t="shared" si="371"/>
        <v/>
      </c>
    </row>
    <row r="953" spans="27:79" x14ac:dyDescent="0.25">
      <c r="AA953" s="4">
        <f>$AF$55</f>
        <v>70</v>
      </c>
      <c r="AE953" s="4">
        <f t="shared" si="370"/>
        <v>70</v>
      </c>
      <c r="BZ953" t="str">
        <f t="shared" si="369"/>
        <v/>
      </c>
      <c r="CA953" t="str">
        <f t="shared" si="371"/>
        <v/>
      </c>
    </row>
    <row r="954" spans="27:79" x14ac:dyDescent="0.25">
      <c r="AA954" s="4">
        <f t="shared" ref="AA954:AA985" si="372">AF56</f>
        <v>70</v>
      </c>
      <c r="AE954" s="4">
        <f t="shared" si="370"/>
        <v>70</v>
      </c>
      <c r="BZ954" t="str">
        <f t="shared" si="369"/>
        <v/>
      </c>
      <c r="CA954" t="str">
        <f t="shared" si="371"/>
        <v/>
      </c>
    </row>
    <row r="955" spans="27:79" x14ac:dyDescent="0.25">
      <c r="AA955" s="4">
        <f t="shared" si="372"/>
        <v>70</v>
      </c>
      <c r="AE955" s="4">
        <f t="shared" si="370"/>
        <v>70</v>
      </c>
      <c r="BZ955" t="str">
        <f t="shared" si="369"/>
        <v/>
      </c>
      <c r="CA955" t="str">
        <f t="shared" si="371"/>
        <v/>
      </c>
    </row>
    <row r="956" spans="27:79" x14ac:dyDescent="0.25">
      <c r="AA956" s="4">
        <f t="shared" si="372"/>
        <v>70</v>
      </c>
      <c r="AE956" s="4">
        <f t="shared" si="370"/>
        <v>70</v>
      </c>
      <c r="BZ956" t="str">
        <f t="shared" si="369"/>
        <v/>
      </c>
      <c r="CA956" t="str">
        <f t="shared" si="371"/>
        <v/>
      </c>
    </row>
    <row r="957" spans="27:79" x14ac:dyDescent="0.25">
      <c r="AA957" s="4">
        <f t="shared" si="372"/>
        <v>70</v>
      </c>
      <c r="AE957" s="4">
        <f t="shared" si="370"/>
        <v>70</v>
      </c>
      <c r="BZ957" t="str">
        <f t="shared" si="369"/>
        <v/>
      </c>
      <c r="CA957" t="str">
        <f t="shared" si="371"/>
        <v/>
      </c>
    </row>
    <row r="958" spans="27:79" x14ac:dyDescent="0.25">
      <c r="AA958" s="4">
        <f t="shared" si="372"/>
        <v>70</v>
      </c>
      <c r="AE958" s="4">
        <f t="shared" si="370"/>
        <v>70</v>
      </c>
      <c r="BZ958" t="str">
        <f t="shared" si="369"/>
        <v/>
      </c>
      <c r="CA958" t="str">
        <f t="shared" si="371"/>
        <v/>
      </c>
    </row>
    <row r="959" spans="27:79" x14ac:dyDescent="0.25">
      <c r="AA959" s="4">
        <f t="shared" si="372"/>
        <v>70</v>
      </c>
      <c r="AE959" s="4">
        <f t="shared" si="370"/>
        <v>70</v>
      </c>
      <c r="BZ959" t="str">
        <f t="shared" si="369"/>
        <v/>
      </c>
      <c r="CA959" t="str">
        <f t="shared" si="371"/>
        <v/>
      </c>
    </row>
    <row r="960" spans="27:79" x14ac:dyDescent="0.25">
      <c r="AA960" s="4">
        <f t="shared" si="372"/>
        <v>70</v>
      </c>
      <c r="AE960" s="4">
        <f t="shared" si="370"/>
        <v>70</v>
      </c>
      <c r="BZ960" t="str">
        <f t="shared" si="369"/>
        <v/>
      </c>
      <c r="CA960" t="str">
        <f t="shared" si="371"/>
        <v/>
      </c>
    </row>
    <row r="961" spans="27:79" x14ac:dyDescent="0.25">
      <c r="AA961" s="4">
        <f t="shared" si="372"/>
        <v>70</v>
      </c>
      <c r="AE961" s="4">
        <f t="shared" si="370"/>
        <v>70</v>
      </c>
      <c r="BZ961" t="str">
        <f t="shared" si="369"/>
        <v/>
      </c>
      <c r="CA961" t="str">
        <f t="shared" si="371"/>
        <v/>
      </c>
    </row>
    <row r="962" spans="27:79" x14ac:dyDescent="0.25">
      <c r="AA962" s="4">
        <f t="shared" si="372"/>
        <v>70</v>
      </c>
      <c r="AE962" s="4">
        <f t="shared" si="370"/>
        <v>70</v>
      </c>
      <c r="BZ962" t="str">
        <f t="shared" ref="BZ962:BZ1010" si="373">IF(BU962=0,"",BV962)</f>
        <v/>
      </c>
      <c r="CA962" t="str">
        <f t="shared" si="371"/>
        <v/>
      </c>
    </row>
    <row r="963" spans="27:79" x14ac:dyDescent="0.25">
      <c r="AA963" s="4">
        <f t="shared" si="372"/>
        <v>70</v>
      </c>
      <c r="AE963" s="4">
        <f t="shared" si="370"/>
        <v>70</v>
      </c>
      <c r="BZ963" t="str">
        <f t="shared" si="373"/>
        <v/>
      </c>
      <c r="CA963" t="str">
        <f t="shared" si="371"/>
        <v/>
      </c>
    </row>
    <row r="964" spans="27:79" x14ac:dyDescent="0.25">
      <c r="AA964" s="4">
        <f t="shared" si="372"/>
        <v>70</v>
      </c>
      <c r="AE964" s="4">
        <f t="shared" si="370"/>
        <v>70</v>
      </c>
      <c r="BZ964" t="str">
        <f t="shared" si="373"/>
        <v/>
      </c>
      <c r="CA964" t="str">
        <f t="shared" si="371"/>
        <v/>
      </c>
    </row>
    <row r="965" spans="27:79" x14ac:dyDescent="0.25">
      <c r="AA965" s="4">
        <f t="shared" si="372"/>
        <v>70</v>
      </c>
      <c r="AE965" s="4">
        <f t="shared" ref="AE965:AE1010" si="374">+AA965</f>
        <v>70</v>
      </c>
      <c r="BZ965" t="str">
        <f t="shared" si="373"/>
        <v/>
      </c>
      <c r="CA965" t="str">
        <f t="shared" si="371"/>
        <v/>
      </c>
    </row>
    <row r="966" spans="27:79" x14ac:dyDescent="0.25">
      <c r="AA966" s="4">
        <f t="shared" si="372"/>
        <v>70</v>
      </c>
      <c r="AE966" s="4">
        <f t="shared" si="374"/>
        <v>70</v>
      </c>
      <c r="BZ966" t="str">
        <f t="shared" si="373"/>
        <v/>
      </c>
      <c r="CA966" t="str">
        <f t="shared" si="371"/>
        <v/>
      </c>
    </row>
    <row r="967" spans="27:79" x14ac:dyDescent="0.25">
      <c r="AA967" s="4">
        <f t="shared" si="372"/>
        <v>70</v>
      </c>
      <c r="AE967" s="4">
        <f t="shared" si="374"/>
        <v>70</v>
      </c>
      <c r="BZ967" t="str">
        <f t="shared" si="373"/>
        <v/>
      </c>
      <c r="CA967" t="str">
        <f t="shared" si="371"/>
        <v/>
      </c>
    </row>
    <row r="968" spans="27:79" x14ac:dyDescent="0.25">
      <c r="AA968" s="4">
        <f t="shared" si="372"/>
        <v>70</v>
      </c>
      <c r="AE968" s="4">
        <f t="shared" si="374"/>
        <v>70</v>
      </c>
      <c r="BZ968" t="str">
        <f t="shared" si="373"/>
        <v/>
      </c>
      <c r="CA968" t="str">
        <f t="shared" si="371"/>
        <v/>
      </c>
    </row>
    <row r="969" spans="27:79" x14ac:dyDescent="0.25">
      <c r="AA969" s="4">
        <f t="shared" si="372"/>
        <v>70</v>
      </c>
      <c r="AE969" s="4">
        <f t="shared" si="374"/>
        <v>70</v>
      </c>
      <c r="BZ969" t="str">
        <f t="shared" si="373"/>
        <v/>
      </c>
      <c r="CA969" t="str">
        <f t="shared" si="371"/>
        <v/>
      </c>
    </row>
    <row r="970" spans="27:79" x14ac:dyDescent="0.25">
      <c r="AA970" s="4">
        <f t="shared" si="372"/>
        <v>70</v>
      </c>
      <c r="AE970" s="4">
        <f t="shared" si="374"/>
        <v>70</v>
      </c>
      <c r="BZ970" t="str">
        <f t="shared" si="373"/>
        <v/>
      </c>
      <c r="CA970" t="str">
        <f t="shared" si="371"/>
        <v/>
      </c>
    </row>
    <row r="971" spans="27:79" x14ac:dyDescent="0.25">
      <c r="AA971" s="4">
        <f t="shared" si="372"/>
        <v>70</v>
      </c>
      <c r="AE971" s="4">
        <f t="shared" si="374"/>
        <v>70</v>
      </c>
      <c r="BZ971" t="str">
        <f t="shared" si="373"/>
        <v/>
      </c>
      <c r="CA971" t="str">
        <f t="shared" si="371"/>
        <v/>
      </c>
    </row>
    <row r="972" spans="27:79" x14ac:dyDescent="0.25">
      <c r="AA972" s="4">
        <f t="shared" si="372"/>
        <v>70</v>
      </c>
      <c r="AE972" s="4">
        <f t="shared" si="374"/>
        <v>70</v>
      </c>
      <c r="BZ972" t="str">
        <f t="shared" si="373"/>
        <v/>
      </c>
      <c r="CA972" t="str">
        <f t="shared" si="371"/>
        <v/>
      </c>
    </row>
    <row r="973" spans="27:79" x14ac:dyDescent="0.25">
      <c r="AA973" s="4">
        <f t="shared" si="372"/>
        <v>70</v>
      </c>
      <c r="AE973" s="4">
        <f t="shared" si="374"/>
        <v>70</v>
      </c>
      <c r="BZ973" t="str">
        <f t="shared" si="373"/>
        <v/>
      </c>
      <c r="CA973" t="str">
        <f t="shared" si="371"/>
        <v/>
      </c>
    </row>
    <row r="974" spans="27:79" x14ac:dyDescent="0.25">
      <c r="AA974" s="4">
        <f t="shared" si="372"/>
        <v>70</v>
      </c>
      <c r="AE974" s="4">
        <f t="shared" si="374"/>
        <v>70</v>
      </c>
      <c r="BZ974" t="str">
        <f t="shared" si="373"/>
        <v/>
      </c>
      <c r="CA974" t="str">
        <f t="shared" si="371"/>
        <v/>
      </c>
    </row>
    <row r="975" spans="27:79" x14ac:dyDescent="0.25">
      <c r="AA975" s="4">
        <f t="shared" si="372"/>
        <v>70</v>
      </c>
      <c r="AE975" s="4">
        <f t="shared" si="374"/>
        <v>70</v>
      </c>
      <c r="BZ975" t="str">
        <f t="shared" si="373"/>
        <v/>
      </c>
      <c r="CA975" t="str">
        <f t="shared" si="371"/>
        <v/>
      </c>
    </row>
    <row r="976" spans="27:79" x14ac:dyDescent="0.25">
      <c r="AA976" s="4">
        <f t="shared" si="372"/>
        <v>70</v>
      </c>
      <c r="AE976" s="4">
        <f t="shared" si="374"/>
        <v>70</v>
      </c>
      <c r="BZ976" t="str">
        <f t="shared" si="373"/>
        <v/>
      </c>
      <c r="CA976" t="str">
        <f t="shared" si="371"/>
        <v/>
      </c>
    </row>
    <row r="977" spans="27:79" x14ac:dyDescent="0.25">
      <c r="AA977" s="4">
        <f t="shared" si="372"/>
        <v>70</v>
      </c>
      <c r="AE977" s="4">
        <f t="shared" si="374"/>
        <v>70</v>
      </c>
      <c r="BZ977" t="str">
        <f t="shared" si="373"/>
        <v/>
      </c>
      <c r="CA977" t="str">
        <f t="shared" si="371"/>
        <v/>
      </c>
    </row>
    <row r="978" spans="27:79" x14ac:dyDescent="0.25">
      <c r="AA978" s="4">
        <f t="shared" si="372"/>
        <v>70</v>
      </c>
      <c r="AE978" s="4">
        <f t="shared" si="374"/>
        <v>70</v>
      </c>
      <c r="BZ978" t="str">
        <f t="shared" si="373"/>
        <v/>
      </c>
      <c r="CA978" t="str">
        <f t="shared" si="371"/>
        <v/>
      </c>
    </row>
    <row r="979" spans="27:79" x14ac:dyDescent="0.25">
      <c r="AA979" s="4">
        <f t="shared" si="372"/>
        <v>70</v>
      </c>
      <c r="AE979" s="4">
        <f t="shared" si="374"/>
        <v>70</v>
      </c>
      <c r="BZ979" t="str">
        <f t="shared" si="373"/>
        <v/>
      </c>
      <c r="CA979" t="str">
        <f t="shared" si="371"/>
        <v/>
      </c>
    </row>
    <row r="980" spans="27:79" x14ac:dyDescent="0.25">
      <c r="AA980" s="4">
        <f t="shared" si="372"/>
        <v>70</v>
      </c>
      <c r="AE980" s="4">
        <f t="shared" si="374"/>
        <v>70</v>
      </c>
      <c r="BZ980" t="str">
        <f t="shared" si="373"/>
        <v/>
      </c>
      <c r="CA980" t="str">
        <f t="shared" si="371"/>
        <v/>
      </c>
    </row>
    <row r="981" spans="27:79" x14ac:dyDescent="0.25">
      <c r="AA981" s="4">
        <f t="shared" si="372"/>
        <v>70</v>
      </c>
      <c r="AE981" s="4">
        <f t="shared" si="374"/>
        <v>70</v>
      </c>
      <c r="BZ981" t="str">
        <f t="shared" si="373"/>
        <v/>
      </c>
      <c r="CA981" t="str">
        <f t="shared" si="371"/>
        <v/>
      </c>
    </row>
    <row r="982" spans="27:79" x14ac:dyDescent="0.25">
      <c r="AA982" s="4">
        <f t="shared" si="372"/>
        <v>70</v>
      </c>
      <c r="AE982" s="4">
        <f t="shared" si="374"/>
        <v>70</v>
      </c>
      <c r="BZ982" t="str">
        <f t="shared" si="373"/>
        <v/>
      </c>
      <c r="CA982" t="str">
        <f t="shared" si="371"/>
        <v/>
      </c>
    </row>
    <row r="983" spans="27:79" x14ac:dyDescent="0.25">
      <c r="AA983" s="4">
        <f t="shared" si="372"/>
        <v>70</v>
      </c>
      <c r="AE983" s="4">
        <f t="shared" si="374"/>
        <v>70</v>
      </c>
      <c r="BZ983" t="str">
        <f t="shared" si="373"/>
        <v/>
      </c>
      <c r="CA983" t="str">
        <f t="shared" si="371"/>
        <v/>
      </c>
    </row>
    <row r="984" spans="27:79" x14ac:dyDescent="0.25">
      <c r="AA984" s="4">
        <f t="shared" si="372"/>
        <v>70</v>
      </c>
      <c r="AE984" s="4">
        <f t="shared" si="374"/>
        <v>70</v>
      </c>
      <c r="BZ984" t="str">
        <f t="shared" si="373"/>
        <v/>
      </c>
      <c r="CA984" t="str">
        <f t="shared" si="371"/>
        <v/>
      </c>
    </row>
    <row r="985" spans="27:79" x14ac:dyDescent="0.25">
      <c r="AA985" s="4">
        <f t="shared" si="372"/>
        <v>70</v>
      </c>
      <c r="AE985" s="4">
        <f t="shared" si="374"/>
        <v>70</v>
      </c>
      <c r="BZ985" t="str">
        <f t="shared" si="373"/>
        <v/>
      </c>
      <c r="CA985" t="str">
        <f t="shared" si="371"/>
        <v/>
      </c>
    </row>
    <row r="986" spans="27:79" x14ac:dyDescent="0.25">
      <c r="AA986" s="4">
        <f t="shared" ref="AA986:AA1010" si="375">AF88</f>
        <v>70</v>
      </c>
      <c r="AE986" s="4">
        <f t="shared" si="374"/>
        <v>70</v>
      </c>
      <c r="BZ986" t="str">
        <f t="shared" si="373"/>
        <v/>
      </c>
      <c r="CA986" t="str">
        <f t="shared" si="371"/>
        <v/>
      </c>
    </row>
    <row r="987" spans="27:79" x14ac:dyDescent="0.25">
      <c r="AA987" s="4">
        <f t="shared" si="375"/>
        <v>70</v>
      </c>
      <c r="AE987" s="4">
        <f t="shared" si="374"/>
        <v>70</v>
      </c>
      <c r="BZ987" t="str">
        <f t="shared" si="373"/>
        <v/>
      </c>
      <c r="CA987" t="str">
        <f t="shared" si="371"/>
        <v/>
      </c>
    </row>
    <row r="988" spans="27:79" x14ac:dyDescent="0.25">
      <c r="AA988" s="4">
        <f t="shared" si="375"/>
        <v>70</v>
      </c>
      <c r="AE988" s="4">
        <f t="shared" si="374"/>
        <v>70</v>
      </c>
      <c r="BZ988" t="str">
        <f t="shared" si="373"/>
        <v/>
      </c>
      <c r="CA988" t="str">
        <f t="shared" si="371"/>
        <v/>
      </c>
    </row>
    <row r="989" spans="27:79" x14ac:dyDescent="0.25">
      <c r="AA989" s="4">
        <f t="shared" si="375"/>
        <v>70</v>
      </c>
      <c r="AE989" s="4">
        <f t="shared" si="374"/>
        <v>70</v>
      </c>
      <c r="BZ989" t="str">
        <f t="shared" si="373"/>
        <v/>
      </c>
      <c r="CA989" t="str">
        <f t="shared" si="371"/>
        <v/>
      </c>
    </row>
    <row r="990" spans="27:79" x14ac:dyDescent="0.25">
      <c r="AA990" s="4">
        <f t="shared" si="375"/>
        <v>70</v>
      </c>
      <c r="AE990" s="4">
        <f t="shared" si="374"/>
        <v>70</v>
      </c>
      <c r="BZ990" t="str">
        <f t="shared" si="373"/>
        <v/>
      </c>
      <c r="CA990" t="str">
        <f t="shared" si="371"/>
        <v/>
      </c>
    </row>
    <row r="991" spans="27:79" x14ac:dyDescent="0.25">
      <c r="AA991" s="4">
        <f t="shared" si="375"/>
        <v>70</v>
      </c>
      <c r="AE991" s="4">
        <f t="shared" si="374"/>
        <v>70</v>
      </c>
      <c r="BZ991" t="str">
        <f t="shared" si="373"/>
        <v/>
      </c>
      <c r="CA991" t="str">
        <f t="shared" si="371"/>
        <v/>
      </c>
    </row>
    <row r="992" spans="27:79" x14ac:dyDescent="0.25">
      <c r="AA992" s="4">
        <f t="shared" si="375"/>
        <v>70</v>
      </c>
      <c r="AE992" s="4">
        <f t="shared" si="374"/>
        <v>70</v>
      </c>
      <c r="BZ992" t="str">
        <f t="shared" si="373"/>
        <v/>
      </c>
      <c r="CA992" t="str">
        <f t="shared" si="371"/>
        <v/>
      </c>
    </row>
    <row r="993" spans="27:79" x14ac:dyDescent="0.25">
      <c r="AA993" s="4">
        <f t="shared" si="375"/>
        <v>70</v>
      </c>
      <c r="AE993" s="4">
        <f t="shared" si="374"/>
        <v>70</v>
      </c>
      <c r="BZ993" t="str">
        <f t="shared" si="373"/>
        <v/>
      </c>
      <c r="CA993" t="str">
        <f t="shared" si="371"/>
        <v/>
      </c>
    </row>
    <row r="994" spans="27:79" x14ac:dyDescent="0.25">
      <c r="AA994" s="4">
        <f t="shared" si="375"/>
        <v>70</v>
      </c>
      <c r="AE994" s="4">
        <f t="shared" si="374"/>
        <v>70</v>
      </c>
      <c r="BZ994" t="str">
        <f t="shared" si="373"/>
        <v/>
      </c>
      <c r="CA994" t="str">
        <f t="shared" si="371"/>
        <v/>
      </c>
    </row>
    <row r="995" spans="27:79" x14ac:dyDescent="0.25">
      <c r="AA995" s="4">
        <f t="shared" si="375"/>
        <v>70</v>
      </c>
      <c r="AE995" s="4">
        <f t="shared" si="374"/>
        <v>70</v>
      </c>
      <c r="BZ995" t="str">
        <f t="shared" si="373"/>
        <v/>
      </c>
      <c r="CA995" t="str">
        <f t="shared" si="371"/>
        <v/>
      </c>
    </row>
    <row r="996" spans="27:79" x14ac:dyDescent="0.25">
      <c r="AA996" s="4">
        <f t="shared" si="375"/>
        <v>70</v>
      </c>
      <c r="AE996" s="4">
        <f t="shared" si="374"/>
        <v>70</v>
      </c>
      <c r="BZ996" t="str">
        <f t="shared" si="373"/>
        <v/>
      </c>
      <c r="CA996" t="str">
        <f t="shared" si="371"/>
        <v/>
      </c>
    </row>
    <row r="997" spans="27:79" x14ac:dyDescent="0.25">
      <c r="AA997" s="4">
        <f t="shared" si="375"/>
        <v>70</v>
      </c>
      <c r="AE997" s="4">
        <f t="shared" si="374"/>
        <v>70</v>
      </c>
      <c r="BZ997" t="str">
        <f t="shared" si="373"/>
        <v/>
      </c>
      <c r="CA997" t="str">
        <f t="shared" si="371"/>
        <v/>
      </c>
    </row>
    <row r="998" spans="27:79" x14ac:dyDescent="0.25">
      <c r="AA998" s="4">
        <f t="shared" si="375"/>
        <v>70</v>
      </c>
      <c r="AE998" s="4">
        <f t="shared" si="374"/>
        <v>70</v>
      </c>
      <c r="BZ998" t="str">
        <f t="shared" si="373"/>
        <v/>
      </c>
      <c r="CA998" t="str">
        <f t="shared" si="371"/>
        <v/>
      </c>
    </row>
    <row r="999" spans="27:79" x14ac:dyDescent="0.25">
      <c r="AA999" s="4">
        <f t="shared" si="375"/>
        <v>70</v>
      </c>
      <c r="AE999" s="4">
        <f t="shared" si="374"/>
        <v>70</v>
      </c>
      <c r="BZ999" t="str">
        <f t="shared" si="373"/>
        <v/>
      </c>
      <c r="CA999" t="str">
        <f t="shared" si="371"/>
        <v/>
      </c>
    </row>
    <row r="1000" spans="27:79" x14ac:dyDescent="0.25">
      <c r="AA1000" s="4">
        <f t="shared" si="375"/>
        <v>70</v>
      </c>
      <c r="AE1000" s="4">
        <f t="shared" si="374"/>
        <v>70</v>
      </c>
      <c r="BZ1000" t="str">
        <f t="shared" si="373"/>
        <v/>
      </c>
      <c r="CA1000" t="str">
        <f t="shared" si="371"/>
        <v/>
      </c>
    </row>
    <row r="1001" spans="27:79" x14ac:dyDescent="0.25">
      <c r="AA1001" s="4">
        <f t="shared" si="375"/>
        <v>70</v>
      </c>
      <c r="AE1001" s="4">
        <f t="shared" si="374"/>
        <v>70</v>
      </c>
      <c r="BZ1001" t="str">
        <f t="shared" si="373"/>
        <v/>
      </c>
      <c r="CA1001" t="str">
        <f t="shared" si="371"/>
        <v/>
      </c>
    </row>
    <row r="1002" spans="27:79" x14ac:dyDescent="0.25">
      <c r="AA1002" s="4">
        <f t="shared" si="375"/>
        <v>70</v>
      </c>
      <c r="AE1002" s="4">
        <f t="shared" si="374"/>
        <v>70</v>
      </c>
      <c r="BZ1002" t="str">
        <f t="shared" si="373"/>
        <v/>
      </c>
      <c r="CA1002" t="str">
        <f t="shared" si="371"/>
        <v/>
      </c>
    </row>
    <row r="1003" spans="27:79" x14ac:dyDescent="0.25">
      <c r="AA1003" s="4">
        <f t="shared" si="375"/>
        <v>70</v>
      </c>
      <c r="AE1003" s="4">
        <f t="shared" si="374"/>
        <v>70</v>
      </c>
      <c r="BZ1003" t="str">
        <f t="shared" si="373"/>
        <v/>
      </c>
      <c r="CA1003" t="str">
        <f t="shared" si="371"/>
        <v/>
      </c>
    </row>
    <row r="1004" spans="27:79" x14ac:dyDescent="0.25">
      <c r="AA1004" s="4">
        <f t="shared" si="375"/>
        <v>70</v>
      </c>
      <c r="AE1004" s="4">
        <f t="shared" si="374"/>
        <v>70</v>
      </c>
      <c r="BZ1004" t="str">
        <f t="shared" si="373"/>
        <v/>
      </c>
      <c r="CA1004" t="str">
        <f t="shared" si="371"/>
        <v/>
      </c>
    </row>
    <row r="1005" spans="27:79" x14ac:dyDescent="0.25">
      <c r="AA1005" s="4">
        <f t="shared" si="375"/>
        <v>70</v>
      </c>
      <c r="AE1005" s="4">
        <f t="shared" si="374"/>
        <v>70</v>
      </c>
      <c r="BZ1005" t="str">
        <f t="shared" si="373"/>
        <v/>
      </c>
      <c r="CA1005" t="str">
        <f t="shared" si="371"/>
        <v/>
      </c>
    </row>
    <row r="1006" spans="27:79" x14ac:dyDescent="0.25">
      <c r="AA1006" s="4">
        <f t="shared" si="375"/>
        <v>70</v>
      </c>
      <c r="AE1006" s="4">
        <f t="shared" si="374"/>
        <v>70</v>
      </c>
      <c r="BZ1006" t="str">
        <f t="shared" si="373"/>
        <v/>
      </c>
      <c r="CA1006" t="str">
        <f t="shared" si="371"/>
        <v/>
      </c>
    </row>
    <row r="1007" spans="27:79" x14ac:dyDescent="0.25">
      <c r="AA1007" s="4">
        <f t="shared" si="375"/>
        <v>70</v>
      </c>
      <c r="AE1007" s="4">
        <f t="shared" si="374"/>
        <v>70</v>
      </c>
      <c r="BZ1007" t="str">
        <f t="shared" si="373"/>
        <v/>
      </c>
      <c r="CA1007" t="str">
        <f>IF(BU1007=0,"",BW1007)</f>
        <v/>
      </c>
    </row>
    <row r="1008" spans="27:79" x14ac:dyDescent="0.25">
      <c r="AA1008" s="4">
        <f t="shared" si="375"/>
        <v>70</v>
      </c>
      <c r="AE1008" s="4">
        <f t="shared" si="374"/>
        <v>70</v>
      </c>
      <c r="BZ1008" t="str">
        <f t="shared" si="373"/>
        <v/>
      </c>
      <c r="CA1008" t="str">
        <f>IF(BU1008=0,"",BW1008)</f>
        <v/>
      </c>
    </row>
    <row r="1009" spans="27:79" x14ac:dyDescent="0.25">
      <c r="AA1009" s="4">
        <f t="shared" si="375"/>
        <v>70</v>
      </c>
      <c r="AE1009" s="4">
        <f t="shared" si="374"/>
        <v>70</v>
      </c>
      <c r="BZ1009" t="str">
        <f t="shared" si="373"/>
        <v/>
      </c>
      <c r="CA1009" t="str">
        <f>IF(BU1009=0,"",BW1009)</f>
        <v/>
      </c>
    </row>
    <row r="1010" spans="27:79" x14ac:dyDescent="0.25">
      <c r="AA1010" s="4">
        <f t="shared" si="375"/>
        <v>70</v>
      </c>
      <c r="AE1010" s="4">
        <f t="shared" si="374"/>
        <v>70</v>
      </c>
      <c r="BZ1010" t="str">
        <f t="shared" si="373"/>
        <v/>
      </c>
      <c r="CA1010" t="str">
        <f>IF(BU1010=0,"",BW1010)</f>
        <v/>
      </c>
    </row>
  </sheetData>
  <phoneticPr fontId="0" type="noConversion"/>
  <conditionalFormatting sqref="F2:F735">
    <cfRule type="cellIs" dxfId="0" priority="1" stopIfTrue="1" operator="equal">
      <formula>1</formula>
    </cfRule>
  </conditionalFormatting>
  <pageMargins left="0.75" right="0.75" top="1" bottom="1" header="0.5" footer="0.5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B6:O25"/>
  <sheetViews>
    <sheetView zoomScale="130" zoomScaleNormal="130" workbookViewId="0">
      <selection activeCell="O6" sqref="O6"/>
    </sheetView>
  </sheetViews>
  <sheetFormatPr defaultColWidth="9.1796875" defaultRowHeight="12.5" x14ac:dyDescent="0.25"/>
  <cols>
    <col min="1" max="16384" width="9.1796875" style="57"/>
  </cols>
  <sheetData>
    <row r="6" spans="15:15" x14ac:dyDescent="0.25">
      <c r="O6" s="96" t="s">
        <v>269</v>
      </c>
    </row>
    <row r="23" spans="2:5" x14ac:dyDescent="0.25">
      <c r="E23" s="58" t="s">
        <v>110</v>
      </c>
    </row>
    <row r="25" spans="2:5" ht="17.5" x14ac:dyDescent="0.4">
      <c r="B25" s="79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5668E-C1D5-4FCB-8A7D-74CF020AF14D}">
  <sheetPr codeName="Sheet6"/>
  <dimension ref="B25:E34"/>
  <sheetViews>
    <sheetView zoomScale="130" zoomScaleNormal="130" workbookViewId="0">
      <selection activeCell="I28" sqref="I28"/>
    </sheetView>
  </sheetViews>
  <sheetFormatPr defaultColWidth="9.1796875" defaultRowHeight="12.5" x14ac:dyDescent="0.25"/>
  <cols>
    <col min="1" max="16384" width="9.1796875" style="57"/>
  </cols>
  <sheetData>
    <row r="25" spans="2:2" ht="17.5" x14ac:dyDescent="0.4">
      <c r="B25" s="79"/>
    </row>
    <row r="34" spans="5:5" x14ac:dyDescent="0.25">
      <c r="E34" s="58" t="s">
        <v>110</v>
      </c>
    </row>
  </sheetData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1:AV49"/>
  <sheetViews>
    <sheetView zoomScale="132" workbookViewId="0">
      <selection activeCell="K4" sqref="K4"/>
    </sheetView>
  </sheetViews>
  <sheetFormatPr defaultColWidth="9.1796875" defaultRowHeight="12.5" x14ac:dyDescent="0.25"/>
  <cols>
    <col min="1" max="1" width="5" style="8" customWidth="1"/>
    <col min="2" max="2" width="13.453125" style="8" customWidth="1"/>
    <col min="3" max="3" width="12" style="8" customWidth="1"/>
    <col min="4" max="4" width="9.81640625" style="8" customWidth="1"/>
    <col min="5" max="5" width="9.26953125" style="8" bestFit="1" customWidth="1"/>
    <col min="6" max="6" width="13.453125" style="8" customWidth="1"/>
    <col min="7" max="7" width="11.7265625" style="8" bestFit="1" customWidth="1"/>
    <col min="8" max="11" width="9.26953125" style="8" bestFit="1" customWidth="1"/>
    <col min="12" max="12" width="9.1796875" style="8"/>
    <col min="13" max="13" width="14.453125" style="8" customWidth="1"/>
    <col min="14" max="20" width="9.26953125" style="8" bestFit="1" customWidth="1"/>
    <col min="21" max="26" width="9.1796875" style="8"/>
    <col min="27" max="31" width="9.26953125" style="8" bestFit="1" customWidth="1"/>
    <col min="32" max="16384" width="9.1796875" style="8"/>
  </cols>
  <sheetData>
    <row r="1" spans="2:48" ht="13" thickBot="1" x14ac:dyDescent="0.3">
      <c r="E1" s="8" t="s">
        <v>111</v>
      </c>
    </row>
    <row r="2" spans="2:48" ht="25" x14ac:dyDescent="0.25">
      <c r="B2" s="9"/>
      <c r="C2" s="10" t="s">
        <v>58</v>
      </c>
      <c r="D2" s="103" t="s">
        <v>59</v>
      </c>
      <c r="E2" s="12" t="s">
        <v>112</v>
      </c>
      <c r="F2" s="10" t="s">
        <v>60</v>
      </c>
      <c r="G2" s="13" t="s">
        <v>61</v>
      </c>
      <c r="H2" s="14" t="s">
        <v>62</v>
      </c>
      <c r="I2" s="15" t="s">
        <v>63</v>
      </c>
      <c r="J2" s="16"/>
      <c r="K2" s="17"/>
      <c r="L2" s="11" t="s">
        <v>64</v>
      </c>
      <c r="M2" s="18" t="s">
        <v>65</v>
      </c>
      <c r="N2" s="19" t="s">
        <v>66</v>
      </c>
      <c r="O2" s="10" t="s">
        <v>67</v>
      </c>
      <c r="P2" s="10" t="s">
        <v>68</v>
      </c>
      <c r="Q2" s="20" t="s">
        <v>69</v>
      </c>
      <c r="R2" s="10" t="s">
        <v>144</v>
      </c>
      <c r="S2" s="13" t="s">
        <v>70</v>
      </c>
      <c r="T2" s="21" t="s">
        <v>71</v>
      </c>
      <c r="U2" s="97" t="s">
        <v>72</v>
      </c>
      <c r="V2" s="97" t="s">
        <v>73</v>
      </c>
      <c r="W2" s="97" t="s">
        <v>74</v>
      </c>
      <c r="X2" s="97" t="s">
        <v>75</v>
      </c>
      <c r="Y2" s="99" t="s">
        <v>76</v>
      </c>
      <c r="Z2" s="101" t="s">
        <v>77</v>
      </c>
      <c r="AA2" s="97" t="s">
        <v>78</v>
      </c>
      <c r="AB2" s="97" t="s">
        <v>79</v>
      </c>
      <c r="AC2" s="97" t="s">
        <v>80</v>
      </c>
      <c r="AD2" s="97" t="s">
        <v>81</v>
      </c>
      <c r="AE2" s="99" t="s">
        <v>82</v>
      </c>
      <c r="AF2" s="101" t="s">
        <v>83</v>
      </c>
      <c r="AG2" s="97"/>
      <c r="AH2" s="97"/>
      <c r="AI2" s="97"/>
      <c r="AJ2" s="10" t="s">
        <v>84</v>
      </c>
      <c r="AK2" s="10" t="s">
        <v>85</v>
      </c>
      <c r="AL2" s="10" t="s">
        <v>86</v>
      </c>
      <c r="AM2" s="20" t="s">
        <v>87</v>
      </c>
      <c r="AN2" s="105" t="s">
        <v>88</v>
      </c>
      <c r="AO2" s="106"/>
      <c r="AP2" s="106"/>
      <c r="AQ2" s="106"/>
      <c r="AR2" s="10" t="s">
        <v>84</v>
      </c>
      <c r="AS2" s="10" t="s">
        <v>85</v>
      </c>
      <c r="AT2" s="10" t="s">
        <v>86</v>
      </c>
      <c r="AU2" s="20" t="s">
        <v>87</v>
      </c>
      <c r="AV2" s="22"/>
    </row>
    <row r="3" spans="2:48" ht="13" thickBot="1" x14ac:dyDescent="0.3">
      <c r="B3" s="23" t="s">
        <v>89</v>
      </c>
      <c r="C3" s="24"/>
      <c r="D3" s="104"/>
      <c r="E3" s="25" t="s">
        <v>90</v>
      </c>
      <c r="F3" s="24" t="s">
        <v>91</v>
      </c>
      <c r="G3" s="26"/>
      <c r="H3" s="6" t="s">
        <v>92</v>
      </c>
      <c r="I3" s="27" t="s">
        <v>93</v>
      </c>
      <c r="J3" s="28" t="s">
        <v>94</v>
      </c>
      <c r="K3" s="29" t="s">
        <v>95</v>
      </c>
      <c r="L3" s="30"/>
      <c r="M3" s="6"/>
      <c r="N3" s="6"/>
      <c r="O3" s="24"/>
      <c r="P3" s="24"/>
      <c r="Q3" s="31" t="s">
        <v>96</v>
      </c>
      <c r="R3" s="32"/>
      <c r="S3" s="32" t="s">
        <v>97</v>
      </c>
      <c r="T3" s="33"/>
      <c r="U3" s="98"/>
      <c r="V3" s="98"/>
      <c r="W3" s="98"/>
      <c r="X3" s="98"/>
      <c r="Y3" s="100"/>
      <c r="Z3" s="102"/>
      <c r="AA3" s="98"/>
      <c r="AB3" s="98"/>
      <c r="AC3" s="98"/>
      <c r="AD3" s="98"/>
      <c r="AE3" s="100"/>
      <c r="AF3" s="6" t="s">
        <v>98</v>
      </c>
      <c r="AG3" s="28" t="s">
        <v>99</v>
      </c>
      <c r="AH3" s="28" t="s">
        <v>100</v>
      </c>
      <c r="AI3" s="28" t="s">
        <v>101</v>
      </c>
      <c r="AJ3" s="27" t="s">
        <v>96</v>
      </c>
      <c r="AK3" s="27" t="s">
        <v>102</v>
      </c>
      <c r="AL3" s="27" t="s">
        <v>96</v>
      </c>
      <c r="AM3" s="29" t="s">
        <v>102</v>
      </c>
      <c r="AN3" s="34" t="s">
        <v>98</v>
      </c>
      <c r="AO3" s="35" t="s">
        <v>103</v>
      </c>
      <c r="AP3" s="36" t="s">
        <v>100</v>
      </c>
      <c r="AQ3" s="36" t="s">
        <v>101</v>
      </c>
      <c r="AR3" s="27" t="s">
        <v>96</v>
      </c>
      <c r="AS3" s="27" t="s">
        <v>102</v>
      </c>
      <c r="AT3" s="27" t="s">
        <v>96</v>
      </c>
      <c r="AU3" s="29" t="s">
        <v>102</v>
      </c>
      <c r="AV3" s="29" t="s">
        <v>104</v>
      </c>
    </row>
    <row r="4" spans="2:48" ht="13" thickBot="1" x14ac:dyDescent="0.3">
      <c r="B4" s="40" t="str">
        <f ca="1">Data!$E$1</f>
        <v>Jsimple_v2.xlsm</v>
      </c>
      <c r="C4" s="39" t="str">
        <f>Data!$E$2</f>
        <v>F1</v>
      </c>
      <c r="D4" s="39">
        <f>ROUND(Data!$E$8,0)</f>
        <v>0</v>
      </c>
      <c r="E4" s="37">
        <f>MAX(Curves!$BH:$BH)</f>
        <v>56.46048304328432</v>
      </c>
      <c r="F4" s="38">
        <f>MAX(Curves!$Q3:$Q5000)</f>
        <v>58</v>
      </c>
      <c r="G4" s="39">
        <f>-(2*2+2)*8.314*SLOPE(Curves!$BY$2:$BY$512,Curves!$BX$2:$BX$512)</f>
        <v>-490549.62196798518</v>
      </c>
      <c r="H4" s="39">
        <f>-SLOPE(Curves!$BZ$2:$BZ$512,Curves!$BX$2:$BX$512)*8.314</f>
        <v>-255217.22943212025</v>
      </c>
      <c r="I4" s="39">
        <f>INTERCEPT(Curves!$BZ$2:$BZ$512,Curves!$BX$2:$BX$512)</f>
        <v>-84.916972505816261</v>
      </c>
      <c r="J4" s="39">
        <f>-SLOPE(Curves!$CA$2:$CA$512,Curves!$BX$2:$BX$512)*8.314</f>
        <v>212896.4490732683</v>
      </c>
      <c r="K4" s="39">
        <f>INTERCEPT(Curves!$CA$2:$CA$512,Curves!$BX$2:$BX$512)</f>
        <v>71.602054532439439</v>
      </c>
      <c r="L4" s="39" t="str">
        <f>IF(AND(J7=0,J8=0),"N","Y")</f>
        <v>Y</v>
      </c>
      <c r="M4" s="39"/>
      <c r="N4" s="39">
        <f>Data!$H$1</f>
        <v>260</v>
      </c>
      <c r="O4" s="39">
        <f>MIN(Curves!$C$2:$C$513)</f>
        <v>1151</v>
      </c>
      <c r="P4" s="39">
        <f>MAX(Curves!$C$2:$C$513)</f>
        <v>11900</v>
      </c>
      <c r="Q4" s="39">
        <f>AVERAGE(Curves!$BE$2:$BE$512)-AVERAGE(Curves!$BD$2:$BD$512)</f>
        <v>-7547.329424918812</v>
      </c>
      <c r="R4" s="80">
        <f>+Data!$H$2</f>
        <v>1.9999999999999999E-6</v>
      </c>
      <c r="S4" s="39">
        <f>Data!$H$3</f>
        <v>1</v>
      </c>
      <c r="T4" s="39">
        <f>Data!$I$8</f>
        <v>0</v>
      </c>
      <c r="U4" s="39"/>
      <c r="V4" s="39"/>
      <c r="W4" s="39"/>
      <c r="X4" s="39"/>
      <c r="Y4" s="39"/>
      <c r="Z4" s="39"/>
      <c r="AA4" s="39">
        <f>SLOPE(Curves!$H$2:$H$513,Curves!$G$2:$G$513)*60</f>
        <v>0.500000000000001</v>
      </c>
      <c r="AB4" s="39">
        <f>SLOPE(Curves!$M$2:$M$513,Curves!$L$2:$L$513)*60</f>
        <v>-0.49927156595378203</v>
      </c>
      <c r="AC4" s="39">
        <f>MAX(Curves!$H$2)</f>
        <v>25</v>
      </c>
      <c r="AD4" s="39">
        <f>Data!H4</f>
        <v>70</v>
      </c>
      <c r="AE4" s="39">
        <f>MAX(Curves!$M$2)</f>
        <v>25</v>
      </c>
      <c r="AF4" s="39">
        <f>I20</f>
        <v>42</v>
      </c>
      <c r="AG4" s="39">
        <f>I21</f>
        <v>47</v>
      </c>
      <c r="AH4" s="39">
        <f>I22</f>
        <v>66</v>
      </c>
      <c r="AI4" s="39">
        <f>I29</f>
        <v>70</v>
      </c>
      <c r="AJ4" s="39">
        <f>INTERCEPT(Curves!$BD$2:$BD$52,Curves!$AK$2:$AK$52)</f>
        <v>14759.22772100857</v>
      </c>
      <c r="AK4" s="39">
        <f>SLOPE(Curves!$BD$2:$BD$52,Curves!$AK$2:$AK$52)</f>
        <v>-107.70194797919548</v>
      </c>
      <c r="AL4" s="39">
        <f>INTERCEPT(Curves!$BE$452:$BE$512,Curves!$AK$452:$AK$512)</f>
        <v>5071.6724856653163</v>
      </c>
      <c r="AM4" s="94">
        <f>SLOPE(Curves!$BE$452:$BE$512,Curves!$AK$452:$AK$512)</f>
        <v>-56</v>
      </c>
      <c r="AN4" s="39">
        <f>I26</f>
        <v>35</v>
      </c>
      <c r="AO4" s="39">
        <f>I27</f>
        <v>40</v>
      </c>
      <c r="AP4" s="39">
        <f>I28</f>
        <v>68</v>
      </c>
      <c r="AQ4" s="39">
        <f>I29</f>
        <v>70</v>
      </c>
      <c r="AR4" s="39">
        <f>INTERCEPT(Curves!$BF$2:$BF$52,Curves!$AK$2:$AK$52)</f>
        <v>13185.247946218455</v>
      </c>
      <c r="AS4" s="39">
        <f>SLOPE(Curves!$BF$2:$BF$52,Curves!$AK$2:$AK$52)</f>
        <v>-72.899822328930668</v>
      </c>
      <c r="AT4" s="39">
        <f>INTERCEPT(Curves!$BG$452:$BG$512,Curves!$AK$452:$AK$512)</f>
        <v>2272.1811664735455</v>
      </c>
      <c r="AU4" s="39">
        <f>SLOPE(Curves!$BG$452:$BG$512,Curves!$AK$452:$AK$512)</f>
        <v>-16</v>
      </c>
      <c r="AV4" s="41">
        <f>Data!$E$3</f>
        <v>2</v>
      </c>
    </row>
    <row r="6" spans="2:48" ht="13" thickBot="1" x14ac:dyDescent="0.3">
      <c r="F6" s="8" t="s">
        <v>117</v>
      </c>
      <c r="I6" s="8" t="s">
        <v>118</v>
      </c>
    </row>
    <row r="7" spans="2:48" ht="25" x14ac:dyDescent="0.5">
      <c r="B7" s="84" t="s">
        <v>42</v>
      </c>
      <c r="C7" s="15"/>
      <c r="D7" s="42"/>
      <c r="F7" s="8" t="s">
        <v>113</v>
      </c>
      <c r="G7" s="61">
        <f>MIN(Curves!$BD:$BD,Curves!$BF:$BF)</f>
        <v>7230.8615572627841</v>
      </c>
      <c r="I7" s="8" t="s">
        <v>113</v>
      </c>
      <c r="J7" s="61">
        <f>MIN(Curves!$BZ:$CA)</f>
        <v>-5.8750223059551772</v>
      </c>
    </row>
    <row r="8" spans="2:48" x14ac:dyDescent="0.25">
      <c r="B8" s="5" t="s">
        <v>9</v>
      </c>
      <c r="C8" s="43">
        <f>+F4</f>
        <v>58</v>
      </c>
      <c r="D8" s="44" t="s">
        <v>31</v>
      </c>
      <c r="F8" s="8" t="s">
        <v>114</v>
      </c>
      <c r="G8" s="61">
        <f>MAX(Curves!$BE:$BE,Curves!$BG:$BG)</f>
        <v>2646.061858610341</v>
      </c>
      <c r="I8" s="8" t="s">
        <v>114</v>
      </c>
      <c r="J8" s="61">
        <f>MAX(Curves!$BZ:$CA)</f>
        <v>7.9407838143352141</v>
      </c>
    </row>
    <row r="9" spans="2:48" x14ac:dyDescent="0.25">
      <c r="B9" s="5" t="s">
        <v>21</v>
      </c>
      <c r="C9" s="45">
        <f>+E4</f>
        <v>56.46048304328432</v>
      </c>
      <c r="D9" s="44" t="s">
        <v>31</v>
      </c>
      <c r="F9" s="8" t="s">
        <v>115</v>
      </c>
      <c r="G9" s="46">
        <f>MIN(Curves!$R:$R)</f>
        <v>25</v>
      </c>
      <c r="I9" s="8" t="s">
        <v>115</v>
      </c>
      <c r="J9" s="46">
        <f>MIN(Curves!$BX:$BX)</f>
        <v>3.0061626333984623E-3</v>
      </c>
    </row>
    <row r="10" spans="2:48" x14ac:dyDescent="0.25">
      <c r="B10" s="5" t="s">
        <v>43</v>
      </c>
      <c r="C10" s="50">
        <f>+H4</f>
        <v>-255217.22943212025</v>
      </c>
      <c r="D10" s="44" t="s">
        <v>45</v>
      </c>
      <c r="F10" s="8" t="s">
        <v>116</v>
      </c>
      <c r="G10" s="46">
        <f>MAX(Curves!$R:$R)</f>
        <v>70</v>
      </c>
      <c r="I10" s="8" t="s">
        <v>116</v>
      </c>
      <c r="J10" s="46">
        <f>MAX(Curves!$BX:$BX)</f>
        <v>3.0252609287551016E-3</v>
      </c>
    </row>
    <row r="11" spans="2:48" x14ac:dyDescent="0.25">
      <c r="B11" s="5" t="s">
        <v>46</v>
      </c>
      <c r="C11" s="46">
        <f>+I4</f>
        <v>-84.916972505816261</v>
      </c>
      <c r="D11" s="44"/>
    </row>
    <row r="12" spans="2:48" x14ac:dyDescent="0.25">
      <c r="B12" s="5" t="s">
        <v>44</v>
      </c>
      <c r="C12" s="50">
        <f>J4</f>
        <v>212896.4490732683</v>
      </c>
      <c r="D12" s="44" t="s">
        <v>45</v>
      </c>
      <c r="F12" s="8" t="s">
        <v>135</v>
      </c>
    </row>
    <row r="13" spans="2:48" x14ac:dyDescent="0.25">
      <c r="B13" s="5" t="s">
        <v>47</v>
      </c>
      <c r="C13" s="46">
        <f>K4</f>
        <v>71.602054532439439</v>
      </c>
      <c r="D13" s="44"/>
      <c r="F13" s="8" t="s">
        <v>136</v>
      </c>
      <c r="G13" s="43">
        <f>ROUND($F$4,0)-10</f>
        <v>48</v>
      </c>
    </row>
    <row r="14" spans="2:48" ht="15.5" x14ac:dyDescent="0.4">
      <c r="B14" s="47" t="s">
        <v>48</v>
      </c>
      <c r="C14" s="46">
        <f>G4</f>
        <v>-490549.62196798518</v>
      </c>
      <c r="D14" s="44" t="s">
        <v>45</v>
      </c>
      <c r="F14" s="8" t="s">
        <v>137</v>
      </c>
      <c r="G14" s="43">
        <f>ROUND($F$4,0)+10</f>
        <v>68</v>
      </c>
      <c r="H14" s="88"/>
      <c r="I14" s="88"/>
    </row>
    <row r="15" spans="2:48" ht="15.5" x14ac:dyDescent="0.4">
      <c r="B15" s="47" t="s">
        <v>50</v>
      </c>
      <c r="C15" s="46">
        <f>H4-J4</f>
        <v>-468113.67850538855</v>
      </c>
      <c r="D15" s="44" t="s">
        <v>45</v>
      </c>
      <c r="F15" s="88" t="s">
        <v>154</v>
      </c>
      <c r="G15" s="46">
        <f>MAX(Curves!$AT:$AT)</f>
        <v>-38.983333333324346</v>
      </c>
    </row>
    <row r="16" spans="2:48" x14ac:dyDescent="0.25">
      <c r="B16" s="5" t="s">
        <v>55</v>
      </c>
      <c r="C16" s="46">
        <v>48</v>
      </c>
      <c r="D16" s="44" t="s">
        <v>31</v>
      </c>
      <c r="F16" s="8" t="s">
        <v>139</v>
      </c>
      <c r="G16" s="46">
        <f>MAX(Curves!$AU:$AU)</f>
        <v>-17.7166666666613</v>
      </c>
    </row>
    <row r="17" spans="2:48" x14ac:dyDescent="0.25">
      <c r="B17" s="5" t="s">
        <v>40</v>
      </c>
      <c r="C17" s="45">
        <f>$I$4-$H$4/(8.314*(273.15+$C$16))</f>
        <v>10.668533437189737</v>
      </c>
      <c r="D17" s="44"/>
      <c r="K17" s="88"/>
    </row>
    <row r="18" spans="2:48" ht="13" x14ac:dyDescent="0.3">
      <c r="B18" s="5" t="s">
        <v>41</v>
      </c>
      <c r="C18" s="45">
        <f>$K$4-$J$4/(8.314*(273.15+$C$16))</f>
        <v>-8.1332158621879387</v>
      </c>
      <c r="D18" s="44"/>
      <c r="F18" s="89" t="s">
        <v>155</v>
      </c>
      <c r="K18" s="88"/>
    </row>
    <row r="19" spans="2:48" ht="13.5" thickBot="1" x14ac:dyDescent="0.35">
      <c r="B19" s="6" t="s">
        <v>56</v>
      </c>
      <c r="C19" s="48">
        <f>EXP(C17)/EXP(C18)</f>
        <v>146384795.66891369</v>
      </c>
      <c r="D19" s="49" t="s">
        <v>57</v>
      </c>
      <c r="F19" s="89" t="s">
        <v>156</v>
      </c>
    </row>
    <row r="20" spans="2:48" ht="13.5" thickBot="1" x14ac:dyDescent="0.35">
      <c r="F20" s="88" t="s">
        <v>157</v>
      </c>
      <c r="I20" s="71">
        <v>42</v>
      </c>
      <c r="J20" s="88" t="s">
        <v>31</v>
      </c>
    </row>
    <row r="21" spans="2:48" ht="13.5" thickBot="1" x14ac:dyDescent="0.35">
      <c r="C21" s="51"/>
      <c r="F21" s="90" t="s">
        <v>160</v>
      </c>
      <c r="G21" s="46"/>
      <c r="H21" s="46"/>
      <c r="I21" s="71">
        <v>47</v>
      </c>
      <c r="J21" s="88" t="s">
        <v>31</v>
      </c>
    </row>
    <row r="22" spans="2:48" ht="13.5" thickBot="1" x14ac:dyDescent="0.35">
      <c r="F22" s="88" t="s">
        <v>158</v>
      </c>
      <c r="I22" s="71">
        <v>66</v>
      </c>
      <c r="J22" s="88" t="s">
        <v>31</v>
      </c>
    </row>
    <row r="23" spans="2:48" ht="13.5" thickBot="1" x14ac:dyDescent="0.35">
      <c r="B23" s="46"/>
      <c r="C23" s="46"/>
      <c r="D23" s="46"/>
      <c r="E23" s="45"/>
      <c r="F23" s="88" t="s">
        <v>159</v>
      </c>
      <c r="I23" s="71">
        <v>70</v>
      </c>
      <c r="J23" s="88" t="s">
        <v>31</v>
      </c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</row>
    <row r="25" spans="2:48" ht="13.5" thickBot="1" x14ac:dyDescent="0.35">
      <c r="F25" s="89" t="s">
        <v>161</v>
      </c>
    </row>
    <row r="26" spans="2:48" ht="13.5" thickBot="1" x14ac:dyDescent="0.35">
      <c r="F26" s="88" t="s">
        <v>157</v>
      </c>
      <c r="I26" s="71">
        <v>35</v>
      </c>
      <c r="J26" s="88" t="s">
        <v>31</v>
      </c>
    </row>
    <row r="27" spans="2:48" ht="13.5" thickBot="1" x14ac:dyDescent="0.35">
      <c r="F27" s="90" t="s">
        <v>160</v>
      </c>
      <c r="G27" s="46"/>
      <c r="H27" s="46"/>
      <c r="I27" s="71">
        <v>40</v>
      </c>
      <c r="J27" s="88" t="s">
        <v>31</v>
      </c>
    </row>
    <row r="28" spans="2:48" ht="13.5" thickBot="1" x14ac:dyDescent="0.35">
      <c r="F28" s="88" t="s">
        <v>158</v>
      </c>
      <c r="I28" s="71">
        <v>68</v>
      </c>
      <c r="J28" s="88" t="s">
        <v>31</v>
      </c>
    </row>
    <row r="29" spans="2:48" ht="13.5" thickBot="1" x14ac:dyDescent="0.35">
      <c r="F29" s="88" t="s">
        <v>159</v>
      </c>
      <c r="I29" s="71">
        <v>70</v>
      </c>
      <c r="J29" s="88" t="s">
        <v>31</v>
      </c>
    </row>
    <row r="32" spans="2:48" x14ac:dyDescent="0.25">
      <c r="F32" s="8" t="s">
        <v>263</v>
      </c>
    </row>
    <row r="33" spans="6:6" x14ac:dyDescent="0.25">
      <c r="F33" s="8" t="s">
        <v>264</v>
      </c>
    </row>
    <row r="34" spans="6:6" x14ac:dyDescent="0.25">
      <c r="F34" s="8" t="s">
        <v>265</v>
      </c>
    </row>
    <row r="35" spans="6:6" x14ac:dyDescent="0.25">
      <c r="F35" s="8" t="s">
        <v>266</v>
      </c>
    </row>
    <row r="37" spans="6:6" x14ac:dyDescent="0.25">
      <c r="F37" s="95" t="str">
        <f>"HC_Lint &lt;- "&amp;AJ$4&amp;"   #first guess for Lint"</f>
        <v>HC_Lint &lt;- 14759.2277210086   #first guess for Lint</v>
      </c>
    </row>
    <row r="38" spans="6:6" x14ac:dyDescent="0.25">
      <c r="F38" s="95" t="str">
        <f>"HC_Lslope &lt;- "&amp;AK$4&amp;"   #first guess for Lslope"</f>
        <v>HC_Lslope &lt;- -107.701947979195   #first guess for Lslope</v>
      </c>
    </row>
    <row r="39" spans="6:6" x14ac:dyDescent="0.25">
      <c r="F39" s="95" t="str">
        <f>"HC_Uint &lt;- "&amp;AL$4&amp;"    #first guess for Uint"</f>
        <v>HC_Uint &lt;- 5071.67248566532    #first guess for Uint</v>
      </c>
    </row>
    <row r="40" spans="6:6" x14ac:dyDescent="0.25">
      <c r="F40" s="95" t="str">
        <f>"HC_Uslope &lt;- "&amp;AM$4&amp;"      #first guess for Uslope"</f>
        <v>HC_Uslope &lt;- -56      #first guess for Uslope</v>
      </c>
    </row>
    <row r="42" spans="6:6" x14ac:dyDescent="0.25">
      <c r="F42" s="95" t="str">
        <f>"CC_Lint &lt;- "&amp;AR$4&amp;"   #first guess for Lint"</f>
        <v>CC_Lint &lt;- 13185.2479462185   #first guess for Lint</v>
      </c>
    </row>
    <row r="43" spans="6:6" x14ac:dyDescent="0.25">
      <c r="F43" s="95" t="str">
        <f>"CC_Lslope &lt;- "&amp;AS$4&amp;"   #first guess for Lslope"</f>
        <v>CC_Lslope &lt;- -72.8998223289307   #first guess for Lslope</v>
      </c>
    </row>
    <row r="44" spans="6:6" x14ac:dyDescent="0.25">
      <c r="F44" s="95" t="str">
        <f>"CC_Uint &lt;- "&amp;AT$4&amp;"    #first guess for Uint"</f>
        <v>CC_Uint &lt;- 2272.18116647355    #first guess for Uint</v>
      </c>
    </row>
    <row r="45" spans="6:6" x14ac:dyDescent="0.25">
      <c r="F45" s="95" t="str">
        <f>"CC_Uslope &lt;- "&amp;AU$4&amp;"      #first guess for Uslope"</f>
        <v>CC_Uslope &lt;- -16      #first guess for Uslope</v>
      </c>
    </row>
    <row r="47" spans="6:6" x14ac:dyDescent="0.25">
      <c r="F47" s="88" t="s">
        <v>267</v>
      </c>
    </row>
    <row r="48" spans="6:6" x14ac:dyDescent="0.25">
      <c r="F48" s="88" t="s">
        <v>268</v>
      </c>
    </row>
    <row r="49" spans="6:6" x14ac:dyDescent="0.25">
      <c r="F49" s="8" t="str">
        <f>"   k0_off = "&amp;EXP(C13)</f>
        <v xml:space="preserve">   k0_off = 1.24846731330747E+31</v>
      </c>
    </row>
  </sheetData>
  <mergeCells count="14">
    <mergeCell ref="AF2:AI2"/>
    <mergeCell ref="AN2:AQ2"/>
    <mergeCell ref="AB2:AB3"/>
    <mergeCell ref="AC2:AC3"/>
    <mergeCell ref="AD2:AD3"/>
    <mergeCell ref="AE2:AE3"/>
    <mergeCell ref="X2:X3"/>
    <mergeCell ref="Y2:Y3"/>
    <mergeCell ref="Z2:Z3"/>
    <mergeCell ref="AA2:AA3"/>
    <mergeCell ref="D2:D3"/>
    <mergeCell ref="U2:U3"/>
    <mergeCell ref="V2:V3"/>
    <mergeCell ref="W2:W3"/>
  </mergeCells>
  <phoneticPr fontId="0" type="noConversion"/>
  <pageMargins left="0.75" right="0.75" top="1" bottom="1" header="0.5" footer="0.5"/>
  <headerFooter alignWithMargins="0"/>
</worksheet>
</file>

<file path=docMetadata/LabelInfo.xml><?xml version="1.0" encoding="utf-8"?>
<clbl:labelList xmlns:clbl="http://schemas.microsoft.com/office/2020/mipLabelMetadata">
  <clbl:label id="{78aac226-2f03-4b4d-9037-b46d56c55210}" enabled="0" method="" siteId="{78aac226-2f03-4b4d-9037-b46d56c5521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4</vt:i4>
      </vt:variant>
      <vt:variant>
        <vt:lpstr>Dialogs</vt:lpstr>
      </vt:variant>
      <vt:variant>
        <vt:i4>1</vt:i4>
      </vt:variant>
    </vt:vector>
  </HeadingPairs>
  <TitlesOfParts>
    <vt:vector size="11" baseType="lpstr">
      <vt:lpstr>Times</vt:lpstr>
      <vt:lpstr>Data</vt:lpstr>
      <vt:lpstr>Curves</vt:lpstr>
      <vt:lpstr>Equations</vt:lpstr>
      <vt:lpstr>Equations (Ct)</vt:lpstr>
      <vt:lpstr>Results</vt:lpstr>
      <vt:lpstr>dODdT</vt:lpstr>
      <vt:lpstr>Baselines</vt:lpstr>
      <vt:lpstr>Alphas</vt:lpstr>
      <vt:lpstr>kvals</vt:lpstr>
      <vt:lpstr>Reminder</vt:lpstr>
    </vt:vector>
  </TitlesOfParts>
  <Company>University of Toronto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B. Macgregor</dc:creator>
  <cp:lastModifiedBy>David Dubins</cp:lastModifiedBy>
  <dcterms:created xsi:type="dcterms:W3CDTF">2001-07-25T19:21:08Z</dcterms:created>
  <dcterms:modified xsi:type="dcterms:W3CDTF">2026-08-16T04:08:01Z</dcterms:modified>
</cp:coreProperties>
</file>