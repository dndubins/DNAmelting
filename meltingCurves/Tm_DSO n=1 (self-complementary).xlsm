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Lectures/PHC421 2026/Tm/"/>
    </mc:Choice>
  </mc:AlternateContent>
  <xr:revisionPtr revIDLastSave="2875" documentId="13_ncr:1_{A264141C-E22B-460E-AE90-06A0B4010B92}" xr6:coauthVersionLast="47" xr6:coauthVersionMax="47" xr10:uidLastSave="{198F711E-CC19-451F-85F9-682C91D37CF5}"/>
  <bookViews>
    <workbookView xWindow="-120" yWindow="-120" windowWidth="29040" windowHeight="15720" xr2:uid="{00000000-000D-0000-FFFF-FFFF00000000}"/>
  </bookViews>
  <sheets>
    <sheet name="Generate Curve" sheetId="25" r:id="rId1"/>
    <sheet name="Solver" sheetId="9" r:id="rId2"/>
    <sheet name="SIG" sheetId="4" r:id="rId3"/>
    <sheet name="DSO" sheetId="19" r:id="rId4"/>
    <sheet name="ROOTS" sheetId="21" r:id="rId5"/>
    <sheet name="Model" sheetId="24" r:id="rId6"/>
  </sheets>
  <functionGroups builtInGroupCount="19"/>
  <definedNames>
    <definedName name="_xleta.INTERCEPT" hidden="1" xlm="1">#NAME?</definedName>
    <definedName name="_xlnm.Print_Area" localSheetId="1">Solver!$A$1:$M$33</definedName>
    <definedName name="solver_adj" localSheetId="3" hidden="1">DSO!$B$8,DSO!$C$8</definedName>
    <definedName name="solver_adj" localSheetId="2" hidden="1">SIG!$B$8,SIG!$C$8</definedName>
    <definedName name="solver_opt" localSheetId="3" hidden="1">DSO!$I$8</definedName>
    <definedName name="solver_opt" localSheetId="2" hidden="1">SIG!$I$8</definedName>
    <definedName name="solver_typ" localSheetId="3" hidden="1">3</definedName>
    <definedName name="solver_typ" localSheetId="2" hidden="1">3</definedName>
    <definedName name="solver_val" localSheetId="3" hidden="1">0</definedName>
    <definedName name="solver_val" localSheetId="2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25" l="1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9" i="25"/>
  <c r="B19" i="25" l="1"/>
  <c r="B20" i="25" l="1"/>
  <c r="D19" i="25" l="1"/>
  <c r="E19" i="25"/>
  <c r="B21" i="25"/>
  <c r="D20" i="25" l="1"/>
  <c r="E20" i="25"/>
  <c r="B22" i="25"/>
  <c r="D21" i="25" l="1"/>
  <c r="E21" i="25"/>
  <c r="B23" i="25"/>
  <c r="D22" i="25" l="1"/>
  <c r="E22" i="25"/>
  <c r="B24" i="25"/>
  <c r="D23" i="25" l="1"/>
  <c r="E23" i="25"/>
  <c r="B25" i="25"/>
  <c r="D24" i="25" l="1"/>
  <c r="E24" i="25"/>
  <c r="B26" i="25"/>
  <c r="D25" i="25" l="1"/>
  <c r="E25" i="25"/>
  <c r="B27" i="25"/>
  <c r="D26" i="25" l="1"/>
  <c r="E26" i="25"/>
  <c r="E27" i="25"/>
  <c r="B28" i="25"/>
  <c r="D27" i="25" l="1"/>
  <c r="B29" i="25"/>
  <c r="D28" i="25" l="1"/>
  <c r="E28" i="25"/>
  <c r="B30" i="25"/>
  <c r="D29" i="25" l="1"/>
  <c r="E29" i="25"/>
  <c r="B31" i="25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K5" i="9"/>
  <c r="E177" i="9"/>
  <c r="F177" i="9"/>
  <c r="E178" i="9"/>
  <c r="F178" i="9"/>
  <c r="E179" i="9"/>
  <c r="F179" i="9"/>
  <c r="E180" i="9"/>
  <c r="F180" i="9"/>
  <c r="E181" i="9"/>
  <c r="F181" i="9"/>
  <c r="E182" i="9"/>
  <c r="F182" i="9"/>
  <c r="E183" i="9"/>
  <c r="F183" i="9"/>
  <c r="E184" i="9"/>
  <c r="F184" i="9"/>
  <c r="E185" i="9"/>
  <c r="F185" i="9"/>
  <c r="E186" i="9"/>
  <c r="F186" i="9"/>
  <c r="E187" i="9"/>
  <c r="F187" i="9"/>
  <c r="E188" i="9"/>
  <c r="F188" i="9"/>
  <c r="E189" i="9"/>
  <c r="F189" i="9"/>
  <c r="E190" i="9"/>
  <c r="F190" i="9"/>
  <c r="E191" i="9"/>
  <c r="F191" i="9"/>
  <c r="E192" i="9"/>
  <c r="F192" i="9"/>
  <c r="E193" i="9"/>
  <c r="F193" i="9"/>
  <c r="E194" i="9"/>
  <c r="F194" i="9"/>
  <c r="E195" i="9"/>
  <c r="F195" i="9"/>
  <c r="E196" i="9"/>
  <c r="F196" i="9"/>
  <c r="E197" i="9"/>
  <c r="F197" i="9"/>
  <c r="E198" i="9"/>
  <c r="F198" i="9"/>
  <c r="E199" i="9"/>
  <c r="F199" i="9"/>
  <c r="E200" i="9"/>
  <c r="F200" i="9"/>
  <c r="E201" i="9"/>
  <c r="F201" i="9"/>
  <c r="E202" i="9"/>
  <c r="F202" i="9"/>
  <c r="E203" i="9"/>
  <c r="F203" i="9"/>
  <c r="E204" i="9"/>
  <c r="F204" i="9"/>
  <c r="E205" i="9"/>
  <c r="F205" i="9"/>
  <c r="E206" i="9"/>
  <c r="F206" i="9"/>
  <c r="E207" i="9"/>
  <c r="F207" i="9"/>
  <c r="E208" i="9"/>
  <c r="F208" i="9"/>
  <c r="E209" i="9"/>
  <c r="F209" i="9"/>
  <c r="E210" i="9"/>
  <c r="F210" i="9"/>
  <c r="E211" i="9"/>
  <c r="F211" i="9"/>
  <c r="E212" i="9"/>
  <c r="F212" i="9"/>
  <c r="E213" i="9"/>
  <c r="F213" i="9"/>
  <c r="E214" i="9"/>
  <c r="F214" i="9"/>
  <c r="E215" i="9"/>
  <c r="F215" i="9"/>
  <c r="E216" i="9"/>
  <c r="F216" i="9"/>
  <c r="E217" i="9"/>
  <c r="F217" i="9"/>
  <c r="E218" i="9"/>
  <c r="F218" i="9"/>
  <c r="E219" i="9"/>
  <c r="F219" i="9"/>
  <c r="E220" i="9"/>
  <c r="F220" i="9"/>
  <c r="E221" i="9"/>
  <c r="F221" i="9"/>
  <c r="E222" i="9"/>
  <c r="F222" i="9"/>
  <c r="E223" i="9"/>
  <c r="F223" i="9"/>
  <c r="E224" i="9"/>
  <c r="F224" i="9"/>
  <c r="E225" i="9"/>
  <c r="F225" i="9"/>
  <c r="E226" i="9"/>
  <c r="F226" i="9"/>
  <c r="E227" i="9"/>
  <c r="F227" i="9"/>
  <c r="E228" i="9"/>
  <c r="F228" i="9"/>
  <c r="E229" i="9"/>
  <c r="F229" i="9"/>
  <c r="E230" i="9"/>
  <c r="F230" i="9"/>
  <c r="E231" i="9"/>
  <c r="F231" i="9"/>
  <c r="E232" i="9"/>
  <c r="F232" i="9"/>
  <c r="E233" i="9"/>
  <c r="F233" i="9"/>
  <c r="E234" i="9"/>
  <c r="F234" i="9"/>
  <c r="E235" i="9"/>
  <c r="F235" i="9"/>
  <c r="E236" i="9"/>
  <c r="F236" i="9"/>
  <c r="E237" i="9"/>
  <c r="F237" i="9"/>
  <c r="E238" i="9"/>
  <c r="F238" i="9"/>
  <c r="E239" i="9"/>
  <c r="F239" i="9"/>
  <c r="E240" i="9"/>
  <c r="F240" i="9"/>
  <c r="E241" i="9"/>
  <c r="F241" i="9"/>
  <c r="E242" i="9"/>
  <c r="F242" i="9"/>
  <c r="E243" i="9"/>
  <c r="F243" i="9"/>
  <c r="E244" i="9"/>
  <c r="F244" i="9"/>
  <c r="E245" i="9"/>
  <c r="F245" i="9"/>
  <c r="E246" i="9"/>
  <c r="F246" i="9"/>
  <c r="E247" i="9"/>
  <c r="F247" i="9"/>
  <c r="E248" i="9"/>
  <c r="F248" i="9"/>
  <c r="E249" i="9"/>
  <c r="F249" i="9"/>
  <c r="E250" i="9"/>
  <c r="F250" i="9"/>
  <c r="E251" i="9"/>
  <c r="F251" i="9"/>
  <c r="E252" i="9"/>
  <c r="F252" i="9"/>
  <c r="E253" i="9"/>
  <c r="F253" i="9"/>
  <c r="E254" i="9"/>
  <c r="F254" i="9"/>
  <c r="E255" i="9"/>
  <c r="F255" i="9"/>
  <c r="E256" i="9"/>
  <c r="F256" i="9"/>
  <c r="E257" i="9"/>
  <c r="F257" i="9"/>
  <c r="E258" i="9"/>
  <c r="F258" i="9"/>
  <c r="E259" i="9"/>
  <c r="F259" i="9"/>
  <c r="E260" i="9"/>
  <c r="F260" i="9"/>
  <c r="E261" i="9"/>
  <c r="F261" i="9"/>
  <c r="E262" i="9"/>
  <c r="F262" i="9"/>
  <c r="E263" i="9"/>
  <c r="F263" i="9"/>
  <c r="E264" i="9"/>
  <c r="F264" i="9"/>
  <c r="E265" i="9"/>
  <c r="F265" i="9"/>
  <c r="E266" i="9"/>
  <c r="F266" i="9"/>
  <c r="E267" i="9"/>
  <c r="F267" i="9"/>
  <c r="E268" i="9"/>
  <c r="F268" i="9"/>
  <c r="E269" i="9"/>
  <c r="F269" i="9"/>
  <c r="E270" i="9"/>
  <c r="F270" i="9"/>
  <c r="E271" i="9"/>
  <c r="F271" i="9"/>
  <c r="E272" i="9"/>
  <c r="F272" i="9"/>
  <c r="E273" i="9"/>
  <c r="F273" i="9"/>
  <c r="E274" i="9"/>
  <c r="F274" i="9"/>
  <c r="E275" i="9"/>
  <c r="F275" i="9"/>
  <c r="E276" i="9"/>
  <c r="F276" i="9"/>
  <c r="E277" i="9"/>
  <c r="F277" i="9"/>
  <c r="E278" i="9"/>
  <c r="F278" i="9"/>
  <c r="E279" i="9"/>
  <c r="F279" i="9"/>
  <c r="E280" i="9"/>
  <c r="F280" i="9"/>
  <c r="E281" i="9"/>
  <c r="F281" i="9"/>
  <c r="E282" i="9"/>
  <c r="F282" i="9"/>
  <c r="E283" i="9"/>
  <c r="F283" i="9"/>
  <c r="E284" i="9"/>
  <c r="F284" i="9"/>
  <c r="E285" i="9"/>
  <c r="F285" i="9"/>
  <c r="E286" i="9"/>
  <c r="F286" i="9"/>
  <c r="E287" i="9"/>
  <c r="F287" i="9"/>
  <c r="E288" i="9"/>
  <c r="F288" i="9"/>
  <c r="E289" i="9"/>
  <c r="F289" i="9"/>
  <c r="E290" i="9"/>
  <c r="F290" i="9"/>
  <c r="E291" i="9"/>
  <c r="F291" i="9"/>
  <c r="E292" i="9"/>
  <c r="F292" i="9"/>
  <c r="E293" i="9"/>
  <c r="F293" i="9"/>
  <c r="E294" i="9"/>
  <c r="F294" i="9"/>
  <c r="E295" i="9"/>
  <c r="F295" i="9"/>
  <c r="E296" i="9"/>
  <c r="F296" i="9"/>
  <c r="E297" i="9"/>
  <c r="F297" i="9"/>
  <c r="E298" i="9"/>
  <c r="F298" i="9"/>
  <c r="E299" i="9"/>
  <c r="F299" i="9"/>
  <c r="E300" i="9"/>
  <c r="F300" i="9"/>
  <c r="E301" i="9"/>
  <c r="F301" i="9"/>
  <c r="E302" i="9"/>
  <c r="F302" i="9"/>
  <c r="E303" i="9"/>
  <c r="F303" i="9"/>
  <c r="E304" i="9"/>
  <c r="F304" i="9"/>
  <c r="E305" i="9"/>
  <c r="F305" i="9"/>
  <c r="E306" i="9"/>
  <c r="F306" i="9"/>
  <c r="E307" i="9"/>
  <c r="F307" i="9"/>
  <c r="E308" i="9"/>
  <c r="F308" i="9"/>
  <c r="E309" i="9"/>
  <c r="F309" i="9"/>
  <c r="E310" i="9"/>
  <c r="F310" i="9"/>
  <c r="E311" i="9"/>
  <c r="F311" i="9"/>
  <c r="E312" i="9"/>
  <c r="F312" i="9"/>
  <c r="E313" i="9"/>
  <c r="F313" i="9"/>
  <c r="E314" i="9"/>
  <c r="F314" i="9"/>
  <c r="E315" i="9"/>
  <c r="F315" i="9"/>
  <c r="E316" i="9"/>
  <c r="F316" i="9"/>
  <c r="E317" i="9"/>
  <c r="F317" i="9"/>
  <c r="E318" i="9"/>
  <c r="F318" i="9"/>
  <c r="E319" i="9"/>
  <c r="F319" i="9"/>
  <c r="E320" i="9"/>
  <c r="F320" i="9"/>
  <c r="E321" i="9"/>
  <c r="F321" i="9"/>
  <c r="E322" i="9"/>
  <c r="F322" i="9"/>
  <c r="E323" i="9"/>
  <c r="F323" i="9"/>
  <c r="E324" i="9"/>
  <c r="F324" i="9"/>
  <c r="E325" i="9"/>
  <c r="F325" i="9"/>
  <c r="E326" i="9"/>
  <c r="F326" i="9"/>
  <c r="E327" i="9"/>
  <c r="F327" i="9"/>
  <c r="E328" i="9"/>
  <c r="F328" i="9"/>
  <c r="E329" i="9"/>
  <c r="F329" i="9"/>
  <c r="E330" i="9"/>
  <c r="F330" i="9"/>
  <c r="E331" i="9"/>
  <c r="F331" i="9"/>
  <c r="E332" i="9"/>
  <c r="F332" i="9"/>
  <c r="E333" i="9"/>
  <c r="F333" i="9"/>
  <c r="E334" i="9"/>
  <c r="F334" i="9"/>
  <c r="E335" i="9"/>
  <c r="F335" i="9"/>
  <c r="E336" i="9"/>
  <c r="F336" i="9"/>
  <c r="E337" i="9"/>
  <c r="F337" i="9"/>
  <c r="E338" i="9"/>
  <c r="F338" i="9"/>
  <c r="E339" i="9"/>
  <c r="F339" i="9"/>
  <c r="E340" i="9"/>
  <c r="F340" i="9"/>
  <c r="E341" i="9"/>
  <c r="F341" i="9"/>
  <c r="E342" i="9"/>
  <c r="F342" i="9"/>
  <c r="E343" i="9"/>
  <c r="F343" i="9"/>
  <c r="E344" i="9"/>
  <c r="F344" i="9"/>
  <c r="E345" i="9"/>
  <c r="F345" i="9"/>
  <c r="E346" i="9"/>
  <c r="F346" i="9"/>
  <c r="E347" i="9"/>
  <c r="F347" i="9"/>
  <c r="E348" i="9"/>
  <c r="F348" i="9"/>
  <c r="E349" i="9"/>
  <c r="F349" i="9"/>
  <c r="E350" i="9"/>
  <c r="F350" i="9"/>
  <c r="E351" i="9"/>
  <c r="F351" i="9"/>
  <c r="E352" i="9"/>
  <c r="F352" i="9"/>
  <c r="E353" i="9"/>
  <c r="F353" i="9"/>
  <c r="E354" i="9"/>
  <c r="F354" i="9"/>
  <c r="E355" i="9"/>
  <c r="F355" i="9"/>
  <c r="E356" i="9"/>
  <c r="F356" i="9"/>
  <c r="E357" i="9"/>
  <c r="F357" i="9"/>
  <c r="E358" i="9"/>
  <c r="F358" i="9"/>
  <c r="E359" i="9"/>
  <c r="F359" i="9"/>
  <c r="E360" i="9"/>
  <c r="F360" i="9"/>
  <c r="E361" i="9"/>
  <c r="F361" i="9"/>
  <c r="E362" i="9"/>
  <c r="F362" i="9"/>
  <c r="E363" i="9"/>
  <c r="F363" i="9"/>
  <c r="E364" i="9"/>
  <c r="F364" i="9"/>
  <c r="E365" i="9"/>
  <c r="F365" i="9"/>
  <c r="E366" i="9"/>
  <c r="F366" i="9"/>
  <c r="E367" i="9"/>
  <c r="F367" i="9"/>
  <c r="E368" i="9"/>
  <c r="F368" i="9"/>
  <c r="E369" i="9"/>
  <c r="F369" i="9"/>
  <c r="E370" i="9"/>
  <c r="F370" i="9"/>
  <c r="E371" i="9"/>
  <c r="F371" i="9"/>
  <c r="E372" i="9"/>
  <c r="F372" i="9"/>
  <c r="E373" i="9"/>
  <c r="F373" i="9"/>
  <c r="E374" i="9"/>
  <c r="F374" i="9"/>
  <c r="E375" i="9"/>
  <c r="F375" i="9"/>
  <c r="E376" i="9"/>
  <c r="F376" i="9"/>
  <c r="E377" i="9"/>
  <c r="F377" i="9"/>
  <c r="E378" i="9"/>
  <c r="F378" i="9"/>
  <c r="E379" i="9"/>
  <c r="F379" i="9"/>
  <c r="E380" i="9"/>
  <c r="F380" i="9"/>
  <c r="E381" i="9"/>
  <c r="F381" i="9"/>
  <c r="E382" i="9"/>
  <c r="F382" i="9"/>
  <c r="E383" i="9"/>
  <c r="F383" i="9"/>
  <c r="E384" i="9"/>
  <c r="F384" i="9"/>
  <c r="E385" i="9"/>
  <c r="F385" i="9"/>
  <c r="E386" i="9"/>
  <c r="F386" i="9"/>
  <c r="E387" i="9"/>
  <c r="F387" i="9"/>
  <c r="E388" i="9"/>
  <c r="F388" i="9"/>
  <c r="E389" i="9"/>
  <c r="F389" i="9"/>
  <c r="E390" i="9"/>
  <c r="F390" i="9"/>
  <c r="E391" i="9"/>
  <c r="F391" i="9"/>
  <c r="E392" i="9"/>
  <c r="F392" i="9"/>
  <c r="E393" i="9"/>
  <c r="F393" i="9"/>
  <c r="E394" i="9"/>
  <c r="F394" i="9"/>
  <c r="E395" i="9"/>
  <c r="F395" i="9"/>
  <c r="E396" i="9"/>
  <c r="F396" i="9"/>
  <c r="E397" i="9"/>
  <c r="F397" i="9"/>
  <c r="E398" i="9"/>
  <c r="F398" i="9"/>
  <c r="E399" i="9"/>
  <c r="F399" i="9"/>
  <c r="E400" i="9"/>
  <c r="F400" i="9"/>
  <c r="E401" i="9"/>
  <c r="F401" i="9"/>
  <c r="E402" i="9"/>
  <c r="F402" i="9"/>
  <c r="E403" i="9"/>
  <c r="F403" i="9"/>
  <c r="E404" i="9"/>
  <c r="F404" i="9"/>
  <c r="E405" i="9"/>
  <c r="F405" i="9"/>
  <c r="E406" i="9"/>
  <c r="F406" i="9"/>
  <c r="E407" i="9"/>
  <c r="F407" i="9"/>
  <c r="E408" i="9"/>
  <c r="F408" i="9"/>
  <c r="E409" i="9"/>
  <c r="F409" i="9"/>
  <c r="E410" i="9"/>
  <c r="F410" i="9"/>
  <c r="E411" i="9"/>
  <c r="F411" i="9"/>
  <c r="E412" i="9"/>
  <c r="F412" i="9"/>
  <c r="E413" i="9"/>
  <c r="F413" i="9"/>
  <c r="E414" i="9"/>
  <c r="F414" i="9"/>
  <c r="E415" i="9"/>
  <c r="F415" i="9"/>
  <c r="E416" i="9"/>
  <c r="F416" i="9"/>
  <c r="E417" i="9"/>
  <c r="F417" i="9"/>
  <c r="E418" i="9"/>
  <c r="F418" i="9"/>
  <c r="E419" i="9"/>
  <c r="F419" i="9"/>
  <c r="E420" i="9"/>
  <c r="F420" i="9"/>
  <c r="E421" i="9"/>
  <c r="F421" i="9"/>
  <c r="E422" i="9"/>
  <c r="F422" i="9"/>
  <c r="E423" i="9"/>
  <c r="F423" i="9"/>
  <c r="E424" i="9"/>
  <c r="F424" i="9"/>
  <c r="E425" i="9"/>
  <c r="F425" i="9"/>
  <c r="E426" i="9"/>
  <c r="F426" i="9"/>
  <c r="E427" i="9"/>
  <c r="F427" i="9"/>
  <c r="E428" i="9"/>
  <c r="F428" i="9"/>
  <c r="E429" i="9"/>
  <c r="F429" i="9"/>
  <c r="E430" i="9"/>
  <c r="F430" i="9"/>
  <c r="E431" i="9"/>
  <c r="F431" i="9"/>
  <c r="E432" i="9"/>
  <c r="F432" i="9"/>
  <c r="E433" i="9"/>
  <c r="F433" i="9"/>
  <c r="E434" i="9"/>
  <c r="F434" i="9"/>
  <c r="E435" i="9"/>
  <c r="F435" i="9"/>
  <c r="E436" i="9"/>
  <c r="F436" i="9"/>
  <c r="E437" i="9"/>
  <c r="F437" i="9"/>
  <c r="E438" i="9"/>
  <c r="F438" i="9"/>
  <c r="E439" i="9"/>
  <c r="F439" i="9"/>
  <c r="E440" i="9"/>
  <c r="F440" i="9"/>
  <c r="E441" i="9"/>
  <c r="F441" i="9"/>
  <c r="E442" i="9"/>
  <c r="F442" i="9"/>
  <c r="E443" i="9"/>
  <c r="F443" i="9"/>
  <c r="E444" i="9"/>
  <c r="F444" i="9"/>
  <c r="E445" i="9"/>
  <c r="F445" i="9"/>
  <c r="E446" i="9"/>
  <c r="F446" i="9"/>
  <c r="E447" i="9"/>
  <c r="F447" i="9"/>
  <c r="E448" i="9"/>
  <c r="F448" i="9"/>
  <c r="E449" i="9"/>
  <c r="F449" i="9"/>
  <c r="E450" i="9"/>
  <c r="F450" i="9"/>
  <c r="E451" i="9"/>
  <c r="F451" i="9"/>
  <c r="E452" i="9"/>
  <c r="F452" i="9"/>
  <c r="E453" i="9"/>
  <c r="F453" i="9"/>
  <c r="E454" i="9"/>
  <c r="F454" i="9"/>
  <c r="E455" i="9"/>
  <c r="F455" i="9"/>
  <c r="E456" i="9"/>
  <c r="F456" i="9"/>
  <c r="E457" i="9"/>
  <c r="F457" i="9"/>
  <c r="E458" i="9"/>
  <c r="F458" i="9"/>
  <c r="E459" i="9"/>
  <c r="F459" i="9"/>
  <c r="E460" i="9"/>
  <c r="F460" i="9"/>
  <c r="E461" i="9"/>
  <c r="F461" i="9"/>
  <c r="E462" i="9"/>
  <c r="F462" i="9"/>
  <c r="E463" i="9"/>
  <c r="F463" i="9"/>
  <c r="E464" i="9"/>
  <c r="F464" i="9"/>
  <c r="E465" i="9"/>
  <c r="F465" i="9"/>
  <c r="E466" i="9"/>
  <c r="F466" i="9"/>
  <c r="E467" i="9"/>
  <c r="F467" i="9"/>
  <c r="E468" i="9"/>
  <c r="F468" i="9"/>
  <c r="E469" i="9"/>
  <c r="F469" i="9"/>
  <c r="E470" i="9"/>
  <c r="F470" i="9"/>
  <c r="E471" i="9"/>
  <c r="F471" i="9"/>
  <c r="E472" i="9"/>
  <c r="F472" i="9"/>
  <c r="E473" i="9"/>
  <c r="F473" i="9"/>
  <c r="E474" i="9"/>
  <c r="F474" i="9"/>
  <c r="E475" i="9"/>
  <c r="F475" i="9"/>
  <c r="E476" i="9"/>
  <c r="F476" i="9"/>
  <c r="E477" i="9"/>
  <c r="F477" i="9"/>
  <c r="E478" i="9"/>
  <c r="F478" i="9"/>
  <c r="E479" i="9"/>
  <c r="F479" i="9"/>
  <c r="E480" i="9"/>
  <c r="F480" i="9"/>
  <c r="E481" i="9"/>
  <c r="F481" i="9"/>
  <c r="E482" i="9"/>
  <c r="F482" i="9"/>
  <c r="E483" i="9"/>
  <c r="F483" i="9"/>
  <c r="E484" i="9"/>
  <c r="F484" i="9"/>
  <c r="E485" i="9"/>
  <c r="F485" i="9"/>
  <c r="E486" i="9"/>
  <c r="F486" i="9"/>
  <c r="E487" i="9"/>
  <c r="F487" i="9"/>
  <c r="E488" i="9"/>
  <c r="F488" i="9"/>
  <c r="E489" i="9"/>
  <c r="F489" i="9"/>
  <c r="E490" i="9"/>
  <c r="F490" i="9"/>
  <c r="E491" i="9"/>
  <c r="F491" i="9"/>
  <c r="E492" i="9"/>
  <c r="F492" i="9"/>
  <c r="E493" i="9"/>
  <c r="F493" i="9"/>
  <c r="E494" i="9"/>
  <c r="F494" i="9"/>
  <c r="E495" i="9"/>
  <c r="F495" i="9"/>
  <c r="E496" i="9"/>
  <c r="F496" i="9"/>
  <c r="E497" i="9"/>
  <c r="F497" i="9"/>
  <c r="E498" i="9"/>
  <c r="F498" i="9"/>
  <c r="E499" i="9"/>
  <c r="F499" i="9"/>
  <c r="E500" i="9"/>
  <c r="F500" i="9"/>
  <c r="E501" i="9"/>
  <c r="F501" i="9"/>
  <c r="K9" i="9"/>
  <c r="D30" i="25" l="1"/>
  <c r="E30" i="25"/>
  <c r="B32" i="25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C72" i="9"/>
  <c r="C73" i="9"/>
  <c r="C74" i="9"/>
  <c r="E74" i="9" s="1"/>
  <c r="C75" i="9"/>
  <c r="C76" i="9"/>
  <c r="C77" i="9"/>
  <c r="C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C4" i="9"/>
  <c r="C3" i="9"/>
  <c r="C5" i="9"/>
  <c r="C6" i="9"/>
  <c r="C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241" i="9"/>
  <c r="G242" i="9"/>
  <c r="G243" i="9"/>
  <c r="G244" i="9"/>
  <c r="G245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K7" i="9"/>
  <c r="G246" i="9"/>
  <c r="G247" i="9"/>
  <c r="G248" i="9"/>
  <c r="G249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250" i="9"/>
  <c r="G251" i="9"/>
  <c r="G252" i="9"/>
  <c r="G253" i="9"/>
  <c r="G254" i="9"/>
  <c r="G255" i="9"/>
  <c r="G298" i="9"/>
  <c r="G299" i="9"/>
  <c r="G300" i="9"/>
  <c r="G301" i="9"/>
  <c r="G302" i="9"/>
  <c r="G303" i="9"/>
  <c r="G304" i="9"/>
  <c r="K6" i="9"/>
  <c r="G256" i="9"/>
  <c r="G257" i="9"/>
  <c r="G258" i="9"/>
  <c r="G259" i="9"/>
  <c r="G260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K8" i="9"/>
  <c r="F73" i="9"/>
  <c r="G73" i="9" s="1"/>
  <c r="F74" i="9"/>
  <c r="G74" i="9" s="1"/>
  <c r="F75" i="9"/>
  <c r="G75" i="9" s="1"/>
  <c r="F76" i="9"/>
  <c r="G76" i="9" s="1"/>
  <c r="F77" i="9"/>
  <c r="G77" i="9" s="1"/>
  <c r="F78" i="9"/>
  <c r="G78" i="9" s="1"/>
  <c r="F79" i="9"/>
  <c r="G79" i="9" s="1"/>
  <c r="F80" i="9"/>
  <c r="G80" i="9" s="1"/>
  <c r="F81" i="9"/>
  <c r="G81" i="9" s="1"/>
  <c r="F82" i="9"/>
  <c r="G82" i="9" s="1"/>
  <c r="F83" i="9"/>
  <c r="G83" i="9" s="1"/>
  <c r="F84" i="9"/>
  <c r="G84" i="9" s="1"/>
  <c r="F85" i="9"/>
  <c r="G85" i="9" s="1"/>
  <c r="F86" i="9"/>
  <c r="G86" i="9" s="1"/>
  <c r="F87" i="9"/>
  <c r="G87" i="9" s="1"/>
  <c r="F88" i="9"/>
  <c r="G88" i="9" s="1"/>
  <c r="F89" i="9"/>
  <c r="G89" i="9" s="1"/>
  <c r="F90" i="9"/>
  <c r="G90" i="9" s="1"/>
  <c r="F91" i="9"/>
  <c r="G91" i="9" s="1"/>
  <c r="F92" i="9"/>
  <c r="G92" i="9" s="1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E78" i="9"/>
  <c r="E82" i="9"/>
  <c r="E86" i="9"/>
  <c r="E90" i="9"/>
  <c r="E94" i="9"/>
  <c r="E98" i="9"/>
  <c r="E102" i="9"/>
  <c r="E103" i="9"/>
  <c r="E106" i="9"/>
  <c r="E107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F69" i="9"/>
  <c r="G69" i="9" s="1"/>
  <c r="F70" i="9"/>
  <c r="G70" i="9" s="1"/>
  <c r="F71" i="9"/>
  <c r="G71" i="9" s="1"/>
  <c r="F72" i="9"/>
  <c r="G72" i="9" s="1"/>
  <c r="F67" i="9"/>
  <c r="G67" i="9" s="1"/>
  <c r="F68" i="9"/>
  <c r="G68" i="9" s="1"/>
  <c r="D31" i="25" l="1"/>
  <c r="E31" i="25"/>
  <c r="B33" i="25"/>
  <c r="E109" i="9"/>
  <c r="E105" i="9"/>
  <c r="E101" i="9"/>
  <c r="E97" i="9"/>
  <c r="E93" i="9"/>
  <c r="E89" i="9"/>
  <c r="E85" i="9"/>
  <c r="E81" i="9"/>
  <c r="E77" i="9"/>
  <c r="E73" i="9"/>
  <c r="E108" i="9"/>
  <c r="E104" i="9"/>
  <c r="E100" i="9"/>
  <c r="E96" i="9"/>
  <c r="E92" i="9"/>
  <c r="E88" i="9"/>
  <c r="E84" i="9"/>
  <c r="E80" i="9"/>
  <c r="E76" i="9"/>
  <c r="E99" i="9"/>
  <c r="E95" i="9"/>
  <c r="E91" i="9"/>
  <c r="E87" i="9"/>
  <c r="E83" i="9"/>
  <c r="E79" i="9"/>
  <c r="E75" i="9"/>
  <c r="E69" i="9"/>
  <c r="E72" i="9"/>
  <c r="E71" i="9"/>
  <c r="E70" i="9"/>
  <c r="E67" i="9"/>
  <c r="E68" i="9"/>
  <c r="D32" i="25" l="1"/>
  <c r="E32" i="25"/>
  <c r="E33" i="25"/>
  <c r="B34" i="25"/>
  <c r="R13" i="9"/>
  <c r="R15" i="9" s="1"/>
  <c r="S15" i="9" s="1"/>
  <c r="R12" i="9"/>
  <c r="R14" i="9" s="1"/>
  <c r="S14" i="9" s="1"/>
  <c r="D33" i="25" l="1"/>
  <c r="B35" i="25"/>
  <c r="S13" i="9"/>
  <c r="S12" i="9"/>
  <c r="F19" i="9"/>
  <c r="G19" i="9" s="1"/>
  <c r="F20" i="9"/>
  <c r="G20" i="9" s="1"/>
  <c r="F21" i="9"/>
  <c r="G21" i="9" s="1"/>
  <c r="F22" i="9"/>
  <c r="G22" i="9" s="1"/>
  <c r="F23" i="9"/>
  <c r="G23" i="9" s="1"/>
  <c r="F24" i="9"/>
  <c r="G24" i="9" s="1"/>
  <c r="F25" i="9"/>
  <c r="G25" i="9" s="1"/>
  <c r="F26" i="9"/>
  <c r="G26" i="9" s="1"/>
  <c r="F27" i="9"/>
  <c r="G27" i="9" s="1"/>
  <c r="F28" i="9"/>
  <c r="G28" i="9" s="1"/>
  <c r="F29" i="9"/>
  <c r="G29" i="9" s="1"/>
  <c r="F30" i="9"/>
  <c r="G30" i="9" s="1"/>
  <c r="F31" i="9"/>
  <c r="G31" i="9" s="1"/>
  <c r="F32" i="9"/>
  <c r="G32" i="9" s="1"/>
  <c r="F33" i="9"/>
  <c r="G33" i="9" s="1"/>
  <c r="F34" i="9"/>
  <c r="G34" i="9" s="1"/>
  <c r="F35" i="9"/>
  <c r="G35" i="9" s="1"/>
  <c r="F36" i="9"/>
  <c r="G36" i="9" s="1"/>
  <c r="F37" i="9"/>
  <c r="G37" i="9" s="1"/>
  <c r="F38" i="9"/>
  <c r="G38" i="9" s="1"/>
  <c r="F39" i="9"/>
  <c r="G39" i="9" s="1"/>
  <c r="F40" i="9"/>
  <c r="G40" i="9" s="1"/>
  <c r="F41" i="9"/>
  <c r="G41" i="9" s="1"/>
  <c r="F42" i="9"/>
  <c r="G42" i="9" s="1"/>
  <c r="F43" i="9"/>
  <c r="G43" i="9" s="1"/>
  <c r="F44" i="9"/>
  <c r="G44" i="9" s="1"/>
  <c r="F45" i="9"/>
  <c r="G45" i="9" s="1"/>
  <c r="F46" i="9"/>
  <c r="G46" i="9" s="1"/>
  <c r="F47" i="9"/>
  <c r="G47" i="9" s="1"/>
  <c r="F48" i="9"/>
  <c r="G48" i="9" s="1"/>
  <c r="F49" i="9"/>
  <c r="G49" i="9" s="1"/>
  <c r="F50" i="9"/>
  <c r="G50" i="9" s="1"/>
  <c r="F51" i="9"/>
  <c r="G51" i="9" s="1"/>
  <c r="F52" i="9"/>
  <c r="G52" i="9" s="1"/>
  <c r="F53" i="9"/>
  <c r="G53" i="9" s="1"/>
  <c r="F54" i="9"/>
  <c r="G54" i="9" s="1"/>
  <c r="F55" i="9"/>
  <c r="G55" i="9" s="1"/>
  <c r="F56" i="9"/>
  <c r="G56" i="9" s="1"/>
  <c r="F57" i="9"/>
  <c r="G57" i="9" s="1"/>
  <c r="F58" i="9"/>
  <c r="G58" i="9" s="1"/>
  <c r="F59" i="9"/>
  <c r="G59" i="9" s="1"/>
  <c r="F60" i="9"/>
  <c r="G60" i="9" s="1"/>
  <c r="F61" i="9"/>
  <c r="G61" i="9" s="1"/>
  <c r="F62" i="9"/>
  <c r="G62" i="9" s="1"/>
  <c r="F63" i="9"/>
  <c r="G63" i="9" s="1"/>
  <c r="F64" i="9"/>
  <c r="G64" i="9" s="1"/>
  <c r="F65" i="9"/>
  <c r="G65" i="9" s="1"/>
  <c r="F66" i="9"/>
  <c r="G66" i="9" s="1"/>
  <c r="F3" i="9"/>
  <c r="G3" i="9" s="1"/>
  <c r="F4" i="9"/>
  <c r="G4" i="9" s="1"/>
  <c r="F5" i="9"/>
  <c r="G5" i="9" s="1"/>
  <c r="F6" i="9"/>
  <c r="G6" i="9" s="1"/>
  <c r="F7" i="9"/>
  <c r="G7" i="9" s="1"/>
  <c r="F8" i="9"/>
  <c r="G8" i="9" s="1"/>
  <c r="F9" i="9"/>
  <c r="G9" i="9" s="1"/>
  <c r="F10" i="9"/>
  <c r="G10" i="9" s="1"/>
  <c r="F11" i="9"/>
  <c r="G11" i="9" s="1"/>
  <c r="F12" i="9"/>
  <c r="G12" i="9" s="1"/>
  <c r="F13" i="9"/>
  <c r="G13" i="9" s="1"/>
  <c r="F14" i="9"/>
  <c r="G14" i="9" s="1"/>
  <c r="F15" i="9"/>
  <c r="G15" i="9" s="1"/>
  <c r="F16" i="9"/>
  <c r="G16" i="9" s="1"/>
  <c r="F17" i="9"/>
  <c r="G17" i="9" s="1"/>
  <c r="F18" i="9"/>
  <c r="G18" i="9" s="1"/>
  <c r="F2" i="9"/>
  <c r="G2" i="9" s="1"/>
  <c r="J9" i="9"/>
  <c r="J8" i="9"/>
  <c r="J7" i="9"/>
  <c r="D34" i="25" l="1"/>
  <c r="E34" i="25"/>
  <c r="B36" i="25"/>
  <c r="E2" i="9"/>
  <c r="E4" i="9"/>
  <c r="E65" i="9"/>
  <c r="E57" i="9"/>
  <c r="E11" i="9"/>
  <c r="E7" i="9"/>
  <c r="E3" i="9"/>
  <c r="E64" i="9"/>
  <c r="E60" i="9"/>
  <c r="E56" i="9"/>
  <c r="E52" i="9"/>
  <c r="E48" i="9"/>
  <c r="E44" i="9"/>
  <c r="E40" i="9"/>
  <c r="E36" i="9"/>
  <c r="E32" i="9"/>
  <c r="E28" i="9"/>
  <c r="E24" i="9"/>
  <c r="E20" i="9"/>
  <c r="E16" i="9"/>
  <c r="E12" i="9"/>
  <c r="E63" i="9"/>
  <c r="E59" i="9"/>
  <c r="E55" i="9"/>
  <c r="E51" i="9"/>
  <c r="E47" i="9"/>
  <c r="E43" i="9"/>
  <c r="E39" i="9"/>
  <c r="E35" i="9"/>
  <c r="E31" i="9"/>
  <c r="E27" i="9"/>
  <c r="E23" i="9"/>
  <c r="E19" i="9"/>
  <c r="E15" i="9"/>
  <c r="E6" i="9"/>
  <c r="E9" i="9"/>
  <c r="E5" i="9"/>
  <c r="E66" i="9"/>
  <c r="E62" i="9"/>
  <c r="E58" i="9"/>
  <c r="E54" i="9"/>
  <c r="E50" i="9"/>
  <c r="E46" i="9"/>
  <c r="E42" i="9"/>
  <c r="E38" i="9"/>
  <c r="E34" i="9"/>
  <c r="E30" i="9"/>
  <c r="E26" i="9"/>
  <c r="E22" i="9"/>
  <c r="E18" i="9"/>
  <c r="E14" i="9"/>
  <c r="E10" i="9"/>
  <c r="E8" i="9"/>
  <c r="E61" i="9"/>
  <c r="E53" i="9"/>
  <c r="E49" i="9"/>
  <c r="E45" i="9"/>
  <c r="E41" i="9"/>
  <c r="E37" i="9"/>
  <c r="E33" i="9"/>
  <c r="E29" i="9"/>
  <c r="E25" i="9"/>
  <c r="E21" i="9"/>
  <c r="E17" i="9"/>
  <c r="E13" i="9"/>
  <c r="G1" i="9"/>
  <c r="D35" i="25" l="1"/>
  <c r="E35" i="25"/>
  <c r="B37" i="25"/>
  <c r="J6" i="9"/>
  <c r="J5" i="9"/>
  <c r="D36" i="25" l="1"/>
  <c r="E36" i="25"/>
  <c r="B38" i="25"/>
  <c r="M2" i="9"/>
  <c r="D37" i="25" l="1"/>
  <c r="E37" i="25"/>
  <c r="B39" i="25"/>
  <c r="J4" i="9"/>
  <c r="D38" i="25" l="1"/>
  <c r="E38" i="25"/>
  <c r="B40" i="25"/>
  <c r="M1" i="9"/>
  <c r="D39" i="25" l="1"/>
  <c r="E39" i="25"/>
  <c r="B41" i="25"/>
  <c r="A72" i="4"/>
  <c r="A74" i="4"/>
  <c r="A76" i="4"/>
  <c r="A78" i="4"/>
  <c r="A80" i="4"/>
  <c r="A82" i="4"/>
  <c r="A84" i="4"/>
  <c r="A86" i="4"/>
  <c r="A88" i="4"/>
  <c r="A90" i="4"/>
  <c r="A92" i="4"/>
  <c r="A94" i="4"/>
  <c r="A96" i="4"/>
  <c r="A98" i="4"/>
  <c r="A100" i="4"/>
  <c r="A102" i="4"/>
  <c r="A104" i="4"/>
  <c r="A106" i="4"/>
  <c r="A108" i="4"/>
  <c r="A110" i="4"/>
  <c r="A112" i="4"/>
  <c r="A114" i="4"/>
  <c r="A116" i="4"/>
  <c r="A118" i="4"/>
  <c r="A120" i="4"/>
  <c r="A122" i="4"/>
  <c r="A124" i="4"/>
  <c r="A126" i="4"/>
  <c r="A128" i="4"/>
  <c r="A130" i="4"/>
  <c r="A132" i="4"/>
  <c r="A134" i="4"/>
  <c r="A136" i="4"/>
  <c r="A138" i="4"/>
  <c r="A140" i="4"/>
  <c r="A142" i="4"/>
  <c r="A144" i="4"/>
  <c r="A146" i="4"/>
  <c r="A148" i="4"/>
  <c r="A150" i="4"/>
  <c r="A152" i="4"/>
  <c r="A154" i="4"/>
  <c r="A156" i="4"/>
  <c r="A158" i="4"/>
  <c r="A160" i="4"/>
  <c r="A162" i="4"/>
  <c r="A164" i="4"/>
  <c r="A166" i="4"/>
  <c r="A168" i="4"/>
  <c r="A170" i="4"/>
  <c r="A172" i="4"/>
  <c r="A174" i="4"/>
  <c r="A176" i="4"/>
  <c r="A178" i="4"/>
  <c r="A180" i="4"/>
  <c r="A182" i="4"/>
  <c r="A184" i="4"/>
  <c r="A186" i="4"/>
  <c r="A188" i="4"/>
  <c r="A190" i="4"/>
  <c r="A192" i="4"/>
  <c r="A194" i="4"/>
  <c r="A196" i="4"/>
  <c r="A198" i="4"/>
  <c r="A200" i="4"/>
  <c r="A202" i="4"/>
  <c r="A204" i="4"/>
  <c r="A206" i="4"/>
  <c r="A208" i="4"/>
  <c r="A210" i="4"/>
  <c r="A212" i="4"/>
  <c r="A214" i="4"/>
  <c r="A216" i="4"/>
  <c r="A218" i="4"/>
  <c r="A220" i="4"/>
  <c r="A222" i="4"/>
  <c r="A224" i="4"/>
  <c r="A226" i="4"/>
  <c r="A228" i="4"/>
  <c r="A230" i="4"/>
  <c r="A232" i="4"/>
  <c r="A234" i="4"/>
  <c r="A236" i="4"/>
  <c r="A238" i="4"/>
  <c r="A240" i="4"/>
  <c r="A242" i="4"/>
  <c r="A244" i="4"/>
  <c r="A246" i="4"/>
  <c r="A248" i="4"/>
  <c r="A250" i="4"/>
  <c r="A252" i="4"/>
  <c r="A254" i="4"/>
  <c r="A256" i="4"/>
  <c r="A258" i="4"/>
  <c r="A260" i="4"/>
  <c r="A262" i="4"/>
  <c r="A264" i="4"/>
  <c r="A266" i="4"/>
  <c r="A268" i="4"/>
  <c r="A270" i="4"/>
  <c r="A272" i="4"/>
  <c r="A274" i="4"/>
  <c r="A276" i="4"/>
  <c r="A278" i="4"/>
  <c r="A280" i="4"/>
  <c r="A282" i="4"/>
  <c r="A284" i="4"/>
  <c r="A286" i="4"/>
  <c r="A288" i="4"/>
  <c r="A290" i="4"/>
  <c r="A292" i="4"/>
  <c r="A294" i="4"/>
  <c r="A296" i="4"/>
  <c r="A298" i="4"/>
  <c r="A300" i="4"/>
  <c r="A302" i="4"/>
  <c r="A304" i="4"/>
  <c r="A306" i="4"/>
  <c r="A308" i="4"/>
  <c r="A310" i="4"/>
  <c r="A312" i="4"/>
  <c r="A314" i="4"/>
  <c r="A316" i="4"/>
  <c r="A318" i="4"/>
  <c r="A320" i="4"/>
  <c r="A322" i="4"/>
  <c r="A324" i="4"/>
  <c r="A326" i="4"/>
  <c r="A328" i="4"/>
  <c r="A330" i="4"/>
  <c r="A332" i="4"/>
  <c r="A334" i="4"/>
  <c r="A336" i="4"/>
  <c r="A338" i="4"/>
  <c r="A340" i="4"/>
  <c r="A342" i="4"/>
  <c r="A344" i="4"/>
  <c r="A346" i="4"/>
  <c r="A348" i="4"/>
  <c r="A350" i="4"/>
  <c r="A352" i="4"/>
  <c r="A354" i="4"/>
  <c r="A356" i="4"/>
  <c r="A358" i="4"/>
  <c r="A360" i="4"/>
  <c r="A362" i="4"/>
  <c r="A364" i="4"/>
  <c r="A366" i="4"/>
  <c r="A368" i="4"/>
  <c r="A370" i="4"/>
  <c r="A372" i="4"/>
  <c r="A374" i="4"/>
  <c r="A376" i="4"/>
  <c r="A378" i="4"/>
  <c r="A380" i="4"/>
  <c r="A382" i="4"/>
  <c r="A384" i="4"/>
  <c r="A386" i="4"/>
  <c r="A388" i="4"/>
  <c r="A390" i="4"/>
  <c r="A392" i="4"/>
  <c r="A394" i="4"/>
  <c r="A396" i="4"/>
  <c r="A398" i="4"/>
  <c r="A400" i="4"/>
  <c r="A402" i="4"/>
  <c r="A404" i="4"/>
  <c r="A406" i="4"/>
  <c r="A408" i="4"/>
  <c r="A410" i="4"/>
  <c r="A412" i="4"/>
  <c r="A414" i="4"/>
  <c r="A416" i="4"/>
  <c r="A418" i="4"/>
  <c r="A420" i="4"/>
  <c r="A422" i="4"/>
  <c r="A424" i="4"/>
  <c r="A426" i="4"/>
  <c r="A428" i="4"/>
  <c r="A430" i="4"/>
  <c r="A432" i="4"/>
  <c r="A434" i="4"/>
  <c r="A436" i="4"/>
  <c r="A438" i="4"/>
  <c r="A440" i="4"/>
  <c r="A442" i="4"/>
  <c r="A444" i="4"/>
  <c r="A446" i="4"/>
  <c r="A448" i="4"/>
  <c r="A450" i="4"/>
  <c r="A452" i="4"/>
  <c r="A454" i="4"/>
  <c r="A456" i="4"/>
  <c r="A458" i="4"/>
  <c r="A460" i="4"/>
  <c r="A462" i="4"/>
  <c r="A464" i="4"/>
  <c r="A466" i="4"/>
  <c r="A468" i="4"/>
  <c r="A470" i="4"/>
  <c r="A472" i="4"/>
  <c r="A474" i="4"/>
  <c r="A476" i="4"/>
  <c r="A478" i="4"/>
  <c r="A480" i="4"/>
  <c r="A482" i="4"/>
  <c r="A484" i="4"/>
  <c r="A486" i="4"/>
  <c r="A488" i="4"/>
  <c r="A490" i="4"/>
  <c r="A492" i="4"/>
  <c r="A494" i="4"/>
  <c r="A496" i="4"/>
  <c r="A498" i="4"/>
  <c r="A500" i="4"/>
  <c r="A71" i="4"/>
  <c r="A73" i="4"/>
  <c r="A75" i="4"/>
  <c r="A77" i="4"/>
  <c r="A79" i="4"/>
  <c r="A81" i="4"/>
  <c r="A83" i="4"/>
  <c r="A85" i="4"/>
  <c r="A87" i="4"/>
  <c r="A89" i="4"/>
  <c r="A91" i="4"/>
  <c r="A93" i="4"/>
  <c r="A95" i="4"/>
  <c r="A97" i="4"/>
  <c r="A99" i="4"/>
  <c r="A101" i="4"/>
  <c r="A103" i="4"/>
  <c r="A105" i="4"/>
  <c r="A107" i="4"/>
  <c r="A109" i="4"/>
  <c r="A111" i="4"/>
  <c r="A113" i="4"/>
  <c r="A115" i="4"/>
  <c r="A117" i="4"/>
  <c r="A119" i="4"/>
  <c r="A121" i="4"/>
  <c r="A123" i="4"/>
  <c r="A125" i="4"/>
  <c r="A127" i="4"/>
  <c r="A129" i="4"/>
  <c r="A131" i="4"/>
  <c r="A133" i="4"/>
  <c r="A135" i="4"/>
  <c r="A137" i="4"/>
  <c r="A139" i="4"/>
  <c r="A141" i="4"/>
  <c r="A143" i="4"/>
  <c r="A145" i="4"/>
  <c r="A147" i="4"/>
  <c r="A149" i="4"/>
  <c r="A151" i="4"/>
  <c r="A153" i="4"/>
  <c r="A155" i="4"/>
  <c r="A157" i="4"/>
  <c r="A159" i="4"/>
  <c r="A161" i="4"/>
  <c r="A163" i="4"/>
  <c r="A165" i="4"/>
  <c r="A167" i="4"/>
  <c r="A169" i="4"/>
  <c r="A171" i="4"/>
  <c r="A173" i="4"/>
  <c r="A175" i="4"/>
  <c r="A177" i="4"/>
  <c r="A179" i="4"/>
  <c r="A181" i="4"/>
  <c r="A183" i="4"/>
  <c r="A185" i="4"/>
  <c r="A187" i="4"/>
  <c r="A189" i="4"/>
  <c r="A191" i="4"/>
  <c r="A193" i="4"/>
  <c r="A195" i="4"/>
  <c r="A197" i="4"/>
  <c r="A199" i="4"/>
  <c r="A201" i="4"/>
  <c r="A203" i="4"/>
  <c r="A205" i="4"/>
  <c r="A207" i="4"/>
  <c r="A209" i="4"/>
  <c r="A211" i="4"/>
  <c r="A213" i="4"/>
  <c r="A215" i="4"/>
  <c r="A217" i="4"/>
  <c r="A219" i="4"/>
  <c r="A221" i="4"/>
  <c r="A223" i="4"/>
  <c r="A225" i="4"/>
  <c r="A227" i="4"/>
  <c r="A229" i="4"/>
  <c r="A231" i="4"/>
  <c r="A233" i="4"/>
  <c r="A235" i="4"/>
  <c r="A237" i="4"/>
  <c r="A239" i="4"/>
  <c r="A241" i="4"/>
  <c r="A243" i="4"/>
  <c r="A245" i="4"/>
  <c r="A247" i="4"/>
  <c r="A249" i="4"/>
  <c r="A251" i="4"/>
  <c r="A253" i="4"/>
  <c r="A255" i="4"/>
  <c r="A257" i="4"/>
  <c r="A259" i="4"/>
  <c r="A261" i="4"/>
  <c r="A263" i="4"/>
  <c r="A265" i="4"/>
  <c r="A267" i="4"/>
  <c r="A269" i="4"/>
  <c r="A271" i="4"/>
  <c r="A273" i="4"/>
  <c r="A275" i="4"/>
  <c r="A277" i="4"/>
  <c r="A279" i="4"/>
  <c r="A281" i="4"/>
  <c r="A283" i="4"/>
  <c r="A285" i="4"/>
  <c r="A287" i="4"/>
  <c r="A289" i="4"/>
  <c r="A291" i="4"/>
  <c r="A293" i="4"/>
  <c r="A295" i="4"/>
  <c r="A297" i="4"/>
  <c r="A299" i="4"/>
  <c r="A301" i="4"/>
  <c r="A303" i="4"/>
  <c r="A305" i="4"/>
  <c r="A307" i="4"/>
  <c r="A309" i="4"/>
  <c r="A311" i="4"/>
  <c r="A313" i="4"/>
  <c r="A315" i="4"/>
  <c r="A317" i="4"/>
  <c r="A319" i="4"/>
  <c r="A321" i="4"/>
  <c r="A323" i="4"/>
  <c r="A325" i="4"/>
  <c r="A327" i="4"/>
  <c r="A329" i="4"/>
  <c r="A331" i="4"/>
  <c r="A333" i="4"/>
  <c r="A335" i="4"/>
  <c r="A337" i="4"/>
  <c r="A339" i="4"/>
  <c r="A341" i="4"/>
  <c r="A343" i="4"/>
  <c r="A345" i="4"/>
  <c r="A347" i="4"/>
  <c r="A349" i="4"/>
  <c r="A351" i="4"/>
  <c r="A353" i="4"/>
  <c r="A355" i="4"/>
  <c r="A357" i="4"/>
  <c r="A359" i="4"/>
  <c r="A361" i="4"/>
  <c r="A363" i="4"/>
  <c r="A365" i="4"/>
  <c r="A367" i="4"/>
  <c r="A369" i="4"/>
  <c r="A371" i="4"/>
  <c r="A373" i="4"/>
  <c r="A375" i="4"/>
  <c r="A377" i="4"/>
  <c r="A379" i="4"/>
  <c r="A381" i="4"/>
  <c r="A383" i="4"/>
  <c r="A385" i="4"/>
  <c r="A387" i="4"/>
  <c r="A389" i="4"/>
  <c r="A391" i="4"/>
  <c r="A393" i="4"/>
  <c r="A395" i="4"/>
  <c r="A397" i="4"/>
  <c r="A399" i="4"/>
  <c r="A401" i="4"/>
  <c r="A403" i="4"/>
  <c r="A405" i="4"/>
  <c r="A407" i="4"/>
  <c r="A409" i="4"/>
  <c r="A411" i="4"/>
  <c r="A413" i="4"/>
  <c r="A415" i="4"/>
  <c r="A417" i="4"/>
  <c r="A419" i="4"/>
  <c r="A421" i="4"/>
  <c r="A423" i="4"/>
  <c r="A425" i="4"/>
  <c r="A427" i="4"/>
  <c r="A429" i="4"/>
  <c r="A431" i="4"/>
  <c r="A433" i="4"/>
  <c r="A435" i="4"/>
  <c r="A437" i="4"/>
  <c r="A439" i="4"/>
  <c r="A441" i="4"/>
  <c r="A443" i="4"/>
  <c r="A445" i="4"/>
  <c r="A447" i="4"/>
  <c r="A449" i="4"/>
  <c r="A451" i="4"/>
  <c r="A453" i="4"/>
  <c r="A455" i="4"/>
  <c r="A457" i="4"/>
  <c r="A459" i="4"/>
  <c r="A461" i="4"/>
  <c r="A463" i="4"/>
  <c r="A465" i="4"/>
  <c r="A467" i="4"/>
  <c r="A469" i="4"/>
  <c r="A471" i="4"/>
  <c r="A473" i="4"/>
  <c r="A475" i="4"/>
  <c r="A477" i="4"/>
  <c r="A479" i="4"/>
  <c r="A481" i="4"/>
  <c r="A483" i="4"/>
  <c r="A485" i="4"/>
  <c r="A487" i="4"/>
  <c r="A489" i="4"/>
  <c r="A491" i="4"/>
  <c r="A493" i="4"/>
  <c r="A495" i="4"/>
  <c r="A497" i="4"/>
  <c r="A499" i="4"/>
  <c r="A1" i="4"/>
  <c r="A3" i="4"/>
  <c r="A64" i="4"/>
  <c r="A56" i="4"/>
  <c r="A10" i="4"/>
  <c r="A6" i="4"/>
  <c r="A2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0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5" i="4"/>
  <c r="A66" i="4"/>
  <c r="A8" i="4"/>
  <c r="A4" i="4"/>
  <c r="A69" i="4"/>
  <c r="A65" i="4"/>
  <c r="A61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7" i="4"/>
  <c r="A68" i="4"/>
  <c r="A60" i="4"/>
  <c r="A52" i="4"/>
  <c r="A48" i="4"/>
  <c r="A44" i="4"/>
  <c r="A40" i="4"/>
  <c r="A36" i="4"/>
  <c r="A32" i="4"/>
  <c r="A28" i="4"/>
  <c r="A24" i="4"/>
  <c r="A20" i="4"/>
  <c r="A16" i="4"/>
  <c r="A12" i="4"/>
  <c r="I13" i="9"/>
  <c r="D40" i="25" l="1"/>
  <c r="E40" i="25"/>
  <c r="B42" i="25"/>
  <c r="I12" i="9"/>
  <c r="D41" i="25" l="1"/>
  <c r="E41" i="25"/>
  <c r="B43" i="25"/>
  <c r="D42" i="25" l="1"/>
  <c r="E42" i="25"/>
  <c r="E43" i="25"/>
  <c r="B44" i="25"/>
  <c r="D43" i="25"/>
  <c r="B45" i="25" l="1"/>
  <c r="D44" i="25" l="1"/>
  <c r="E44" i="25"/>
  <c r="B46" i="25"/>
  <c r="D45" i="25" l="1"/>
  <c r="E45" i="25"/>
  <c r="B47" i="25"/>
  <c r="D46" i="25" l="1"/>
  <c r="E46" i="25"/>
  <c r="B48" i="25"/>
  <c r="D47" i="25" l="1"/>
  <c r="E47" i="25"/>
  <c r="B49" i="25"/>
  <c r="D48" i="25" l="1"/>
  <c r="E48" i="25"/>
  <c r="B50" i="25"/>
  <c r="D49" i="25" l="1"/>
  <c r="E49" i="25"/>
  <c r="B51" i="25"/>
  <c r="D50" i="25" l="1"/>
  <c r="E50" i="25"/>
  <c r="B52" i="25"/>
  <c r="D51" i="25" l="1"/>
  <c r="E51" i="25"/>
  <c r="B53" i="25"/>
  <c r="D52" i="25" l="1"/>
  <c r="E52" i="25"/>
  <c r="B54" i="25"/>
  <c r="D53" i="25" l="1"/>
  <c r="E53" i="25"/>
  <c r="B55" i="25"/>
  <c r="D54" i="25" l="1"/>
  <c r="E54" i="25"/>
  <c r="B56" i="25"/>
  <c r="D55" i="25" l="1"/>
  <c r="E55" i="25"/>
  <c r="B57" i="25"/>
  <c r="D56" i="25" l="1"/>
  <c r="E56" i="25"/>
  <c r="B58" i="25"/>
  <c r="D57" i="25" l="1"/>
  <c r="E57" i="25"/>
  <c r="B59" i="25"/>
  <c r="D58" i="25" l="1"/>
  <c r="E58" i="25"/>
  <c r="E59" i="25"/>
  <c r="B60" i="25"/>
  <c r="D59" i="25"/>
  <c r="B61" i="25" l="1"/>
  <c r="D60" i="25" l="1"/>
  <c r="E60" i="25"/>
  <c r="B62" i="25"/>
  <c r="D61" i="25" l="1"/>
  <c r="E61" i="25"/>
  <c r="B63" i="25"/>
  <c r="D62" i="25" l="1"/>
  <c r="E62" i="25"/>
  <c r="B64" i="25"/>
  <c r="D63" i="25" l="1"/>
  <c r="E63" i="25"/>
  <c r="B65" i="25"/>
  <c r="D64" i="25" l="1"/>
  <c r="E64" i="25"/>
  <c r="B66" i="25"/>
  <c r="D65" i="25" l="1"/>
  <c r="E65" i="25"/>
  <c r="B67" i="25"/>
  <c r="D66" i="25" l="1"/>
  <c r="E66" i="25"/>
  <c r="B68" i="25"/>
  <c r="D67" i="25" l="1"/>
  <c r="E67" i="25"/>
  <c r="B69" i="25"/>
  <c r="D68" i="25" l="1"/>
  <c r="E68" i="25"/>
  <c r="B70" i="25"/>
  <c r="D69" i="25" l="1"/>
  <c r="E69" i="25"/>
  <c r="B71" i="25"/>
  <c r="D70" i="25" l="1"/>
  <c r="E70" i="25"/>
  <c r="B72" i="25"/>
  <c r="D71" i="25" l="1"/>
  <c r="E71" i="25"/>
  <c r="B73" i="25"/>
  <c r="D72" i="25" l="1"/>
  <c r="E72" i="25"/>
  <c r="B74" i="25"/>
  <c r="D73" i="25" l="1"/>
  <c r="E73" i="25"/>
  <c r="B75" i="25"/>
  <c r="D74" i="25" l="1"/>
  <c r="E74" i="25"/>
  <c r="E75" i="25"/>
  <c r="B76" i="25"/>
  <c r="D75" i="25" l="1"/>
  <c r="B77" i="25"/>
  <c r="D76" i="25" l="1"/>
  <c r="E76" i="25"/>
  <c r="B78" i="25"/>
  <c r="D77" i="25" l="1"/>
  <c r="E77" i="25"/>
  <c r="B79" i="25"/>
  <c r="E78" i="25"/>
  <c r="D78" i="25" l="1"/>
  <c r="B80" i="25"/>
  <c r="D79" i="25" l="1"/>
  <c r="E79" i="25"/>
  <c r="B81" i="25"/>
  <c r="D80" i="25" l="1"/>
  <c r="E80" i="25"/>
  <c r="B82" i="25"/>
  <c r="D81" i="25" l="1"/>
  <c r="E81" i="25"/>
  <c r="B83" i="25"/>
  <c r="E82" i="25"/>
  <c r="D82" i="25" l="1"/>
  <c r="B84" i="25"/>
  <c r="D83" i="25" l="1"/>
  <c r="E83" i="25"/>
  <c r="B85" i="25"/>
  <c r="D84" i="25" l="1"/>
  <c r="E84" i="25"/>
  <c r="B86" i="25"/>
  <c r="D85" i="25" l="1"/>
  <c r="E85" i="25"/>
  <c r="B87" i="25"/>
  <c r="D86" i="25" l="1"/>
  <c r="E86" i="25"/>
  <c r="B88" i="25"/>
  <c r="D87" i="25" l="1"/>
  <c r="E87" i="25"/>
  <c r="B89" i="25"/>
  <c r="D88" i="25" l="1"/>
  <c r="E88" i="25"/>
  <c r="B90" i="25"/>
  <c r="D89" i="25" l="1"/>
  <c r="E89" i="25"/>
  <c r="B91" i="25"/>
  <c r="D90" i="25" l="1"/>
  <c r="E90" i="25"/>
  <c r="E91" i="25"/>
  <c r="B92" i="25"/>
  <c r="D91" i="25" l="1"/>
  <c r="B93" i="25"/>
  <c r="D92" i="25" l="1"/>
  <c r="E92" i="25"/>
  <c r="B94" i="25"/>
  <c r="D93" i="25" l="1"/>
  <c r="E93" i="25"/>
  <c r="B95" i="25"/>
  <c r="D94" i="25" l="1"/>
  <c r="E94" i="25"/>
  <c r="B96" i="25"/>
  <c r="D95" i="25" l="1"/>
  <c r="E95" i="25"/>
  <c r="B97" i="25"/>
  <c r="D96" i="25" l="1"/>
  <c r="E96" i="25"/>
  <c r="B98" i="25"/>
  <c r="D97" i="25" l="1"/>
  <c r="E97" i="25"/>
  <c r="B99" i="25"/>
  <c r="D98" i="25" l="1"/>
  <c r="E98" i="25"/>
  <c r="B100" i="25"/>
  <c r="D99" i="25" l="1"/>
  <c r="E99" i="25"/>
  <c r="B101" i="25"/>
  <c r="D100" i="25" l="1"/>
  <c r="E100" i="25"/>
  <c r="B102" i="25"/>
  <c r="D101" i="25" l="1"/>
  <c r="E101" i="25"/>
  <c r="B103" i="25"/>
  <c r="D102" i="25" l="1"/>
  <c r="E102" i="25"/>
  <c r="B104" i="25"/>
  <c r="D103" i="25" l="1"/>
  <c r="E103" i="25"/>
  <c r="B105" i="25"/>
  <c r="D104" i="25" l="1"/>
  <c r="E104" i="25"/>
  <c r="B106" i="25"/>
  <c r="D105" i="25" l="1"/>
  <c r="E105" i="25"/>
  <c r="B107" i="25"/>
  <c r="D106" i="25" l="1"/>
  <c r="E106" i="25"/>
  <c r="B108" i="25"/>
  <c r="D107" i="25" l="1"/>
  <c r="E107" i="25"/>
  <c r="B109" i="25"/>
  <c r="D108" i="25" l="1"/>
  <c r="E108" i="25"/>
  <c r="D109" i="25" l="1"/>
  <c r="E109" i="25"/>
</calcChain>
</file>

<file path=xl/sharedStrings.xml><?xml version="1.0" encoding="utf-8"?>
<sst xmlns="http://schemas.openxmlformats.org/spreadsheetml/2006/main" count="88" uniqueCount="79">
  <si>
    <t>Number of Observations:</t>
  </si>
  <si>
    <t>Number of Parameters</t>
  </si>
  <si>
    <t>Polynomial Fit</t>
  </si>
  <si>
    <t>Log Fit</t>
  </si>
  <si>
    <t>Model:</t>
  </si>
  <si>
    <t>No weighting</t>
  </si>
  <si>
    <t>1/x weighting</t>
  </si>
  <si>
    <t>1/x^2 weighting</t>
  </si>
  <si>
    <t>Chisq:</t>
  </si>
  <si>
    <t>Parameter Estimations:</t>
  </si>
  <si>
    <t>Weighting</t>
  </si>
  <si>
    <t>Stdev:</t>
  </si>
  <si>
    <r>
      <t>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:</t>
    </r>
  </si>
  <si>
    <t>DSO Parameters</t>
  </si>
  <si>
    <t>Put your first guesses in the Params spreadsheet in column A.</t>
  </si>
  <si>
    <t>Number of Points:</t>
  </si>
  <si>
    <t>Number of Iterations:</t>
  </si>
  <si>
    <t>Track Chisquared Every:</t>
  </si>
  <si>
    <t>default 1000</t>
  </si>
  <si>
    <t>default 2000</t>
  </si>
  <si>
    <t>Region Shrink Factor</t>
  </si>
  <si>
    <t>Starting Value</t>
  </si>
  <si>
    <t>Region</t>
  </si>
  <si>
    <t>Kb_rand</t>
  </si>
  <si>
    <t>Kb_obs</t>
  </si>
  <si>
    <t>Vobs (alpha)</t>
  </si>
  <si>
    <t>[DNA]:</t>
  </si>
  <si>
    <t>M</t>
  </si>
  <si>
    <t>Realistic Bounds for Vrand:</t>
  </si>
  <si>
    <t>Lower Limit</t>
  </si>
  <si>
    <t>Upper Limit</t>
  </si>
  <si>
    <t>Root 1</t>
  </si>
  <si>
    <t>± i</t>
  </si>
  <si>
    <t>Root 2</t>
  </si>
  <si>
    <t>Root 3</t>
  </si>
  <si>
    <t>ITER</t>
  </si>
  <si>
    <t>#IMPROVED</t>
  </si>
  <si>
    <t>CHISQ</t>
  </si>
  <si>
    <t>XS1</t>
  </si>
  <si>
    <t>REG1</t>
  </si>
  <si>
    <t>default 10</t>
  </si>
  <si>
    <t>default 0.95</t>
  </si>
  <si>
    <t>XS2</t>
  </si>
  <si>
    <t>REG2</t>
  </si>
  <si>
    <t>Vrand 
(alpha fit)</t>
  </si>
  <si>
    <t>XS3</t>
  </si>
  <si>
    <t>REG3</t>
  </si>
  <si>
    <t>Temp (°C)</t>
  </si>
  <si>
    <t>Lint</t>
  </si>
  <si>
    <t>Lslope</t>
  </si>
  <si>
    <t>Uint</t>
  </si>
  <si>
    <t>Uslope</t>
  </si>
  <si>
    <t>Tm</t>
  </si>
  <si>
    <t>DH</t>
  </si>
  <si>
    <t>XS4</t>
  </si>
  <si>
    <t>REG4</t>
  </si>
  <si>
    <t>XS5</t>
  </si>
  <si>
    <t>REG5</t>
  </si>
  <si>
    <t>XS6</t>
  </si>
  <si>
    <t>REG6</t>
  </si>
  <si>
    <t>Baselines:</t>
  </si>
  <si>
    <t>X</t>
  </si>
  <si>
    <t>Y</t>
  </si>
  <si>
    <t>Lower</t>
  </si>
  <si>
    <t>Upper</t>
  </si>
  <si>
    <t>OD @260 nm</t>
  </si>
  <si>
    <t>Tstart:</t>
  </si>
  <si>
    <t>DT</t>
  </si>
  <si>
    <t>Noise:</t>
  </si>
  <si>
    <r>
      <t>(</t>
    </r>
    <r>
      <rPr>
        <sz val="10"/>
        <rFont val="Symbol"/>
        <family val="1"/>
        <charset val="2"/>
      </rPr>
      <t>±</t>
    </r>
    <r>
      <rPr>
        <sz val="10"/>
        <rFont val="Arial"/>
        <family val="2"/>
      </rPr>
      <t>SD)</t>
    </r>
  </si>
  <si>
    <r>
      <t>Temperature (</t>
    </r>
    <r>
      <rPr>
        <b/>
        <sz val="10"/>
        <rFont val="Symbol"/>
        <family val="1"/>
        <charset val="2"/>
      </rPr>
      <t>°</t>
    </r>
    <r>
      <rPr>
        <b/>
        <sz val="10"/>
        <rFont val="Arial"/>
        <family val="2"/>
      </rPr>
      <t>C)</t>
    </r>
  </si>
  <si>
    <r>
      <rPr>
        <b/>
        <sz val="10"/>
        <rFont val="Symbol"/>
        <family val="1"/>
        <charset val="2"/>
      </rPr>
      <t>a</t>
    </r>
    <r>
      <rPr>
        <b/>
        <sz val="10"/>
        <rFont val="Arial"/>
        <family val="2"/>
      </rPr>
      <t>(T)</t>
    </r>
  </si>
  <si>
    <t>OD260</t>
  </si>
  <si>
    <t>Parameter Selection:</t>
  </si>
  <si>
    <t>(Self-Complementary)</t>
  </si>
  <si>
    <t>Model</t>
  </si>
  <si>
    <t>kJ/mol</t>
  </si>
  <si>
    <t>DH (kJ/mol)</t>
  </si>
  <si>
    <r>
      <t>DNA Duplex Curve Generator (SS</t>
    </r>
    <r>
      <rPr>
        <b/>
        <vertAlign val="subscript"/>
        <sz val="16"/>
        <rFont val="Arial"/>
        <family val="2"/>
      </rPr>
      <t>1</t>
    </r>
    <r>
      <rPr>
        <b/>
        <sz val="16"/>
        <rFont val="Arial"/>
        <family val="2"/>
      </rPr>
      <t xml:space="preserve"> </t>
    </r>
    <r>
      <rPr>
        <b/>
        <sz val="16"/>
        <rFont val="Symbol"/>
        <family val="1"/>
        <charset val="2"/>
      </rPr>
      <t xml:space="preserve">® </t>
    </r>
    <r>
      <rPr>
        <b/>
        <sz val="16"/>
        <rFont val="Arial"/>
        <family val="2"/>
      </rPr>
      <t>Duplex)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</si>
</sst>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0.0000"/>
    <numFmt numFmtId="165" formatCode="0.000"/>
    <numFmt numFmtId="166" formatCode="0.0"/>
    <numFmt numFmtId="167" formatCode="0.00000"/>
  </numFmts>
  <fonts count="24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vertAlign val="superscript"/>
      <sz val="10"/>
      <name val="Arial"/>
      <family val="2"/>
    </font>
    <font>
      <sz val="10"/>
      <name val="Arial"/>
      <family val="2"/>
    </font>
    <font>
      <sz val="8"/>
      <name val="Verdana"/>
      <family val="2"/>
    </font>
    <font>
      <sz val="10"/>
      <color indexed="10"/>
      <name val="Arial"/>
      <family val="2"/>
    </font>
    <font>
      <b/>
      <sz val="10"/>
      <color rgb="FF008000"/>
      <name val="Arial"/>
      <family val="2"/>
    </font>
    <font>
      <b/>
      <sz val="10"/>
      <color rgb="FFFF0000"/>
      <name val="Arial"/>
      <family val="2"/>
    </font>
    <font>
      <sz val="11"/>
      <color theme="1"/>
      <name val="Calibri"/>
      <family val="2"/>
      <charset val="134"/>
      <scheme val="minor"/>
    </font>
    <font>
      <b/>
      <sz val="16"/>
      <name val="Arial"/>
      <family val="2"/>
    </font>
    <font>
      <sz val="10"/>
      <name val="Symbol"/>
      <family val="1"/>
      <charset val="2"/>
    </font>
    <font>
      <b/>
      <sz val="10"/>
      <name val="Symbol"/>
      <family val="1"/>
      <charset val="2"/>
    </font>
    <font>
      <b/>
      <sz val="10"/>
      <name val="Arial"/>
      <family val="1"/>
      <charset val="2"/>
    </font>
    <font>
      <b/>
      <sz val="12"/>
      <name val="Arial"/>
      <family val="2"/>
    </font>
    <font>
      <b/>
      <sz val="16"/>
      <name val="Symbol"/>
      <family val="1"/>
      <charset val="2"/>
    </font>
    <font>
      <b/>
      <vertAlign val="subscript"/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16" fillId="0" borderId="0"/>
    <xf numFmtId="0" fontId="1" fillId="0" borderId="0"/>
    <xf numFmtId="0" fontId="2" fillId="0" borderId="0"/>
  </cellStyleXfs>
  <cellXfs count="51">
    <xf numFmtId="0" fontId="0" fillId="0" borderId="0" xfId="0"/>
    <xf numFmtId="0" fontId="0" fillId="2" borderId="0" xfId="0" applyFill="1"/>
    <xf numFmtId="0" fontId="0" fillId="2" borderId="0" xfId="0" quotePrefix="1" applyFill="1"/>
    <xf numFmtId="0" fontId="4" fillId="2" borderId="0" xfId="0" applyFont="1" applyFill="1"/>
    <xf numFmtId="0" fontId="7" fillId="2" borderId="0" xfId="0" applyFont="1" applyFill="1"/>
    <xf numFmtId="0" fontId="8" fillId="2" borderId="0" xfId="0" applyFont="1" applyFill="1"/>
    <xf numFmtId="165" fontId="9" fillId="2" borderId="0" xfId="0" applyNumberFormat="1" applyFont="1" applyFill="1"/>
    <xf numFmtId="0" fontId="9" fillId="2" borderId="0" xfId="0" applyFont="1" applyFill="1"/>
    <xf numFmtId="0" fontId="2" fillId="2" borderId="0" xfId="0" quotePrefix="1" applyFont="1" applyFill="1"/>
    <xf numFmtId="0" fontId="5" fillId="2" borderId="0" xfId="0" applyFont="1" applyFill="1"/>
    <xf numFmtId="165" fontId="11" fillId="2" borderId="0" xfId="0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12" fillId="0" borderId="0" xfId="0" applyFont="1"/>
    <xf numFmtId="0" fontId="12" fillId="2" borderId="0" xfId="0" applyFont="1" applyFill="1"/>
    <xf numFmtId="0" fontId="5" fillId="2" borderId="1" xfId="0" applyFont="1" applyFill="1" applyBorder="1"/>
    <xf numFmtId="0" fontId="2" fillId="2" borderId="0" xfId="0" applyFont="1" applyFill="1"/>
    <xf numFmtId="0" fontId="13" fillId="2" borderId="0" xfId="0" applyFont="1" applyFill="1"/>
    <xf numFmtId="0" fontId="6" fillId="2" borderId="0" xfId="0" applyFont="1" applyFill="1" applyAlignment="1">
      <alignment horizontal="center" wrapText="1"/>
    </xf>
    <xf numFmtId="0" fontId="6" fillId="2" borderId="4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0" xfId="0" applyFont="1" applyFill="1"/>
    <xf numFmtId="0" fontId="5" fillId="2" borderId="0" xfId="0" applyFont="1" applyFill="1" applyAlignment="1">
      <alignment horizontal="right"/>
    </xf>
    <xf numFmtId="166" fontId="5" fillId="2" borderId="1" xfId="0" applyNumberFormat="1" applyFont="1" applyFill="1" applyBorder="1"/>
    <xf numFmtId="0" fontId="6" fillId="2" borderId="5" xfId="0" applyFont="1" applyFill="1" applyBorder="1" applyAlignment="1">
      <alignment horizontal="center" wrapText="1"/>
    </xf>
    <xf numFmtId="0" fontId="4" fillId="0" borderId="0" xfId="0" applyFont="1"/>
    <xf numFmtId="0" fontId="15" fillId="2" borderId="1" xfId="0" applyFont="1" applyFill="1" applyBorder="1"/>
    <xf numFmtId="0" fontId="15" fillId="2" borderId="1" xfId="0" applyFont="1" applyFill="1" applyBorder="1" applyAlignment="1">
      <alignment horizontal="left"/>
    </xf>
    <xf numFmtId="0" fontId="2" fillId="2" borderId="0" xfId="1" applyNumberFormat="1" applyFont="1" applyFill="1" applyBorder="1"/>
    <xf numFmtId="0" fontId="7" fillId="2" borderId="0" xfId="0" applyFont="1" applyFill="1" applyAlignment="1">
      <alignment wrapText="1"/>
    </xf>
    <xf numFmtId="164" fontId="7" fillId="2" borderId="0" xfId="0" applyNumberFormat="1" applyFont="1" applyFill="1" applyAlignment="1">
      <alignment horizontal="center"/>
    </xf>
    <xf numFmtId="166" fontId="7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1" fontId="15" fillId="2" borderId="1" xfId="0" applyNumberFormat="1" applyFont="1" applyFill="1" applyBorder="1"/>
    <xf numFmtId="11" fontId="15" fillId="2" borderId="1" xfId="0" applyNumberFormat="1" applyFont="1" applyFill="1" applyBorder="1" applyAlignment="1">
      <alignment horizontal="left"/>
    </xf>
    <xf numFmtId="167" fontId="5" fillId="2" borderId="0" xfId="0" applyNumberFormat="1" applyFont="1" applyFill="1"/>
    <xf numFmtId="0" fontId="13" fillId="2" borderId="4" xfId="0" quotePrefix="1" applyFont="1" applyFill="1" applyBorder="1"/>
    <xf numFmtId="0" fontId="13" fillId="2" borderId="2" xfId="0" quotePrefix="1" applyFont="1" applyFill="1" applyBorder="1"/>
    <xf numFmtId="0" fontId="13" fillId="2" borderId="3" xfId="0" quotePrefix="1" applyFont="1" applyFill="1" applyBorder="1"/>
    <xf numFmtId="0" fontId="2" fillId="0" borderId="0" xfId="4"/>
    <xf numFmtId="0" fontId="17" fillId="3" borderId="0" xfId="4" applyFont="1" applyFill="1"/>
    <xf numFmtId="0" fontId="2" fillId="3" borderId="0" xfId="4" applyFill="1"/>
    <xf numFmtId="0" fontId="4" fillId="2" borderId="0" xfId="4" applyFont="1" applyFill="1"/>
    <xf numFmtId="0" fontId="2" fillId="2" borderId="0" xfId="4" applyFill="1"/>
    <xf numFmtId="0" fontId="15" fillId="2" borderId="1" xfId="4" applyFont="1" applyFill="1" applyBorder="1"/>
    <xf numFmtId="0" fontId="7" fillId="2" borderId="0" xfId="4" applyFont="1" applyFill="1"/>
    <xf numFmtId="11" fontId="15" fillId="2" borderId="1" xfId="4" applyNumberFormat="1" applyFont="1" applyFill="1" applyBorder="1"/>
    <xf numFmtId="0" fontId="4" fillId="3" borderId="0" xfId="4" applyFont="1" applyFill="1"/>
    <xf numFmtId="0" fontId="20" fillId="3" borderId="0" xfId="4" applyFont="1" applyFill="1"/>
    <xf numFmtId="0" fontId="21" fillId="2" borderId="0" xfId="4" applyFont="1" applyFill="1"/>
  </cellXfs>
  <cellStyles count="5">
    <cellStyle name="Currency" xfId="1" builtinId="4"/>
    <cellStyle name="Normal" xfId="0" builtinId="0"/>
    <cellStyle name="Normal 2" xfId="2" xr:uid="{00000000-0005-0000-0000-000002000000}"/>
    <cellStyle name="Normal 2 2" xfId="4" xr:uid="{00000000-0005-0000-0000-000003000000}"/>
    <cellStyle name="Normal 3" xfId="3" xr:uid="{00000000-0005-0000-0000-000004000000}"/>
  </cellStyles>
  <dxfs count="30"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DNA Duplex</a:t>
            </a:r>
            <a:r>
              <a:rPr lang="en-US" sz="1200" b="1" baseline="0"/>
              <a:t> Melting Curve</a:t>
            </a:r>
          </a:p>
          <a:p>
            <a:pPr>
              <a:defRPr sz="1200" b="1"/>
            </a:pPr>
            <a:r>
              <a:rPr lang="en-US" sz="1200" b="1"/>
              <a:t>UV</a:t>
            </a:r>
            <a:r>
              <a:rPr lang="en-US" sz="1200" b="1" baseline="0"/>
              <a:t> Absorbance vs. Temperature</a:t>
            </a:r>
            <a:endParaRPr lang="en-US" sz="1200" b="1"/>
          </a:p>
        </c:rich>
      </c:tx>
      <c:layout>
        <c:manualLayout>
          <c:xMode val="edge"/>
          <c:yMode val="edge"/>
          <c:x val="0.278479002624671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45603674540683"/>
          <c:y val="0.13611699399644012"/>
          <c:w val="0.81232174103237098"/>
          <c:h val="0.69471234199173382"/>
        </c:manualLayout>
      </c:layout>
      <c:scatterChart>
        <c:scatterStyle val="lineMarker"/>
        <c:varyColors val="0"/>
        <c:ser>
          <c:idx val="1"/>
          <c:order val="0"/>
          <c:tx>
            <c:strRef>
              <c:f>'Generate Curve'!$D$18</c:f>
              <c:strCache>
                <c:ptCount val="1"/>
                <c:pt idx="0">
                  <c:v>OD260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'Generate Curve'!$B$19:$B$129</c:f>
              <c:numCache>
                <c:formatCode>General</c:formatCode>
                <c:ptCount val="111"/>
                <c:pt idx="0">
                  <c:v>40</c:v>
                </c:pt>
                <c:pt idx="1">
                  <c:v>40.5</c:v>
                </c:pt>
                <c:pt idx="2">
                  <c:v>41</c:v>
                </c:pt>
                <c:pt idx="3">
                  <c:v>41.5</c:v>
                </c:pt>
                <c:pt idx="4">
                  <c:v>42</c:v>
                </c:pt>
                <c:pt idx="5">
                  <c:v>42.5</c:v>
                </c:pt>
                <c:pt idx="6">
                  <c:v>43</c:v>
                </c:pt>
                <c:pt idx="7">
                  <c:v>43.5</c:v>
                </c:pt>
                <c:pt idx="8">
                  <c:v>44</c:v>
                </c:pt>
                <c:pt idx="9">
                  <c:v>44.5</c:v>
                </c:pt>
                <c:pt idx="10">
                  <c:v>45</c:v>
                </c:pt>
                <c:pt idx="11">
                  <c:v>45.5</c:v>
                </c:pt>
                <c:pt idx="12">
                  <c:v>46</c:v>
                </c:pt>
                <c:pt idx="13">
                  <c:v>46.5</c:v>
                </c:pt>
                <c:pt idx="14">
                  <c:v>47</c:v>
                </c:pt>
                <c:pt idx="15">
                  <c:v>47.5</c:v>
                </c:pt>
                <c:pt idx="16">
                  <c:v>48</c:v>
                </c:pt>
                <c:pt idx="17">
                  <c:v>48.5</c:v>
                </c:pt>
                <c:pt idx="18">
                  <c:v>49</c:v>
                </c:pt>
                <c:pt idx="19">
                  <c:v>49.5</c:v>
                </c:pt>
                <c:pt idx="20">
                  <c:v>50</c:v>
                </c:pt>
                <c:pt idx="21">
                  <c:v>50.5</c:v>
                </c:pt>
                <c:pt idx="22">
                  <c:v>51</c:v>
                </c:pt>
                <c:pt idx="23">
                  <c:v>51.5</c:v>
                </c:pt>
                <c:pt idx="24">
                  <c:v>52</c:v>
                </c:pt>
                <c:pt idx="25">
                  <c:v>52.5</c:v>
                </c:pt>
                <c:pt idx="26">
                  <c:v>53</c:v>
                </c:pt>
                <c:pt idx="27">
                  <c:v>53.5</c:v>
                </c:pt>
                <c:pt idx="28">
                  <c:v>54</c:v>
                </c:pt>
                <c:pt idx="29">
                  <c:v>54.5</c:v>
                </c:pt>
                <c:pt idx="30">
                  <c:v>55</c:v>
                </c:pt>
                <c:pt idx="31">
                  <c:v>55.5</c:v>
                </c:pt>
                <c:pt idx="32">
                  <c:v>56</c:v>
                </c:pt>
                <c:pt idx="33">
                  <c:v>56.5</c:v>
                </c:pt>
                <c:pt idx="34">
                  <c:v>57</c:v>
                </c:pt>
                <c:pt idx="35">
                  <c:v>57.5</c:v>
                </c:pt>
                <c:pt idx="36">
                  <c:v>58</c:v>
                </c:pt>
                <c:pt idx="37">
                  <c:v>58.5</c:v>
                </c:pt>
                <c:pt idx="38">
                  <c:v>59</c:v>
                </c:pt>
                <c:pt idx="39">
                  <c:v>59.5</c:v>
                </c:pt>
                <c:pt idx="40">
                  <c:v>60</c:v>
                </c:pt>
                <c:pt idx="41">
                  <c:v>60.5</c:v>
                </c:pt>
                <c:pt idx="42">
                  <c:v>61</c:v>
                </c:pt>
                <c:pt idx="43">
                  <c:v>61.5</c:v>
                </c:pt>
                <c:pt idx="44">
                  <c:v>62</c:v>
                </c:pt>
                <c:pt idx="45">
                  <c:v>62.5</c:v>
                </c:pt>
                <c:pt idx="46">
                  <c:v>63</c:v>
                </c:pt>
                <c:pt idx="47">
                  <c:v>63.5</c:v>
                </c:pt>
                <c:pt idx="48">
                  <c:v>64</c:v>
                </c:pt>
                <c:pt idx="49">
                  <c:v>64.5</c:v>
                </c:pt>
                <c:pt idx="50">
                  <c:v>65</c:v>
                </c:pt>
                <c:pt idx="51">
                  <c:v>65.5</c:v>
                </c:pt>
                <c:pt idx="52">
                  <c:v>66</c:v>
                </c:pt>
                <c:pt idx="53">
                  <c:v>66.5</c:v>
                </c:pt>
                <c:pt idx="54">
                  <c:v>67</c:v>
                </c:pt>
                <c:pt idx="55">
                  <c:v>67.5</c:v>
                </c:pt>
                <c:pt idx="56">
                  <c:v>68</c:v>
                </c:pt>
                <c:pt idx="57">
                  <c:v>68.5</c:v>
                </c:pt>
                <c:pt idx="58">
                  <c:v>69</c:v>
                </c:pt>
                <c:pt idx="59">
                  <c:v>69.5</c:v>
                </c:pt>
                <c:pt idx="60">
                  <c:v>70</c:v>
                </c:pt>
                <c:pt idx="61">
                  <c:v>70.5</c:v>
                </c:pt>
                <c:pt idx="62">
                  <c:v>71</c:v>
                </c:pt>
                <c:pt idx="63">
                  <c:v>71.5</c:v>
                </c:pt>
                <c:pt idx="64">
                  <c:v>72</c:v>
                </c:pt>
                <c:pt idx="65">
                  <c:v>72.5</c:v>
                </c:pt>
                <c:pt idx="66">
                  <c:v>73</c:v>
                </c:pt>
                <c:pt idx="67">
                  <c:v>73.5</c:v>
                </c:pt>
                <c:pt idx="68">
                  <c:v>74</c:v>
                </c:pt>
                <c:pt idx="69">
                  <c:v>74.5</c:v>
                </c:pt>
                <c:pt idx="70">
                  <c:v>75</c:v>
                </c:pt>
                <c:pt idx="71">
                  <c:v>75.5</c:v>
                </c:pt>
                <c:pt idx="72">
                  <c:v>76</c:v>
                </c:pt>
                <c:pt idx="73">
                  <c:v>76.5</c:v>
                </c:pt>
                <c:pt idx="74">
                  <c:v>77</c:v>
                </c:pt>
                <c:pt idx="75">
                  <c:v>77.5</c:v>
                </c:pt>
                <c:pt idx="76">
                  <c:v>78</c:v>
                </c:pt>
                <c:pt idx="77">
                  <c:v>78.5</c:v>
                </c:pt>
                <c:pt idx="78">
                  <c:v>79</c:v>
                </c:pt>
                <c:pt idx="79">
                  <c:v>79.5</c:v>
                </c:pt>
                <c:pt idx="80">
                  <c:v>80</c:v>
                </c:pt>
                <c:pt idx="81">
                  <c:v>80.5</c:v>
                </c:pt>
                <c:pt idx="82">
                  <c:v>81</c:v>
                </c:pt>
                <c:pt idx="83">
                  <c:v>81.5</c:v>
                </c:pt>
                <c:pt idx="84">
                  <c:v>82</c:v>
                </c:pt>
                <c:pt idx="85">
                  <c:v>82.5</c:v>
                </c:pt>
                <c:pt idx="86">
                  <c:v>83</c:v>
                </c:pt>
                <c:pt idx="87">
                  <c:v>83.5</c:v>
                </c:pt>
                <c:pt idx="88">
                  <c:v>84</c:v>
                </c:pt>
                <c:pt idx="89">
                  <c:v>84.5</c:v>
                </c:pt>
                <c:pt idx="90">
                  <c:v>85</c:v>
                </c:pt>
              </c:numCache>
            </c:numRef>
          </c:xVal>
          <c:yVal>
            <c:numRef>
              <c:f>'Generate Curve'!$D$19:$D$129</c:f>
              <c:numCache>
                <c:formatCode>General</c:formatCode>
                <c:ptCount val="111"/>
                <c:pt idx="0">
                  <c:v>1.4746999999999999</c:v>
                </c:pt>
                <c:pt idx="1">
                  <c:v>1.4786999999999999</c:v>
                </c:pt>
                <c:pt idx="2">
                  <c:v>1.4830000000000001</c:v>
                </c:pt>
                <c:pt idx="3">
                  <c:v>1.4782999999999999</c:v>
                </c:pt>
                <c:pt idx="4">
                  <c:v>1.4785999999999999</c:v>
                </c:pt>
                <c:pt idx="5">
                  <c:v>1.4810000000000001</c:v>
                </c:pt>
                <c:pt idx="6">
                  <c:v>1.4817</c:v>
                </c:pt>
                <c:pt idx="7">
                  <c:v>1.4815</c:v>
                </c:pt>
                <c:pt idx="8">
                  <c:v>1.4834000000000001</c:v>
                </c:pt>
                <c:pt idx="9">
                  <c:v>1.4837</c:v>
                </c:pt>
                <c:pt idx="10">
                  <c:v>1.4812000000000001</c:v>
                </c:pt>
                <c:pt idx="11">
                  <c:v>1.4841</c:v>
                </c:pt>
                <c:pt idx="12">
                  <c:v>1.4834000000000001</c:v>
                </c:pt>
                <c:pt idx="13">
                  <c:v>1.4863</c:v>
                </c:pt>
                <c:pt idx="14">
                  <c:v>1.4837</c:v>
                </c:pt>
                <c:pt idx="15">
                  <c:v>1.4894000000000001</c:v>
                </c:pt>
                <c:pt idx="16">
                  <c:v>1.4864999999999999</c:v>
                </c:pt>
                <c:pt idx="17">
                  <c:v>1.4878</c:v>
                </c:pt>
                <c:pt idx="18">
                  <c:v>1.4915</c:v>
                </c:pt>
                <c:pt idx="19">
                  <c:v>1.4833000000000001</c:v>
                </c:pt>
                <c:pt idx="20">
                  <c:v>1.49</c:v>
                </c:pt>
                <c:pt idx="21">
                  <c:v>1.4894000000000001</c:v>
                </c:pt>
                <c:pt idx="22">
                  <c:v>1.4895</c:v>
                </c:pt>
                <c:pt idx="23">
                  <c:v>1.4907999999999999</c:v>
                </c:pt>
                <c:pt idx="24">
                  <c:v>1.4902</c:v>
                </c:pt>
                <c:pt idx="25">
                  <c:v>1.4956</c:v>
                </c:pt>
                <c:pt idx="26">
                  <c:v>1.4964999999999999</c:v>
                </c:pt>
                <c:pt idx="27">
                  <c:v>1.5016</c:v>
                </c:pt>
                <c:pt idx="28">
                  <c:v>1.4971000000000001</c:v>
                </c:pt>
                <c:pt idx="29">
                  <c:v>1.4986999999999999</c:v>
                </c:pt>
                <c:pt idx="30">
                  <c:v>1.5054000000000001</c:v>
                </c:pt>
                <c:pt idx="31">
                  <c:v>1.5059</c:v>
                </c:pt>
                <c:pt idx="32">
                  <c:v>1.5074000000000001</c:v>
                </c:pt>
                <c:pt idx="33">
                  <c:v>1.5097</c:v>
                </c:pt>
                <c:pt idx="34">
                  <c:v>1.5103</c:v>
                </c:pt>
                <c:pt idx="35">
                  <c:v>1.5144</c:v>
                </c:pt>
                <c:pt idx="36">
                  <c:v>1.5210999999999999</c:v>
                </c:pt>
                <c:pt idx="37">
                  <c:v>1.5234000000000001</c:v>
                </c:pt>
                <c:pt idx="38">
                  <c:v>1.5309999999999999</c:v>
                </c:pt>
                <c:pt idx="39">
                  <c:v>1.5369999999999999</c:v>
                </c:pt>
                <c:pt idx="40">
                  <c:v>1.5387</c:v>
                </c:pt>
                <c:pt idx="41">
                  <c:v>1.5451999999999999</c:v>
                </c:pt>
                <c:pt idx="42">
                  <c:v>1.5498000000000001</c:v>
                </c:pt>
                <c:pt idx="43">
                  <c:v>1.5552999999999999</c:v>
                </c:pt>
                <c:pt idx="44">
                  <c:v>1.5665</c:v>
                </c:pt>
                <c:pt idx="45">
                  <c:v>1.5707</c:v>
                </c:pt>
                <c:pt idx="46">
                  <c:v>1.573</c:v>
                </c:pt>
                <c:pt idx="47">
                  <c:v>1.5847</c:v>
                </c:pt>
                <c:pt idx="48">
                  <c:v>1.5915999999999999</c:v>
                </c:pt>
                <c:pt idx="49">
                  <c:v>1.5955999999999999</c:v>
                </c:pt>
                <c:pt idx="50">
                  <c:v>1.6046</c:v>
                </c:pt>
                <c:pt idx="51">
                  <c:v>1.6103000000000001</c:v>
                </c:pt>
                <c:pt idx="52">
                  <c:v>1.6123000000000001</c:v>
                </c:pt>
                <c:pt idx="53">
                  <c:v>1.6225000000000001</c:v>
                </c:pt>
                <c:pt idx="54">
                  <c:v>1.6236999999999999</c:v>
                </c:pt>
                <c:pt idx="55">
                  <c:v>1.6278999999999999</c:v>
                </c:pt>
                <c:pt idx="56">
                  <c:v>1.6337999999999999</c:v>
                </c:pt>
                <c:pt idx="57">
                  <c:v>1.6358999999999999</c:v>
                </c:pt>
                <c:pt idx="58">
                  <c:v>1.6443000000000001</c:v>
                </c:pt>
                <c:pt idx="59">
                  <c:v>1.6417999999999999</c:v>
                </c:pt>
                <c:pt idx="60">
                  <c:v>1.6435999999999999</c:v>
                </c:pt>
                <c:pt idx="61">
                  <c:v>1.6460999999999999</c:v>
                </c:pt>
                <c:pt idx="62">
                  <c:v>1.6496</c:v>
                </c:pt>
                <c:pt idx="63">
                  <c:v>1.6529</c:v>
                </c:pt>
                <c:pt idx="64">
                  <c:v>1.6514</c:v>
                </c:pt>
                <c:pt idx="65">
                  <c:v>1.6573</c:v>
                </c:pt>
                <c:pt idx="66">
                  <c:v>1.6548</c:v>
                </c:pt>
                <c:pt idx="67">
                  <c:v>1.6591</c:v>
                </c:pt>
                <c:pt idx="68">
                  <c:v>1.6603000000000001</c:v>
                </c:pt>
                <c:pt idx="69">
                  <c:v>1.6615</c:v>
                </c:pt>
                <c:pt idx="70">
                  <c:v>1.6631</c:v>
                </c:pt>
                <c:pt idx="71">
                  <c:v>1.6617999999999999</c:v>
                </c:pt>
                <c:pt idx="72">
                  <c:v>1.6637999999999999</c:v>
                </c:pt>
                <c:pt idx="73">
                  <c:v>1.6646000000000001</c:v>
                </c:pt>
                <c:pt idx="74">
                  <c:v>1.6671</c:v>
                </c:pt>
                <c:pt idx="75">
                  <c:v>1.6632</c:v>
                </c:pt>
                <c:pt idx="76">
                  <c:v>1.6676</c:v>
                </c:pt>
                <c:pt idx="77">
                  <c:v>1.6675</c:v>
                </c:pt>
                <c:pt idx="78">
                  <c:v>1.6720999999999999</c:v>
                </c:pt>
                <c:pt idx="79">
                  <c:v>1.6667000000000001</c:v>
                </c:pt>
                <c:pt idx="80">
                  <c:v>1.6747000000000001</c:v>
                </c:pt>
                <c:pt idx="81">
                  <c:v>1.6679999999999999</c:v>
                </c:pt>
                <c:pt idx="82">
                  <c:v>1.6714</c:v>
                </c:pt>
                <c:pt idx="83">
                  <c:v>1.6698</c:v>
                </c:pt>
                <c:pt idx="84">
                  <c:v>1.671</c:v>
                </c:pt>
                <c:pt idx="85">
                  <c:v>1.6724000000000001</c:v>
                </c:pt>
                <c:pt idx="86">
                  <c:v>1.6714</c:v>
                </c:pt>
                <c:pt idx="87">
                  <c:v>1.6740999999999999</c:v>
                </c:pt>
                <c:pt idx="88">
                  <c:v>1.6755</c:v>
                </c:pt>
                <c:pt idx="89">
                  <c:v>1.6760999999999999</c:v>
                </c:pt>
                <c:pt idx="90">
                  <c:v>1.6766000000000001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6-4D80-AB21-47C712363966}"/>
            </c:ext>
          </c:extLst>
        </c:ser>
        <c:ser>
          <c:idx val="0"/>
          <c:order val="1"/>
          <c:tx>
            <c:v>Model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'Generate Curve'!$B$19:$B$109</c:f>
              <c:numCache>
                <c:formatCode>General</c:formatCode>
                <c:ptCount val="91"/>
                <c:pt idx="0">
                  <c:v>40</c:v>
                </c:pt>
                <c:pt idx="1">
                  <c:v>40.5</c:v>
                </c:pt>
                <c:pt idx="2">
                  <c:v>41</c:v>
                </c:pt>
                <c:pt idx="3">
                  <c:v>41.5</c:v>
                </c:pt>
                <c:pt idx="4">
                  <c:v>42</c:v>
                </c:pt>
                <c:pt idx="5">
                  <c:v>42.5</c:v>
                </c:pt>
                <c:pt idx="6">
                  <c:v>43</c:v>
                </c:pt>
                <c:pt idx="7">
                  <c:v>43.5</c:v>
                </c:pt>
                <c:pt idx="8">
                  <c:v>44</c:v>
                </c:pt>
                <c:pt idx="9">
                  <c:v>44.5</c:v>
                </c:pt>
                <c:pt idx="10">
                  <c:v>45</c:v>
                </c:pt>
                <c:pt idx="11">
                  <c:v>45.5</c:v>
                </c:pt>
                <c:pt idx="12">
                  <c:v>46</c:v>
                </c:pt>
                <c:pt idx="13">
                  <c:v>46.5</c:v>
                </c:pt>
                <c:pt idx="14">
                  <c:v>47</c:v>
                </c:pt>
                <c:pt idx="15">
                  <c:v>47.5</c:v>
                </c:pt>
                <c:pt idx="16">
                  <c:v>48</c:v>
                </c:pt>
                <c:pt idx="17">
                  <c:v>48.5</c:v>
                </c:pt>
                <c:pt idx="18">
                  <c:v>49</c:v>
                </c:pt>
                <c:pt idx="19">
                  <c:v>49.5</c:v>
                </c:pt>
                <c:pt idx="20">
                  <c:v>50</c:v>
                </c:pt>
                <c:pt idx="21">
                  <c:v>50.5</c:v>
                </c:pt>
                <c:pt idx="22">
                  <c:v>51</c:v>
                </c:pt>
                <c:pt idx="23">
                  <c:v>51.5</c:v>
                </c:pt>
                <c:pt idx="24">
                  <c:v>52</c:v>
                </c:pt>
                <c:pt idx="25">
                  <c:v>52.5</c:v>
                </c:pt>
                <c:pt idx="26">
                  <c:v>53</c:v>
                </c:pt>
                <c:pt idx="27">
                  <c:v>53.5</c:v>
                </c:pt>
                <c:pt idx="28">
                  <c:v>54</c:v>
                </c:pt>
                <c:pt idx="29">
                  <c:v>54.5</c:v>
                </c:pt>
                <c:pt idx="30">
                  <c:v>55</c:v>
                </c:pt>
                <c:pt idx="31">
                  <c:v>55.5</c:v>
                </c:pt>
                <c:pt idx="32">
                  <c:v>56</c:v>
                </c:pt>
                <c:pt idx="33">
                  <c:v>56.5</c:v>
                </c:pt>
                <c:pt idx="34">
                  <c:v>57</c:v>
                </c:pt>
                <c:pt idx="35">
                  <c:v>57.5</c:v>
                </c:pt>
                <c:pt idx="36">
                  <c:v>58</c:v>
                </c:pt>
                <c:pt idx="37">
                  <c:v>58.5</c:v>
                </c:pt>
                <c:pt idx="38">
                  <c:v>59</c:v>
                </c:pt>
                <c:pt idx="39">
                  <c:v>59.5</c:v>
                </c:pt>
                <c:pt idx="40">
                  <c:v>60</c:v>
                </c:pt>
                <c:pt idx="41">
                  <c:v>60.5</c:v>
                </c:pt>
                <c:pt idx="42">
                  <c:v>61</c:v>
                </c:pt>
                <c:pt idx="43">
                  <c:v>61.5</c:v>
                </c:pt>
                <c:pt idx="44">
                  <c:v>62</c:v>
                </c:pt>
                <c:pt idx="45">
                  <c:v>62.5</c:v>
                </c:pt>
                <c:pt idx="46">
                  <c:v>63</c:v>
                </c:pt>
                <c:pt idx="47">
                  <c:v>63.5</c:v>
                </c:pt>
                <c:pt idx="48">
                  <c:v>64</c:v>
                </c:pt>
                <c:pt idx="49">
                  <c:v>64.5</c:v>
                </c:pt>
                <c:pt idx="50">
                  <c:v>65</c:v>
                </c:pt>
                <c:pt idx="51">
                  <c:v>65.5</c:v>
                </c:pt>
                <c:pt idx="52">
                  <c:v>66</c:v>
                </c:pt>
                <c:pt idx="53">
                  <c:v>66.5</c:v>
                </c:pt>
                <c:pt idx="54">
                  <c:v>67</c:v>
                </c:pt>
                <c:pt idx="55">
                  <c:v>67.5</c:v>
                </c:pt>
                <c:pt idx="56">
                  <c:v>68</c:v>
                </c:pt>
                <c:pt idx="57">
                  <c:v>68.5</c:v>
                </c:pt>
                <c:pt idx="58">
                  <c:v>69</c:v>
                </c:pt>
                <c:pt idx="59">
                  <c:v>69.5</c:v>
                </c:pt>
                <c:pt idx="60">
                  <c:v>70</c:v>
                </c:pt>
                <c:pt idx="61">
                  <c:v>70.5</c:v>
                </c:pt>
                <c:pt idx="62">
                  <c:v>71</c:v>
                </c:pt>
                <c:pt idx="63">
                  <c:v>71.5</c:v>
                </c:pt>
                <c:pt idx="64">
                  <c:v>72</c:v>
                </c:pt>
                <c:pt idx="65">
                  <c:v>72.5</c:v>
                </c:pt>
                <c:pt idx="66">
                  <c:v>73</c:v>
                </c:pt>
                <c:pt idx="67">
                  <c:v>73.5</c:v>
                </c:pt>
                <c:pt idx="68">
                  <c:v>74</c:v>
                </c:pt>
                <c:pt idx="69">
                  <c:v>74.5</c:v>
                </c:pt>
                <c:pt idx="70">
                  <c:v>75</c:v>
                </c:pt>
                <c:pt idx="71">
                  <c:v>75.5</c:v>
                </c:pt>
                <c:pt idx="72">
                  <c:v>76</c:v>
                </c:pt>
                <c:pt idx="73">
                  <c:v>76.5</c:v>
                </c:pt>
                <c:pt idx="74">
                  <c:v>77</c:v>
                </c:pt>
                <c:pt idx="75">
                  <c:v>77.5</c:v>
                </c:pt>
                <c:pt idx="76">
                  <c:v>78</c:v>
                </c:pt>
                <c:pt idx="77">
                  <c:v>78.5</c:v>
                </c:pt>
                <c:pt idx="78">
                  <c:v>79</c:v>
                </c:pt>
                <c:pt idx="79">
                  <c:v>79.5</c:v>
                </c:pt>
                <c:pt idx="80">
                  <c:v>80</c:v>
                </c:pt>
                <c:pt idx="81">
                  <c:v>80.5</c:v>
                </c:pt>
                <c:pt idx="82">
                  <c:v>81</c:v>
                </c:pt>
                <c:pt idx="83">
                  <c:v>81.5</c:v>
                </c:pt>
                <c:pt idx="84">
                  <c:v>82</c:v>
                </c:pt>
                <c:pt idx="85">
                  <c:v>82.5</c:v>
                </c:pt>
                <c:pt idx="86">
                  <c:v>83</c:v>
                </c:pt>
                <c:pt idx="87">
                  <c:v>83.5</c:v>
                </c:pt>
                <c:pt idx="88">
                  <c:v>84</c:v>
                </c:pt>
                <c:pt idx="89">
                  <c:v>84.5</c:v>
                </c:pt>
                <c:pt idx="90">
                  <c:v>85</c:v>
                </c:pt>
              </c:numCache>
            </c:numRef>
          </c:xVal>
          <c:yVal>
            <c:numRef>
              <c:f>'Generate Curve'!$E$19:$E$109</c:f>
              <c:numCache>
                <c:formatCode>General</c:formatCode>
                <c:ptCount val="91"/>
                <c:pt idx="0">
                  <c:v>1.4774845898143947</c:v>
                </c:pt>
                <c:pt idx="1">
                  <c:v>1.477985195818017</c:v>
                </c:pt>
                <c:pt idx="2">
                  <c:v>1.478487895462262</c:v>
                </c:pt>
                <c:pt idx="3">
                  <c:v>1.4789931000140746</c:v>
                </c:pt>
                <c:pt idx="4">
                  <c:v>1.4795012995872916</c:v>
                </c:pt>
                <c:pt idx="5">
                  <c:v>1.4800130778364458</c:v>
                </c:pt>
                <c:pt idx="6">
                  <c:v>1.48052912928838</c:v>
                </c:pt>
                <c:pt idx="7">
                  <c:v>1.4810502797577134</c:v>
                </c:pt>
                <c:pt idx="8">
                  <c:v>1.4815775103588125</c:v>
                </c:pt>
                <c:pt idx="9">
                  <c:v>1.4821119857001994</c:v>
                </c:pt>
                <c:pt idx="10">
                  <c:v>1.4826550869265438</c:v>
                </c:pt>
                <c:pt idx="11">
                  <c:v>1.4832084503569367</c:v>
                </c:pt>
                <c:pt idx="12">
                  <c:v>1.483774012553279</c:v>
                </c:pt>
                <c:pt idx="13">
                  <c:v>1.4843540627347749</c:v>
                </c:pt>
                <c:pt idx="14">
                  <c:v>1.4849513035267874</c:v>
                </c:pt>
                <c:pt idx="15">
                  <c:v>1.485568921084323</c:v>
                </c:pt>
                <c:pt idx="16">
                  <c:v>1.4862106656473142</c:v>
                </c:pt>
                <c:pt idx="17">
                  <c:v>1.4868809435456241</c:v>
                </c:pt>
                <c:pt idx="18">
                  <c:v>1.4875849215473609</c:v>
                </c:pt>
                <c:pt idx="19">
                  <c:v>1.4883286441953882</c:v>
                </c:pt>
                <c:pt idx="20">
                  <c:v>1.4891191643519988</c:v>
                </c:pt>
                <c:pt idx="21">
                  <c:v>1.4899646865033458</c:v>
                </c:pt>
                <c:pt idx="22">
                  <c:v>1.4908747213790423</c:v>
                </c:pt>
                <c:pt idx="23">
                  <c:v>1.4918602490157873</c:v>
                </c:pt>
                <c:pt idx="24">
                  <c:v>1.4929338854184884</c:v>
                </c:pt>
                <c:pt idx="25">
                  <c:v>1.4941100453202645</c:v>
                </c:pt>
                <c:pt idx="26">
                  <c:v>1.4954050900919491</c:v>
                </c:pt>
                <c:pt idx="27">
                  <c:v>1.4968374455131059</c:v>
                </c:pt>
                <c:pt idx="28">
                  <c:v>1.4984276688786509</c:v>
                </c:pt>
                <c:pt idx="29">
                  <c:v>1.5001984389112648</c:v>
                </c:pt>
                <c:pt idx="30">
                  <c:v>1.5021744355510553</c:v>
                </c:pt>
                <c:pt idx="31">
                  <c:v>1.5043820706255027</c:v>
                </c:pt>
                <c:pt idx="32">
                  <c:v>1.5068490258690959</c:v>
                </c:pt>
                <c:pt idx="33">
                  <c:v>1.5096035535474488</c:v>
                </c:pt>
                <c:pt idx="34">
                  <c:v>1.5126734994235476</c:v>
                </c:pt>
                <c:pt idx="35">
                  <c:v>1.5160850207920644</c:v>
                </c:pt>
                <c:pt idx="36">
                  <c:v>1.51986099658225</c:v>
                </c:pt>
                <c:pt idx="37">
                  <c:v>1.5240191639986786</c:v>
                </c:pt>
                <c:pt idx="38">
                  <c:v>1.5285700666240198</c:v>
                </c:pt>
                <c:pt idx="39">
                  <c:v>1.5335149585698005</c:v>
                </c:pt>
                <c:pt idx="40">
                  <c:v>1.5388438695844857</c:v>
                </c:pt>
                <c:pt idx="41">
                  <c:v>1.5445340835329322</c:v>
                </c:pt>
                <c:pt idx="42">
                  <c:v>1.5505493006457967</c:v>
                </c:pt>
                <c:pt idx="43">
                  <c:v>1.5568397265655367</c:v>
                </c:pt>
                <c:pt idx="44">
                  <c:v>1.5633432494888262</c:v>
                </c:pt>
                <c:pt idx="45">
                  <c:v>1.569987734466824</c:v>
                </c:pt>
                <c:pt idx="46">
                  <c:v>1.5766943009880916</c:v>
                </c:pt>
                <c:pt idx="47">
                  <c:v>1.583381289693051</c:v>
                </c:pt>
                <c:pt idx="48">
                  <c:v>1.5899685047233914</c:v>
                </c:pt>
                <c:pt idx="49">
                  <c:v>1.5963812706486262</c:v>
                </c:pt>
                <c:pt idx="50">
                  <c:v>1.6025538795989795</c:v>
                </c:pt>
                <c:pt idx="51">
                  <c:v>1.6084321146937424</c:v>
                </c:pt>
                <c:pt idx="52">
                  <c:v>1.6139746907253008</c:v>
                </c:pt>
                <c:pt idx="53">
                  <c:v>1.6191536147248662</c:v>
                </c:pt>
                <c:pt idx="54">
                  <c:v>1.6239536038667925</c:v>
                </c:pt>
                <c:pt idx="55">
                  <c:v>1.6283707853336737</c:v>
                </c:pt>
                <c:pt idx="56">
                  <c:v>1.632410937014789</c:v>
                </c:pt>
                <c:pt idx="57">
                  <c:v>1.6360875168480673</c:v>
                </c:pt>
                <c:pt idx="58">
                  <c:v>1.6394196870006987</c:v>
                </c:pt>
                <c:pt idx="59">
                  <c:v>1.6424304830115473</c:v>
                </c:pt>
                <c:pt idx="60">
                  <c:v>1.6451452208246993</c:v>
                </c:pt>
                <c:pt idx="61">
                  <c:v>1.647590185072213</c:v>
                </c:pt>
                <c:pt idx="62">
                  <c:v>1.6497916041825187</c:v>
                </c:pt>
                <c:pt idx="63">
                  <c:v>1.6517748925438576</c:v>
                </c:pt>
                <c:pt idx="64">
                  <c:v>1.6535641255217262</c:v>
                </c:pt>
                <c:pt idx="65">
                  <c:v>1.6551817071303163</c:v>
                </c:pt>
                <c:pt idx="66">
                  <c:v>1.6566481899742016</c:v>
                </c:pt>
                <c:pt idx="67">
                  <c:v>1.6579822104310016</c:v>
                </c:pt>
                <c:pt idx="68">
                  <c:v>1.6592005071884925</c:v>
                </c:pt>
                <c:pt idx="69">
                  <c:v>1.6603179969673731</c:v>
                </c:pt>
                <c:pt idx="70">
                  <c:v>1.6613478867962901</c:v>
                </c:pt>
                <c:pt idx="71">
                  <c:v>1.6623018071463886</c:v>
                </c:pt>
                <c:pt idx="72">
                  <c:v>1.6631899544038429</c:v>
                </c:pt>
                <c:pt idx="73">
                  <c:v>1.6640212345353449</c:v>
                </c:pt>
                <c:pt idx="74">
                  <c:v>1.6648034024424325</c:v>
                </c:pt>
                <c:pt idx="75">
                  <c:v>1.6655431935047178</c:v>
                </c:pt>
                <c:pt idx="76">
                  <c:v>1.6662464452903114</c:v>
                </c:pt>
                <c:pt idx="77">
                  <c:v>1.6669182084706908</c:v>
                </c:pt>
                <c:pt idx="78">
                  <c:v>1.6675628467115438</c:v>
                </c:pt>
                <c:pt idx="79">
                  <c:v>1.6681841258001442</c:v>
                </c:pt>
                <c:pt idx="80">
                  <c:v>1.6687852925779751</c:v>
                </c:pt>
                <c:pt idx="81">
                  <c:v>1.6693691444250365</c:v>
                </c:pt>
                <c:pt idx="82">
                  <c:v>1.6699380901283329</c:v>
                </c:pt>
                <c:pt idx="83">
                  <c:v>1.6704942029905072</c:v>
                </c:pt>
                <c:pt idx="84">
                  <c:v>1.6710392670168968</c:v>
                </c:pt>
                <c:pt idx="85">
                  <c:v>1.6715748169759217</c:v>
                </c:pt>
                <c:pt idx="86">
                  <c:v>1.6721021730696597</c:v>
                </c:pt>
                <c:pt idx="87">
                  <c:v>1.6726224708863215</c:v>
                </c:pt>
                <c:pt idx="88">
                  <c:v>1.6731366872392339</c:v>
                </c:pt>
                <c:pt idx="89">
                  <c:v>1.6736456624312175</c:v>
                </c:pt>
                <c:pt idx="90">
                  <c:v>1.67415011942097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6-4D80-AB21-47C712363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311935"/>
        <c:axId val="1678308095"/>
      </c:scatterChart>
      <c:valAx>
        <c:axId val="1678311935"/>
        <c:scaling>
          <c:orientation val="minMax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200" b="1"/>
                  <a:t>Temperature</a:t>
                </a:r>
                <a:r>
                  <a:rPr lang="en-CA" sz="1200" b="1" baseline="0"/>
                  <a:t> (</a:t>
                </a:r>
                <a:r>
                  <a:rPr lang="en-CA" sz="1200" b="1" baseline="0">
                    <a:sym typeface="Symbol" panose="05050102010706020507" pitchFamily="18" charset="2"/>
                  </a:rPr>
                  <a:t>C)</a:t>
                </a:r>
                <a:endParaRPr lang="en-CA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A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308095"/>
        <c:crosses val="autoZero"/>
        <c:crossBetween val="midCat"/>
      </c:valAx>
      <c:valAx>
        <c:axId val="167830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200" b="1"/>
                  <a:t>OD (260 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311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Normalized DNA</a:t>
            </a:r>
            <a:r>
              <a:rPr lang="en-CA" baseline="0"/>
              <a:t> Melting Curve</a:t>
            </a:r>
          </a:p>
          <a:p>
            <a:pPr>
              <a:defRPr/>
            </a:pPr>
            <a:r>
              <a:rPr lang="en-CA" baseline="0"/>
              <a:t>5' TTA/CAA/CTg/CTT/CgC/TgC/TAA/g 3'</a:t>
            </a:r>
            <a:endParaRPr lang="en-CA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89638709764184"/>
          <c:y val="0.13018461891292715"/>
          <c:w val="0.78972034131941882"/>
          <c:h val="0.7276133323140432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Solver!$D$1</c:f>
              <c:strCache>
                <c:ptCount val="1"/>
                <c:pt idx="0">
                  <c:v>Vrand 
(alpha fit)</c:v>
                </c:pt>
              </c:strCache>
            </c:strRef>
          </c:tx>
          <c:marker>
            <c:symbol val="none"/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  <c:pt idx="85">
                  <c:v>67.5</c:v>
                </c:pt>
                <c:pt idx="86">
                  <c:v>68</c:v>
                </c:pt>
                <c:pt idx="87">
                  <c:v>68.5</c:v>
                </c:pt>
                <c:pt idx="88">
                  <c:v>69</c:v>
                </c:pt>
                <c:pt idx="89">
                  <c:v>69.5</c:v>
                </c:pt>
                <c:pt idx="90">
                  <c:v>70</c:v>
                </c:pt>
              </c:numCache>
            </c:numRef>
          </c:xVal>
          <c:yVal>
            <c:numRef>
              <c:f>Solver!$D$2:$D$501</c:f>
              <c:numCache>
                <c:formatCode>General</c:formatCode>
                <c:ptCount val="500"/>
                <c:pt idx="0">
                  <c:v>0.999999998200927</c:v>
                </c:pt>
                <c:pt idx="1">
                  <c:v>0.99999999711942666</c:v>
                </c:pt>
                <c:pt idx="2">
                  <c:v>0.99999999539504136</c:v>
                </c:pt>
                <c:pt idx="3">
                  <c:v>0.99999999264991146</c:v>
                </c:pt>
                <c:pt idx="4">
                  <c:v>0.99999998828660319</c:v>
                </c:pt>
                <c:pt idx="5">
                  <c:v>0.99999998136197177</c:v>
                </c:pt>
                <c:pt idx="6">
                  <c:v>0.99999997038939703</c:v>
                </c:pt>
                <c:pt idx="7">
                  <c:v>0.99999995302919076</c:v>
                </c:pt>
                <c:pt idx="8">
                  <c:v>0.99999992560467499</c:v>
                </c:pt>
                <c:pt idx="9">
                  <c:v>0.99999988234690795</c:v>
                </c:pt>
                <c:pt idx="10">
                  <c:v>0.99999981421767081</c:v>
                </c:pt>
                <c:pt idx="11">
                  <c:v>0.99999970707795527</c:v>
                </c:pt>
                <c:pt idx="12">
                  <c:v>0.99999953884224202</c:v>
                </c:pt>
                <c:pt idx="13">
                  <c:v>0.99999927506348463</c:v>
                </c:pt>
                <c:pt idx="14">
                  <c:v>0.99999886209348432</c:v>
                </c:pt>
                <c:pt idx="15">
                  <c:v>0.9999982165026543</c:v>
                </c:pt>
                <c:pt idx="16">
                  <c:v>0.99999720873732811</c:v>
                </c:pt>
                <c:pt idx="17">
                  <c:v>0.99999563791286661</c:v>
                </c:pt>
                <c:pt idx="18">
                  <c:v>0.99999319299113154</c:v>
                </c:pt>
                <c:pt idx="19">
                  <c:v>0.99998939307454471</c:v>
                </c:pt>
                <c:pt idx="20">
                  <c:v>0.99998349571659295</c:v>
                </c:pt>
                <c:pt idx="21">
                  <c:v>0.99997435632139409</c:v>
                </c:pt>
                <c:pt idx="22">
                  <c:v>0.99996021285950043</c:v>
                </c:pt>
                <c:pt idx="23">
                  <c:v>0.99993835672527276</c:v>
                </c:pt>
                <c:pt idx="24">
                  <c:v>0.99990463029872723</c:v>
                </c:pt>
                <c:pt idx="25">
                  <c:v>0.99985266121633787</c:v>
                </c:pt>
                <c:pt idx="26">
                  <c:v>0.99977269741231822</c:v>
                </c:pt>
                <c:pt idx="27">
                  <c:v>0.9996498381990736</c:v>
                </c:pt>
                <c:pt idx="28">
                  <c:v>0.99946135421871618</c:v>
                </c:pt>
                <c:pt idx="29">
                  <c:v>0.99917263776540344</c:v>
                </c:pt>
                <c:pt idx="30">
                  <c:v>0.9987311040172826</c:v>
                </c:pt>
                <c:pt idx="31">
                  <c:v>0.99805704685214414</c:v>
                </c:pt>
                <c:pt idx="32">
                  <c:v>0.99703001148160098</c:v>
                </c:pt>
                <c:pt idx="33">
                  <c:v>0.99546866072243856</c:v>
                </c:pt>
                <c:pt idx="34">
                  <c:v>0.99310140418082826</c:v>
                </c:pt>
                <c:pt idx="35">
                  <c:v>0.98952436977830993</c:v>
                </c:pt>
                <c:pt idx="36">
                  <c:v>0.98414304990863688</c:v>
                </c:pt>
                <c:pt idx="37">
                  <c:v>0.9760951891903602</c:v>
                </c:pt>
                <c:pt idx="38">
                  <c:v>0.96415740392546578</c:v>
                </c:pt>
                <c:pt idx="39">
                  <c:v>0.94665066415547006</c:v>
                </c:pt>
                <c:pt idx="40">
                  <c:v>0.92138586470438366</c:v>
                </c:pt>
                <c:pt idx="41">
                  <c:v>0.88573401121875805</c:v>
                </c:pt>
                <c:pt idx="42">
                  <c:v>0.83695492287934803</c:v>
                </c:pt>
                <c:pt idx="43">
                  <c:v>0.77292271524352174</c:v>
                </c:pt>
                <c:pt idx="44">
                  <c:v>0.69324138730640616</c:v>
                </c:pt>
                <c:pt idx="45">
                  <c:v>0.60037380572365739</c:v>
                </c:pt>
                <c:pt idx="46">
                  <c:v>0.5</c:v>
                </c:pt>
                <c:pt idx="47">
                  <c:v>0.39992983921903036</c:v>
                </c:pt>
                <c:pt idx="48">
                  <c:v>0.30783607909650901</c:v>
                </c:pt>
                <c:pt idx="49">
                  <c:v>0.22908241818100955</c:v>
                </c:pt>
                <c:pt idx="50">
                  <c:v>0.16582696087605137</c:v>
                </c:pt>
                <c:pt idx="51">
                  <c:v>0.11750727018041525</c:v>
                </c:pt>
                <c:pt idx="52">
                  <c:v>8.1978157434593052E-2</c:v>
                </c:pt>
                <c:pt idx="53">
                  <c:v>5.656933968281945E-2</c:v>
                </c:pt>
                <c:pt idx="54">
                  <c:v>3.8749462786264274E-2</c:v>
                </c:pt>
                <c:pt idx="55">
                  <c:v>2.6417359776282696E-2</c:v>
                </c:pt>
                <c:pt idx="56">
                  <c:v>1.795813318016623E-2</c:v>
                </c:pt>
                <c:pt idx="57">
                  <c:v>1.2188341215339425E-2</c:v>
                </c:pt>
                <c:pt idx="58">
                  <c:v>8.2666002645849519E-3</c:v>
                </c:pt>
                <c:pt idx="59">
                  <c:v>5.6062415860523452E-3</c:v>
                </c:pt>
                <c:pt idx="60">
                  <c:v>3.8032725904236708E-3</c:v>
                </c:pt>
                <c:pt idx="61">
                  <c:v>2.5816879344526061E-3</c:v>
                </c:pt>
                <c:pt idx="62">
                  <c:v>1.7538438029085742E-3</c:v>
                </c:pt>
                <c:pt idx="63">
                  <c:v>1.1925383725008125E-3</c:v>
                </c:pt>
                <c:pt idx="64">
                  <c:v>8.1167728656083237E-4</c:v>
                </c:pt>
                <c:pt idx="65">
                  <c:v>5.5302796701389809E-4</c:v>
                </c:pt>
                <c:pt idx="66">
                  <c:v>3.7720577014168554E-4</c:v>
                </c:pt>
                <c:pt idx="67">
                  <c:v>2.5756474027013859E-4</c:v>
                </c:pt>
                <c:pt idx="68">
                  <c:v>1.7606657668640816E-4</c:v>
                </c:pt>
                <c:pt idx="69">
                  <c:v>1.204905320670124E-4</c:v>
                </c:pt>
                <c:pt idx="70">
                  <c:v>8.2549753299618713E-5</c:v>
                </c:pt>
                <c:pt idx="71">
                  <c:v>5.6619458753950105E-5</c:v>
                </c:pt>
                <c:pt idx="72">
                  <c:v>3.8877844089615953E-5</c:v>
                </c:pt>
                <c:pt idx="73">
                  <c:v>2.6725392562560172E-5</c:v>
                </c:pt>
                <c:pt idx="74">
                  <c:v>1.8392046523481945E-5</c:v>
                </c:pt>
                <c:pt idx="75">
                  <c:v>1.2671219620070601E-5</c:v>
                </c:pt>
                <c:pt idx="76">
                  <c:v>8.7395159119045454E-6</c:v>
                </c:pt>
                <c:pt idx="77">
                  <c:v>6.034413047934527E-6</c:v>
                </c:pt>
                <c:pt idx="78">
                  <c:v>4.1711847138950088E-6</c:v>
                </c:pt>
                <c:pt idx="79">
                  <c:v>2.8864134385326739E-6</c:v>
                </c:pt>
                <c:pt idx="80">
                  <c:v>1.9995411764155488E-6</c:v>
                </c:pt>
                <c:pt idx="81">
                  <c:v>1.3866690549239412E-6</c:v>
                </c:pt>
                <c:pt idx="82">
                  <c:v>9.6268434278389687E-7</c:v>
                </c:pt>
                <c:pt idx="83">
                  <c:v>6.6905460027633289E-7</c:v>
                </c:pt>
                <c:pt idx="84">
                  <c:v>4.6548291118841801E-7</c:v>
                </c:pt>
                <c:pt idx="85">
                  <c:v>3.2419657077780463E-7</c:v>
                </c:pt>
                <c:pt idx="86">
                  <c:v>2.260338907652454E-7</c:v>
                </c:pt>
                <c:pt idx="87">
                  <c:v>1.5776009445802703E-7</c:v>
                </c:pt>
                <c:pt idx="88">
                  <c:v>1.1022426247738085E-7</c:v>
                </c:pt>
                <c:pt idx="89">
                  <c:v>7.70924232598752E-8</c:v>
                </c:pt>
                <c:pt idx="90">
                  <c:v>5.3975746767224985E-8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68-4E84-B68F-C244C016E8B4}"/>
            </c:ext>
          </c:extLst>
        </c:ser>
        <c:ser>
          <c:idx val="1"/>
          <c:order val="1"/>
          <c:tx>
            <c:strRef>
              <c:f>Solver!$C$1</c:f>
              <c:strCache>
                <c:ptCount val="1"/>
                <c:pt idx="0">
                  <c:v>Vobs (alpha)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  <c:pt idx="85">
                  <c:v>67.5</c:v>
                </c:pt>
                <c:pt idx="86">
                  <c:v>68</c:v>
                </c:pt>
                <c:pt idx="87">
                  <c:v>68.5</c:v>
                </c:pt>
                <c:pt idx="88">
                  <c:v>69</c:v>
                </c:pt>
                <c:pt idx="89">
                  <c:v>69.5</c:v>
                </c:pt>
                <c:pt idx="90">
                  <c:v>70</c:v>
                </c:pt>
              </c:numCache>
            </c:numRef>
          </c:xVal>
          <c:yVal>
            <c:numRef>
              <c:f>Solver!$C$2:$C$501</c:f>
              <c:numCache>
                <c:formatCode>General</c:formatCode>
                <c:ptCount val="500"/>
                <c:pt idx="0">
                  <c:v>1.0114285714285702</c:v>
                </c:pt>
                <c:pt idx="1">
                  <c:v>1.0264285714285717</c:v>
                </c:pt>
                <c:pt idx="2">
                  <c:v>1.0342857142857136</c:v>
                </c:pt>
                <c:pt idx="3">
                  <c:v>1.018571428571428</c:v>
                </c:pt>
                <c:pt idx="4">
                  <c:v>1.0085714285714276</c:v>
                </c:pt>
                <c:pt idx="5">
                  <c:v>1.0135714285714286</c:v>
                </c:pt>
                <c:pt idx="6">
                  <c:v>1.0178571428571423</c:v>
                </c:pt>
                <c:pt idx="7">
                  <c:v>1.0249999999999988</c:v>
                </c:pt>
                <c:pt idx="8">
                  <c:v>1.0221428571428564</c:v>
                </c:pt>
                <c:pt idx="9">
                  <c:v>1.0221428571428579</c:v>
                </c:pt>
                <c:pt idx="10">
                  <c:v>0.99714285714285744</c:v>
                </c:pt>
                <c:pt idx="11">
                  <c:v>1.0035714285714281</c:v>
                </c:pt>
                <c:pt idx="12">
                  <c:v>1.0035714285714281</c:v>
                </c:pt>
                <c:pt idx="13">
                  <c:v>1.0350000000000008</c:v>
                </c:pt>
                <c:pt idx="14">
                  <c:v>1.0292857142857141</c:v>
                </c:pt>
                <c:pt idx="15">
                  <c:v>1.0107142857142846</c:v>
                </c:pt>
                <c:pt idx="16">
                  <c:v>1.0142857142857127</c:v>
                </c:pt>
                <c:pt idx="17">
                  <c:v>1.0385714285714291</c:v>
                </c:pt>
                <c:pt idx="18">
                  <c:v>1.0271428571428574</c:v>
                </c:pt>
                <c:pt idx="19">
                  <c:v>1.0028571428571424</c:v>
                </c:pt>
                <c:pt idx="20">
                  <c:v>1.0149999999999983</c:v>
                </c:pt>
                <c:pt idx="21">
                  <c:v>1.0078571428571437</c:v>
                </c:pt>
                <c:pt idx="22">
                  <c:v>1.025714285714286</c:v>
                </c:pt>
                <c:pt idx="23">
                  <c:v>1.020714285714285</c:v>
                </c:pt>
                <c:pt idx="24">
                  <c:v>1.0342857142857136</c:v>
                </c:pt>
                <c:pt idx="25">
                  <c:v>1.023571428571429</c:v>
                </c:pt>
                <c:pt idx="26">
                  <c:v>1</c:v>
                </c:pt>
                <c:pt idx="27">
                  <c:v>1.0328571428571425</c:v>
                </c:pt>
                <c:pt idx="28">
                  <c:v>1.0228571428571418</c:v>
                </c:pt>
                <c:pt idx="29">
                  <c:v>1.0107142857142861</c:v>
                </c:pt>
                <c:pt idx="30">
                  <c:v>1.0228571428571436</c:v>
                </c:pt>
                <c:pt idx="31">
                  <c:v>1.0271428571428574</c:v>
                </c:pt>
                <c:pt idx="32">
                  <c:v>1.0271428571428558</c:v>
                </c:pt>
                <c:pt idx="33">
                  <c:v>1.0214285714285722</c:v>
                </c:pt>
                <c:pt idx="34">
                  <c:v>1.0057142857142851</c:v>
                </c:pt>
                <c:pt idx="35">
                  <c:v>0.98785714285714266</c:v>
                </c:pt>
                <c:pt idx="36">
                  <c:v>0.98928571428571388</c:v>
                </c:pt>
                <c:pt idx="37">
                  <c:v>1.0092857142857148</c:v>
                </c:pt>
                <c:pt idx="38">
                  <c:v>1.0014285714285713</c:v>
                </c:pt>
                <c:pt idx="39">
                  <c:v>0.92642857142857171</c:v>
                </c:pt>
                <c:pt idx="40">
                  <c:v>0.94357142857142851</c:v>
                </c:pt>
                <c:pt idx="41">
                  <c:v>0.88214285714285756</c:v>
                </c:pt>
                <c:pt idx="42">
                  <c:v>0.80928571428571483</c:v>
                </c:pt>
                <c:pt idx="43">
                  <c:v>0.77499999999999958</c:v>
                </c:pt>
                <c:pt idx="44">
                  <c:v>0.65285714285714169</c:v>
                </c:pt>
                <c:pt idx="45">
                  <c:v>0.56714285714285761</c:v>
                </c:pt>
                <c:pt idx="46">
                  <c:v>0.48714285714285699</c:v>
                </c:pt>
                <c:pt idx="47">
                  <c:v>0.35714285714285715</c:v>
                </c:pt>
                <c:pt idx="48">
                  <c:v>0.26285714285714223</c:v>
                </c:pt>
                <c:pt idx="49">
                  <c:v>0.18142857142857191</c:v>
                </c:pt>
                <c:pt idx="50">
                  <c:v>0.10500000000000104</c:v>
                </c:pt>
                <c:pt idx="51">
                  <c:v>2.9999999999999843E-2</c:v>
                </c:pt>
                <c:pt idx="52">
                  <c:v>3.0714285714285475E-2</c:v>
                </c:pt>
                <c:pt idx="53">
                  <c:v>-1.9285714285713729E-2</c:v>
                </c:pt>
                <c:pt idx="54">
                  <c:v>-4.3571428571426908E-2</c:v>
                </c:pt>
                <c:pt idx="55">
                  <c:v>-5.214285714285611E-2</c:v>
                </c:pt>
                <c:pt idx="56">
                  <c:v>-5.8571428571428413E-2</c:v>
                </c:pt>
                <c:pt idx="57">
                  <c:v>-5.9999999999998097E-2</c:v>
                </c:pt>
                <c:pt idx="58">
                  <c:v>-8.4999999999998493E-2</c:v>
                </c:pt>
                <c:pt idx="59">
                  <c:v>-6.5714285714284768E-2</c:v>
                </c:pt>
                <c:pt idx="60">
                  <c:v>-7.0714285714285799E-2</c:v>
                </c:pt>
                <c:pt idx="61">
                  <c:v>-9.2857142857142069E-2</c:v>
                </c:pt>
                <c:pt idx="62">
                  <c:v>-8.714285714285698E-2</c:v>
                </c:pt>
                <c:pt idx="63">
                  <c:v>-6.4999999999999128E-2</c:v>
                </c:pt>
                <c:pt idx="64">
                  <c:v>-8.428571428571445E-2</c:v>
                </c:pt>
                <c:pt idx="65">
                  <c:v>-9.2857142857142069E-2</c:v>
                </c:pt>
                <c:pt idx="66">
                  <c:v>-9.214285714285643E-2</c:v>
                </c:pt>
                <c:pt idx="67">
                  <c:v>-8.857142857142826E-2</c:v>
                </c:pt>
                <c:pt idx="68">
                  <c:v>-6.928571428571452E-2</c:v>
                </c:pt>
                <c:pt idx="69">
                  <c:v>-7.0714285714284203E-2</c:v>
                </c:pt>
                <c:pt idx="70">
                  <c:v>-7.2142857142855482E-2</c:v>
                </c:pt>
                <c:pt idx="71">
                  <c:v>-5.7142857142857141E-2</c:v>
                </c:pt>
                <c:pt idx="72">
                  <c:v>-7.8571428571427779E-2</c:v>
                </c:pt>
                <c:pt idx="73">
                  <c:v>-8.7142857142855398E-2</c:v>
                </c:pt>
                <c:pt idx="74">
                  <c:v>-6.4999999999999128E-2</c:v>
                </c:pt>
                <c:pt idx="75">
                  <c:v>-7.4285714285713969E-2</c:v>
                </c:pt>
                <c:pt idx="76">
                  <c:v>-7.7857142857142139E-2</c:v>
                </c:pt>
                <c:pt idx="77">
                  <c:v>-7.9285714285715E-2</c:v>
                </c:pt>
                <c:pt idx="78">
                  <c:v>-3.4285714285713649E-2</c:v>
                </c:pt>
                <c:pt idx="79">
                  <c:v>-7.2857142857142704E-2</c:v>
                </c:pt>
                <c:pt idx="80">
                  <c:v>-6.928571428571452E-2</c:v>
                </c:pt>
                <c:pt idx="81">
                  <c:v>-6.1428571428569369E-2</c:v>
                </c:pt>
                <c:pt idx="82">
                  <c:v>-5.8571428571426824E-2</c:v>
                </c:pt>
                <c:pt idx="83">
                  <c:v>-6.7142857142856033E-2</c:v>
                </c:pt>
                <c:pt idx="84">
                  <c:v>-7.5714285714285234E-2</c:v>
                </c:pt>
                <c:pt idx="85">
                  <c:v>-3.7142857142857776E-2</c:v>
                </c:pt>
                <c:pt idx="86">
                  <c:v>-7.9285714285713418E-2</c:v>
                </c:pt>
                <c:pt idx="87">
                  <c:v>-8.1428571428570323E-2</c:v>
                </c:pt>
                <c:pt idx="88">
                  <c:v>-8.6428571428571355E-2</c:v>
                </c:pt>
                <c:pt idx="89">
                  <c:v>-6.3571428571427863E-2</c:v>
                </c:pt>
                <c:pt idx="90">
                  <c:v>-7.4999999999999609E-2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68-4E84-B68F-C244C016E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954496"/>
        <c:axId val="126981248"/>
      </c:scatterChart>
      <c:valAx>
        <c:axId val="126954496"/>
        <c:scaling>
          <c:orientation val="minMax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en-US" sz="1000" b="1"/>
                  <a:t>Temperature (</a:t>
                </a:r>
                <a:r>
                  <a:rPr lang="en-US" sz="1000" b="1">
                    <a:sym typeface="Symbol" panose="05050102010706020507" pitchFamily="18" charset="2"/>
                  </a:rPr>
                  <a:t>C)</a:t>
                </a:r>
                <a:endParaRPr lang="en-US" sz="1000" b="1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981248"/>
        <c:crosses val="autoZero"/>
        <c:crossBetween val="midCat"/>
        <c:majorUnit val="5"/>
        <c:minorUnit val="2"/>
      </c:valAx>
      <c:valAx>
        <c:axId val="126981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en-CA" sz="1000" b="1">
                    <a:sym typeface="Symbol" panose="05050102010706020507" pitchFamily="18" charset="2"/>
                  </a:rPr>
                  <a:t> (Fraction</a:t>
                </a:r>
                <a:r>
                  <a:rPr lang="en-CA" sz="1000" b="1" baseline="0">
                    <a:sym typeface="Symbol" panose="05050102010706020507" pitchFamily="18" charset="2"/>
                  </a:rPr>
                  <a:t> of duplex)</a:t>
                </a:r>
                <a:endParaRPr lang="en-CA" sz="1000" b="1"/>
              </a:p>
            </c:rich>
          </c:tx>
          <c:layout>
            <c:manualLayout>
              <c:xMode val="edge"/>
              <c:yMode val="edge"/>
              <c:x val="6.8317677198975234E-3"/>
              <c:y val="0.1595856585887929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954496"/>
        <c:crosses val="autoZero"/>
        <c:crossBetween val="midCat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 horizontalDpi="-3" verticalDpi="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CA" sz="1000"/>
              <a:t>Absorbance vs. 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678353363724271"/>
          <c:y val="0.10105842325264898"/>
          <c:w val="0.77716397292443762"/>
          <c:h val="0.7567395742198903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Solver!$G$1</c:f>
              <c:strCache>
                <c:ptCount val="1"/>
                <c:pt idx="0">
                  <c:v>OD @260 nm (fit)</c:v>
                </c:pt>
              </c:strCache>
            </c:strRef>
          </c:tx>
          <c:marker>
            <c:symbol val="none"/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  <c:pt idx="85">
                  <c:v>67.5</c:v>
                </c:pt>
                <c:pt idx="86">
                  <c:v>68</c:v>
                </c:pt>
                <c:pt idx="87">
                  <c:v>68.5</c:v>
                </c:pt>
                <c:pt idx="88">
                  <c:v>69</c:v>
                </c:pt>
                <c:pt idx="89">
                  <c:v>69.5</c:v>
                </c:pt>
                <c:pt idx="90">
                  <c:v>70</c:v>
                </c:pt>
              </c:numCache>
            </c:numRef>
          </c:xVal>
          <c:yVal>
            <c:numRef>
              <c:f>Solver!$G$2:$G$501</c:f>
              <c:numCache>
                <c:formatCode>0.0000</c:formatCode>
                <c:ptCount val="500"/>
                <c:pt idx="0">
                  <c:v>1.4650000002518702</c:v>
                </c:pt>
                <c:pt idx="1">
                  <c:v>1.4655000004032803</c:v>
                </c:pt>
                <c:pt idx="2">
                  <c:v>1.4660000006446943</c:v>
                </c:pt>
                <c:pt idx="3">
                  <c:v>1.4665000010290123</c:v>
                </c:pt>
                <c:pt idx="4">
                  <c:v>1.4670000016398754</c:v>
                </c:pt>
                <c:pt idx="5">
                  <c:v>1.4675000026093239</c:v>
                </c:pt>
                <c:pt idx="6">
                  <c:v>1.4680000041454844</c:v>
                </c:pt>
                <c:pt idx="7">
                  <c:v>1.4685000065759133</c:v>
                </c:pt>
                <c:pt idx="8">
                  <c:v>1.4690000104153453</c:v>
                </c:pt>
                <c:pt idx="9">
                  <c:v>1.4695000164714329</c:v>
                </c:pt>
                <c:pt idx="10">
                  <c:v>1.4700000260095261</c:v>
                </c:pt>
                <c:pt idx="11">
                  <c:v>1.4705000410090863</c:v>
                </c:pt>
                <c:pt idx="12">
                  <c:v>1.471000064562086</c:v>
                </c:pt>
                <c:pt idx="13">
                  <c:v>1.4715001014911122</c:v>
                </c:pt>
                <c:pt idx="14">
                  <c:v>1.4720001593069121</c:v>
                </c:pt>
                <c:pt idx="15">
                  <c:v>1.4725002496896282</c:v>
                </c:pt>
                <c:pt idx="16">
                  <c:v>1.4730003907767739</c:v>
                </c:pt>
                <c:pt idx="17">
                  <c:v>1.4735006106921986</c:v>
                </c:pt>
                <c:pt idx="18">
                  <c:v>1.4740009529812417</c:v>
                </c:pt>
                <c:pt idx="19">
                  <c:v>1.4745014849695637</c:v>
                </c:pt>
                <c:pt idx="20">
                  <c:v>1.4750023105996768</c:v>
                </c:pt>
                <c:pt idx="21">
                  <c:v>1.4755035901150049</c:v>
                </c:pt>
                <c:pt idx="22">
                  <c:v>1.4760055701996699</c:v>
                </c:pt>
                <c:pt idx="23">
                  <c:v>1.4765086300584618</c:v>
                </c:pt>
                <c:pt idx="24">
                  <c:v>1.4770133517581781</c:v>
                </c:pt>
                <c:pt idx="25">
                  <c:v>1.4775206274297128</c:v>
                </c:pt>
                <c:pt idx="26">
                  <c:v>1.4780318223622755</c:v>
                </c:pt>
                <c:pt idx="27">
                  <c:v>1.4785490226521296</c:v>
                </c:pt>
                <c:pt idx="28">
                  <c:v>1.4790754104093795</c:v>
                </c:pt>
                <c:pt idx="29">
                  <c:v>1.4796158307128435</c:v>
                </c:pt>
                <c:pt idx="30">
                  <c:v>1.4801776454375803</c:v>
                </c:pt>
                <c:pt idx="31">
                  <c:v>1.4807720134406996</c:v>
                </c:pt>
                <c:pt idx="32">
                  <c:v>1.4814157983925758</c:v>
                </c:pt>
                <c:pt idx="33">
                  <c:v>1.4821343874988586</c:v>
                </c:pt>
                <c:pt idx="34">
                  <c:v>1.482965803414684</c:v>
                </c:pt>
                <c:pt idx="35">
                  <c:v>1.4839665882310364</c:v>
                </c:pt>
                <c:pt idx="36">
                  <c:v>1.4852199730127906</c:v>
                </c:pt>
                <c:pt idx="37">
                  <c:v>1.4868466735133496</c:v>
                </c:pt>
                <c:pt idx="38">
                  <c:v>1.4890179634504348</c:v>
                </c:pt>
                <c:pt idx="39">
                  <c:v>1.491968907018234</c:v>
                </c:pt>
                <c:pt idx="40">
                  <c:v>1.4960059789413862</c:v>
                </c:pt>
                <c:pt idx="41">
                  <c:v>1.5014972384293739</c:v>
                </c:pt>
                <c:pt idx="42">
                  <c:v>1.5088263107968913</c:v>
                </c:pt>
                <c:pt idx="43">
                  <c:v>1.5182908198659069</c:v>
                </c:pt>
                <c:pt idx="44">
                  <c:v>1.5299462057771032</c:v>
                </c:pt>
                <c:pt idx="45">
                  <c:v>1.5434476671986881</c:v>
                </c:pt>
                <c:pt idx="46">
                  <c:v>1.5580000000000001</c:v>
                </c:pt>
                <c:pt idx="47">
                  <c:v>1.5725098225093357</c:v>
                </c:pt>
                <c:pt idx="48">
                  <c:v>1.5859029489264886</c:v>
                </c:pt>
                <c:pt idx="49">
                  <c:v>1.5974284614546588</c:v>
                </c:pt>
                <c:pt idx="50">
                  <c:v>1.606784225477353</c:v>
                </c:pt>
                <c:pt idx="51">
                  <c:v>1.6140489821747419</c:v>
                </c:pt>
                <c:pt idx="52">
                  <c:v>1.6195230579591571</c:v>
                </c:pt>
                <c:pt idx="53">
                  <c:v>1.6235802924444054</c:v>
                </c:pt>
                <c:pt idx="54">
                  <c:v>1.6265750752099231</c:v>
                </c:pt>
                <c:pt idx="55">
                  <c:v>1.6288015696313205</c:v>
                </c:pt>
                <c:pt idx="56">
                  <c:v>1.6304858613547768</c:v>
                </c:pt>
                <c:pt idx="57">
                  <c:v>1.6317936322298527</c:v>
                </c:pt>
                <c:pt idx="58">
                  <c:v>1.6328426759629582</c:v>
                </c:pt>
                <c:pt idx="59">
                  <c:v>1.6337151261779528</c:v>
                </c:pt>
                <c:pt idx="60">
                  <c:v>1.6344675418373407</c:v>
                </c:pt>
                <c:pt idx="61">
                  <c:v>1.6351385636891769</c:v>
                </c:pt>
                <c:pt idx="62">
                  <c:v>1.635754461867593</c:v>
                </c:pt>
                <c:pt idx="63">
                  <c:v>1.6363330446278499</c:v>
                </c:pt>
                <c:pt idx="64">
                  <c:v>1.6368863651798815</c:v>
                </c:pt>
                <c:pt idx="65">
                  <c:v>1.6374225760846182</c:v>
                </c:pt>
                <c:pt idx="66">
                  <c:v>1.6379471911921804</c:v>
                </c:pt>
                <c:pt idx="67">
                  <c:v>1.6384639409363622</c:v>
                </c:pt>
                <c:pt idx="68">
                  <c:v>1.6389753506792639</c:v>
                </c:pt>
                <c:pt idx="69">
                  <c:v>1.6394831313255107</c:v>
                </c:pt>
                <c:pt idx="70">
                  <c:v>1.6399884430345382</c:v>
                </c:pt>
                <c:pt idx="71">
                  <c:v>1.6404920732757746</c:v>
                </c:pt>
                <c:pt idx="72">
                  <c:v>1.6409945571018274</c:v>
                </c:pt>
                <c:pt idx="73">
                  <c:v>1.6414962584450414</c:v>
                </c:pt>
                <c:pt idx="74">
                  <c:v>1.6419974251134868</c:v>
                </c:pt>
                <c:pt idx="75">
                  <c:v>1.6424982260292533</c:v>
                </c:pt>
                <c:pt idx="76">
                  <c:v>1.6429987764677723</c:v>
                </c:pt>
                <c:pt idx="77">
                  <c:v>1.6434991551821732</c:v>
                </c:pt>
                <c:pt idx="78">
                  <c:v>1.6439994160341402</c:v>
                </c:pt>
                <c:pt idx="79">
                  <c:v>1.6444995959021187</c:v>
                </c:pt>
                <c:pt idx="80">
                  <c:v>1.6449997200642352</c:v>
                </c:pt>
                <c:pt idx="81">
                  <c:v>1.6454998058663326</c:v>
                </c:pt>
                <c:pt idx="82">
                  <c:v>1.6459998652241921</c:v>
                </c:pt>
                <c:pt idx="83">
                  <c:v>1.646499906332356</c:v>
                </c:pt>
                <c:pt idx="84">
                  <c:v>1.6469999348323925</c:v>
                </c:pt>
                <c:pt idx="85">
                  <c:v>1.64749995461248</c:v>
                </c:pt>
                <c:pt idx="86">
                  <c:v>1.6479999683552555</c:v>
                </c:pt>
                <c:pt idx="87">
                  <c:v>1.6484999779135869</c:v>
                </c:pt>
                <c:pt idx="88">
                  <c:v>1.6489999845686032</c:v>
                </c:pt>
                <c:pt idx="89">
                  <c:v>1.649499989207061</c:v>
                </c:pt>
                <c:pt idx="90">
                  <c:v>1.6499999924433957</c:v>
                </c:pt>
                <c:pt idx="91">
                  <c:v>1.58</c:v>
                </c:pt>
                <c:pt idx="92">
                  <c:v>1.58</c:v>
                </c:pt>
                <c:pt idx="93">
                  <c:v>1.58</c:v>
                </c:pt>
                <c:pt idx="94">
                  <c:v>1.58</c:v>
                </c:pt>
                <c:pt idx="95">
                  <c:v>1.58</c:v>
                </c:pt>
                <c:pt idx="96">
                  <c:v>1.58</c:v>
                </c:pt>
                <c:pt idx="97">
                  <c:v>1.58</c:v>
                </c:pt>
                <c:pt idx="98">
                  <c:v>1.58</c:v>
                </c:pt>
                <c:pt idx="99">
                  <c:v>1.58</c:v>
                </c:pt>
                <c:pt idx="100">
                  <c:v>1.58</c:v>
                </c:pt>
                <c:pt idx="101">
                  <c:v>1.58</c:v>
                </c:pt>
                <c:pt idx="102">
                  <c:v>1.58</c:v>
                </c:pt>
                <c:pt idx="103">
                  <c:v>1.58</c:v>
                </c:pt>
                <c:pt idx="104">
                  <c:v>1.58</c:v>
                </c:pt>
                <c:pt idx="105">
                  <c:v>1.58</c:v>
                </c:pt>
                <c:pt idx="106">
                  <c:v>1.58</c:v>
                </c:pt>
                <c:pt idx="107">
                  <c:v>1.58</c:v>
                </c:pt>
                <c:pt idx="108">
                  <c:v>1.58</c:v>
                </c:pt>
                <c:pt idx="109">
                  <c:v>1.58</c:v>
                </c:pt>
                <c:pt idx="110">
                  <c:v>1.58</c:v>
                </c:pt>
                <c:pt idx="111">
                  <c:v>1.58</c:v>
                </c:pt>
                <c:pt idx="112">
                  <c:v>1.58</c:v>
                </c:pt>
                <c:pt idx="113">
                  <c:v>1.58</c:v>
                </c:pt>
                <c:pt idx="114">
                  <c:v>1.58</c:v>
                </c:pt>
                <c:pt idx="115">
                  <c:v>1.58</c:v>
                </c:pt>
                <c:pt idx="116">
                  <c:v>1.58</c:v>
                </c:pt>
                <c:pt idx="117">
                  <c:v>1.58</c:v>
                </c:pt>
                <c:pt idx="118">
                  <c:v>1.58</c:v>
                </c:pt>
                <c:pt idx="119">
                  <c:v>1.58</c:v>
                </c:pt>
                <c:pt idx="120">
                  <c:v>1.58</c:v>
                </c:pt>
                <c:pt idx="121">
                  <c:v>1.58</c:v>
                </c:pt>
                <c:pt idx="122">
                  <c:v>1.58</c:v>
                </c:pt>
                <c:pt idx="123">
                  <c:v>1.58</c:v>
                </c:pt>
                <c:pt idx="124">
                  <c:v>1.58</c:v>
                </c:pt>
                <c:pt idx="125">
                  <c:v>1.58</c:v>
                </c:pt>
                <c:pt idx="126">
                  <c:v>1.58</c:v>
                </c:pt>
                <c:pt idx="127">
                  <c:v>1.58</c:v>
                </c:pt>
                <c:pt idx="128">
                  <c:v>1.58</c:v>
                </c:pt>
                <c:pt idx="129">
                  <c:v>1.58</c:v>
                </c:pt>
                <c:pt idx="130">
                  <c:v>1.58</c:v>
                </c:pt>
                <c:pt idx="131">
                  <c:v>1.58</c:v>
                </c:pt>
                <c:pt idx="132">
                  <c:v>1.58</c:v>
                </c:pt>
                <c:pt idx="133">
                  <c:v>1.58</c:v>
                </c:pt>
                <c:pt idx="134">
                  <c:v>1.58</c:v>
                </c:pt>
                <c:pt idx="135">
                  <c:v>1.58</c:v>
                </c:pt>
                <c:pt idx="136">
                  <c:v>1.58</c:v>
                </c:pt>
                <c:pt idx="137">
                  <c:v>1.58</c:v>
                </c:pt>
                <c:pt idx="138">
                  <c:v>1.58</c:v>
                </c:pt>
                <c:pt idx="139">
                  <c:v>1.58</c:v>
                </c:pt>
                <c:pt idx="140">
                  <c:v>1.58</c:v>
                </c:pt>
                <c:pt idx="141">
                  <c:v>1.58</c:v>
                </c:pt>
                <c:pt idx="142">
                  <c:v>1.58</c:v>
                </c:pt>
                <c:pt idx="143">
                  <c:v>1.58</c:v>
                </c:pt>
                <c:pt idx="144">
                  <c:v>1.58</c:v>
                </c:pt>
                <c:pt idx="145">
                  <c:v>1.58</c:v>
                </c:pt>
                <c:pt idx="146">
                  <c:v>1.58</c:v>
                </c:pt>
                <c:pt idx="147">
                  <c:v>1.58</c:v>
                </c:pt>
                <c:pt idx="148">
                  <c:v>1.58</c:v>
                </c:pt>
                <c:pt idx="149">
                  <c:v>1.58</c:v>
                </c:pt>
                <c:pt idx="150">
                  <c:v>1.58</c:v>
                </c:pt>
                <c:pt idx="151">
                  <c:v>1.58</c:v>
                </c:pt>
                <c:pt idx="152">
                  <c:v>1.58</c:v>
                </c:pt>
                <c:pt idx="153">
                  <c:v>1.58</c:v>
                </c:pt>
                <c:pt idx="154">
                  <c:v>1.58</c:v>
                </c:pt>
                <c:pt idx="155">
                  <c:v>1.58</c:v>
                </c:pt>
                <c:pt idx="156">
                  <c:v>1.58</c:v>
                </c:pt>
                <c:pt idx="157">
                  <c:v>1.58</c:v>
                </c:pt>
                <c:pt idx="158">
                  <c:v>1.58</c:v>
                </c:pt>
                <c:pt idx="159">
                  <c:v>1.58</c:v>
                </c:pt>
                <c:pt idx="160">
                  <c:v>1.58</c:v>
                </c:pt>
                <c:pt idx="161">
                  <c:v>1.58</c:v>
                </c:pt>
                <c:pt idx="162">
                  <c:v>1.58</c:v>
                </c:pt>
                <c:pt idx="163">
                  <c:v>1.58</c:v>
                </c:pt>
                <c:pt idx="164">
                  <c:v>1.58</c:v>
                </c:pt>
                <c:pt idx="165">
                  <c:v>1.58</c:v>
                </c:pt>
                <c:pt idx="166">
                  <c:v>1.58</c:v>
                </c:pt>
                <c:pt idx="167">
                  <c:v>1.58</c:v>
                </c:pt>
                <c:pt idx="168">
                  <c:v>1.58</c:v>
                </c:pt>
                <c:pt idx="169">
                  <c:v>1.58</c:v>
                </c:pt>
                <c:pt idx="170">
                  <c:v>1.58</c:v>
                </c:pt>
                <c:pt idx="171">
                  <c:v>1.58</c:v>
                </c:pt>
                <c:pt idx="172">
                  <c:v>1.58</c:v>
                </c:pt>
                <c:pt idx="173">
                  <c:v>1.58</c:v>
                </c:pt>
                <c:pt idx="174">
                  <c:v>1.58</c:v>
                </c:pt>
                <c:pt idx="175">
                  <c:v>1.58</c:v>
                </c:pt>
                <c:pt idx="176">
                  <c:v>1.58</c:v>
                </c:pt>
                <c:pt idx="177">
                  <c:v>1.58</c:v>
                </c:pt>
                <c:pt idx="178">
                  <c:v>1.58</c:v>
                </c:pt>
                <c:pt idx="179">
                  <c:v>1.58</c:v>
                </c:pt>
                <c:pt idx="180">
                  <c:v>1.58</c:v>
                </c:pt>
                <c:pt idx="181">
                  <c:v>1.58</c:v>
                </c:pt>
                <c:pt idx="182">
                  <c:v>1.58</c:v>
                </c:pt>
                <c:pt idx="183">
                  <c:v>1.58</c:v>
                </c:pt>
                <c:pt idx="184">
                  <c:v>1.58</c:v>
                </c:pt>
                <c:pt idx="185">
                  <c:v>1.58</c:v>
                </c:pt>
                <c:pt idx="186">
                  <c:v>1.58</c:v>
                </c:pt>
                <c:pt idx="187">
                  <c:v>1.58</c:v>
                </c:pt>
                <c:pt idx="188">
                  <c:v>1.58</c:v>
                </c:pt>
                <c:pt idx="189">
                  <c:v>1.58</c:v>
                </c:pt>
                <c:pt idx="190">
                  <c:v>1.58</c:v>
                </c:pt>
                <c:pt idx="191">
                  <c:v>1.58</c:v>
                </c:pt>
                <c:pt idx="192">
                  <c:v>1.58</c:v>
                </c:pt>
                <c:pt idx="193">
                  <c:v>1.58</c:v>
                </c:pt>
                <c:pt idx="194">
                  <c:v>1.58</c:v>
                </c:pt>
                <c:pt idx="195">
                  <c:v>1.58</c:v>
                </c:pt>
                <c:pt idx="196">
                  <c:v>1.58</c:v>
                </c:pt>
                <c:pt idx="197">
                  <c:v>1.58</c:v>
                </c:pt>
                <c:pt idx="198">
                  <c:v>1.58</c:v>
                </c:pt>
                <c:pt idx="199">
                  <c:v>1.58</c:v>
                </c:pt>
                <c:pt idx="200">
                  <c:v>1.58</c:v>
                </c:pt>
                <c:pt idx="201">
                  <c:v>1.58</c:v>
                </c:pt>
                <c:pt idx="202">
                  <c:v>1.58</c:v>
                </c:pt>
                <c:pt idx="203">
                  <c:v>1.58</c:v>
                </c:pt>
                <c:pt idx="204">
                  <c:v>1.58</c:v>
                </c:pt>
                <c:pt idx="205">
                  <c:v>1.58</c:v>
                </c:pt>
                <c:pt idx="206">
                  <c:v>1.58</c:v>
                </c:pt>
                <c:pt idx="207">
                  <c:v>1.58</c:v>
                </c:pt>
                <c:pt idx="208">
                  <c:v>1.58</c:v>
                </c:pt>
                <c:pt idx="209">
                  <c:v>1.58</c:v>
                </c:pt>
                <c:pt idx="210">
                  <c:v>1.58</c:v>
                </c:pt>
                <c:pt idx="211">
                  <c:v>1.58</c:v>
                </c:pt>
                <c:pt idx="212">
                  <c:v>1.58</c:v>
                </c:pt>
                <c:pt idx="213">
                  <c:v>1.58</c:v>
                </c:pt>
                <c:pt idx="214">
                  <c:v>1.58</c:v>
                </c:pt>
                <c:pt idx="215">
                  <c:v>1.58</c:v>
                </c:pt>
                <c:pt idx="216">
                  <c:v>1.58</c:v>
                </c:pt>
                <c:pt idx="217">
                  <c:v>1.58</c:v>
                </c:pt>
                <c:pt idx="218">
                  <c:v>1.58</c:v>
                </c:pt>
                <c:pt idx="219">
                  <c:v>1.58</c:v>
                </c:pt>
                <c:pt idx="220">
                  <c:v>1.58</c:v>
                </c:pt>
                <c:pt idx="221">
                  <c:v>1.58</c:v>
                </c:pt>
                <c:pt idx="222">
                  <c:v>1.58</c:v>
                </c:pt>
                <c:pt idx="223">
                  <c:v>1.58</c:v>
                </c:pt>
                <c:pt idx="224">
                  <c:v>1.58</c:v>
                </c:pt>
                <c:pt idx="225">
                  <c:v>1.58</c:v>
                </c:pt>
                <c:pt idx="226">
                  <c:v>1.58</c:v>
                </c:pt>
                <c:pt idx="227">
                  <c:v>1.58</c:v>
                </c:pt>
                <c:pt idx="228">
                  <c:v>1.58</c:v>
                </c:pt>
                <c:pt idx="229">
                  <c:v>1.58</c:v>
                </c:pt>
                <c:pt idx="230">
                  <c:v>1.58</c:v>
                </c:pt>
                <c:pt idx="231">
                  <c:v>1.58</c:v>
                </c:pt>
                <c:pt idx="232">
                  <c:v>1.58</c:v>
                </c:pt>
                <c:pt idx="233">
                  <c:v>1.58</c:v>
                </c:pt>
                <c:pt idx="234">
                  <c:v>1.58</c:v>
                </c:pt>
                <c:pt idx="235">
                  <c:v>1.58</c:v>
                </c:pt>
                <c:pt idx="236">
                  <c:v>1.58</c:v>
                </c:pt>
                <c:pt idx="237">
                  <c:v>1.58</c:v>
                </c:pt>
                <c:pt idx="238">
                  <c:v>1.58</c:v>
                </c:pt>
                <c:pt idx="239">
                  <c:v>1.58</c:v>
                </c:pt>
                <c:pt idx="240">
                  <c:v>1.58</c:v>
                </c:pt>
                <c:pt idx="241">
                  <c:v>1.58</c:v>
                </c:pt>
                <c:pt idx="242">
                  <c:v>1.58</c:v>
                </c:pt>
                <c:pt idx="243">
                  <c:v>1.58</c:v>
                </c:pt>
                <c:pt idx="244">
                  <c:v>1.58</c:v>
                </c:pt>
                <c:pt idx="245">
                  <c:v>1.58</c:v>
                </c:pt>
                <c:pt idx="246">
                  <c:v>1.58</c:v>
                </c:pt>
                <c:pt idx="247">
                  <c:v>1.58</c:v>
                </c:pt>
                <c:pt idx="248">
                  <c:v>1.58</c:v>
                </c:pt>
                <c:pt idx="249">
                  <c:v>1.58</c:v>
                </c:pt>
                <c:pt idx="250">
                  <c:v>1.58</c:v>
                </c:pt>
                <c:pt idx="251">
                  <c:v>1.58</c:v>
                </c:pt>
                <c:pt idx="252">
                  <c:v>1.58</c:v>
                </c:pt>
                <c:pt idx="253">
                  <c:v>1.58</c:v>
                </c:pt>
                <c:pt idx="254">
                  <c:v>1.58</c:v>
                </c:pt>
                <c:pt idx="255">
                  <c:v>1.58</c:v>
                </c:pt>
                <c:pt idx="256">
                  <c:v>1.58</c:v>
                </c:pt>
                <c:pt idx="257">
                  <c:v>1.58</c:v>
                </c:pt>
                <c:pt idx="258">
                  <c:v>1.58</c:v>
                </c:pt>
                <c:pt idx="259">
                  <c:v>1.58</c:v>
                </c:pt>
                <c:pt idx="260">
                  <c:v>1.58</c:v>
                </c:pt>
                <c:pt idx="261">
                  <c:v>1.58</c:v>
                </c:pt>
                <c:pt idx="262">
                  <c:v>1.58</c:v>
                </c:pt>
                <c:pt idx="263">
                  <c:v>1.58</c:v>
                </c:pt>
                <c:pt idx="264">
                  <c:v>1.58</c:v>
                </c:pt>
                <c:pt idx="265">
                  <c:v>1.58</c:v>
                </c:pt>
                <c:pt idx="266">
                  <c:v>1.58</c:v>
                </c:pt>
                <c:pt idx="267">
                  <c:v>1.58</c:v>
                </c:pt>
                <c:pt idx="268">
                  <c:v>1.58</c:v>
                </c:pt>
                <c:pt idx="269">
                  <c:v>1.58</c:v>
                </c:pt>
                <c:pt idx="270">
                  <c:v>1.58</c:v>
                </c:pt>
                <c:pt idx="271">
                  <c:v>1.58</c:v>
                </c:pt>
                <c:pt idx="272">
                  <c:v>1.58</c:v>
                </c:pt>
                <c:pt idx="273">
                  <c:v>1.58</c:v>
                </c:pt>
                <c:pt idx="274">
                  <c:v>1.58</c:v>
                </c:pt>
                <c:pt idx="275">
                  <c:v>1.58</c:v>
                </c:pt>
                <c:pt idx="276">
                  <c:v>1.58</c:v>
                </c:pt>
                <c:pt idx="277">
                  <c:v>1.58</c:v>
                </c:pt>
                <c:pt idx="278">
                  <c:v>1.58</c:v>
                </c:pt>
                <c:pt idx="279">
                  <c:v>1.58</c:v>
                </c:pt>
                <c:pt idx="280">
                  <c:v>1.58</c:v>
                </c:pt>
                <c:pt idx="281">
                  <c:v>1.58</c:v>
                </c:pt>
                <c:pt idx="282">
                  <c:v>1.58</c:v>
                </c:pt>
                <c:pt idx="283">
                  <c:v>1.58</c:v>
                </c:pt>
                <c:pt idx="284">
                  <c:v>1.58</c:v>
                </c:pt>
                <c:pt idx="285">
                  <c:v>1.58</c:v>
                </c:pt>
                <c:pt idx="286">
                  <c:v>1.58</c:v>
                </c:pt>
                <c:pt idx="287">
                  <c:v>1.58</c:v>
                </c:pt>
                <c:pt idx="288">
                  <c:v>1.58</c:v>
                </c:pt>
                <c:pt idx="289">
                  <c:v>1.58</c:v>
                </c:pt>
                <c:pt idx="290">
                  <c:v>1.58</c:v>
                </c:pt>
                <c:pt idx="291">
                  <c:v>1.58</c:v>
                </c:pt>
                <c:pt idx="292">
                  <c:v>1.58</c:v>
                </c:pt>
                <c:pt idx="293">
                  <c:v>1.58</c:v>
                </c:pt>
                <c:pt idx="294">
                  <c:v>1.58</c:v>
                </c:pt>
                <c:pt idx="295">
                  <c:v>1.58</c:v>
                </c:pt>
                <c:pt idx="296">
                  <c:v>1.58</c:v>
                </c:pt>
                <c:pt idx="297">
                  <c:v>1.58</c:v>
                </c:pt>
                <c:pt idx="298">
                  <c:v>1.58</c:v>
                </c:pt>
                <c:pt idx="299">
                  <c:v>1.58</c:v>
                </c:pt>
                <c:pt idx="300">
                  <c:v>1.58</c:v>
                </c:pt>
                <c:pt idx="301">
                  <c:v>1.58</c:v>
                </c:pt>
                <c:pt idx="302">
                  <c:v>1.58</c:v>
                </c:pt>
                <c:pt idx="303">
                  <c:v>1.58</c:v>
                </c:pt>
                <c:pt idx="304">
                  <c:v>1.58</c:v>
                </c:pt>
                <c:pt idx="305">
                  <c:v>1.58</c:v>
                </c:pt>
                <c:pt idx="306">
                  <c:v>1.58</c:v>
                </c:pt>
                <c:pt idx="307">
                  <c:v>1.58</c:v>
                </c:pt>
                <c:pt idx="308">
                  <c:v>1.58</c:v>
                </c:pt>
                <c:pt idx="309">
                  <c:v>1.58</c:v>
                </c:pt>
                <c:pt idx="310">
                  <c:v>1.58</c:v>
                </c:pt>
                <c:pt idx="311">
                  <c:v>1.58</c:v>
                </c:pt>
                <c:pt idx="312">
                  <c:v>1.58</c:v>
                </c:pt>
                <c:pt idx="313">
                  <c:v>1.58</c:v>
                </c:pt>
                <c:pt idx="314">
                  <c:v>1.58</c:v>
                </c:pt>
                <c:pt idx="315">
                  <c:v>1.58</c:v>
                </c:pt>
                <c:pt idx="316">
                  <c:v>1.58</c:v>
                </c:pt>
                <c:pt idx="317">
                  <c:v>1.58</c:v>
                </c:pt>
                <c:pt idx="318">
                  <c:v>1.58</c:v>
                </c:pt>
                <c:pt idx="319">
                  <c:v>1.58</c:v>
                </c:pt>
                <c:pt idx="320">
                  <c:v>1.58</c:v>
                </c:pt>
                <c:pt idx="321">
                  <c:v>1.58</c:v>
                </c:pt>
                <c:pt idx="322">
                  <c:v>1.58</c:v>
                </c:pt>
                <c:pt idx="323">
                  <c:v>1.58</c:v>
                </c:pt>
                <c:pt idx="324">
                  <c:v>1.58</c:v>
                </c:pt>
                <c:pt idx="325">
                  <c:v>1.58</c:v>
                </c:pt>
                <c:pt idx="326">
                  <c:v>1.58</c:v>
                </c:pt>
                <c:pt idx="327">
                  <c:v>1.58</c:v>
                </c:pt>
                <c:pt idx="328">
                  <c:v>1.58</c:v>
                </c:pt>
                <c:pt idx="329">
                  <c:v>1.58</c:v>
                </c:pt>
                <c:pt idx="330">
                  <c:v>1.58</c:v>
                </c:pt>
                <c:pt idx="331">
                  <c:v>1.58</c:v>
                </c:pt>
                <c:pt idx="332">
                  <c:v>1.58</c:v>
                </c:pt>
                <c:pt idx="333">
                  <c:v>1.58</c:v>
                </c:pt>
                <c:pt idx="334">
                  <c:v>1.58</c:v>
                </c:pt>
                <c:pt idx="335">
                  <c:v>1.58</c:v>
                </c:pt>
                <c:pt idx="336">
                  <c:v>1.58</c:v>
                </c:pt>
                <c:pt idx="337">
                  <c:v>1.58</c:v>
                </c:pt>
                <c:pt idx="338">
                  <c:v>1.58</c:v>
                </c:pt>
                <c:pt idx="339">
                  <c:v>1.58</c:v>
                </c:pt>
                <c:pt idx="340">
                  <c:v>1.58</c:v>
                </c:pt>
                <c:pt idx="341">
                  <c:v>1.58</c:v>
                </c:pt>
                <c:pt idx="342">
                  <c:v>1.58</c:v>
                </c:pt>
                <c:pt idx="343">
                  <c:v>1.58</c:v>
                </c:pt>
                <c:pt idx="344">
                  <c:v>1.58</c:v>
                </c:pt>
                <c:pt idx="345">
                  <c:v>1.58</c:v>
                </c:pt>
                <c:pt idx="346">
                  <c:v>1.58</c:v>
                </c:pt>
                <c:pt idx="347">
                  <c:v>1.58</c:v>
                </c:pt>
                <c:pt idx="348">
                  <c:v>1.58</c:v>
                </c:pt>
                <c:pt idx="349">
                  <c:v>1.58</c:v>
                </c:pt>
                <c:pt idx="350">
                  <c:v>1.58</c:v>
                </c:pt>
                <c:pt idx="351">
                  <c:v>1.58</c:v>
                </c:pt>
                <c:pt idx="352">
                  <c:v>1.58</c:v>
                </c:pt>
                <c:pt idx="353">
                  <c:v>1.58</c:v>
                </c:pt>
                <c:pt idx="354">
                  <c:v>1.58</c:v>
                </c:pt>
                <c:pt idx="355">
                  <c:v>1.58</c:v>
                </c:pt>
                <c:pt idx="356">
                  <c:v>1.58</c:v>
                </c:pt>
                <c:pt idx="357">
                  <c:v>1.58</c:v>
                </c:pt>
                <c:pt idx="358">
                  <c:v>1.58</c:v>
                </c:pt>
                <c:pt idx="359">
                  <c:v>1.58</c:v>
                </c:pt>
                <c:pt idx="360">
                  <c:v>1.58</c:v>
                </c:pt>
                <c:pt idx="361">
                  <c:v>1.58</c:v>
                </c:pt>
                <c:pt idx="362">
                  <c:v>1.58</c:v>
                </c:pt>
                <c:pt idx="363">
                  <c:v>1.58</c:v>
                </c:pt>
                <c:pt idx="364">
                  <c:v>1.58</c:v>
                </c:pt>
                <c:pt idx="365">
                  <c:v>1.58</c:v>
                </c:pt>
                <c:pt idx="366">
                  <c:v>1.58</c:v>
                </c:pt>
                <c:pt idx="367">
                  <c:v>1.58</c:v>
                </c:pt>
                <c:pt idx="368">
                  <c:v>1.58</c:v>
                </c:pt>
                <c:pt idx="369">
                  <c:v>1.58</c:v>
                </c:pt>
                <c:pt idx="370">
                  <c:v>1.58</c:v>
                </c:pt>
                <c:pt idx="371">
                  <c:v>1.58</c:v>
                </c:pt>
                <c:pt idx="372">
                  <c:v>1.58</c:v>
                </c:pt>
                <c:pt idx="373">
                  <c:v>1.58</c:v>
                </c:pt>
                <c:pt idx="374">
                  <c:v>1.58</c:v>
                </c:pt>
                <c:pt idx="375">
                  <c:v>1.58</c:v>
                </c:pt>
                <c:pt idx="376">
                  <c:v>1.58</c:v>
                </c:pt>
                <c:pt idx="377">
                  <c:v>1.58</c:v>
                </c:pt>
                <c:pt idx="378">
                  <c:v>1.58</c:v>
                </c:pt>
                <c:pt idx="379">
                  <c:v>1.58</c:v>
                </c:pt>
                <c:pt idx="380">
                  <c:v>1.58</c:v>
                </c:pt>
                <c:pt idx="381">
                  <c:v>1.58</c:v>
                </c:pt>
                <c:pt idx="382">
                  <c:v>1.58</c:v>
                </c:pt>
                <c:pt idx="383">
                  <c:v>1.58</c:v>
                </c:pt>
                <c:pt idx="384">
                  <c:v>1.58</c:v>
                </c:pt>
                <c:pt idx="385">
                  <c:v>1.58</c:v>
                </c:pt>
                <c:pt idx="386">
                  <c:v>1.58</c:v>
                </c:pt>
                <c:pt idx="387">
                  <c:v>1.58</c:v>
                </c:pt>
                <c:pt idx="388">
                  <c:v>1.58</c:v>
                </c:pt>
                <c:pt idx="389">
                  <c:v>1.58</c:v>
                </c:pt>
                <c:pt idx="390">
                  <c:v>1.58</c:v>
                </c:pt>
                <c:pt idx="391">
                  <c:v>1.58</c:v>
                </c:pt>
                <c:pt idx="392">
                  <c:v>1.58</c:v>
                </c:pt>
                <c:pt idx="393">
                  <c:v>1.58</c:v>
                </c:pt>
                <c:pt idx="394">
                  <c:v>1.58</c:v>
                </c:pt>
                <c:pt idx="395">
                  <c:v>1.58</c:v>
                </c:pt>
                <c:pt idx="396">
                  <c:v>1.58</c:v>
                </c:pt>
                <c:pt idx="397">
                  <c:v>1.58</c:v>
                </c:pt>
                <c:pt idx="398">
                  <c:v>1.58</c:v>
                </c:pt>
                <c:pt idx="399">
                  <c:v>1.58</c:v>
                </c:pt>
                <c:pt idx="400">
                  <c:v>1.58</c:v>
                </c:pt>
                <c:pt idx="401">
                  <c:v>1.58</c:v>
                </c:pt>
                <c:pt idx="402">
                  <c:v>1.58</c:v>
                </c:pt>
                <c:pt idx="403">
                  <c:v>1.58</c:v>
                </c:pt>
                <c:pt idx="404">
                  <c:v>1.58</c:v>
                </c:pt>
                <c:pt idx="405">
                  <c:v>1.58</c:v>
                </c:pt>
                <c:pt idx="406">
                  <c:v>1.58</c:v>
                </c:pt>
                <c:pt idx="407">
                  <c:v>1.58</c:v>
                </c:pt>
                <c:pt idx="408">
                  <c:v>1.58</c:v>
                </c:pt>
                <c:pt idx="409">
                  <c:v>1.58</c:v>
                </c:pt>
                <c:pt idx="410">
                  <c:v>1.58</c:v>
                </c:pt>
                <c:pt idx="411">
                  <c:v>1.58</c:v>
                </c:pt>
                <c:pt idx="412">
                  <c:v>1.58</c:v>
                </c:pt>
                <c:pt idx="413">
                  <c:v>1.58</c:v>
                </c:pt>
                <c:pt idx="414">
                  <c:v>1.58</c:v>
                </c:pt>
                <c:pt idx="415">
                  <c:v>1.58</c:v>
                </c:pt>
                <c:pt idx="416">
                  <c:v>1.58</c:v>
                </c:pt>
                <c:pt idx="417">
                  <c:v>1.58</c:v>
                </c:pt>
                <c:pt idx="418">
                  <c:v>1.58</c:v>
                </c:pt>
                <c:pt idx="419">
                  <c:v>1.58</c:v>
                </c:pt>
                <c:pt idx="420">
                  <c:v>1.58</c:v>
                </c:pt>
                <c:pt idx="421">
                  <c:v>1.58</c:v>
                </c:pt>
                <c:pt idx="422">
                  <c:v>1.58</c:v>
                </c:pt>
                <c:pt idx="423">
                  <c:v>1.58</c:v>
                </c:pt>
                <c:pt idx="424">
                  <c:v>1.58</c:v>
                </c:pt>
                <c:pt idx="425">
                  <c:v>1.58</c:v>
                </c:pt>
                <c:pt idx="426">
                  <c:v>1.58</c:v>
                </c:pt>
                <c:pt idx="427">
                  <c:v>1.58</c:v>
                </c:pt>
                <c:pt idx="428">
                  <c:v>1.58</c:v>
                </c:pt>
                <c:pt idx="429">
                  <c:v>1.58</c:v>
                </c:pt>
                <c:pt idx="430">
                  <c:v>1.58</c:v>
                </c:pt>
                <c:pt idx="431">
                  <c:v>1.58</c:v>
                </c:pt>
                <c:pt idx="432">
                  <c:v>1.58</c:v>
                </c:pt>
                <c:pt idx="433">
                  <c:v>1.58</c:v>
                </c:pt>
                <c:pt idx="434">
                  <c:v>1.58</c:v>
                </c:pt>
                <c:pt idx="435">
                  <c:v>1.58</c:v>
                </c:pt>
                <c:pt idx="436">
                  <c:v>1.58</c:v>
                </c:pt>
                <c:pt idx="437">
                  <c:v>1.58</c:v>
                </c:pt>
                <c:pt idx="438">
                  <c:v>1.58</c:v>
                </c:pt>
                <c:pt idx="439">
                  <c:v>1.58</c:v>
                </c:pt>
                <c:pt idx="440">
                  <c:v>1.58</c:v>
                </c:pt>
                <c:pt idx="441">
                  <c:v>1.58</c:v>
                </c:pt>
                <c:pt idx="442">
                  <c:v>1.58</c:v>
                </c:pt>
                <c:pt idx="443">
                  <c:v>1.58</c:v>
                </c:pt>
                <c:pt idx="444">
                  <c:v>1.58</c:v>
                </c:pt>
                <c:pt idx="445">
                  <c:v>1.58</c:v>
                </c:pt>
                <c:pt idx="446">
                  <c:v>1.58</c:v>
                </c:pt>
                <c:pt idx="447">
                  <c:v>1.58</c:v>
                </c:pt>
                <c:pt idx="448">
                  <c:v>1.58</c:v>
                </c:pt>
                <c:pt idx="449">
                  <c:v>1.58</c:v>
                </c:pt>
                <c:pt idx="450">
                  <c:v>1.58</c:v>
                </c:pt>
                <c:pt idx="451">
                  <c:v>1.58</c:v>
                </c:pt>
                <c:pt idx="452">
                  <c:v>1.58</c:v>
                </c:pt>
                <c:pt idx="453">
                  <c:v>1.58</c:v>
                </c:pt>
                <c:pt idx="454">
                  <c:v>1.58</c:v>
                </c:pt>
                <c:pt idx="455">
                  <c:v>1.58</c:v>
                </c:pt>
                <c:pt idx="456">
                  <c:v>1.58</c:v>
                </c:pt>
                <c:pt idx="457">
                  <c:v>1.58</c:v>
                </c:pt>
                <c:pt idx="458">
                  <c:v>1.58</c:v>
                </c:pt>
                <c:pt idx="459">
                  <c:v>1.58</c:v>
                </c:pt>
                <c:pt idx="460">
                  <c:v>1.58</c:v>
                </c:pt>
                <c:pt idx="461">
                  <c:v>1.58</c:v>
                </c:pt>
                <c:pt idx="462">
                  <c:v>1.58</c:v>
                </c:pt>
                <c:pt idx="463">
                  <c:v>1.58</c:v>
                </c:pt>
                <c:pt idx="464">
                  <c:v>1.58</c:v>
                </c:pt>
                <c:pt idx="465">
                  <c:v>1.58</c:v>
                </c:pt>
                <c:pt idx="466">
                  <c:v>1.58</c:v>
                </c:pt>
                <c:pt idx="467">
                  <c:v>1.58</c:v>
                </c:pt>
                <c:pt idx="468">
                  <c:v>1.58</c:v>
                </c:pt>
                <c:pt idx="469">
                  <c:v>1.58</c:v>
                </c:pt>
                <c:pt idx="470">
                  <c:v>1.58</c:v>
                </c:pt>
                <c:pt idx="471">
                  <c:v>1.58</c:v>
                </c:pt>
                <c:pt idx="472">
                  <c:v>1.58</c:v>
                </c:pt>
                <c:pt idx="473">
                  <c:v>1.58</c:v>
                </c:pt>
                <c:pt idx="474">
                  <c:v>1.58</c:v>
                </c:pt>
                <c:pt idx="475">
                  <c:v>1.58</c:v>
                </c:pt>
                <c:pt idx="476">
                  <c:v>1.58</c:v>
                </c:pt>
                <c:pt idx="477">
                  <c:v>1.58</c:v>
                </c:pt>
                <c:pt idx="478">
                  <c:v>1.58</c:v>
                </c:pt>
                <c:pt idx="479">
                  <c:v>1.58</c:v>
                </c:pt>
                <c:pt idx="480">
                  <c:v>1.58</c:v>
                </c:pt>
                <c:pt idx="481">
                  <c:v>1.58</c:v>
                </c:pt>
                <c:pt idx="482">
                  <c:v>1.58</c:v>
                </c:pt>
                <c:pt idx="483">
                  <c:v>1.58</c:v>
                </c:pt>
                <c:pt idx="484">
                  <c:v>1.58</c:v>
                </c:pt>
                <c:pt idx="485">
                  <c:v>1.58</c:v>
                </c:pt>
                <c:pt idx="486">
                  <c:v>1.58</c:v>
                </c:pt>
                <c:pt idx="487">
                  <c:v>1.58</c:v>
                </c:pt>
                <c:pt idx="488">
                  <c:v>1.58</c:v>
                </c:pt>
                <c:pt idx="489">
                  <c:v>1.58</c:v>
                </c:pt>
                <c:pt idx="490">
                  <c:v>1.58</c:v>
                </c:pt>
                <c:pt idx="491">
                  <c:v>1.58</c:v>
                </c:pt>
                <c:pt idx="492">
                  <c:v>1.58</c:v>
                </c:pt>
                <c:pt idx="493">
                  <c:v>1.58</c:v>
                </c:pt>
                <c:pt idx="494">
                  <c:v>1.58</c:v>
                </c:pt>
                <c:pt idx="495">
                  <c:v>1.58</c:v>
                </c:pt>
                <c:pt idx="496">
                  <c:v>1.58</c:v>
                </c:pt>
                <c:pt idx="497">
                  <c:v>1.58</c:v>
                </c:pt>
                <c:pt idx="498">
                  <c:v>1.58</c:v>
                </c:pt>
                <c:pt idx="499">
                  <c:v>1.58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ED-422F-9309-729825384376}"/>
            </c:ext>
          </c:extLst>
        </c:ser>
        <c:ser>
          <c:idx val="1"/>
          <c:order val="1"/>
          <c:tx>
            <c:strRef>
              <c:f>Solver!$C$1</c:f>
              <c:strCache>
                <c:ptCount val="1"/>
                <c:pt idx="0">
                  <c:v>Vobs (alpha)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  <c:pt idx="85">
                  <c:v>67.5</c:v>
                </c:pt>
                <c:pt idx="86">
                  <c:v>68</c:v>
                </c:pt>
                <c:pt idx="87">
                  <c:v>68.5</c:v>
                </c:pt>
                <c:pt idx="88">
                  <c:v>69</c:v>
                </c:pt>
                <c:pt idx="89">
                  <c:v>69.5</c:v>
                </c:pt>
                <c:pt idx="90">
                  <c:v>70</c:v>
                </c:pt>
              </c:numCache>
            </c:numRef>
          </c:xVal>
          <c:yVal>
            <c:numRef>
              <c:f>Solver!$B$2:$B$501</c:f>
              <c:numCache>
                <c:formatCode>General</c:formatCode>
                <c:ptCount val="500"/>
                <c:pt idx="0">
                  <c:v>1.4634</c:v>
                </c:pt>
                <c:pt idx="1">
                  <c:v>1.4618</c:v>
                </c:pt>
                <c:pt idx="2">
                  <c:v>1.4612000000000001</c:v>
                </c:pt>
                <c:pt idx="3">
                  <c:v>1.4639</c:v>
                </c:pt>
                <c:pt idx="4">
                  <c:v>1.4658</c:v>
                </c:pt>
                <c:pt idx="5">
                  <c:v>1.4656</c:v>
                </c:pt>
                <c:pt idx="6">
                  <c:v>1.4655</c:v>
                </c:pt>
                <c:pt idx="7">
                  <c:v>1.4650000000000001</c:v>
                </c:pt>
                <c:pt idx="8">
                  <c:v>1.4659</c:v>
                </c:pt>
                <c:pt idx="9">
                  <c:v>1.4663999999999999</c:v>
                </c:pt>
                <c:pt idx="10">
                  <c:v>1.4703999999999999</c:v>
                </c:pt>
                <c:pt idx="11">
                  <c:v>1.47</c:v>
                </c:pt>
                <c:pt idx="12">
                  <c:v>1.4704999999999999</c:v>
                </c:pt>
                <c:pt idx="13">
                  <c:v>1.4665999999999999</c:v>
                </c:pt>
                <c:pt idx="14">
                  <c:v>1.4679</c:v>
                </c:pt>
                <c:pt idx="15">
                  <c:v>1.4710000000000001</c:v>
                </c:pt>
                <c:pt idx="16">
                  <c:v>1.4710000000000001</c:v>
                </c:pt>
                <c:pt idx="17">
                  <c:v>1.4681</c:v>
                </c:pt>
                <c:pt idx="18">
                  <c:v>1.4702</c:v>
                </c:pt>
                <c:pt idx="19">
                  <c:v>1.4741</c:v>
                </c:pt>
                <c:pt idx="20">
                  <c:v>1.4729000000000001</c:v>
                </c:pt>
                <c:pt idx="21">
                  <c:v>1.4743999999999999</c:v>
                </c:pt>
                <c:pt idx="22">
                  <c:v>1.4723999999999999</c:v>
                </c:pt>
                <c:pt idx="23">
                  <c:v>1.4736</c:v>
                </c:pt>
                <c:pt idx="24">
                  <c:v>1.4722</c:v>
                </c:pt>
                <c:pt idx="25">
                  <c:v>1.4742</c:v>
                </c:pt>
                <c:pt idx="26">
                  <c:v>1.478</c:v>
                </c:pt>
                <c:pt idx="27">
                  <c:v>1.4739</c:v>
                </c:pt>
                <c:pt idx="28">
                  <c:v>1.4758</c:v>
                </c:pt>
                <c:pt idx="29">
                  <c:v>1.478</c:v>
                </c:pt>
                <c:pt idx="30">
                  <c:v>1.4767999999999999</c:v>
                </c:pt>
                <c:pt idx="31">
                  <c:v>1.4766999999999999</c:v>
                </c:pt>
                <c:pt idx="32">
                  <c:v>1.4772000000000001</c:v>
                </c:pt>
                <c:pt idx="33">
                  <c:v>1.4784999999999999</c:v>
                </c:pt>
                <c:pt idx="34">
                  <c:v>1.4812000000000001</c:v>
                </c:pt>
                <c:pt idx="35">
                  <c:v>1.4842</c:v>
                </c:pt>
                <c:pt idx="36">
                  <c:v>1.4844999999999999</c:v>
                </c:pt>
                <c:pt idx="37">
                  <c:v>1.4822</c:v>
                </c:pt>
                <c:pt idx="38">
                  <c:v>1.4838</c:v>
                </c:pt>
                <c:pt idx="39">
                  <c:v>1.4947999999999999</c:v>
                </c:pt>
                <c:pt idx="40">
                  <c:v>1.4928999999999999</c:v>
                </c:pt>
                <c:pt idx="41">
                  <c:v>1.502</c:v>
                </c:pt>
                <c:pt idx="42">
                  <c:v>1.5126999999999999</c:v>
                </c:pt>
                <c:pt idx="43">
                  <c:v>1.518</c:v>
                </c:pt>
                <c:pt idx="44">
                  <c:v>1.5356000000000001</c:v>
                </c:pt>
                <c:pt idx="45">
                  <c:v>1.5481</c:v>
                </c:pt>
                <c:pt idx="46">
                  <c:v>1.5598000000000001</c:v>
                </c:pt>
                <c:pt idx="47">
                  <c:v>1.5785</c:v>
                </c:pt>
                <c:pt idx="48">
                  <c:v>1.5922000000000001</c:v>
                </c:pt>
                <c:pt idx="49">
                  <c:v>1.6041000000000001</c:v>
                </c:pt>
                <c:pt idx="50">
                  <c:v>1.6153</c:v>
                </c:pt>
                <c:pt idx="51">
                  <c:v>1.6263000000000001</c:v>
                </c:pt>
                <c:pt idx="52">
                  <c:v>1.6267</c:v>
                </c:pt>
                <c:pt idx="53">
                  <c:v>1.6342000000000001</c:v>
                </c:pt>
                <c:pt idx="54">
                  <c:v>1.6380999999999999</c:v>
                </c:pt>
                <c:pt idx="55">
                  <c:v>1.6397999999999999</c:v>
                </c:pt>
                <c:pt idx="56">
                  <c:v>1.6412</c:v>
                </c:pt>
                <c:pt idx="57">
                  <c:v>1.6418999999999999</c:v>
                </c:pt>
                <c:pt idx="58">
                  <c:v>1.6458999999999999</c:v>
                </c:pt>
                <c:pt idx="59">
                  <c:v>1.6436999999999999</c:v>
                </c:pt>
                <c:pt idx="60">
                  <c:v>1.6449</c:v>
                </c:pt>
                <c:pt idx="61">
                  <c:v>1.6485000000000001</c:v>
                </c:pt>
                <c:pt idx="62">
                  <c:v>1.6482000000000001</c:v>
                </c:pt>
                <c:pt idx="63">
                  <c:v>1.6456</c:v>
                </c:pt>
                <c:pt idx="64">
                  <c:v>1.6488</c:v>
                </c:pt>
                <c:pt idx="65">
                  <c:v>1.6505000000000001</c:v>
                </c:pt>
                <c:pt idx="66">
                  <c:v>1.6509</c:v>
                </c:pt>
                <c:pt idx="67">
                  <c:v>1.6509</c:v>
                </c:pt>
                <c:pt idx="68">
                  <c:v>1.6487000000000001</c:v>
                </c:pt>
                <c:pt idx="69">
                  <c:v>1.6494</c:v>
                </c:pt>
                <c:pt idx="70">
                  <c:v>1.6500999999999999</c:v>
                </c:pt>
                <c:pt idx="71">
                  <c:v>1.6485000000000001</c:v>
                </c:pt>
                <c:pt idx="72">
                  <c:v>1.6519999999999999</c:v>
                </c:pt>
                <c:pt idx="73">
                  <c:v>1.6536999999999999</c:v>
                </c:pt>
                <c:pt idx="74">
                  <c:v>1.6511</c:v>
                </c:pt>
                <c:pt idx="75">
                  <c:v>1.6529</c:v>
                </c:pt>
                <c:pt idx="76">
                  <c:v>1.6538999999999999</c:v>
                </c:pt>
                <c:pt idx="77">
                  <c:v>1.6546000000000001</c:v>
                </c:pt>
                <c:pt idx="78">
                  <c:v>1.6488</c:v>
                </c:pt>
                <c:pt idx="79">
                  <c:v>1.6547000000000001</c:v>
                </c:pt>
                <c:pt idx="80">
                  <c:v>1.6547000000000001</c:v>
                </c:pt>
                <c:pt idx="81">
                  <c:v>1.6540999999999999</c:v>
                </c:pt>
                <c:pt idx="82">
                  <c:v>1.6541999999999999</c:v>
                </c:pt>
                <c:pt idx="83">
                  <c:v>1.6558999999999999</c:v>
                </c:pt>
                <c:pt idx="84">
                  <c:v>1.6576</c:v>
                </c:pt>
                <c:pt idx="85">
                  <c:v>1.6527000000000001</c:v>
                </c:pt>
                <c:pt idx="86">
                  <c:v>1.6591</c:v>
                </c:pt>
                <c:pt idx="87">
                  <c:v>1.6598999999999999</c:v>
                </c:pt>
                <c:pt idx="88">
                  <c:v>1.6611</c:v>
                </c:pt>
                <c:pt idx="89">
                  <c:v>1.6584000000000001</c:v>
                </c:pt>
                <c:pt idx="90">
                  <c:v>1.6605000000000001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ED-422F-9309-729825384376}"/>
            </c:ext>
          </c:extLst>
        </c:ser>
        <c:ser>
          <c:idx val="2"/>
          <c:order val="2"/>
          <c:tx>
            <c:v>Lower BL</c:v>
          </c:tx>
          <c:marker>
            <c:symbol val="none"/>
          </c:marker>
          <c:xVal>
            <c:numRef>
              <c:f>Solver!$R$12:$R$13</c:f>
              <c:numCache>
                <c:formatCode>General</c:formatCode>
                <c:ptCount val="2"/>
                <c:pt idx="0">
                  <c:v>25</c:v>
                </c:pt>
                <c:pt idx="1">
                  <c:v>70</c:v>
                </c:pt>
              </c:numCache>
            </c:numRef>
          </c:xVal>
          <c:yVal>
            <c:numRef>
              <c:f>Solver!$S$12:$S$13</c:f>
              <c:numCache>
                <c:formatCode>General</c:formatCode>
                <c:ptCount val="2"/>
                <c:pt idx="0">
                  <c:v>1.4649999999999999</c:v>
                </c:pt>
                <c:pt idx="1">
                  <c:v>1.51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ED-422F-9309-729825384376}"/>
            </c:ext>
          </c:extLst>
        </c:ser>
        <c:ser>
          <c:idx val="3"/>
          <c:order val="3"/>
          <c:tx>
            <c:v>Upper BL</c:v>
          </c:tx>
          <c:marker>
            <c:symbol val="none"/>
          </c:marker>
          <c:xVal>
            <c:numRef>
              <c:f>Solver!$R$14:$R$15</c:f>
              <c:numCache>
                <c:formatCode>General</c:formatCode>
                <c:ptCount val="2"/>
                <c:pt idx="0">
                  <c:v>25</c:v>
                </c:pt>
                <c:pt idx="1">
                  <c:v>70</c:v>
                </c:pt>
              </c:numCache>
            </c:numRef>
          </c:xVal>
          <c:yVal>
            <c:numRef>
              <c:f>Solver!$S$14:$S$15</c:f>
              <c:numCache>
                <c:formatCode>General</c:formatCode>
                <c:ptCount val="2"/>
                <c:pt idx="0">
                  <c:v>1.605</c:v>
                </c:pt>
                <c:pt idx="1">
                  <c:v>1.6500000000000001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ED-422F-9309-729825384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39680"/>
        <c:axId val="129295104"/>
      </c:scatterChart>
      <c:valAx>
        <c:axId val="129239680"/>
        <c:scaling>
          <c:orientation val="minMax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CA" sz="1000"/>
                  <a:t>Temperature (</a:t>
                </a:r>
                <a:r>
                  <a:rPr lang="en-CA" sz="1000">
                    <a:sym typeface="Symbol" panose="05050102010706020507" pitchFamily="18" charset="2"/>
                  </a:rPr>
                  <a:t>C</a:t>
                </a:r>
                <a:r>
                  <a:rPr lang="en-CA" sz="100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95104"/>
        <c:crosses val="autoZero"/>
        <c:crossBetween val="midCat"/>
      </c:valAx>
      <c:valAx>
        <c:axId val="1292951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CA" sz="1000"/>
                  <a:t>OD (260 nm)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39680"/>
        <c:crosses val="autoZero"/>
        <c:crossBetween val="midCat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 horizontalDpi="-3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CA" sz="1000"/>
              <a:t>Absorbance vs. 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678353363724271"/>
          <c:y val="0.10105842325264898"/>
          <c:w val="0.77716397292443762"/>
          <c:h val="0.75673957421989035"/>
        </c:manualLayout>
      </c:layout>
      <c:scatterChart>
        <c:scatterStyle val="lineMarker"/>
        <c:varyColors val="0"/>
        <c:ser>
          <c:idx val="1"/>
          <c:order val="0"/>
          <c:tx>
            <c:strRef>
              <c:f>Solver!$C$1</c:f>
              <c:strCache>
                <c:ptCount val="1"/>
                <c:pt idx="0">
                  <c:v>Vobs (alpha)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25</c:v>
                </c:pt>
                <c:pt idx="1">
                  <c:v>25.5</c:v>
                </c:pt>
                <c:pt idx="2">
                  <c:v>26</c:v>
                </c:pt>
                <c:pt idx="3">
                  <c:v>26.5</c:v>
                </c:pt>
                <c:pt idx="4">
                  <c:v>27</c:v>
                </c:pt>
                <c:pt idx="5">
                  <c:v>27.5</c:v>
                </c:pt>
                <c:pt idx="6">
                  <c:v>28</c:v>
                </c:pt>
                <c:pt idx="7">
                  <c:v>28.5</c:v>
                </c:pt>
                <c:pt idx="8">
                  <c:v>29</c:v>
                </c:pt>
                <c:pt idx="9">
                  <c:v>29.5</c:v>
                </c:pt>
                <c:pt idx="10">
                  <c:v>30</c:v>
                </c:pt>
                <c:pt idx="11">
                  <c:v>30.5</c:v>
                </c:pt>
                <c:pt idx="12">
                  <c:v>31</c:v>
                </c:pt>
                <c:pt idx="13">
                  <c:v>31.5</c:v>
                </c:pt>
                <c:pt idx="14">
                  <c:v>32</c:v>
                </c:pt>
                <c:pt idx="15">
                  <c:v>32.5</c:v>
                </c:pt>
                <c:pt idx="16">
                  <c:v>33</c:v>
                </c:pt>
                <c:pt idx="17">
                  <c:v>33.5</c:v>
                </c:pt>
                <c:pt idx="18">
                  <c:v>34</c:v>
                </c:pt>
                <c:pt idx="19">
                  <c:v>34.5</c:v>
                </c:pt>
                <c:pt idx="20">
                  <c:v>35</c:v>
                </c:pt>
                <c:pt idx="21">
                  <c:v>35.5</c:v>
                </c:pt>
                <c:pt idx="22">
                  <c:v>36</c:v>
                </c:pt>
                <c:pt idx="23">
                  <c:v>36.5</c:v>
                </c:pt>
                <c:pt idx="24">
                  <c:v>37</c:v>
                </c:pt>
                <c:pt idx="25">
                  <c:v>37.5</c:v>
                </c:pt>
                <c:pt idx="26">
                  <c:v>38</c:v>
                </c:pt>
                <c:pt idx="27">
                  <c:v>38.5</c:v>
                </c:pt>
                <c:pt idx="28">
                  <c:v>39</c:v>
                </c:pt>
                <c:pt idx="29">
                  <c:v>39.5</c:v>
                </c:pt>
                <c:pt idx="30">
                  <c:v>40</c:v>
                </c:pt>
                <c:pt idx="31">
                  <c:v>40.5</c:v>
                </c:pt>
                <c:pt idx="32">
                  <c:v>41</c:v>
                </c:pt>
                <c:pt idx="33">
                  <c:v>41.5</c:v>
                </c:pt>
                <c:pt idx="34">
                  <c:v>42</c:v>
                </c:pt>
                <c:pt idx="35">
                  <c:v>42.5</c:v>
                </c:pt>
                <c:pt idx="36">
                  <c:v>43</c:v>
                </c:pt>
                <c:pt idx="37">
                  <c:v>43.5</c:v>
                </c:pt>
                <c:pt idx="38">
                  <c:v>44</c:v>
                </c:pt>
                <c:pt idx="39">
                  <c:v>44.5</c:v>
                </c:pt>
                <c:pt idx="40">
                  <c:v>45</c:v>
                </c:pt>
                <c:pt idx="41">
                  <c:v>45.5</c:v>
                </c:pt>
                <c:pt idx="42">
                  <c:v>46</c:v>
                </c:pt>
                <c:pt idx="43">
                  <c:v>46.5</c:v>
                </c:pt>
                <c:pt idx="44">
                  <c:v>47</c:v>
                </c:pt>
                <c:pt idx="45">
                  <c:v>47.5</c:v>
                </c:pt>
                <c:pt idx="46">
                  <c:v>48</c:v>
                </c:pt>
                <c:pt idx="47">
                  <c:v>48.5</c:v>
                </c:pt>
                <c:pt idx="48">
                  <c:v>49</c:v>
                </c:pt>
                <c:pt idx="49">
                  <c:v>49.5</c:v>
                </c:pt>
                <c:pt idx="50">
                  <c:v>50</c:v>
                </c:pt>
                <c:pt idx="51">
                  <c:v>50.5</c:v>
                </c:pt>
                <c:pt idx="52">
                  <c:v>51</c:v>
                </c:pt>
                <c:pt idx="53">
                  <c:v>51.5</c:v>
                </c:pt>
                <c:pt idx="54">
                  <c:v>52</c:v>
                </c:pt>
                <c:pt idx="55">
                  <c:v>52.5</c:v>
                </c:pt>
                <c:pt idx="56">
                  <c:v>53</c:v>
                </c:pt>
                <c:pt idx="57">
                  <c:v>53.5</c:v>
                </c:pt>
                <c:pt idx="58">
                  <c:v>54</c:v>
                </c:pt>
                <c:pt idx="59">
                  <c:v>54.5</c:v>
                </c:pt>
                <c:pt idx="60">
                  <c:v>55</c:v>
                </c:pt>
                <c:pt idx="61">
                  <c:v>55.5</c:v>
                </c:pt>
                <c:pt idx="62">
                  <c:v>56</c:v>
                </c:pt>
                <c:pt idx="63">
                  <c:v>56.5</c:v>
                </c:pt>
                <c:pt idx="64">
                  <c:v>57</c:v>
                </c:pt>
                <c:pt idx="65">
                  <c:v>57.5</c:v>
                </c:pt>
                <c:pt idx="66">
                  <c:v>58</c:v>
                </c:pt>
                <c:pt idx="67">
                  <c:v>58.5</c:v>
                </c:pt>
                <c:pt idx="68">
                  <c:v>59</c:v>
                </c:pt>
                <c:pt idx="69">
                  <c:v>59.5</c:v>
                </c:pt>
                <c:pt idx="70">
                  <c:v>60</c:v>
                </c:pt>
                <c:pt idx="71">
                  <c:v>60.5</c:v>
                </c:pt>
                <c:pt idx="72">
                  <c:v>61</c:v>
                </c:pt>
                <c:pt idx="73">
                  <c:v>61.5</c:v>
                </c:pt>
                <c:pt idx="74">
                  <c:v>62</c:v>
                </c:pt>
                <c:pt idx="75">
                  <c:v>62.5</c:v>
                </c:pt>
                <c:pt idx="76">
                  <c:v>63</c:v>
                </c:pt>
                <c:pt idx="77">
                  <c:v>63.5</c:v>
                </c:pt>
                <c:pt idx="78">
                  <c:v>64</c:v>
                </c:pt>
                <c:pt idx="79">
                  <c:v>64.5</c:v>
                </c:pt>
                <c:pt idx="80">
                  <c:v>65</c:v>
                </c:pt>
                <c:pt idx="81">
                  <c:v>65.5</c:v>
                </c:pt>
                <c:pt idx="82">
                  <c:v>66</c:v>
                </c:pt>
                <c:pt idx="83">
                  <c:v>66.5</c:v>
                </c:pt>
                <c:pt idx="84">
                  <c:v>67</c:v>
                </c:pt>
                <c:pt idx="85">
                  <c:v>67.5</c:v>
                </c:pt>
                <c:pt idx="86">
                  <c:v>68</c:v>
                </c:pt>
                <c:pt idx="87">
                  <c:v>68.5</c:v>
                </c:pt>
                <c:pt idx="88">
                  <c:v>69</c:v>
                </c:pt>
                <c:pt idx="89">
                  <c:v>69.5</c:v>
                </c:pt>
                <c:pt idx="90">
                  <c:v>70</c:v>
                </c:pt>
              </c:numCache>
            </c:numRef>
          </c:xVal>
          <c:yVal>
            <c:numRef>
              <c:f>Solver!$B$2:$B$501</c:f>
              <c:numCache>
                <c:formatCode>General</c:formatCode>
                <c:ptCount val="500"/>
                <c:pt idx="0">
                  <c:v>1.4634</c:v>
                </c:pt>
                <c:pt idx="1">
                  <c:v>1.4618</c:v>
                </c:pt>
                <c:pt idx="2">
                  <c:v>1.4612000000000001</c:v>
                </c:pt>
                <c:pt idx="3">
                  <c:v>1.4639</c:v>
                </c:pt>
                <c:pt idx="4">
                  <c:v>1.4658</c:v>
                </c:pt>
                <c:pt idx="5">
                  <c:v>1.4656</c:v>
                </c:pt>
                <c:pt idx="6">
                  <c:v>1.4655</c:v>
                </c:pt>
                <c:pt idx="7">
                  <c:v>1.4650000000000001</c:v>
                </c:pt>
                <c:pt idx="8">
                  <c:v>1.4659</c:v>
                </c:pt>
                <c:pt idx="9">
                  <c:v>1.4663999999999999</c:v>
                </c:pt>
                <c:pt idx="10">
                  <c:v>1.4703999999999999</c:v>
                </c:pt>
                <c:pt idx="11">
                  <c:v>1.47</c:v>
                </c:pt>
                <c:pt idx="12">
                  <c:v>1.4704999999999999</c:v>
                </c:pt>
                <c:pt idx="13">
                  <c:v>1.4665999999999999</c:v>
                </c:pt>
                <c:pt idx="14">
                  <c:v>1.4679</c:v>
                </c:pt>
                <c:pt idx="15">
                  <c:v>1.4710000000000001</c:v>
                </c:pt>
                <c:pt idx="16">
                  <c:v>1.4710000000000001</c:v>
                </c:pt>
                <c:pt idx="17">
                  <c:v>1.4681</c:v>
                </c:pt>
                <c:pt idx="18">
                  <c:v>1.4702</c:v>
                </c:pt>
                <c:pt idx="19">
                  <c:v>1.4741</c:v>
                </c:pt>
                <c:pt idx="20">
                  <c:v>1.4729000000000001</c:v>
                </c:pt>
                <c:pt idx="21">
                  <c:v>1.4743999999999999</c:v>
                </c:pt>
                <c:pt idx="22">
                  <c:v>1.4723999999999999</c:v>
                </c:pt>
                <c:pt idx="23">
                  <c:v>1.4736</c:v>
                </c:pt>
                <c:pt idx="24">
                  <c:v>1.4722</c:v>
                </c:pt>
                <c:pt idx="25">
                  <c:v>1.4742</c:v>
                </c:pt>
                <c:pt idx="26">
                  <c:v>1.478</c:v>
                </c:pt>
                <c:pt idx="27">
                  <c:v>1.4739</c:v>
                </c:pt>
                <c:pt idx="28">
                  <c:v>1.4758</c:v>
                </c:pt>
                <c:pt idx="29">
                  <c:v>1.478</c:v>
                </c:pt>
                <c:pt idx="30">
                  <c:v>1.4767999999999999</c:v>
                </c:pt>
                <c:pt idx="31">
                  <c:v>1.4766999999999999</c:v>
                </c:pt>
                <c:pt idx="32">
                  <c:v>1.4772000000000001</c:v>
                </c:pt>
                <c:pt idx="33">
                  <c:v>1.4784999999999999</c:v>
                </c:pt>
                <c:pt idx="34">
                  <c:v>1.4812000000000001</c:v>
                </c:pt>
                <c:pt idx="35">
                  <c:v>1.4842</c:v>
                </c:pt>
                <c:pt idx="36">
                  <c:v>1.4844999999999999</c:v>
                </c:pt>
                <c:pt idx="37">
                  <c:v>1.4822</c:v>
                </c:pt>
                <c:pt idx="38">
                  <c:v>1.4838</c:v>
                </c:pt>
                <c:pt idx="39">
                  <c:v>1.4947999999999999</c:v>
                </c:pt>
                <c:pt idx="40">
                  <c:v>1.4928999999999999</c:v>
                </c:pt>
                <c:pt idx="41">
                  <c:v>1.502</c:v>
                </c:pt>
                <c:pt idx="42">
                  <c:v>1.5126999999999999</c:v>
                </c:pt>
                <c:pt idx="43">
                  <c:v>1.518</c:v>
                </c:pt>
                <c:pt idx="44">
                  <c:v>1.5356000000000001</c:v>
                </c:pt>
                <c:pt idx="45">
                  <c:v>1.5481</c:v>
                </c:pt>
                <c:pt idx="46">
                  <c:v>1.5598000000000001</c:v>
                </c:pt>
                <c:pt idx="47">
                  <c:v>1.5785</c:v>
                </c:pt>
                <c:pt idx="48">
                  <c:v>1.5922000000000001</c:v>
                </c:pt>
                <c:pt idx="49">
                  <c:v>1.6041000000000001</c:v>
                </c:pt>
                <c:pt idx="50">
                  <c:v>1.6153</c:v>
                </c:pt>
                <c:pt idx="51">
                  <c:v>1.6263000000000001</c:v>
                </c:pt>
                <c:pt idx="52">
                  <c:v>1.6267</c:v>
                </c:pt>
                <c:pt idx="53">
                  <c:v>1.6342000000000001</c:v>
                </c:pt>
                <c:pt idx="54">
                  <c:v>1.6380999999999999</c:v>
                </c:pt>
                <c:pt idx="55">
                  <c:v>1.6397999999999999</c:v>
                </c:pt>
                <c:pt idx="56">
                  <c:v>1.6412</c:v>
                </c:pt>
                <c:pt idx="57">
                  <c:v>1.6418999999999999</c:v>
                </c:pt>
                <c:pt idx="58">
                  <c:v>1.6458999999999999</c:v>
                </c:pt>
                <c:pt idx="59">
                  <c:v>1.6436999999999999</c:v>
                </c:pt>
                <c:pt idx="60">
                  <c:v>1.6449</c:v>
                </c:pt>
                <c:pt idx="61">
                  <c:v>1.6485000000000001</c:v>
                </c:pt>
                <c:pt idx="62">
                  <c:v>1.6482000000000001</c:v>
                </c:pt>
                <c:pt idx="63">
                  <c:v>1.6456</c:v>
                </c:pt>
                <c:pt idx="64">
                  <c:v>1.6488</c:v>
                </c:pt>
                <c:pt idx="65">
                  <c:v>1.6505000000000001</c:v>
                </c:pt>
                <c:pt idx="66">
                  <c:v>1.6509</c:v>
                </c:pt>
                <c:pt idx="67">
                  <c:v>1.6509</c:v>
                </c:pt>
                <c:pt idx="68">
                  <c:v>1.6487000000000001</c:v>
                </c:pt>
                <c:pt idx="69">
                  <c:v>1.6494</c:v>
                </c:pt>
                <c:pt idx="70">
                  <c:v>1.6500999999999999</c:v>
                </c:pt>
                <c:pt idx="71">
                  <c:v>1.6485000000000001</c:v>
                </c:pt>
                <c:pt idx="72">
                  <c:v>1.6519999999999999</c:v>
                </c:pt>
                <c:pt idx="73">
                  <c:v>1.6536999999999999</c:v>
                </c:pt>
                <c:pt idx="74">
                  <c:v>1.6511</c:v>
                </c:pt>
                <c:pt idx="75">
                  <c:v>1.6529</c:v>
                </c:pt>
                <c:pt idx="76">
                  <c:v>1.6538999999999999</c:v>
                </c:pt>
                <c:pt idx="77">
                  <c:v>1.6546000000000001</c:v>
                </c:pt>
                <c:pt idx="78">
                  <c:v>1.6488</c:v>
                </c:pt>
                <c:pt idx="79">
                  <c:v>1.6547000000000001</c:v>
                </c:pt>
                <c:pt idx="80">
                  <c:v>1.6547000000000001</c:v>
                </c:pt>
                <c:pt idx="81">
                  <c:v>1.6540999999999999</c:v>
                </c:pt>
                <c:pt idx="82">
                  <c:v>1.6541999999999999</c:v>
                </c:pt>
                <c:pt idx="83">
                  <c:v>1.6558999999999999</c:v>
                </c:pt>
                <c:pt idx="84">
                  <c:v>1.6576</c:v>
                </c:pt>
                <c:pt idx="85">
                  <c:v>1.6527000000000001</c:v>
                </c:pt>
                <c:pt idx="86">
                  <c:v>1.6591</c:v>
                </c:pt>
                <c:pt idx="87">
                  <c:v>1.6598999999999999</c:v>
                </c:pt>
                <c:pt idx="88">
                  <c:v>1.6611</c:v>
                </c:pt>
                <c:pt idx="89">
                  <c:v>1.6584000000000001</c:v>
                </c:pt>
                <c:pt idx="90">
                  <c:v>1.6605000000000001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7-4530-9D4A-2E226B715CDC}"/>
            </c:ext>
          </c:extLst>
        </c:ser>
        <c:ser>
          <c:idx val="2"/>
          <c:order val="1"/>
          <c:tx>
            <c:v>Lower BL</c:v>
          </c:tx>
          <c:marker>
            <c:symbol val="none"/>
          </c:marker>
          <c:xVal>
            <c:numRef>
              <c:f>Solver!$R$12:$R$13</c:f>
              <c:numCache>
                <c:formatCode>General</c:formatCode>
                <c:ptCount val="2"/>
                <c:pt idx="0">
                  <c:v>25</c:v>
                </c:pt>
                <c:pt idx="1">
                  <c:v>70</c:v>
                </c:pt>
              </c:numCache>
            </c:numRef>
          </c:xVal>
          <c:yVal>
            <c:numRef>
              <c:f>Solver!$S$12:$S$13</c:f>
              <c:numCache>
                <c:formatCode>General</c:formatCode>
                <c:ptCount val="2"/>
                <c:pt idx="0">
                  <c:v>1.4649999999999999</c:v>
                </c:pt>
                <c:pt idx="1">
                  <c:v>1.51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E7-4530-9D4A-2E226B715CDC}"/>
            </c:ext>
          </c:extLst>
        </c:ser>
        <c:ser>
          <c:idx val="3"/>
          <c:order val="2"/>
          <c:tx>
            <c:v>Upper BL</c:v>
          </c:tx>
          <c:marker>
            <c:symbol val="none"/>
          </c:marker>
          <c:xVal>
            <c:numRef>
              <c:f>Solver!$R$14:$R$15</c:f>
              <c:numCache>
                <c:formatCode>General</c:formatCode>
                <c:ptCount val="2"/>
                <c:pt idx="0">
                  <c:v>25</c:v>
                </c:pt>
                <c:pt idx="1">
                  <c:v>70</c:v>
                </c:pt>
              </c:numCache>
            </c:numRef>
          </c:xVal>
          <c:yVal>
            <c:numRef>
              <c:f>Solver!$S$14:$S$15</c:f>
              <c:numCache>
                <c:formatCode>General</c:formatCode>
                <c:ptCount val="2"/>
                <c:pt idx="0">
                  <c:v>1.605</c:v>
                </c:pt>
                <c:pt idx="1">
                  <c:v>1.6500000000000001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E7-4530-9D4A-2E226B71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39680"/>
        <c:axId val="129295104"/>
      </c:scatterChart>
      <c:valAx>
        <c:axId val="129239680"/>
        <c:scaling>
          <c:orientation val="minMax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CA" sz="1000"/>
                  <a:t>Temperature (</a:t>
                </a:r>
                <a:r>
                  <a:rPr lang="en-CA" sz="1000">
                    <a:sym typeface="Symbol" panose="05050102010706020507" pitchFamily="18" charset="2"/>
                  </a:rPr>
                  <a:t>C</a:t>
                </a:r>
                <a:r>
                  <a:rPr lang="en-CA" sz="100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95104"/>
        <c:crosses val="autoZero"/>
        <c:crossBetween val="midCat"/>
      </c:valAx>
      <c:valAx>
        <c:axId val="1292951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CA" sz="1000"/>
                  <a:t>OD (260 nm)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39680"/>
        <c:crosses val="autoZero"/>
        <c:crossBetween val="midCat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 horizontalDpi="-3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R$7" fmlaRange="$R$4:$R$6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457713</xdr:colOff>
      <xdr:row>26</xdr:row>
      <xdr:rowOff>9525</xdr:rowOff>
    </xdr:from>
    <xdr:to>
      <xdr:col>11</xdr:col>
      <xdr:colOff>384175</xdr:colOff>
      <xdr:row>27</xdr:row>
      <xdr:rowOff>154961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5">
              <a:extLst>
                <a:ext uri="{FF2B5EF4-FFF2-40B4-BE49-F238E27FC236}">
                  <a16:creationId xmlns:a16="http://schemas.microsoft.com/office/drawing/2014/main" id="{3F424663-B583-4CAB-92BF-D9850042D2C4}"/>
                </a:ext>
              </a:extLst>
            </xdr:cNvPr>
            <xdr:cNvSpPr txBox="1"/>
          </xdr:nvSpPr>
          <xdr:spPr>
            <a:xfrm>
              <a:off x="3153288" y="4467225"/>
              <a:ext cx="3412612" cy="30736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𝑒𝑥𝑝</m:t>
                        </m:r>
                      </m:e>
                      <m:sup>
                        <m:f>
                          <m:fPr>
                            <m:ctrlP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l-GR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num>
                          <m:den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den>
                        </m:f>
                        <m:d>
                          <m:dPr>
                            <m:ctrlP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</m:den>
                            </m:f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𝑀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sup>
                    </m:sSup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→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𝐾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𝑇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)=</m:t>
                    </m:r>
                    <m:sSup>
                      <m:sSupPr>
                        <m:ctrlPr>
                          <a:rPr lang="en-CA" sz="12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CA" sz="12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𝑒𝑥𝑝</m:t>
                        </m:r>
                      </m:e>
                      <m:sup>
                        <m:f>
                          <m:fPr>
                            <m:ctrlP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r>
                              <m:rPr>
                                <m:sty m:val="p"/>
                              </m:rPr>
                              <a:rPr lang="el-GR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num>
                          <m:den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</m:den>
                        </m:f>
                        <m:d>
                          <m:dPr>
                            <m:ctrlP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CA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den>
                            </m:f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𝑀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sup>
                    </m:sSup>
                  </m:oMath>
                </m:oMathPara>
              </a14:m>
              <a:endParaRPr lang="en-CA" sz="1200"/>
            </a:p>
          </xdr:txBody>
        </xdr:sp>
      </mc:Choice>
      <mc:Fallback xmlns="">
        <xdr:sp macro="" textlink="">
          <xdr:nvSpPr>
            <xdr:cNvPr id="2" name="TextBox 15">
              <a:extLst>
                <a:ext uri="{FF2B5EF4-FFF2-40B4-BE49-F238E27FC236}">
                  <a16:creationId xmlns:a16="http://schemas.microsoft.com/office/drawing/2014/main" id="{3F424663-B583-4CAB-92BF-D9850042D2C4}"/>
                </a:ext>
              </a:extLst>
            </xdr:cNvPr>
            <xdr:cNvSpPr txBox="1"/>
          </xdr:nvSpPr>
          <xdr:spPr>
            <a:xfrm>
              <a:off x="3153288" y="4467225"/>
              <a:ext cx="3412612" cy="30736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𝐾_2=〖𝑒𝑥𝑝〗^((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</a:t>
              </a:r>
              <a:r>
                <a:rPr lang="el-GR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𝐻)/𝑅 (1/𝑇_2 −1/𝑇_𝑀 ) </a:t>
              </a:r>
              <a:r>
                <a:rPr lang="en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)→𝐾(𝑇)=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〖𝑒𝑥𝑝〗^((−</a:t>
              </a:r>
              <a:r>
                <a:rPr lang="el-GR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𝐻)/𝑅 (1/</a:t>
              </a:r>
              <a:r>
                <a:rPr lang="en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−1/𝑇_𝑀 ) )</a:t>
              </a:r>
              <a:endParaRPr lang="en-CA" sz="1200"/>
            </a:p>
          </xdr:txBody>
        </xdr:sp>
      </mc:Fallback>
    </mc:AlternateContent>
    <xdr:clientData/>
  </xdr:twoCellAnchor>
  <xdr:twoCellAnchor>
    <xdr:from>
      <xdr:col>5</xdr:col>
      <xdr:colOff>428625</xdr:colOff>
      <xdr:row>29</xdr:row>
      <xdr:rowOff>9525</xdr:rowOff>
    </xdr:from>
    <xdr:to>
      <xdr:col>8</xdr:col>
      <xdr:colOff>45583</xdr:colOff>
      <xdr:row>31</xdr:row>
      <xdr:rowOff>134872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7">
              <a:extLst>
                <a:ext uri="{FF2B5EF4-FFF2-40B4-BE49-F238E27FC236}">
                  <a16:creationId xmlns:a16="http://schemas.microsoft.com/office/drawing/2014/main" id="{973128B5-77E6-4D1A-8A5C-4EC820CE4C0E}"/>
                </a:ext>
              </a:extLst>
            </xdr:cNvPr>
            <xdr:cNvSpPr txBox="1"/>
          </xdr:nvSpPr>
          <xdr:spPr>
            <a:xfrm>
              <a:off x="3124200" y="4953000"/>
              <a:ext cx="1360033" cy="449197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CA" sz="12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CA" sz="12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1+</m:t>
                        </m:r>
                        <m:f>
                          <m:fPr>
                            <m:type m:val="skw"/>
                            <m:ctrlPr>
                              <a:rPr lang="en-CA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n-CA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𝐾</m:t>
                            </m:r>
                          </m:den>
                        </m:f>
                      </m:den>
                    </m:f>
                  </m:oMath>
                </m:oMathPara>
              </a14:m>
              <a:endParaRPr lang="en-CA" sz="12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17">
              <a:extLst>
                <a:ext uri="{FF2B5EF4-FFF2-40B4-BE49-F238E27FC236}">
                  <a16:creationId xmlns:a16="http://schemas.microsoft.com/office/drawing/2014/main" id="{973128B5-77E6-4D1A-8A5C-4EC820CE4C0E}"/>
                </a:ext>
              </a:extLst>
            </xdr:cNvPr>
            <xdr:cNvSpPr txBox="1"/>
          </xdr:nvSpPr>
          <xdr:spPr>
            <a:xfrm>
              <a:off x="3124200" y="4953000"/>
              <a:ext cx="1360033" cy="449197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en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=1/(1+1⁄𝐾)</a:t>
              </a:r>
              <a:endParaRPr lang="en-CA" sz="12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twoCellAnchor>
  <xdr:twoCellAnchor>
    <xdr:from>
      <xdr:col>7</xdr:col>
      <xdr:colOff>381752</xdr:colOff>
      <xdr:row>28</xdr:row>
      <xdr:rowOff>130175</xdr:rowOff>
    </xdr:from>
    <xdr:to>
      <xdr:col>11</xdr:col>
      <xdr:colOff>336550</xdr:colOff>
      <xdr:row>32</xdr:row>
      <xdr:rowOff>83413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19">
              <a:extLst>
                <a:ext uri="{FF2B5EF4-FFF2-40B4-BE49-F238E27FC236}">
                  <a16:creationId xmlns:a16="http://schemas.microsoft.com/office/drawing/2014/main" id="{BACF9810-E69E-4991-8E58-69E964A17526}"/>
                </a:ext>
              </a:extLst>
            </xdr:cNvPr>
            <xdr:cNvSpPr txBox="1"/>
          </xdr:nvSpPr>
          <xdr:spPr>
            <a:xfrm>
              <a:off x="4239377" y="4911725"/>
              <a:ext cx="2278898" cy="60093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→ </m:t>
                    </m:r>
                    <m:r>
                      <a:rPr lang="en-CA" sz="12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𝑇</m:t>
                    </m:r>
                    <m:r>
                      <a:rPr lang="en-CA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)=</m:t>
                    </m:r>
                    <m:f>
                      <m:fPr>
                        <m:ctrlPr>
                          <a:rPr lang="en-CA" sz="12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CA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1+</m:t>
                        </m:r>
                        <m:sSup>
                          <m:sSupPr>
                            <m:ctrlP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𝑒𝑥𝑝</m:t>
                            </m:r>
                          </m:e>
                          <m:sup>
                            <m:f>
                              <m:f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m:rPr>
                                    <m:sty m:val="p"/>
                                  </m:rPr>
                                  <a:rPr lang="el-GR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Δ</m:t>
                                </m:r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num>
                              <m:den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den>
                            </m:f>
                            <m:d>
                              <m:d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</m:t>
                                    </m:r>
                                  </m:num>
                                  <m:den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den>
                                </m:f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f>
                                  <m:fPr>
                                    <m:ctrlP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CA" sz="12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CA" sz="12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n-CA" sz="12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𝑀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den>
                    </m:f>
                  </m:oMath>
                </m:oMathPara>
              </a14:m>
              <a:endParaRPr lang="en-CA" sz="12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" name="TextBox 19">
              <a:extLst>
                <a:ext uri="{FF2B5EF4-FFF2-40B4-BE49-F238E27FC236}">
                  <a16:creationId xmlns:a16="http://schemas.microsoft.com/office/drawing/2014/main" id="{BACF9810-E69E-4991-8E58-69E964A17526}"/>
                </a:ext>
              </a:extLst>
            </xdr:cNvPr>
            <xdr:cNvSpPr txBox="1"/>
          </xdr:nvSpPr>
          <xdr:spPr>
            <a:xfrm>
              <a:off x="4239377" y="4911725"/>
              <a:ext cx="2278898" cy="60093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→ 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en-CA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(𝑇)=1/(1+〖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𝑒𝑥𝑝〗^(</a:t>
              </a:r>
              <a:r>
                <a:rPr lang="el-GR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𝐻/𝑅 (1/𝑇−1/𝑇_𝑀 ) ) )</a:t>
              </a:r>
              <a:endParaRPr lang="en-CA" sz="12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twoCellAnchor>
  <xdr:twoCellAnchor>
    <xdr:from>
      <xdr:col>6</xdr:col>
      <xdr:colOff>50800</xdr:colOff>
      <xdr:row>4</xdr:row>
      <xdr:rowOff>69850</xdr:rowOff>
    </xdr:from>
    <xdr:to>
      <xdr:col>13</xdr:col>
      <xdr:colOff>327025</xdr:colOff>
      <xdr:row>24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43872F-9D38-4E45-8D1B-E6DC80C8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38100</xdr:colOff>
      <xdr:row>32</xdr:row>
      <xdr:rowOff>120650</xdr:rowOff>
    </xdr:from>
    <xdr:to>
      <xdr:col>14</xdr:col>
      <xdr:colOff>19050</xdr:colOff>
      <xdr:row>42</xdr:row>
      <xdr:rowOff>19050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22">
              <a:extLst>
                <a:ext uri="{FF2B5EF4-FFF2-40B4-BE49-F238E27FC236}">
                  <a16:creationId xmlns:a16="http://schemas.microsoft.com/office/drawing/2014/main" id="{DB3C2F7A-17CC-4F89-B410-AE454DDDFC1D}"/>
                </a:ext>
              </a:extLst>
            </xdr:cNvPr>
            <xdr:cNvSpPr txBox="1"/>
          </xdr:nvSpPr>
          <xdr:spPr>
            <a:xfrm>
              <a:off x="3314700" y="5549900"/>
              <a:ext cx="4629150" cy="1517650"/>
            </a:xfrm>
            <a:prstGeom prst="rect">
              <a:avLst/>
            </a:prstGeom>
            <a:noFill/>
          </xdr:spPr>
          <xdr:txBody>
            <a:bodyPr wrap="square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spcAft>
                  <a:spcPts val="12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CA" sz="1100" i="1">
                        <a:latin typeface="Cambria Math" panose="02040503050406030204" pitchFamily="18" charset="0"/>
                      </a:rPr>
                      <m:t>𝛼</m:t>
                    </m:r>
                    <m:d>
                      <m:dPr>
                        <m:ctrlPr>
                          <a:rPr lang="en-CA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CA" sz="110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en-CA" sz="11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CA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𝑜𝑏𝑠</m:t>
                            </m:r>
                          </m:sub>
                        </m:sSub>
                        <m:r>
                          <a:rPr lang="en-CA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CA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𝑙𝑜𝑤𝑒𝑟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CA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𝑢𝑝𝑝𝑒𝑟</m:t>
                            </m:r>
                          </m:sub>
                        </m:sSub>
                        <m:r>
                          <a:rPr lang="en-CA" sz="1100" i="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CA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𝑙𝑜𝑤𝑒𝑟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CA" sz="105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CA" sz="1050" i="1" kern="120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𝛼</m:t>
                    </m:r>
                    <m:d>
                      <m:dPr>
                        <m:ctrlPr>
                          <a:rPr lang="en-CA" sz="1050" i="1" kern="12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050" i="1" kern="12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d>
                    <m:r>
                      <a:rPr lang="en-CA" sz="1050" i="1" kern="120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CA" sz="1050" i="1" kern="12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d>
                              <m:d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𝑈</m:t>
                                    </m:r>
                                  </m:e>
                                  <m:sub>
                                    <m: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𝑖𝑛𝑡</m:t>
                                    </m:r>
                                  </m:sub>
                                </m:s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𝑈</m:t>
                                    </m:r>
                                  </m:e>
                                  <m:sub>
                                    <m: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𝑠𝑙𝑜𝑝𝑒</m:t>
                                    </m:r>
                                  </m:sub>
                                </m:s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×</m:t>
                                </m:r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</m:d>
                            <m:r>
                              <a:rPr lang="en-US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𝑜𝑏𝑠</m:t>
                            </m:r>
                          </m:sub>
                        </m:sSub>
                      </m:num>
                      <m:den>
                        <m:d>
                          <m:dPr>
                            <m:ctrlP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𝑈</m:t>
                                </m:r>
                              </m:e>
                              <m: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𝑖𝑛𝑡</m:t>
                                </m:r>
                              </m:sub>
                            </m:s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𝑈</m:t>
                                </m:r>
                              </m:e>
                              <m: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𝑠𝑙𝑜𝑝𝑒</m:t>
                                </m:r>
                              </m:sub>
                            </m:s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d>
                        <m:r>
                          <a:rPr lang="en-CA" sz="1050" i="1" kern="12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d>
                          <m:dPr>
                            <m:ctrlP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𝑖𝑛𝑡</m:t>
                                </m:r>
                              </m:sub>
                            </m:s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𝑠𝑙𝑜𝑝𝑒</m:t>
                                </m:r>
                              </m:sub>
                            </m:s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CA" sz="1050" i="1" kern="1200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algn="l"/>
              <a:endParaRPr lang="en-CA" sz="1050"/>
            </a:p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CA" sz="10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𝑌</m:t>
                        </m:r>
                      </m:e>
                      <m:sub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𝑜𝑏𝑠</m:t>
                        </m:r>
                      </m:sub>
                    </m:sSub>
                    <m:r>
                      <a:rPr lang="en-CA" sz="1000" i="0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ctrlPr>
                          <a:rPr lang="en-CA" sz="10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CA" sz="10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𝑈</m:t>
                            </m:r>
                          </m:e>
                          <m: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𝑖𝑛𝑡</m:t>
                            </m:r>
                          </m:sub>
                        </m:sSub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CA" sz="10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𝑈</m:t>
                            </m:r>
                          </m:e>
                          <m: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𝑠𝑙𝑜𝑝𝑒</m:t>
                            </m:r>
                          </m:sub>
                        </m:sSub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d>
                    <m:r>
                      <a:rPr lang="en-US" sz="1000" i="0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CA" sz="1000" i="0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𝛼</m:t>
                    </m:r>
                    <m:d>
                      <m:dPr>
                        <m:ctrlPr>
                          <a:rPr lang="en-CA" sz="10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d>
                    <m:d>
                      <m:dPr>
                        <m:begChr m:val="["/>
                        <m:endChr m:val="]"/>
                        <m:ctrlPr>
                          <a:rPr lang="en-CA" sz="10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n-CA" sz="10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CA" sz="10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𝑈</m:t>
                                </m:r>
                              </m:e>
                              <m:sub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𝑖𝑛𝑡</m:t>
                                </m:r>
                              </m:sub>
                            </m:s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CA" sz="10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𝑈</m:t>
                                </m:r>
                              </m:e>
                              <m:sub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𝑠𝑙𝑜𝑝𝑒</m:t>
                                </m:r>
                              </m:sub>
                            </m:s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d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d>
                          <m:dPr>
                            <m:ctrlPr>
                              <a:rPr lang="en-CA" sz="10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CA" sz="10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𝑖𝑛𝑡</m:t>
                                </m:r>
                              </m:sub>
                            </m:s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CA" sz="10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𝑠𝑙𝑜𝑝𝑒</m:t>
                                </m:r>
                              </m:sub>
                            </m:s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d>
                      </m:e>
                    </m:d>
                  </m:oMath>
                </m:oMathPara>
              </a14:m>
              <a:endParaRPr lang="en-CA" sz="1000" i="0" kern="1200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" name="TextBox 22">
              <a:extLst>
                <a:ext uri="{FF2B5EF4-FFF2-40B4-BE49-F238E27FC236}">
                  <a16:creationId xmlns:a16="http://schemas.microsoft.com/office/drawing/2014/main" id="{DB3C2F7A-17CC-4F89-B410-AE454DDDFC1D}"/>
                </a:ext>
              </a:extLst>
            </xdr:cNvPr>
            <xdr:cNvSpPr txBox="1"/>
          </xdr:nvSpPr>
          <xdr:spPr>
            <a:xfrm>
              <a:off x="3314700" y="5549900"/>
              <a:ext cx="4629150" cy="1517650"/>
            </a:xfrm>
            <a:prstGeom prst="rect">
              <a:avLst/>
            </a:prstGeom>
            <a:noFill/>
          </xdr:spPr>
          <xdr:txBody>
            <a:bodyPr wrap="square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spcAft>
                  <a:spcPts val="1200"/>
                </a:spcAft>
              </a:pPr>
              <a:r>
                <a:rPr lang="en-CA" sz="1100" i="0">
                  <a:latin typeface="Cambria Math" panose="02040503050406030204" pitchFamily="18" charset="0"/>
                </a:rPr>
                <a:t>𝛼(𝑇)=(𝑌_𝑜𝑏𝑠</a:t>
              </a:r>
              <a:r>
                <a:rPr lang="en-CA" sz="1100" b="0" i="0">
                  <a:latin typeface="Cambria Math" panose="02040503050406030204" pitchFamily="18" charset="0"/>
                </a:rPr>
                <a:t>−</a:t>
              </a:r>
              <a:r>
                <a:rPr lang="en-CA" sz="1100" i="0">
                  <a:latin typeface="Cambria Math" panose="02040503050406030204" pitchFamily="18" charset="0"/>
                </a:rPr>
                <a:t>𝑌_𝑙𝑜𝑤𝑒𝑟)/(𝑌_𝑢𝑝𝑝𝑒𝑟−𝑌_𝑙𝑜𝑤𝑒𝑟 )</a:t>
              </a:r>
              <a:endParaRPr lang="en-CA" sz="1050" i="1">
                <a:latin typeface="Cambria Math" panose="02040503050406030204" pitchFamily="18" charset="0"/>
              </a:endParaRPr>
            </a:p>
            <a:p>
              <a:pPr/>
              <a:r>
                <a:rPr lang="en-CA" sz="1050" i="0" kern="12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𝛼(𝑇)=〖(𝑈_𝑖𝑛𝑡+𝑈_𝑠𝑙𝑜𝑝𝑒×𝑇)</a:t>
              </a:r>
              <a:r>
                <a:rPr lang="en-US" sz="1050" i="0" kern="12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CA" sz="1050" i="0" kern="12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𝑌〗_𝑜𝑏𝑠/((𝑈_𝑖𝑛𝑡+𝑈_𝑠𝑙𝑜𝑝𝑒×𝑇)−(𝐿_𝑖𝑛𝑡+𝐿_𝑠𝑙𝑜𝑝𝑒×𝑇) )</a:t>
              </a:r>
              <a:endParaRPr lang="en-CA" sz="1050" i="1" kern="1200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algn="l"/>
              <a:endParaRPr lang="en-CA" sz="1050"/>
            </a:p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0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𝑌_𝑜𝑏𝑠=(𝑈_𝑖𝑛𝑡+𝑈_𝑠𝑙𝑜𝑝𝑒×𝑇)</a:t>
              </a:r>
              <a:r>
                <a:rPr lang="en-US" sz="10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CA" sz="10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𝛼(𝑇)[(𝑈_𝑖𝑛𝑡+𝑈_𝑠𝑙𝑜𝑝𝑒×𝑇)−(𝐿_𝑖𝑛𝑡+𝐿_𝑠𝑙𝑜𝑝𝑒×𝑇)]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2695575</xdr:colOff>
      <xdr:row>0</xdr:row>
      <xdr:rowOff>457200</xdr:rowOff>
    </xdr:to>
    <xdr:sp macro="" textlink="">
      <xdr:nvSpPr>
        <xdr:cNvPr id="2059" name="Text Box 11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0820400" cy="457200"/>
        </a:xfrm>
        <a:prstGeom prst="rect">
          <a:avLst/>
        </a:prstGeom>
        <a:solidFill>
          <a:srgbClr val="FFCC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Direct Search Optimization</a:t>
          </a:r>
        </a:p>
      </xdr:txBody>
    </xdr:sp>
    <xdr:clientData/>
  </xdr:twoCellAnchor>
  <xdr:twoCellAnchor>
    <xdr:from>
      <xdr:col>11</xdr:col>
      <xdr:colOff>19051</xdr:colOff>
      <xdr:row>5</xdr:row>
      <xdr:rowOff>57150</xdr:rowOff>
    </xdr:from>
    <xdr:to>
      <xdr:col>13</xdr:col>
      <xdr:colOff>1609726</xdr:colOff>
      <xdr:row>20</xdr:row>
      <xdr:rowOff>133350</xdr:rowOff>
    </xdr:to>
    <xdr:graphicFrame macro="">
      <xdr:nvGraphicFramePr>
        <xdr:cNvPr id="2242" name="Chart 24">
          <a:extLs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</xdr:colOff>
      <xdr:row>28</xdr:row>
      <xdr:rowOff>104775</xdr:rowOff>
    </xdr:from>
    <xdr:to>
      <xdr:col>13</xdr:col>
      <xdr:colOff>1609725</xdr:colOff>
      <xdr:row>44</xdr:row>
      <xdr:rowOff>85725</xdr:rowOff>
    </xdr:to>
    <xdr:graphicFrame macro="">
      <xdr:nvGraphicFramePr>
        <xdr:cNvPr id="7" name="Chart 2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1390650</xdr:colOff>
          <xdr:row>2</xdr:row>
          <xdr:rowOff>9525</xdr:rowOff>
        </xdr:from>
        <xdr:to>
          <xdr:col>13</xdr:col>
          <xdr:colOff>400050</xdr:colOff>
          <xdr:row>3</xdr:row>
          <xdr:rowOff>38100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0</xdr:col>
          <xdr:colOff>1066800</xdr:colOff>
          <xdr:row>0</xdr:row>
          <xdr:rowOff>409575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DSO FIT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28575</xdr:rowOff>
        </xdr:from>
        <xdr:to>
          <xdr:col>2</xdr:col>
          <xdr:colOff>304800</xdr:colOff>
          <xdr:row>0</xdr:row>
          <xdr:rowOff>409575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FIT CURRENT PARAMETERS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46</xdr:row>
      <xdr:rowOff>0</xdr:rowOff>
    </xdr:from>
    <xdr:to>
      <xdr:col>13</xdr:col>
      <xdr:colOff>1590675</xdr:colOff>
      <xdr:row>61</xdr:row>
      <xdr:rowOff>146050</xdr:rowOff>
    </xdr:to>
    <xdr:graphicFrame macro="">
      <xdr:nvGraphicFramePr>
        <xdr:cNvPr id="2" name="Chart 24">
          <a:extLst>
            <a:ext uri="{FF2B5EF4-FFF2-40B4-BE49-F238E27FC236}">
              <a16:creationId xmlns:a16="http://schemas.microsoft.com/office/drawing/2014/main" id="{FB5262B1-0431-4301-8A1F-718AF1406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0.04099</cdr:x>
      <cdr:y>0.0856</cdr:y>
    </cdr:from>
    <cdr:to>
      <cdr:x>0.14135</cdr:x>
      <cdr:y>0.90338</cdr:y>
    </cdr:to>
    <cdr:sp macro="" textlink="Solver!$D$1">
      <cdr:nvSpPr>
        <cdr:cNvPr id="54277" name="Text Box 5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52399" y="223947"/>
          <a:ext cx="373130" cy="21394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36576" tIns="27432" rIns="36576" bIns="27432" anchor="ctr" upright="1"/>
        <a:lstStyle xmlns:a="http://schemas.openxmlformats.org/drawingml/2006/main"/>
        <a:p xmlns:a="http://schemas.openxmlformats.org/drawingml/2006/main">
          <a:endParaRPr lang="en-CA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444500</xdr:colOff>
      <xdr:row>1</xdr:row>
      <xdr:rowOff>111125</xdr:rowOff>
    </xdr:from>
    <xdr:to>
      <xdr:col>15</xdr:col>
      <xdr:colOff>577850</xdr:colOff>
      <xdr:row>34</xdr:row>
      <xdr:rowOff>111125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87423B-E636-170D-6CC3-E9A62A8A9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4727" t="29189" r="15007" b="18172"/>
        <a:stretch>
          <a:fillRect/>
        </a:stretch>
      </xdr:blipFill>
      <xdr:spPr>
        <a:xfrm>
          <a:off x="444500" y="746125"/>
          <a:ext cx="9191625" cy="523875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476250</xdr:colOff>
      <xdr:row>34</xdr:row>
      <xdr:rowOff>111124</xdr:rowOff>
    </xdr:from>
    <xdr:to>
      <xdr:col>16</xdr:col>
      <xdr:colOff>15875</xdr:colOff>
      <xdr:row>67</xdr:row>
      <xdr:rowOff>79375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563243-D94C-1F2D-E4CC-1E2E8D5BCE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727" t="28244" r="15006" b="21132"/>
        <a:stretch>
          <a:fillRect/>
        </a:stretch>
      </xdr:blipFill>
      <xdr:spPr>
        <a:xfrm>
          <a:off x="476250" y="5984874"/>
          <a:ext cx="9191625" cy="5207001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476250</xdr:colOff>
      <xdr:row>68</xdr:row>
      <xdr:rowOff>15875</xdr:rowOff>
    </xdr:from>
    <xdr:to>
      <xdr:col>16</xdr:col>
      <xdr:colOff>31750</xdr:colOff>
      <xdr:row>101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DFBEE62-F6C8-D4F0-232C-07C839D31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9968" t="29190" r="29678" b="18332"/>
        <a:stretch>
          <a:fillRect/>
        </a:stretch>
      </xdr:blipFill>
      <xdr:spPr>
        <a:xfrm>
          <a:off x="476250" y="11287125"/>
          <a:ext cx="9207500" cy="5222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E54B-FF4C-4C35-8E10-AD8CA99D4292}">
  <sheetPr codeName="Sheet1"/>
  <dimension ref="B2:E109"/>
  <sheetViews>
    <sheetView tabSelected="1" workbookViewId="0">
      <selection activeCell="B2" sqref="B2"/>
    </sheetView>
  </sheetViews>
  <sheetFormatPr defaultColWidth="8.7109375" defaultRowHeight="12.75"/>
  <cols>
    <col min="1" max="1" width="4.42578125" style="42" customWidth="1"/>
    <col min="2" max="2" width="8.7109375" style="42"/>
    <col min="3" max="3" width="9.85546875" style="42" bestFit="1" customWidth="1"/>
    <col min="4" max="16384" width="8.7109375" style="42"/>
  </cols>
  <sheetData>
    <row r="2" spans="2:4" ht="23.25">
      <c r="B2" s="41" t="s">
        <v>78</v>
      </c>
    </row>
    <row r="3" spans="2:4">
      <c r="B3" s="48" t="s">
        <v>74</v>
      </c>
    </row>
    <row r="4" spans="2:4">
      <c r="C4" s="44"/>
      <c r="D4" s="44"/>
    </row>
    <row r="5" spans="2:4" ht="16.5" thickBot="1">
      <c r="B5" s="50" t="s">
        <v>73</v>
      </c>
      <c r="C5" s="44"/>
      <c r="D5" s="44"/>
    </row>
    <row r="6" spans="2:4" ht="13.5" thickBot="1">
      <c r="B6" s="43" t="s">
        <v>52</v>
      </c>
      <c r="C6" s="45">
        <v>63</v>
      </c>
      <c r="D6" s="46"/>
    </row>
    <row r="7" spans="2:4" ht="13.5" thickBot="1">
      <c r="B7" s="43" t="s">
        <v>48</v>
      </c>
      <c r="C7" s="45">
        <v>1.4382191342028015</v>
      </c>
      <c r="D7" s="46"/>
    </row>
    <row r="8" spans="2:4" ht="13.5" thickBot="1">
      <c r="B8" s="43" t="s">
        <v>49</v>
      </c>
      <c r="C8" s="45">
        <v>9.8036640327392845E-4</v>
      </c>
      <c r="D8" s="46"/>
    </row>
    <row r="9" spans="2:4" ht="13.5" thickBot="1">
      <c r="B9" s="43" t="s">
        <v>50</v>
      </c>
      <c r="C9" s="45">
        <v>1.5934686541978045</v>
      </c>
      <c r="D9" s="46"/>
    </row>
    <row r="10" spans="2:4" ht="13.5" thickBot="1">
      <c r="B10" s="43" t="s">
        <v>51</v>
      </c>
      <c r="C10" s="45">
        <v>9.5139254237015445E-4</v>
      </c>
      <c r="D10" s="46"/>
    </row>
    <row r="11" spans="2:4" ht="13.5" thickBot="1">
      <c r="B11" s="43" t="s">
        <v>53</v>
      </c>
      <c r="C11" s="45">
        <v>-305.07373833029197</v>
      </c>
      <c r="D11" s="44" t="s">
        <v>76</v>
      </c>
    </row>
    <row r="12" spans="2:4" ht="13.5" thickBot="1">
      <c r="B12" s="43" t="s">
        <v>26</v>
      </c>
      <c r="C12" s="47">
        <v>3.9999999999999998E-6</v>
      </c>
      <c r="D12" s="44" t="s">
        <v>27</v>
      </c>
    </row>
    <row r="13" spans="2:4" ht="13.5" thickBot="1">
      <c r="B13" s="43"/>
      <c r="C13" s="43"/>
      <c r="D13" s="44"/>
    </row>
    <row r="14" spans="2:4" ht="13.5" thickBot="1">
      <c r="B14" s="43" t="s">
        <v>66</v>
      </c>
      <c r="C14" s="45">
        <v>40</v>
      </c>
      <c r="D14" s="44"/>
    </row>
    <row r="15" spans="2:4" ht="13.5" thickBot="1">
      <c r="B15" s="43" t="s">
        <v>67</v>
      </c>
      <c r="C15" s="45">
        <v>0.5</v>
      </c>
      <c r="D15" s="44"/>
    </row>
    <row r="16" spans="2:4" ht="13.5" thickBot="1">
      <c r="B16" s="48" t="s">
        <v>68</v>
      </c>
      <c r="C16" s="45">
        <v>2E-3</v>
      </c>
      <c r="D16" s="42" t="s">
        <v>69</v>
      </c>
    </row>
    <row r="18" spans="2:5">
      <c r="B18" s="48" t="s">
        <v>70</v>
      </c>
      <c r="C18" s="49" t="s">
        <v>71</v>
      </c>
      <c r="D18" s="48" t="s">
        <v>72</v>
      </c>
      <c r="E18" s="48" t="s">
        <v>75</v>
      </c>
    </row>
    <row r="19" spans="2:5">
      <c r="B19" s="42">
        <f>C14</f>
        <v>40</v>
      </c>
      <c r="C19" s="42">
        <f>1/(1+EXP(($C$11*1000/8.3144)*((1/(B19+273.15))-(1/($C$6+273.15)))))</f>
        <v>0.99967032711930259</v>
      </c>
      <c r="D19" s="42">
        <f ca="1">ROUND(($C$9+$C$10*B19)-(C19*(($C$9+$C$10*B19)-($C$7+$C$8*B19)))+_xlfn.NORM.INV(RAND(), 0, $C$16),4)</f>
        <v>1.4746999999999999</v>
      </c>
      <c r="E19" s="42">
        <f>($C$9+$C$10*B19)-(C19*(($C$9+$C$10*B19)-($C$7+$C$8*B19)))</f>
        <v>1.4774845898143947</v>
      </c>
    </row>
    <row r="20" spans="2:5">
      <c r="B20" s="42">
        <f>B19+$C$15</f>
        <v>40.5</v>
      </c>
      <c r="C20" s="42">
        <f t="shared" ref="C20:C83" si="0">1/(1+EXP(($C$11*1000/8.3144)*((1/(B20+273.15))-(1/($C$6+273.15)))))</f>
        <v>0.99960264900842188</v>
      </c>
      <c r="D20" s="42">
        <f t="shared" ref="D20:D83" ca="1" si="1">ROUND(($C$9+$C$10*B20)-(C20*(($C$9+$C$10*B20)-($C$7+$C$8*B20)))+_xlfn.NORM.INV(RAND(), 0, $C$16),4)</f>
        <v>1.4786999999999999</v>
      </c>
      <c r="E20" s="42">
        <f t="shared" ref="E20:E83" si="2">($C$9+$C$10*B20)-(C20*(($C$9+$C$10*B20)-($C$7+$C$8*B20)))</f>
        <v>1.477985195818017</v>
      </c>
    </row>
    <row r="21" spans="2:5">
      <c r="B21" s="42">
        <f t="shared" ref="B21:B84" si="3">B20+$C$15</f>
        <v>41</v>
      </c>
      <c r="C21" s="42">
        <f t="shared" si="0"/>
        <v>0.99952136853568274</v>
      </c>
      <c r="D21" s="42">
        <f t="shared" ca="1" si="1"/>
        <v>1.4830000000000001</v>
      </c>
      <c r="E21" s="42">
        <f t="shared" si="2"/>
        <v>1.478487895462262</v>
      </c>
    </row>
    <row r="22" spans="2:5">
      <c r="B22" s="42">
        <f t="shared" si="3"/>
        <v>41.5</v>
      </c>
      <c r="C22" s="42">
        <f t="shared" si="0"/>
        <v>0.99942381211552667</v>
      </c>
      <c r="D22" s="42">
        <f t="shared" ca="1" si="1"/>
        <v>1.4782999999999999</v>
      </c>
      <c r="E22" s="42">
        <f t="shared" si="2"/>
        <v>1.4789931000140746</v>
      </c>
    </row>
    <row r="23" spans="2:5">
      <c r="B23" s="42">
        <f t="shared" si="3"/>
        <v>42</v>
      </c>
      <c r="C23" s="42">
        <f t="shared" si="0"/>
        <v>0.99930679327220073</v>
      </c>
      <c r="D23" s="42">
        <f t="shared" ca="1" si="1"/>
        <v>1.4785999999999999</v>
      </c>
      <c r="E23" s="42">
        <f t="shared" si="2"/>
        <v>1.4795012995872916</v>
      </c>
    </row>
    <row r="24" spans="2:5">
      <c r="B24" s="42">
        <f t="shared" si="3"/>
        <v>42.5</v>
      </c>
      <c r="C24" s="42">
        <f t="shared" si="0"/>
        <v>0.99916651699545567</v>
      </c>
      <c r="D24" s="42">
        <f t="shared" ca="1" si="1"/>
        <v>1.4810000000000001</v>
      </c>
      <c r="E24" s="42">
        <f t="shared" si="2"/>
        <v>1.4800130778364458</v>
      </c>
    </row>
    <row r="25" spans="2:5">
      <c r="B25" s="42">
        <f t="shared" si="3"/>
        <v>43</v>
      </c>
      <c r="C25" s="42">
        <f t="shared" si="0"/>
        <v>0.99899846691404603</v>
      </c>
      <c r="D25" s="42">
        <f t="shared" ca="1" si="1"/>
        <v>1.4817</v>
      </c>
      <c r="E25" s="42">
        <f t="shared" si="2"/>
        <v>1.48052912928838</v>
      </c>
    </row>
    <row r="26" spans="2:5">
      <c r="B26" s="42">
        <f t="shared" si="3"/>
        <v>43.5</v>
      </c>
      <c r="C26" s="42">
        <f t="shared" si="0"/>
        <v>0.99879727237911187</v>
      </c>
      <c r="D26" s="42">
        <f t="shared" ca="1" si="1"/>
        <v>1.4815</v>
      </c>
      <c r="E26" s="42">
        <f t="shared" si="2"/>
        <v>1.4810502797577134</v>
      </c>
    </row>
    <row r="27" spans="2:5">
      <c r="B27" s="42">
        <f t="shared" si="3"/>
        <v>44</v>
      </c>
      <c r="C27" s="42">
        <f t="shared" si="0"/>
        <v>0.99855655211476135</v>
      </c>
      <c r="D27" s="42">
        <f t="shared" ca="1" si="1"/>
        <v>1.4834000000000001</v>
      </c>
      <c r="E27" s="42">
        <f t="shared" si="2"/>
        <v>1.4815775103588125</v>
      </c>
    </row>
    <row r="28" spans="2:5">
      <c r="B28" s="42">
        <f t="shared" si="3"/>
        <v>44.5</v>
      </c>
      <c r="C28" s="42">
        <f t="shared" si="0"/>
        <v>0.99826873061466648</v>
      </c>
      <c r="D28" s="42">
        <f t="shared" ca="1" si="1"/>
        <v>1.4837</v>
      </c>
      <c r="E28" s="42">
        <f t="shared" si="2"/>
        <v>1.4821119857001994</v>
      </c>
    </row>
    <row r="29" spans="2:5">
      <c r="B29" s="42">
        <f t="shared" si="3"/>
        <v>45</v>
      </c>
      <c r="C29" s="42">
        <f t="shared" si="0"/>
        <v>0.99792482294608797</v>
      </c>
      <c r="D29" s="42">
        <f t="shared" ca="1" si="1"/>
        <v>1.4812000000000001</v>
      </c>
      <c r="E29" s="42">
        <f t="shared" si="2"/>
        <v>1.4826550869265438</v>
      </c>
    </row>
    <row r="30" spans="2:5">
      <c r="B30" s="42">
        <f t="shared" si="3"/>
        <v>45.5</v>
      </c>
      <c r="C30" s="42">
        <f t="shared" si="0"/>
        <v>0.99751418307663342</v>
      </c>
      <c r="D30" s="42">
        <f t="shared" ca="1" si="1"/>
        <v>1.4841</v>
      </c>
      <c r="E30" s="42">
        <f t="shared" si="2"/>
        <v>1.4832084503569367</v>
      </c>
    </row>
    <row r="31" spans="2:5">
      <c r="B31" s="42">
        <f t="shared" si="3"/>
        <v>46</v>
      </c>
      <c r="C31" s="42">
        <f t="shared" si="0"/>
        <v>0.99702421028232358</v>
      </c>
      <c r="D31" s="42">
        <f t="shared" ca="1" si="1"/>
        <v>1.4834000000000001</v>
      </c>
      <c r="E31" s="42">
        <f t="shared" si="2"/>
        <v>1.483774012553279</v>
      </c>
    </row>
    <row r="32" spans="2:5">
      <c r="B32" s="42">
        <f t="shared" si="3"/>
        <v>46.5</v>
      </c>
      <c r="C32" s="42">
        <f t="shared" si="0"/>
        <v>0.99644000765753959</v>
      </c>
      <c r="D32" s="42">
        <f t="shared" ca="1" si="1"/>
        <v>1.4863</v>
      </c>
      <c r="E32" s="42">
        <f t="shared" si="2"/>
        <v>1.4843540627347749</v>
      </c>
    </row>
    <row r="33" spans="2:5">
      <c r="B33" s="42">
        <f t="shared" si="3"/>
        <v>47</v>
      </c>
      <c r="C33" s="42">
        <f t="shared" si="0"/>
        <v>0.995743986273392</v>
      </c>
      <c r="D33" s="42">
        <f t="shared" ca="1" si="1"/>
        <v>1.4837</v>
      </c>
      <c r="E33" s="42">
        <f t="shared" si="2"/>
        <v>1.4849513035267874</v>
      </c>
    </row>
    <row r="34" spans="2:5">
      <c r="B34" s="42">
        <f t="shared" si="3"/>
        <v>47.5</v>
      </c>
      <c r="C34" s="42">
        <f t="shared" si="0"/>
        <v>0.9949154081881143</v>
      </c>
      <c r="D34" s="42">
        <f t="shared" ca="1" si="1"/>
        <v>1.4894000000000001</v>
      </c>
      <c r="E34" s="42">
        <f t="shared" si="2"/>
        <v>1.485568921084323</v>
      </c>
    </row>
    <row r="35" spans="2:5">
      <c r="B35" s="42">
        <f t="shared" si="3"/>
        <v>48</v>
      </c>
      <c r="C35" s="42">
        <f t="shared" si="0"/>
        <v>0.99392986139817252</v>
      </c>
      <c r="D35" s="42">
        <f t="shared" ca="1" si="1"/>
        <v>1.4864999999999999</v>
      </c>
      <c r="E35" s="42">
        <f t="shared" si="2"/>
        <v>1.4862106656473142</v>
      </c>
    </row>
    <row r="36" spans="2:5">
      <c r="B36" s="42">
        <f t="shared" si="3"/>
        <v>48.5</v>
      </c>
      <c r="C36" s="42">
        <f t="shared" si="0"/>
        <v>0.99275866006860503</v>
      </c>
      <c r="D36" s="42">
        <f t="shared" ca="1" si="1"/>
        <v>1.4878</v>
      </c>
      <c r="E36" s="42">
        <f t="shared" si="2"/>
        <v>1.4868809435456241</v>
      </c>
    </row>
    <row r="37" spans="2:5">
      <c r="B37" s="42">
        <f t="shared" si="3"/>
        <v>49</v>
      </c>
      <c r="C37" s="42">
        <f t="shared" si="0"/>
        <v>0.99136816418445006</v>
      </c>
      <c r="D37" s="42">
        <f t="shared" ca="1" si="1"/>
        <v>1.4915</v>
      </c>
      <c r="E37" s="42">
        <f t="shared" si="2"/>
        <v>1.4875849215473609</v>
      </c>
    </row>
    <row r="38" spans="2:5">
      <c r="B38" s="42">
        <f t="shared" si="3"/>
        <v>49.5</v>
      </c>
      <c r="C38" s="42">
        <f t="shared" si="0"/>
        <v>0.98971901437747423</v>
      </c>
      <c r="D38" s="42">
        <f t="shared" ca="1" si="1"/>
        <v>1.4833000000000001</v>
      </c>
      <c r="E38" s="42">
        <f t="shared" si="2"/>
        <v>1.4883286441953882</v>
      </c>
    </row>
    <row r="39" spans="2:5">
      <c r="B39" s="42">
        <f t="shared" si="3"/>
        <v>50</v>
      </c>
      <c r="C39" s="42">
        <f t="shared" si="0"/>
        <v>0.98776528044212164</v>
      </c>
      <c r="D39" s="42">
        <f t="shared" ca="1" si="1"/>
        <v>1.49</v>
      </c>
      <c r="E39" s="42">
        <f t="shared" si="2"/>
        <v>1.4891191643519988</v>
      </c>
    </row>
    <row r="40" spans="2:5">
      <c r="B40" s="42">
        <f t="shared" si="3"/>
        <v>50.5</v>
      </c>
      <c r="C40" s="42">
        <f t="shared" si="0"/>
        <v>0.98545352639948747</v>
      </c>
      <c r="D40" s="42">
        <f t="shared" ca="1" si="1"/>
        <v>1.4894000000000001</v>
      </c>
      <c r="E40" s="42">
        <f t="shared" si="2"/>
        <v>1.4899646865033458</v>
      </c>
    </row>
    <row r="41" spans="2:5">
      <c r="B41" s="42">
        <f t="shared" si="3"/>
        <v>51</v>
      </c>
      <c r="C41" s="42">
        <f t="shared" si="0"/>
        <v>0.98272180144870647</v>
      </c>
      <c r="D41" s="42">
        <f t="shared" ca="1" si="1"/>
        <v>1.4895</v>
      </c>
      <c r="E41" s="42">
        <f t="shared" si="2"/>
        <v>1.4908747213790423</v>
      </c>
    </row>
    <row r="42" spans="2:5">
      <c r="B42" s="42">
        <f t="shared" si="3"/>
        <v>51.5</v>
      </c>
      <c r="C42" s="42">
        <f t="shared" si="0"/>
        <v>0.97949857543000574</v>
      </c>
      <c r="D42" s="42">
        <f t="shared" ca="1" si="1"/>
        <v>1.4907999999999999</v>
      </c>
      <c r="E42" s="42">
        <f t="shared" si="2"/>
        <v>1.4918602490157873</v>
      </c>
    </row>
    <row r="43" spans="2:5">
      <c r="B43" s="42">
        <f t="shared" si="3"/>
        <v>52</v>
      </c>
      <c r="C43" s="42">
        <f t="shared" si="0"/>
        <v>0.97570165028649869</v>
      </c>
      <c r="D43" s="42">
        <f t="shared" ca="1" si="1"/>
        <v>1.4902</v>
      </c>
      <c r="E43" s="42">
        <f t="shared" si="2"/>
        <v>1.4929338854184884</v>
      </c>
    </row>
    <row r="44" spans="2:5">
      <c r="B44" s="42">
        <f t="shared" si="3"/>
        <v>52.5</v>
      </c>
      <c r="C44" s="42">
        <f t="shared" si="0"/>
        <v>0.97123709628717514</v>
      </c>
      <c r="D44" s="42">
        <f t="shared" ca="1" si="1"/>
        <v>1.4956</v>
      </c>
      <c r="E44" s="42">
        <f t="shared" si="2"/>
        <v>1.4941100453202645</v>
      </c>
    </row>
    <row r="45" spans="2:5">
      <c r="B45" s="42">
        <f t="shared" si="3"/>
        <v>53</v>
      </c>
      <c r="C45" s="42">
        <f t="shared" si="0"/>
        <v>0.96599828425966172</v>
      </c>
      <c r="D45" s="42">
        <f t="shared" ca="1" si="1"/>
        <v>1.4964999999999999</v>
      </c>
      <c r="E45" s="42">
        <f t="shared" si="2"/>
        <v>1.4954050900919491</v>
      </c>
    </row>
    <row r="46" spans="2:5">
      <c r="B46" s="42">
        <f t="shared" si="3"/>
        <v>53.5</v>
      </c>
      <c r="C46" s="42">
        <f t="shared" si="0"/>
        <v>0.95986511336285973</v>
      </c>
      <c r="D46" s="42">
        <f t="shared" ca="1" si="1"/>
        <v>1.5016</v>
      </c>
      <c r="E46" s="42">
        <f t="shared" si="2"/>
        <v>1.4968374455131059</v>
      </c>
    </row>
    <row r="47" spans="2:5">
      <c r="B47" s="42">
        <f t="shared" si="3"/>
        <v>54</v>
      </c>
      <c r="C47" s="42">
        <f t="shared" si="0"/>
        <v>0.95270356808686885</v>
      </c>
      <c r="D47" s="42">
        <f t="shared" ca="1" si="1"/>
        <v>1.4971000000000001</v>
      </c>
      <c r="E47" s="42">
        <f t="shared" si="2"/>
        <v>1.4984276688786509</v>
      </c>
    </row>
    <row r="48" spans="2:5">
      <c r="B48" s="42">
        <f t="shared" si="3"/>
        <v>54.5</v>
      </c>
      <c r="C48" s="42">
        <f t="shared" si="0"/>
        <v>0.94436577733839921</v>
      </c>
      <c r="D48" s="42">
        <f t="shared" ca="1" si="1"/>
        <v>1.4986999999999999</v>
      </c>
      <c r="E48" s="42">
        <f t="shared" si="2"/>
        <v>1.5001984389112648</v>
      </c>
    </row>
    <row r="49" spans="2:5">
      <c r="B49" s="42">
        <f t="shared" si="3"/>
        <v>55</v>
      </c>
      <c r="C49" s="42">
        <f t="shared" si="0"/>
        <v>0.93469079024352952</v>
      </c>
      <c r="D49" s="42">
        <f t="shared" ca="1" si="1"/>
        <v>1.5054000000000001</v>
      </c>
      <c r="E49" s="42">
        <f t="shared" si="2"/>
        <v>1.5021744355510553</v>
      </c>
    </row>
    <row r="50" spans="2:5">
      <c r="B50" s="42">
        <f t="shared" si="3"/>
        <v>55.5</v>
      </c>
      <c r="C50" s="42">
        <f t="shared" si="0"/>
        <v>0.92350632295878687</v>
      </c>
      <c r="D50" s="42">
        <f t="shared" ca="1" si="1"/>
        <v>1.5059</v>
      </c>
      <c r="E50" s="42">
        <f t="shared" si="2"/>
        <v>1.5043820706255027</v>
      </c>
    </row>
    <row r="51" spans="2:5">
      <c r="B51" s="42">
        <f t="shared" si="3"/>
        <v>56</v>
      </c>
      <c r="C51" s="42">
        <f t="shared" si="0"/>
        <v>0.91063176048406347</v>
      </c>
      <c r="D51" s="42">
        <f t="shared" ca="1" si="1"/>
        <v>1.5074000000000001</v>
      </c>
      <c r="E51" s="42">
        <f t="shared" si="2"/>
        <v>1.5068490258690959</v>
      </c>
    </row>
    <row r="52" spans="2:5">
      <c r="B52" s="42">
        <f t="shared" si="3"/>
        <v>56.5</v>
      </c>
      <c r="C52" s="42">
        <f t="shared" si="0"/>
        <v>0.89588270559212457</v>
      </c>
      <c r="D52" s="42">
        <f t="shared" ca="1" si="1"/>
        <v>1.5097</v>
      </c>
      <c r="E52" s="42">
        <f t="shared" si="2"/>
        <v>1.5096035535474488</v>
      </c>
    </row>
    <row r="53" spans="2:5">
      <c r="B53" s="42">
        <f t="shared" si="3"/>
        <v>57</v>
      </c>
      <c r="C53" s="42">
        <f t="shared" si="0"/>
        <v>0.87907733802420829</v>
      </c>
      <c r="D53" s="42">
        <f t="shared" ca="1" si="1"/>
        <v>1.5103</v>
      </c>
      <c r="E53" s="42">
        <f t="shared" si="2"/>
        <v>1.5126734994235476</v>
      </c>
    </row>
    <row r="54" spans="2:5">
      <c r="B54" s="42">
        <f t="shared" si="3"/>
        <v>57.5</v>
      </c>
      <c r="C54" s="42">
        <f t="shared" si="0"/>
        <v>0.86004476273156893</v>
      </c>
      <c r="D54" s="42">
        <f t="shared" ca="1" si="1"/>
        <v>1.5144</v>
      </c>
      <c r="E54" s="42">
        <f t="shared" si="2"/>
        <v>1.5160850207920644</v>
      </c>
    </row>
    <row r="55" spans="2:5">
      <c r="B55" s="42">
        <f t="shared" si="3"/>
        <v>58</v>
      </c>
      <c r="C55" s="42">
        <f t="shared" si="0"/>
        <v>0.83863536800828919</v>
      </c>
      <c r="D55" s="42">
        <f t="shared" ca="1" si="1"/>
        <v>1.5210999999999999</v>
      </c>
      <c r="E55" s="42">
        <f t="shared" si="2"/>
        <v>1.51986099658225</v>
      </c>
    </row>
    <row r="56" spans="2:5">
      <c r="B56" s="42">
        <f t="shared" si="3"/>
        <v>58.5</v>
      </c>
      <c r="C56" s="42">
        <f t="shared" si="0"/>
        <v>0.81473297036695047</v>
      </c>
      <c r="D56" s="42">
        <f t="shared" ca="1" si="1"/>
        <v>1.5234000000000001</v>
      </c>
      <c r="E56" s="42">
        <f t="shared" si="2"/>
        <v>1.5240191639986786</v>
      </c>
    </row>
    <row r="57" spans="2:5">
      <c r="B57" s="42">
        <f t="shared" si="3"/>
        <v>59</v>
      </c>
      <c r="C57" s="42">
        <f t="shared" si="0"/>
        <v>0.78826819422963024</v>
      </c>
      <c r="D57" s="42">
        <f t="shared" ca="1" si="1"/>
        <v>1.5309999999999999</v>
      </c>
      <c r="E57" s="42">
        <f t="shared" si="2"/>
        <v>1.5285700666240198</v>
      </c>
    </row>
    <row r="58" spans="2:5">
      <c r="B58" s="42">
        <f t="shared" si="3"/>
        <v>59.5</v>
      </c>
      <c r="C58" s="42">
        <f t="shared" si="0"/>
        <v>0.75923214547871198</v>
      </c>
      <c r="D58" s="42">
        <f t="shared" ca="1" si="1"/>
        <v>1.5369999999999999</v>
      </c>
      <c r="E58" s="42">
        <f t="shared" si="2"/>
        <v>1.5335149585698005</v>
      </c>
    </row>
    <row r="59" spans="2:5">
      <c r="B59" s="42">
        <f t="shared" si="3"/>
        <v>60</v>
      </c>
      <c r="C59" s="42">
        <f t="shared" si="0"/>
        <v>0.72768904424381808</v>
      </c>
      <c r="D59" s="42">
        <f t="shared" ca="1" si="1"/>
        <v>1.5387</v>
      </c>
      <c r="E59" s="42">
        <f t="shared" si="2"/>
        <v>1.5388438695844857</v>
      </c>
    </row>
    <row r="60" spans="2:5">
      <c r="B60" s="42">
        <f t="shared" si="3"/>
        <v>60.5</v>
      </c>
      <c r="C60" s="42">
        <f t="shared" si="0"/>
        <v>0.69378617180968782</v>
      </c>
      <c r="D60" s="42">
        <f t="shared" ca="1" si="1"/>
        <v>1.5451999999999999</v>
      </c>
      <c r="E60" s="42">
        <f t="shared" si="2"/>
        <v>1.5445340835329322</v>
      </c>
    </row>
    <row r="61" spans="2:5">
      <c r="B61" s="42">
        <f t="shared" si="3"/>
        <v>61</v>
      </c>
      <c r="C61" s="42">
        <f t="shared" si="0"/>
        <v>0.65775936811077806</v>
      </c>
      <c r="D61" s="42">
        <f t="shared" ca="1" si="1"/>
        <v>1.5498000000000001</v>
      </c>
      <c r="E61" s="42">
        <f t="shared" si="2"/>
        <v>1.5505493006457967</v>
      </c>
    </row>
    <row r="62" spans="2:5">
      <c r="B62" s="42">
        <f t="shared" si="3"/>
        <v>61.5</v>
      </c>
      <c r="C62" s="42">
        <f t="shared" si="0"/>
        <v>0.61993249330315492</v>
      </c>
      <c r="D62" s="42">
        <f t="shared" ca="1" si="1"/>
        <v>1.5552999999999999</v>
      </c>
      <c r="E62" s="42">
        <f t="shared" si="2"/>
        <v>1.5568397265655367</v>
      </c>
    </row>
    <row r="63" spans="2:5">
      <c r="B63" s="42">
        <f t="shared" si="3"/>
        <v>62</v>
      </c>
      <c r="C63" s="42">
        <f t="shared" si="0"/>
        <v>0.58070979829077685</v>
      </c>
      <c r="D63" s="42">
        <f t="shared" ca="1" si="1"/>
        <v>1.5665</v>
      </c>
      <c r="E63" s="42">
        <f t="shared" si="2"/>
        <v>1.5633432494888262</v>
      </c>
    </row>
    <row r="64" spans="2:5">
      <c r="B64" s="42">
        <f t="shared" si="3"/>
        <v>62.5</v>
      </c>
      <c r="C64" s="42">
        <f t="shared" si="0"/>
        <v>0.54056101011868007</v>
      </c>
      <c r="D64" s="42">
        <f t="shared" ca="1" si="1"/>
        <v>1.5707</v>
      </c>
      <c r="E64" s="42">
        <f t="shared" si="2"/>
        <v>1.569987734466824</v>
      </c>
    </row>
    <row r="65" spans="2:5">
      <c r="B65" s="42">
        <f t="shared" si="3"/>
        <v>63</v>
      </c>
      <c r="C65" s="42">
        <f t="shared" si="0"/>
        <v>0.5</v>
      </c>
      <c r="D65" s="42">
        <f t="shared" ca="1" si="1"/>
        <v>1.573</v>
      </c>
      <c r="E65" s="42">
        <f t="shared" si="2"/>
        <v>1.5766943009880916</v>
      </c>
    </row>
    <row r="66" spans="2:5">
      <c r="B66" s="42">
        <f t="shared" si="3"/>
        <v>63.5</v>
      </c>
      <c r="C66" s="42">
        <f t="shared" si="0"/>
        <v>0.45955894715692086</v>
      </c>
      <c r="D66" s="42">
        <f t="shared" ca="1" si="1"/>
        <v>1.5847</v>
      </c>
      <c r="E66" s="42">
        <f t="shared" si="2"/>
        <v>1.583381289693051</v>
      </c>
    </row>
    <row r="67" spans="2:5">
      <c r="B67" s="42">
        <f t="shared" si="3"/>
        <v>64</v>
      </c>
      <c r="C67" s="42">
        <f t="shared" si="0"/>
        <v>0.41976069112720232</v>
      </c>
      <c r="D67" s="42">
        <f t="shared" ca="1" si="1"/>
        <v>1.5915999999999999</v>
      </c>
      <c r="E67" s="42">
        <f t="shared" si="2"/>
        <v>1.5899685047233914</v>
      </c>
    </row>
    <row r="68" spans="2:5">
      <c r="B68" s="42">
        <f t="shared" si="3"/>
        <v>64.5</v>
      </c>
      <c r="C68" s="42">
        <f t="shared" si="0"/>
        <v>0.38109227730859402</v>
      </c>
      <c r="D68" s="42">
        <f t="shared" ca="1" si="1"/>
        <v>1.5955999999999999</v>
      </c>
      <c r="E68" s="42">
        <f t="shared" si="2"/>
        <v>1.5963812706486262</v>
      </c>
    </row>
    <row r="69" spans="2:5">
      <c r="B69" s="42">
        <f t="shared" si="3"/>
        <v>65</v>
      </c>
      <c r="C69" s="42">
        <f t="shared" si="0"/>
        <v>0.34398246357245604</v>
      </c>
      <c r="D69" s="42">
        <f t="shared" ca="1" si="1"/>
        <v>1.6046</v>
      </c>
      <c r="E69" s="42">
        <f t="shared" si="2"/>
        <v>1.6025538795989795</v>
      </c>
    </row>
    <row r="70" spans="2:5">
      <c r="B70" s="42">
        <f t="shared" si="3"/>
        <v>65.5</v>
      </c>
      <c r="C70" s="42">
        <f t="shared" si="0"/>
        <v>0.30878523756507636</v>
      </c>
      <c r="D70" s="42">
        <f t="shared" ca="1" si="1"/>
        <v>1.6103000000000001</v>
      </c>
      <c r="E70" s="42">
        <f t="shared" si="2"/>
        <v>1.6084321146937424</v>
      </c>
    </row>
    <row r="71" spans="2:5">
      <c r="B71" s="42">
        <f t="shared" si="3"/>
        <v>66</v>
      </c>
      <c r="C71" s="42">
        <f t="shared" si="0"/>
        <v>0.2757703858614165</v>
      </c>
      <c r="D71" s="42">
        <f t="shared" ca="1" si="1"/>
        <v>1.6123000000000001</v>
      </c>
      <c r="E71" s="42">
        <f t="shared" si="2"/>
        <v>1.6139746907253008</v>
      </c>
    </row>
    <row r="72" spans="2:5">
      <c r="B72" s="42">
        <f t="shared" si="3"/>
        <v>66.5</v>
      </c>
      <c r="C72" s="42">
        <f t="shared" si="0"/>
        <v>0.24512110250797131</v>
      </c>
      <c r="D72" s="42">
        <f t="shared" ca="1" si="1"/>
        <v>1.6225000000000001</v>
      </c>
      <c r="E72" s="42">
        <f t="shared" si="2"/>
        <v>1.6191536147248662</v>
      </c>
    </row>
    <row r="73" spans="2:5">
      <c r="B73" s="42">
        <f t="shared" si="3"/>
        <v>67</v>
      </c>
      <c r="C73" s="42">
        <f t="shared" si="0"/>
        <v>0.2169377450065697</v>
      </c>
      <c r="D73" s="42">
        <f t="shared" ca="1" si="1"/>
        <v>1.6236999999999999</v>
      </c>
      <c r="E73" s="42">
        <f t="shared" si="2"/>
        <v>1.6239536038667925</v>
      </c>
    </row>
    <row r="74" spans="2:5">
      <c r="B74" s="42">
        <f t="shared" si="3"/>
        <v>67.5</v>
      </c>
      <c r="C74" s="42">
        <f t="shared" si="0"/>
        <v>0.19124627650053941</v>
      </c>
      <c r="D74" s="42">
        <f t="shared" ca="1" si="1"/>
        <v>1.6278999999999999</v>
      </c>
      <c r="E74" s="42">
        <f t="shared" si="2"/>
        <v>1.6283707853336737</v>
      </c>
    </row>
    <row r="75" spans="2:5">
      <c r="B75" s="42">
        <f t="shared" si="3"/>
        <v>68</v>
      </c>
      <c r="C75" s="42">
        <f t="shared" si="0"/>
        <v>0.16800970836906731</v>
      </c>
      <c r="D75" s="42">
        <f t="shared" ca="1" si="1"/>
        <v>1.6337999999999999</v>
      </c>
      <c r="E75" s="42">
        <f t="shared" si="2"/>
        <v>1.632410937014789</v>
      </c>
    </row>
    <row r="76" spans="2:5">
      <c r="B76" s="42">
        <f t="shared" si="3"/>
        <v>68.5</v>
      </c>
      <c r="C76" s="42">
        <f t="shared" si="0"/>
        <v>0.14714092833915521</v>
      </c>
      <c r="D76" s="42">
        <f t="shared" ca="1" si="1"/>
        <v>1.6358999999999999</v>
      </c>
      <c r="E76" s="42">
        <f t="shared" si="2"/>
        <v>1.6360875168480673</v>
      </c>
    </row>
    <row r="77" spans="2:5">
      <c r="B77" s="42">
        <f t="shared" si="3"/>
        <v>69</v>
      </c>
      <c r="C77" s="42">
        <f t="shared" si="0"/>
        <v>0.12851556955271459</v>
      </c>
      <c r="D77" s="42">
        <f t="shared" ca="1" si="1"/>
        <v>1.6443000000000001</v>
      </c>
      <c r="E77" s="42">
        <f t="shared" si="2"/>
        <v>1.6394196870006987</v>
      </c>
    </row>
    <row r="78" spans="2:5">
      <c r="B78" s="42">
        <f t="shared" si="3"/>
        <v>69.5</v>
      </c>
      <c r="C78" s="42">
        <f t="shared" si="0"/>
        <v>0.11198394092898935</v>
      </c>
      <c r="D78" s="42">
        <f t="shared" ca="1" si="1"/>
        <v>1.6417999999999999</v>
      </c>
      <c r="E78" s="42">
        <f t="shared" si="2"/>
        <v>1.6424304830115473</v>
      </c>
    </row>
    <row r="79" spans="2:5">
      <c r="B79" s="42">
        <f t="shared" si="3"/>
        <v>70</v>
      </c>
      <c r="C79" s="42">
        <f t="shared" si="0"/>
        <v>9.7381411697127537E-2</v>
      </c>
      <c r="D79" s="42">
        <f t="shared" ca="1" si="1"/>
        <v>1.6435999999999999</v>
      </c>
      <c r="E79" s="42">
        <f t="shared" si="2"/>
        <v>1.6451452208246993</v>
      </c>
    </row>
    <row r="80" spans="2:5">
      <c r="B80" s="42">
        <f t="shared" si="3"/>
        <v>70.5</v>
      </c>
      <c r="C80" s="42">
        <f t="shared" si="0"/>
        <v>8.4536966072374639E-2</v>
      </c>
      <c r="D80" s="42">
        <f t="shared" ca="1" si="1"/>
        <v>1.6460999999999999</v>
      </c>
      <c r="E80" s="42">
        <f t="shared" si="2"/>
        <v>1.647590185072213</v>
      </c>
    </row>
    <row r="81" spans="2:5">
      <c r="B81" s="42">
        <f t="shared" si="3"/>
        <v>71</v>
      </c>
      <c r="C81" s="42">
        <f t="shared" si="0"/>
        <v>7.3279890462904132E-2</v>
      </c>
      <c r="D81" s="42">
        <f t="shared" ca="1" si="1"/>
        <v>1.6496</v>
      </c>
      <c r="E81" s="42">
        <f t="shared" si="2"/>
        <v>1.6497916041825187</v>
      </c>
    </row>
    <row r="82" spans="2:5">
      <c r="B82" s="42">
        <f t="shared" si="3"/>
        <v>71.5</v>
      </c>
      <c r="C82" s="42">
        <f t="shared" si="0"/>
        <v>6.3444721040616117E-2</v>
      </c>
      <c r="D82" s="42">
        <f t="shared" ca="1" si="1"/>
        <v>1.6529</v>
      </c>
      <c r="E82" s="42">
        <f t="shared" si="2"/>
        <v>1.6517748925438576</v>
      </c>
    </row>
    <row r="83" spans="2:5">
      <c r="B83" s="42">
        <f t="shared" si="3"/>
        <v>72</v>
      </c>
      <c r="C83" s="42">
        <f t="shared" si="0"/>
        <v>5.4874673821781357E-2</v>
      </c>
      <c r="D83" s="42">
        <f t="shared" ca="1" si="1"/>
        <v>1.6514</v>
      </c>
      <c r="E83" s="42">
        <f t="shared" si="2"/>
        <v>1.6535641255217262</v>
      </c>
    </row>
    <row r="84" spans="2:5">
      <c r="B84" s="42">
        <f t="shared" si="3"/>
        <v>72.5</v>
      </c>
      <c r="C84" s="42">
        <f t="shared" ref="C84:C109" si="4">1/(1+EXP(($C$11*1000/8.3144)*((1/(B84+273.15))-(1/($C$6+273.15)))))</f>
        <v>4.7423818742400099E-2</v>
      </c>
      <c r="D84" s="42">
        <f t="shared" ref="D84:D109" ca="1" si="5">ROUND(($C$9+$C$10*B84)-(C84*(($C$9+$C$10*B84)-($C$7+$C$8*B84)))+_xlfn.NORM.INV(RAND(), 0, $C$16),4)</f>
        <v>1.6573</v>
      </c>
      <c r="E84" s="42">
        <f t="shared" ref="E84:E109" si="6">($C$9+$C$10*B84)-(C84*(($C$9+$C$10*B84)-($C$7+$C$8*B84)))</f>
        <v>1.6551817071303163</v>
      </c>
    </row>
    <row r="85" spans="2:5">
      <c r="B85" s="42">
        <f t="shared" ref="B85:B109" si="7">B84+$C$15</f>
        <v>73</v>
      </c>
      <c r="C85" s="42">
        <f t="shared" si="4"/>
        <v>4.0958260610868727E-2</v>
      </c>
      <c r="D85" s="42">
        <f t="shared" ca="1" si="5"/>
        <v>1.6548</v>
      </c>
      <c r="E85" s="42">
        <f t="shared" si="6"/>
        <v>1.6566481899742016</v>
      </c>
    </row>
    <row r="86" spans="2:5">
      <c r="B86" s="42">
        <f t="shared" si="7"/>
        <v>73.5</v>
      </c>
      <c r="C86" s="42">
        <f t="shared" si="4"/>
        <v>3.5356568112059936E-2</v>
      </c>
      <c r="D86" s="42">
        <f t="shared" ca="1" si="5"/>
        <v>1.6591</v>
      </c>
      <c r="E86" s="42">
        <f t="shared" si="6"/>
        <v>1.6579822104310016</v>
      </c>
    </row>
    <row r="87" spans="2:5">
      <c r="B87" s="42">
        <f t="shared" si="7"/>
        <v>74</v>
      </c>
      <c r="C87" s="42">
        <f t="shared" si="4"/>
        <v>3.0509658629880143E-2</v>
      </c>
      <c r="D87" s="42">
        <f t="shared" ca="1" si="5"/>
        <v>1.6603000000000001</v>
      </c>
      <c r="E87" s="42">
        <f t="shared" si="6"/>
        <v>1.6592005071884925</v>
      </c>
    </row>
    <row r="88" spans="2:5">
      <c r="B88" s="42">
        <f t="shared" si="7"/>
        <v>74.5</v>
      </c>
      <c r="C88" s="42">
        <f t="shared" si="4"/>
        <v>2.632030946407081E-2</v>
      </c>
      <c r="D88" s="42">
        <f t="shared" ca="1" si="5"/>
        <v>1.6615</v>
      </c>
      <c r="E88" s="42">
        <f t="shared" si="6"/>
        <v>1.6603179969673731</v>
      </c>
    </row>
    <row r="89" spans="2:5">
      <c r="B89" s="42">
        <f t="shared" si="7"/>
        <v>75</v>
      </c>
      <c r="C89" s="42">
        <f t="shared" si="4"/>
        <v>2.270242998517499E-2</v>
      </c>
      <c r="D89" s="42">
        <f t="shared" ca="1" si="5"/>
        <v>1.6631</v>
      </c>
      <c r="E89" s="42">
        <f t="shared" si="6"/>
        <v>1.6613478867962901</v>
      </c>
    </row>
    <row r="90" spans="2:5">
      <c r="B90" s="42">
        <f t="shared" si="7"/>
        <v>75.5</v>
      </c>
      <c r="C90" s="42">
        <f t="shared" si="4"/>
        <v>1.958019709462213E-2</v>
      </c>
      <c r="D90" s="42">
        <f t="shared" ca="1" si="5"/>
        <v>1.6617999999999999</v>
      </c>
      <c r="E90" s="42">
        <f t="shared" si="6"/>
        <v>1.6623018071463886</v>
      </c>
    </row>
    <row r="91" spans="2:5">
      <c r="B91" s="42">
        <f t="shared" si="7"/>
        <v>76</v>
      </c>
      <c r="C91" s="42">
        <f t="shared" si="4"/>
        <v>1.6887129180202496E-2</v>
      </c>
      <c r="D91" s="42">
        <f t="shared" ca="1" si="5"/>
        <v>1.6637999999999999</v>
      </c>
      <c r="E91" s="42">
        <f t="shared" si="6"/>
        <v>1.6631899544038429</v>
      </c>
    </row>
    <row r="92" spans="2:5">
      <c r="B92" s="42">
        <f t="shared" si="7"/>
        <v>76.5</v>
      </c>
      <c r="C92" s="42">
        <f t="shared" si="4"/>
        <v>1.4565151750126201E-2</v>
      </c>
      <c r="D92" s="42">
        <f t="shared" ca="1" si="5"/>
        <v>1.6646000000000001</v>
      </c>
      <c r="E92" s="42">
        <f t="shared" si="6"/>
        <v>1.6640212345353449</v>
      </c>
    </row>
    <row r="93" spans="2:5">
      <c r="B93" s="42">
        <f t="shared" si="7"/>
        <v>77</v>
      </c>
      <c r="C93" s="42">
        <f t="shared" si="4"/>
        <v>1.2563690710425788E-2</v>
      </c>
      <c r="D93" s="42">
        <f t="shared" ca="1" si="5"/>
        <v>1.6671</v>
      </c>
      <c r="E93" s="42">
        <f t="shared" si="6"/>
        <v>1.6648034024424325</v>
      </c>
    </row>
    <row r="94" spans="2:5">
      <c r="B94" s="42">
        <f t="shared" si="7"/>
        <v>77.5</v>
      </c>
      <c r="C94" s="42">
        <f t="shared" si="4"/>
        <v>1.0838816178838806E-2</v>
      </c>
      <c r="D94" s="42">
        <f t="shared" ca="1" si="5"/>
        <v>1.6632</v>
      </c>
      <c r="E94" s="42">
        <f t="shared" si="6"/>
        <v>1.6655431935047178</v>
      </c>
    </row>
    <row r="95" spans="2:5">
      <c r="B95" s="42">
        <f t="shared" si="7"/>
        <v>78</v>
      </c>
      <c r="C95" s="42">
        <f t="shared" si="4"/>
        <v>9.3524500833381298E-3</v>
      </c>
      <c r="D95" s="42">
        <f t="shared" ca="1" si="5"/>
        <v>1.6676</v>
      </c>
      <c r="E95" s="42">
        <f t="shared" si="6"/>
        <v>1.6662464452903114</v>
      </c>
    </row>
    <row r="96" spans="2:5">
      <c r="B96" s="42">
        <f t="shared" si="7"/>
        <v>78.5</v>
      </c>
      <c r="C96" s="42">
        <f t="shared" si="4"/>
        <v>8.0716438810659354E-3</v>
      </c>
      <c r="D96" s="42">
        <f t="shared" ca="1" si="5"/>
        <v>1.6675</v>
      </c>
      <c r="E96" s="42">
        <f t="shared" si="6"/>
        <v>1.6669182084706908</v>
      </c>
    </row>
    <row r="97" spans="2:5">
      <c r="B97" s="42">
        <f t="shared" si="7"/>
        <v>79</v>
      </c>
      <c r="C97" s="42">
        <f t="shared" si="4"/>
        <v>6.9679279378870801E-3</v>
      </c>
      <c r="D97" s="42">
        <f t="shared" ca="1" si="5"/>
        <v>1.6720999999999999</v>
      </c>
      <c r="E97" s="42">
        <f t="shared" si="6"/>
        <v>1.6675628467115438</v>
      </c>
    </row>
    <row r="98" spans="2:5">
      <c r="B98" s="42">
        <f t="shared" si="7"/>
        <v>79.5</v>
      </c>
      <c r="C98" s="42">
        <f t="shared" si="4"/>
        <v>6.0167309124016912E-3</v>
      </c>
      <c r="D98" s="42">
        <f t="shared" ca="1" si="5"/>
        <v>1.6667000000000001</v>
      </c>
      <c r="E98" s="42">
        <f t="shared" si="6"/>
        <v>1.6681841258001442</v>
      </c>
    </row>
    <row r="99" spans="2:5">
      <c r="B99" s="42">
        <f t="shared" si="7"/>
        <v>80</v>
      </c>
      <c r="C99" s="42">
        <f t="shared" si="4"/>
        <v>5.1968654721367934E-3</v>
      </c>
      <c r="D99" s="42">
        <f t="shared" ca="1" si="5"/>
        <v>1.6747000000000001</v>
      </c>
      <c r="E99" s="42">
        <f t="shared" si="6"/>
        <v>1.6687852925779751</v>
      </c>
    </row>
    <row r="100" spans="2:5">
      <c r="B100" s="42">
        <f t="shared" si="7"/>
        <v>80.5</v>
      </c>
      <c r="C100" s="42">
        <f t="shared" si="4"/>
        <v>4.490075504573237E-3</v>
      </c>
      <c r="D100" s="42">
        <f t="shared" ca="1" si="5"/>
        <v>1.6679999999999999</v>
      </c>
      <c r="E100" s="42">
        <f t="shared" si="6"/>
        <v>1.6693691444250365</v>
      </c>
    </row>
    <row r="101" spans="2:5">
      <c r="B101" s="42">
        <f t="shared" si="7"/>
        <v>81</v>
      </c>
      <c r="C101" s="42">
        <f t="shared" si="4"/>
        <v>3.8806394191759283E-3</v>
      </c>
      <c r="D101" s="42">
        <f t="shared" ca="1" si="5"/>
        <v>1.6714</v>
      </c>
      <c r="E101" s="42">
        <f t="shared" si="6"/>
        <v>1.6699380901283329</v>
      </c>
    </row>
    <row r="102" spans="2:5">
      <c r="B102" s="42">
        <f t="shared" si="7"/>
        <v>81.5</v>
      </c>
      <c r="C102" s="42">
        <f t="shared" si="4"/>
        <v>3.3550239789883157E-3</v>
      </c>
      <c r="D102" s="42">
        <f t="shared" ca="1" si="5"/>
        <v>1.6698</v>
      </c>
      <c r="E102" s="42">
        <f t="shared" si="6"/>
        <v>1.6704942029905072</v>
      </c>
    </row>
    <row r="103" spans="2:5">
      <c r="B103" s="42">
        <f t="shared" si="7"/>
        <v>82</v>
      </c>
      <c r="C103" s="42">
        <f t="shared" si="4"/>
        <v>2.9015832118648556E-3</v>
      </c>
      <c r="D103" s="42">
        <f t="shared" ca="1" si="5"/>
        <v>1.671</v>
      </c>
      <c r="E103" s="42">
        <f t="shared" si="6"/>
        <v>1.6710392670168968</v>
      </c>
    </row>
    <row r="104" spans="2:5">
      <c r="B104" s="42">
        <f t="shared" si="7"/>
        <v>82.5</v>
      </c>
      <c r="C104" s="42">
        <f t="shared" si="4"/>
        <v>2.5102972309604065E-3</v>
      </c>
      <c r="D104" s="42">
        <f t="shared" ca="1" si="5"/>
        <v>1.6724000000000001</v>
      </c>
      <c r="E104" s="42">
        <f t="shared" si="6"/>
        <v>1.6715748169759217</v>
      </c>
    </row>
    <row r="105" spans="2:5">
      <c r="B105" s="42">
        <f t="shared" si="7"/>
        <v>83</v>
      </c>
      <c r="C105" s="42">
        <f t="shared" si="4"/>
        <v>2.1725461700177317E-3</v>
      </c>
      <c r="D105" s="42">
        <f t="shared" ca="1" si="5"/>
        <v>1.6714</v>
      </c>
      <c r="E105" s="42">
        <f t="shared" si="6"/>
        <v>1.6721021730696597</v>
      </c>
    </row>
    <row r="106" spans="2:5">
      <c r="B106" s="42">
        <f t="shared" si="7"/>
        <v>83.5</v>
      </c>
      <c r="C106" s="42">
        <f t="shared" si="4"/>
        <v>1.8809148616070286E-3</v>
      </c>
      <c r="D106" s="42">
        <f t="shared" ca="1" si="5"/>
        <v>1.6740999999999999</v>
      </c>
      <c r="E106" s="42">
        <f t="shared" si="6"/>
        <v>1.6726224708863215</v>
      </c>
    </row>
    <row r="107" spans="2:5">
      <c r="B107" s="42">
        <f t="shared" si="7"/>
        <v>84</v>
      </c>
      <c r="C107" s="42">
        <f t="shared" si="4"/>
        <v>1.629024322252505E-3</v>
      </c>
      <c r="D107" s="42">
        <f t="shared" ca="1" si="5"/>
        <v>1.6755</v>
      </c>
      <c r="E107" s="42">
        <f t="shared" si="6"/>
        <v>1.6731366872392339</v>
      </c>
    </row>
    <row r="108" spans="2:5">
      <c r="B108" s="42">
        <f t="shared" si="7"/>
        <v>84.5</v>
      </c>
      <c r="C108" s="42">
        <f t="shared" si="4"/>
        <v>1.4113865355097701E-3</v>
      </c>
      <c r="D108" s="42">
        <f t="shared" ca="1" si="5"/>
        <v>1.6760999999999999</v>
      </c>
      <c r="E108" s="42">
        <f t="shared" si="6"/>
        <v>1.6736456624312175</v>
      </c>
    </row>
    <row r="109" spans="2:5">
      <c r="B109" s="42">
        <f t="shared" si="7"/>
        <v>85</v>
      </c>
      <c r="C109" s="42">
        <f t="shared" si="4"/>
        <v>1.2232794290484394E-3</v>
      </c>
      <c r="D109" s="42">
        <f t="shared" ca="1" si="5"/>
        <v>1.6766000000000001</v>
      </c>
      <c r="E109" s="42">
        <f t="shared" si="6"/>
        <v>1.67415011942097</v>
      </c>
    </row>
  </sheetData>
  <conditionalFormatting sqref="C12">
    <cfRule type="cellIs" dxfId="29" priority="11" stopIfTrue="1" operator="greaterThan">
      <formula>0.95</formula>
    </cfRule>
  </conditionalFormatting>
  <conditionalFormatting sqref="C6:D6 D7">
    <cfRule type="cellIs" dxfId="28" priority="12" stopIfTrue="1" operator="equal">
      <formula>0</formula>
    </cfRule>
  </conditionalFormatting>
  <conditionalFormatting sqref="C7">
    <cfRule type="cellIs" dxfId="27" priority="10" stopIfTrue="1" operator="equal">
      <formula>0</formula>
    </cfRule>
  </conditionalFormatting>
  <conditionalFormatting sqref="D8">
    <cfRule type="cellIs" dxfId="26" priority="9" stopIfTrue="1" operator="equal">
      <formula>0</formula>
    </cfRule>
  </conditionalFormatting>
  <conditionalFormatting sqref="C8">
    <cfRule type="cellIs" dxfId="25" priority="8" stopIfTrue="1" operator="equal">
      <formula>0</formula>
    </cfRule>
  </conditionalFormatting>
  <conditionalFormatting sqref="D9">
    <cfRule type="cellIs" dxfId="24" priority="7" stopIfTrue="1" operator="equal">
      <formula>0</formula>
    </cfRule>
  </conditionalFormatting>
  <conditionalFormatting sqref="C9">
    <cfRule type="cellIs" dxfId="23" priority="6" stopIfTrue="1" operator="equal">
      <formula>0</formula>
    </cfRule>
  </conditionalFormatting>
  <conditionalFormatting sqref="D10">
    <cfRule type="cellIs" dxfId="22" priority="5" stopIfTrue="1" operator="equal">
      <formula>0</formula>
    </cfRule>
  </conditionalFormatting>
  <conditionalFormatting sqref="C10">
    <cfRule type="cellIs" dxfId="21" priority="4" stopIfTrue="1" operator="equal">
      <formula>0</formula>
    </cfRule>
  </conditionalFormatting>
  <conditionalFormatting sqref="C11">
    <cfRule type="cellIs" dxfId="20" priority="3" stopIfTrue="1" operator="equal">
      <formula>0</formula>
    </cfRule>
  </conditionalFormatting>
  <conditionalFormatting sqref="C15:C16">
    <cfRule type="cellIs" dxfId="19" priority="2" stopIfTrue="1" operator="equal">
      <formula>0</formula>
    </cfRule>
  </conditionalFormatting>
  <conditionalFormatting sqref="C14">
    <cfRule type="cellIs" dxfId="18" priority="1" stopIfTrue="1" operator="equal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501"/>
  <sheetViews>
    <sheetView zoomScaleNormal="100" workbookViewId="0">
      <selection activeCell="A2" sqref="A2"/>
    </sheetView>
  </sheetViews>
  <sheetFormatPr defaultColWidth="9.140625" defaultRowHeight="12.75"/>
  <cols>
    <col min="1" max="1" width="16.5703125" style="17" customWidth="1"/>
    <col min="2" max="2" width="12.28515625" style="17" customWidth="1"/>
    <col min="3" max="3" width="10.5703125" style="22" customWidth="1"/>
    <col min="4" max="4" width="12.42578125" style="22" bestFit="1" customWidth="1"/>
    <col min="5" max="5" width="13" style="4" customWidth="1"/>
    <col min="6" max="6" width="9.42578125" style="1" customWidth="1"/>
    <col min="7" max="7" width="12.42578125" style="1" customWidth="1"/>
    <col min="8" max="8" width="13.28515625" style="1" customWidth="1"/>
    <col min="9" max="9" width="10.5703125" style="1" customWidth="1"/>
    <col min="10" max="10" width="2.85546875" style="1" customWidth="1"/>
    <col min="11" max="11" width="9.140625" style="1"/>
    <col min="12" max="12" width="21.28515625" style="1" customWidth="1"/>
    <col min="13" max="13" width="9.140625" style="1"/>
    <col min="14" max="14" width="40.5703125" style="1" customWidth="1"/>
    <col min="15" max="15" width="12.42578125" style="1" bestFit="1" customWidth="1"/>
    <col min="16" max="17" width="9.140625" style="1"/>
    <col min="18" max="18" width="14.28515625" style="1" customWidth="1"/>
    <col min="19" max="26" width="9.140625" style="1"/>
    <col min="27" max="27" width="9.140625" style="1" customWidth="1"/>
    <col min="28" max="16384" width="9.140625" style="1"/>
  </cols>
  <sheetData>
    <row r="1" spans="1:32" ht="78" customHeight="1" thickBot="1">
      <c r="A1" s="23" t="s">
        <v>47</v>
      </c>
      <c r="B1" s="25" t="s">
        <v>65</v>
      </c>
      <c r="C1" s="25" t="s">
        <v>25</v>
      </c>
      <c r="D1" s="18" t="s">
        <v>44</v>
      </c>
      <c r="E1" s="4" t="s">
        <v>24</v>
      </c>
      <c r="F1" s="4" t="s">
        <v>23</v>
      </c>
      <c r="G1" s="30" t="str">
        <f>B1&amp;" (fit)"</f>
        <v>OD @260 nm (fit)</v>
      </c>
      <c r="L1" s="1" t="s">
        <v>0</v>
      </c>
      <c r="M1" s="4">
        <f>(COUNTA(A:A)-1)</f>
        <v>91</v>
      </c>
      <c r="O1" s="16"/>
      <c r="P1" s="4"/>
      <c r="R1" s="1" t="s">
        <v>2</v>
      </c>
      <c r="AB1" s="12"/>
      <c r="AC1" s="12"/>
      <c r="AD1" s="12"/>
      <c r="AE1" s="12"/>
      <c r="AF1" s="12"/>
    </row>
    <row r="2" spans="1:32">
      <c r="A2" s="37">
        <v>25</v>
      </c>
      <c r="B2" s="20">
        <v>1.4634</v>
      </c>
      <c r="C2" s="20">
        <f>(($I$7+$I$8*A2)-B2)/(($I$7+$I$8*A2)-($I$5+$I$6*A2))</f>
        <v>1.0114285714285702</v>
      </c>
      <c r="D2" s="19">
        <v>0.999999998200927</v>
      </c>
      <c r="E2" s="32">
        <f>C2*$I$10/($I$10*(1-C2))</f>
        <v>-88.500000000009152</v>
      </c>
      <c r="F2" s="33">
        <f>(D2*$I$10/($I$10*(1-D2)))</f>
        <v>555841812.56927478</v>
      </c>
      <c r="G2" s="31">
        <f>($I$7+$I$8*A2)-(F2/(1+F2))*(($I$7+$I$8*A2)-($I$5+$I$6*A2))</f>
        <v>1.4650000002518702</v>
      </c>
      <c r="H2" s="3" t="s">
        <v>9</v>
      </c>
      <c r="L2" s="1" t="s">
        <v>1</v>
      </c>
      <c r="M2" s="7">
        <f>COUNTA($I$4:$I$9)</f>
        <v>6</v>
      </c>
      <c r="O2" s="16"/>
      <c r="R2" s="1" t="s">
        <v>3</v>
      </c>
      <c r="U2" s="2"/>
      <c r="Z2" s="4"/>
      <c r="AA2" s="2"/>
      <c r="AB2" s="10"/>
      <c r="AC2" s="11"/>
      <c r="AD2" s="11"/>
      <c r="AE2" s="11"/>
      <c r="AF2" s="11"/>
    </row>
    <row r="3" spans="1:32" ht="13.5" thickBot="1">
      <c r="A3" s="38">
        <v>25.5</v>
      </c>
      <c r="B3" s="20">
        <v>1.4618</v>
      </c>
      <c r="C3" s="20">
        <f>(($I$7+$I$8*A3)-B3)/(($I$7+$I$8*A3)-($I$5+$I$6*A3))</f>
        <v>1.0264285714285717</v>
      </c>
      <c r="D3" s="20">
        <v>0.99999999711942666</v>
      </c>
      <c r="E3" s="32">
        <f t="shared" ref="E3:E66" si="0">C3*$I$10/($I$10*(1-C3))</f>
        <v>-38.837837837837462</v>
      </c>
      <c r="F3" s="33">
        <f t="shared" ref="F3:F66" si="1">(D3*$I$10/($I$10*(1-D3)))</f>
        <v>347153111.78649873</v>
      </c>
      <c r="G3" s="31">
        <f t="shared" ref="G3:G66" si="2">($I$7+$I$8*A3)-(F3/(1+F3))*(($I$7+$I$8*A3)-($I$5+$I$6*A3))</f>
        <v>1.4655000004032803</v>
      </c>
      <c r="I3" s="16" t="s">
        <v>21</v>
      </c>
      <c r="K3" s="16" t="s">
        <v>22</v>
      </c>
      <c r="L3" s="1" t="s">
        <v>10</v>
      </c>
      <c r="O3" s="16"/>
      <c r="R3" s="1">
        <v>1</v>
      </c>
      <c r="U3" s="2"/>
      <c r="Z3" s="4"/>
      <c r="AA3" s="2"/>
      <c r="AB3" s="10"/>
      <c r="AC3" s="11"/>
      <c r="AD3" s="11"/>
      <c r="AE3" s="11"/>
      <c r="AF3" s="11"/>
    </row>
    <row r="4" spans="1:32" ht="13.5" thickBot="1">
      <c r="A4" s="38">
        <v>26</v>
      </c>
      <c r="B4" s="20">
        <v>1.4612000000000001</v>
      </c>
      <c r="C4" s="20">
        <f>(($I$7+$I$8*A4)-B4)/(($I$7+$I$8*A4)-($I$5+$I$6*A4))</f>
        <v>1.0342857142857136</v>
      </c>
      <c r="D4" s="20">
        <v>0.99999999539504136</v>
      </c>
      <c r="E4" s="32">
        <f t="shared" si="0"/>
        <v>-30.166666666667261</v>
      </c>
      <c r="F4" s="33">
        <f t="shared" si="1"/>
        <v>217157215.58056417</v>
      </c>
      <c r="G4" s="31">
        <f t="shared" si="2"/>
        <v>1.4660000006446943</v>
      </c>
      <c r="H4" s="3" t="s">
        <v>52</v>
      </c>
      <c r="I4" s="27">
        <v>48</v>
      </c>
      <c r="J4" s="4" t="str">
        <f>IF(H4="","","±")</f>
        <v>±</v>
      </c>
      <c r="K4" s="28">
        <v>3</v>
      </c>
      <c r="O4" s="16"/>
      <c r="R4" s="1" t="s">
        <v>5</v>
      </c>
      <c r="U4" s="2"/>
      <c r="Z4" s="4"/>
      <c r="AA4" s="2"/>
      <c r="AB4" s="10"/>
      <c r="AC4" s="11"/>
      <c r="AD4" s="11"/>
      <c r="AE4" s="11"/>
      <c r="AF4" s="11"/>
    </row>
    <row r="5" spans="1:32" ht="13.5" thickBot="1">
      <c r="A5" s="38">
        <v>26.5</v>
      </c>
      <c r="B5" s="20">
        <v>1.4639</v>
      </c>
      <c r="C5" s="20">
        <f t="shared" ref="C5:C66" si="3">(($I$7+$I$8*A5)-B5)/(($I$7+$I$8*A5)-($I$5+$I$6*A5))</f>
        <v>1.018571428571428</v>
      </c>
      <c r="D5" s="20">
        <v>0.99999999264991146</v>
      </c>
      <c r="E5" s="32">
        <f t="shared" si="0"/>
        <v>-54.846153846155453</v>
      </c>
      <c r="F5" s="33">
        <f t="shared" si="1"/>
        <v>136052781.88234037</v>
      </c>
      <c r="G5" s="31">
        <f t="shared" si="2"/>
        <v>1.4665000010290123</v>
      </c>
      <c r="H5" s="3" t="s">
        <v>48</v>
      </c>
      <c r="I5" s="27">
        <v>1.44</v>
      </c>
      <c r="J5" s="4" t="str">
        <f t="shared" ref="J5" si="4">IF(H5="","","±")</f>
        <v>±</v>
      </c>
      <c r="K5" s="35">
        <f>0.1*I5</f>
        <v>0.14399999999999999</v>
      </c>
      <c r="L5" s="1" t="s">
        <v>4</v>
      </c>
      <c r="O5" s="16"/>
      <c r="R5" s="1" t="s">
        <v>6</v>
      </c>
      <c r="U5" s="2"/>
      <c r="Z5" s="4"/>
      <c r="AA5" s="2"/>
      <c r="AB5" s="10"/>
      <c r="AC5" s="11"/>
      <c r="AD5" s="11"/>
      <c r="AE5" s="11"/>
      <c r="AF5" s="11"/>
    </row>
    <row r="6" spans="1:32" ht="12.75" customHeight="1" thickBot="1">
      <c r="A6" s="38">
        <v>27</v>
      </c>
      <c r="B6" s="20">
        <v>1.4658</v>
      </c>
      <c r="C6" s="20">
        <f t="shared" si="3"/>
        <v>1.0085714285714276</v>
      </c>
      <c r="D6" s="20">
        <v>0.99999998828660319</v>
      </c>
      <c r="E6" s="32">
        <f t="shared" si="0"/>
        <v>-117.66666666668038</v>
      </c>
      <c r="F6" s="33">
        <f t="shared" si="1"/>
        <v>85372330.902246475</v>
      </c>
      <c r="G6" s="31">
        <f t="shared" si="2"/>
        <v>1.4670000016398754</v>
      </c>
      <c r="H6" s="3" t="s">
        <v>49</v>
      </c>
      <c r="I6" s="27">
        <v>1E-3</v>
      </c>
      <c r="J6" s="4" t="str">
        <f t="shared" ref="J6" si="5">IF(H6="","","±")</f>
        <v>±</v>
      </c>
      <c r="K6" s="35">
        <f>0.1*I6</f>
        <v>1E-4</v>
      </c>
      <c r="L6" s="5"/>
      <c r="O6" s="16"/>
      <c r="R6" s="1" t="s">
        <v>7</v>
      </c>
      <c r="U6" s="2"/>
      <c r="Z6" s="4"/>
      <c r="AA6" s="2"/>
      <c r="AB6" s="10"/>
      <c r="AC6" s="11"/>
      <c r="AD6" s="11"/>
      <c r="AE6" s="11"/>
      <c r="AF6" s="11"/>
    </row>
    <row r="7" spans="1:32" ht="13.5" thickBot="1">
      <c r="A7" s="38">
        <v>27.5</v>
      </c>
      <c r="B7" s="20">
        <v>1.4656</v>
      </c>
      <c r="C7" s="20">
        <f t="shared" si="3"/>
        <v>1.0135714285714286</v>
      </c>
      <c r="D7" s="20">
        <v>0.99999998136197177</v>
      </c>
      <c r="E7" s="32">
        <f t="shared" si="0"/>
        <v>-74.684210526315809</v>
      </c>
      <c r="F7" s="33">
        <f t="shared" si="1"/>
        <v>53653743.24584806</v>
      </c>
      <c r="G7" s="31">
        <f t="shared" si="2"/>
        <v>1.4675000026093239</v>
      </c>
      <c r="H7" s="3" t="s">
        <v>50</v>
      </c>
      <c r="I7" s="27">
        <v>1.58</v>
      </c>
      <c r="J7" s="4" t="str">
        <f t="shared" ref="J7:J8" si="6">IF(H7="","","±")</f>
        <v>±</v>
      </c>
      <c r="K7" s="35">
        <f>0.1*I7</f>
        <v>0.15800000000000003</v>
      </c>
      <c r="L7" s="5"/>
      <c r="O7" s="16"/>
      <c r="R7" s="1">
        <v>1</v>
      </c>
      <c r="U7" s="2"/>
      <c r="Z7" s="4"/>
      <c r="AA7" s="2"/>
      <c r="AB7" s="10"/>
      <c r="AC7" s="11"/>
      <c r="AD7" s="11"/>
      <c r="AE7" s="11"/>
      <c r="AF7" s="11"/>
    </row>
    <row r="8" spans="1:32" ht="13.5" thickBot="1">
      <c r="A8" s="38">
        <v>28</v>
      </c>
      <c r="B8" s="20">
        <v>1.4655</v>
      </c>
      <c r="C8" s="20">
        <f t="shared" si="3"/>
        <v>1.0178571428571423</v>
      </c>
      <c r="D8" s="20">
        <v>0.99999997038939703</v>
      </c>
      <c r="E8" s="32">
        <f t="shared" si="0"/>
        <v>-57.000000000001585</v>
      </c>
      <c r="F8" s="33">
        <f t="shared" si="1"/>
        <v>33771685.480935767</v>
      </c>
      <c r="G8" s="31">
        <f t="shared" si="2"/>
        <v>1.4680000041454844</v>
      </c>
      <c r="H8" s="3" t="s">
        <v>51</v>
      </c>
      <c r="I8" s="27">
        <v>1E-3</v>
      </c>
      <c r="J8" s="4" t="str">
        <f t="shared" si="6"/>
        <v>±</v>
      </c>
      <c r="K8" s="35">
        <f>0.1*I8</f>
        <v>1E-4</v>
      </c>
      <c r="O8" s="16"/>
      <c r="Z8" s="4"/>
      <c r="AA8" s="16"/>
      <c r="AB8" s="10"/>
      <c r="AC8" s="11"/>
      <c r="AD8" s="11"/>
      <c r="AE8" s="11"/>
      <c r="AF8" s="11"/>
    </row>
    <row r="9" spans="1:32" ht="13.5" thickBot="1">
      <c r="A9" s="38">
        <v>28.5</v>
      </c>
      <c r="B9" s="20">
        <v>1.4650000000000001</v>
      </c>
      <c r="C9" s="20">
        <f t="shared" si="3"/>
        <v>1.0249999999999988</v>
      </c>
      <c r="D9" s="20">
        <v>0.99999995302919076</v>
      </c>
      <c r="E9" s="32">
        <f t="shared" si="0"/>
        <v>-41.000000000001911</v>
      </c>
      <c r="F9" s="33">
        <f t="shared" si="1"/>
        <v>21289817.424157709</v>
      </c>
      <c r="G9" s="31">
        <f t="shared" si="2"/>
        <v>1.4685000065759133</v>
      </c>
      <c r="H9" s="3" t="s">
        <v>77</v>
      </c>
      <c r="I9" s="27">
        <v>-696.94419310070691</v>
      </c>
      <c r="J9" s="4" t="str">
        <f t="shared" ref="J9" si="7">IF(H9="","","±")</f>
        <v>±</v>
      </c>
      <c r="K9" s="28">
        <f>0.5*I9</f>
        <v>-348.47209655035346</v>
      </c>
      <c r="O9" s="16"/>
      <c r="Z9" s="4"/>
      <c r="AA9" s="8"/>
      <c r="AB9" s="10"/>
      <c r="AC9" s="11"/>
      <c r="AD9" s="11"/>
      <c r="AE9" s="11"/>
      <c r="AF9" s="11"/>
    </row>
    <row r="10" spans="1:32" ht="13.5" thickBot="1">
      <c r="A10" s="38">
        <v>29</v>
      </c>
      <c r="B10" s="20">
        <v>1.4659</v>
      </c>
      <c r="C10" s="20">
        <f t="shared" si="3"/>
        <v>1.0221428571428564</v>
      </c>
      <c r="D10" s="20">
        <v>0.99999992560467499</v>
      </c>
      <c r="E10" s="32">
        <f t="shared" si="0"/>
        <v>-46.161290322582254</v>
      </c>
      <c r="F10" s="33">
        <f t="shared" si="1"/>
        <v>13441703.83622616</v>
      </c>
      <c r="G10" s="31">
        <f t="shared" si="2"/>
        <v>1.4690000104153453</v>
      </c>
      <c r="H10" s="3" t="s">
        <v>26</v>
      </c>
      <c r="I10" s="34">
        <v>3.9999999999999998E-6</v>
      </c>
      <c r="J10" s="16" t="s">
        <v>27</v>
      </c>
      <c r="O10" s="16"/>
      <c r="R10" s="16" t="s">
        <v>60</v>
      </c>
      <c r="Z10" s="4"/>
      <c r="AA10" s="8"/>
      <c r="AB10" s="10"/>
      <c r="AC10" s="11"/>
      <c r="AD10" s="11"/>
      <c r="AE10" s="11"/>
      <c r="AF10" s="11"/>
    </row>
    <row r="11" spans="1:32">
      <c r="A11" s="38">
        <v>29.5</v>
      </c>
      <c r="B11" s="20">
        <v>1.4663999999999999</v>
      </c>
      <c r="C11" s="20">
        <f t="shared" si="3"/>
        <v>1.0221428571428579</v>
      </c>
      <c r="D11" s="20">
        <v>0.99999988234690795</v>
      </c>
      <c r="E11" s="32">
        <f t="shared" si="0"/>
        <v>-46.161290322579084</v>
      </c>
      <c r="F11" s="33">
        <f t="shared" si="1"/>
        <v>8499563.1219868921</v>
      </c>
      <c r="G11" s="31">
        <f t="shared" si="2"/>
        <v>1.4695000164714329</v>
      </c>
      <c r="H11" s="3" t="s">
        <v>8</v>
      </c>
      <c r="I11" s="4">
        <v>1.9298541486226898E-2</v>
      </c>
      <c r="O11" s="16"/>
      <c r="Q11" s="16"/>
      <c r="R11" s="16" t="s">
        <v>61</v>
      </c>
      <c r="S11" s="16" t="s">
        <v>62</v>
      </c>
      <c r="Z11" s="4"/>
      <c r="AA11" s="8"/>
      <c r="AB11" s="10"/>
      <c r="AC11" s="11"/>
      <c r="AD11" s="11"/>
      <c r="AE11" s="11"/>
      <c r="AF11" s="11"/>
    </row>
    <row r="12" spans="1:32">
      <c r="A12" s="38">
        <v>30</v>
      </c>
      <c r="B12" s="20">
        <v>1.4703999999999999</v>
      </c>
      <c r="C12" s="20">
        <f t="shared" si="3"/>
        <v>0.99714285714285744</v>
      </c>
      <c r="D12" s="20">
        <v>0.99999981421767081</v>
      </c>
      <c r="E12" s="32">
        <f t="shared" si="0"/>
        <v>349.00000000003666</v>
      </c>
      <c r="F12" s="33">
        <f t="shared" si="1"/>
        <v>5382642.249088387</v>
      </c>
      <c r="G12" s="31">
        <f t="shared" si="2"/>
        <v>1.4700000260095261</v>
      </c>
      <c r="H12" s="3" t="s">
        <v>11</v>
      </c>
      <c r="I12" s="4">
        <f>SQRT(I11/(M1-1))</f>
        <v>1.4643368421775587E-2</v>
      </c>
      <c r="O12" s="16"/>
      <c r="P12" s="16"/>
      <c r="Q12" s="16" t="s">
        <v>63</v>
      </c>
      <c r="R12" s="16">
        <f>MIN(A:A)</f>
        <v>25</v>
      </c>
      <c r="S12" s="16">
        <f>$I$5+$I$6*R12</f>
        <v>1.4649999999999999</v>
      </c>
      <c r="Z12" s="4"/>
      <c r="AA12" s="8"/>
      <c r="AB12" s="10"/>
      <c r="AC12" s="11"/>
      <c r="AD12" s="11"/>
      <c r="AE12" s="11"/>
      <c r="AF12" s="11"/>
    </row>
    <row r="13" spans="1:32" ht="14.25">
      <c r="A13" s="38">
        <v>30.5</v>
      </c>
      <c r="B13" s="20">
        <v>1.47</v>
      </c>
      <c r="C13" s="20">
        <f t="shared" si="3"/>
        <v>1.0035714285714281</v>
      </c>
      <c r="D13" s="20">
        <v>0.99999970707795527</v>
      </c>
      <c r="E13" s="32">
        <f t="shared" si="0"/>
        <v>-281.00000000003581</v>
      </c>
      <c r="F13" s="33">
        <f t="shared" si="1"/>
        <v>3413876.5759184589</v>
      </c>
      <c r="G13" s="31">
        <f t="shared" si="2"/>
        <v>1.4705000410090863</v>
      </c>
      <c r="H13" s="3" t="s">
        <v>12</v>
      </c>
      <c r="I13" s="4">
        <f>RSQ(D2:D501,C2:C501)</f>
        <v>0.99930638968129681</v>
      </c>
      <c r="O13" s="16"/>
      <c r="R13" s="16">
        <f>MAX(A:A)</f>
        <v>70</v>
      </c>
      <c r="S13" s="16">
        <f>$I$5+$I$6*R13</f>
        <v>1.51</v>
      </c>
      <c r="Z13" s="4"/>
      <c r="AA13" s="8"/>
      <c r="AB13" s="10"/>
      <c r="AC13" s="11"/>
      <c r="AD13" s="11"/>
      <c r="AE13" s="11"/>
      <c r="AF13" s="11"/>
    </row>
    <row r="14" spans="1:32">
      <c r="A14" s="38">
        <v>31</v>
      </c>
      <c r="B14" s="20">
        <v>1.4704999999999999</v>
      </c>
      <c r="C14" s="20">
        <f t="shared" si="3"/>
        <v>1.0035714285714281</v>
      </c>
      <c r="D14" s="20">
        <v>0.99999953884224202</v>
      </c>
      <c r="E14" s="32">
        <f t="shared" si="0"/>
        <v>-281.00000000003581</v>
      </c>
      <c r="F14" s="33">
        <f t="shared" si="1"/>
        <v>2168454.333765157</v>
      </c>
      <c r="G14" s="31">
        <f t="shared" si="2"/>
        <v>1.471000064562086</v>
      </c>
      <c r="O14" s="16"/>
      <c r="Q14" s="16" t="s">
        <v>64</v>
      </c>
      <c r="R14" s="14">
        <f>R12</f>
        <v>25</v>
      </c>
      <c r="S14" s="1">
        <f>$I$7+$I$8*R14</f>
        <v>1.605</v>
      </c>
      <c r="Z14" s="4"/>
      <c r="AA14" s="8"/>
      <c r="AB14" s="10"/>
      <c r="AC14" s="11"/>
      <c r="AD14" s="11"/>
      <c r="AE14" s="11"/>
      <c r="AF14" s="11"/>
    </row>
    <row r="15" spans="1:32" ht="13.5" thickBot="1">
      <c r="A15" s="38">
        <v>31.5</v>
      </c>
      <c r="B15" s="20">
        <v>1.4665999999999999</v>
      </c>
      <c r="C15" s="20">
        <f t="shared" si="3"/>
        <v>1.0350000000000008</v>
      </c>
      <c r="D15" s="20">
        <v>0.99999927506348463</v>
      </c>
      <c r="E15" s="32">
        <f t="shared" si="0"/>
        <v>-29.571428571427905</v>
      </c>
      <c r="F15" s="33">
        <f t="shared" si="1"/>
        <v>1379430.1347191718</v>
      </c>
      <c r="G15" s="31">
        <f t="shared" si="2"/>
        <v>1.4715001014911122</v>
      </c>
      <c r="H15" s="3" t="s">
        <v>28</v>
      </c>
      <c r="I15" s="9"/>
      <c r="O15" s="16"/>
      <c r="R15" s="14">
        <f>R13</f>
        <v>70</v>
      </c>
      <c r="S15" s="1">
        <f>$I$7+$I$8*R15</f>
        <v>1.6500000000000001</v>
      </c>
      <c r="Z15" s="4"/>
      <c r="AA15" s="8"/>
      <c r="AB15" s="10"/>
      <c r="AC15" s="11"/>
      <c r="AD15" s="11"/>
      <c r="AE15" s="11"/>
      <c r="AF15" s="11"/>
    </row>
    <row r="16" spans="1:32" ht="13.5" thickBot="1">
      <c r="A16" s="38">
        <v>32</v>
      </c>
      <c r="B16" s="20">
        <v>1.4679</v>
      </c>
      <c r="C16" s="20">
        <f t="shared" si="3"/>
        <v>1.0292857142857141</v>
      </c>
      <c r="D16" s="20">
        <v>0.99999886209348432</v>
      </c>
      <c r="E16" s="32">
        <f t="shared" si="0"/>
        <v>-35.146341463414807</v>
      </c>
      <c r="F16" s="33">
        <f t="shared" si="1"/>
        <v>878805.81428579229</v>
      </c>
      <c r="G16" s="31">
        <f t="shared" si="2"/>
        <v>1.4720001593069121</v>
      </c>
      <c r="H16" s="3" t="s">
        <v>29</v>
      </c>
      <c r="I16" s="24">
        <v>-0.1</v>
      </c>
      <c r="O16" s="16"/>
      <c r="R16" s="14"/>
      <c r="Z16" s="4"/>
      <c r="AA16" s="2"/>
      <c r="AB16" s="11"/>
      <c r="AC16" s="11"/>
      <c r="AD16" s="11"/>
      <c r="AE16" s="11"/>
      <c r="AF16" s="11"/>
    </row>
    <row r="17" spans="1:32" ht="13.5" thickBot="1">
      <c r="A17" s="38">
        <v>32.5</v>
      </c>
      <c r="B17" s="20">
        <v>1.4710000000000001</v>
      </c>
      <c r="C17" s="20">
        <f t="shared" si="3"/>
        <v>1.0107142857142846</v>
      </c>
      <c r="D17" s="20">
        <v>0.9999982165026543</v>
      </c>
      <c r="E17" s="32">
        <f t="shared" si="0"/>
        <v>-94.333333333343333</v>
      </c>
      <c r="F17" s="33">
        <f t="shared" si="1"/>
        <v>560695.09658367943</v>
      </c>
      <c r="G17" s="31">
        <f t="shared" si="2"/>
        <v>1.4725002496896282</v>
      </c>
      <c r="H17" s="3" t="s">
        <v>30</v>
      </c>
      <c r="I17" s="15">
        <v>1.1000000000000001</v>
      </c>
      <c r="O17" s="16"/>
      <c r="R17" s="14"/>
      <c r="Z17" s="4"/>
      <c r="AA17" s="8"/>
      <c r="AB17" s="10"/>
      <c r="AC17" s="11"/>
      <c r="AD17" s="11"/>
      <c r="AE17" s="11"/>
      <c r="AF17" s="11"/>
    </row>
    <row r="18" spans="1:32">
      <c r="A18" s="38">
        <v>33</v>
      </c>
      <c r="B18" s="20">
        <v>1.4710000000000001</v>
      </c>
      <c r="C18" s="20">
        <f t="shared" si="3"/>
        <v>1.0142857142857127</v>
      </c>
      <c r="D18" s="20">
        <v>0.99999720873732811</v>
      </c>
      <c r="E18" s="32">
        <f t="shared" si="0"/>
        <v>-71.000000000007873</v>
      </c>
      <c r="F18" s="33">
        <f t="shared" si="1"/>
        <v>358259.80077380809</v>
      </c>
      <c r="G18" s="31">
        <f t="shared" si="2"/>
        <v>1.4730003907767739</v>
      </c>
      <c r="H18" s="16"/>
      <c r="I18" s="36"/>
      <c r="O18" s="16"/>
      <c r="R18" s="13"/>
      <c r="Z18" s="4"/>
      <c r="AA18" s="8"/>
      <c r="AB18" s="10"/>
      <c r="AC18" s="11"/>
      <c r="AD18" s="11"/>
      <c r="AE18" s="11"/>
      <c r="AF18" s="11"/>
    </row>
    <row r="19" spans="1:32">
      <c r="A19" s="38">
        <v>33.5</v>
      </c>
      <c r="B19" s="20">
        <v>1.4681</v>
      </c>
      <c r="C19" s="20">
        <f t="shared" si="3"/>
        <v>1.0385714285714291</v>
      </c>
      <c r="D19" s="20">
        <v>0.99999563791286661</v>
      </c>
      <c r="E19" s="32">
        <f t="shared" si="0"/>
        <v>-26.92592592592554</v>
      </c>
      <c r="F19" s="33">
        <f t="shared" si="1"/>
        <v>229247.05704705961</v>
      </c>
      <c r="G19" s="31">
        <f t="shared" si="2"/>
        <v>1.4735006106921986</v>
      </c>
      <c r="H19" s="16"/>
      <c r="I19" s="29"/>
      <c r="Z19" s="4"/>
      <c r="AA19" s="8"/>
      <c r="AB19" s="10"/>
      <c r="AC19" s="11"/>
      <c r="AD19" s="11"/>
      <c r="AE19" s="11"/>
      <c r="AF19" s="11"/>
    </row>
    <row r="20" spans="1:32">
      <c r="A20" s="38">
        <v>34</v>
      </c>
      <c r="B20" s="20">
        <v>1.4702</v>
      </c>
      <c r="C20" s="20">
        <f t="shared" si="3"/>
        <v>1.0271428571428574</v>
      </c>
      <c r="D20" s="20">
        <v>0.99999319299113154</v>
      </c>
      <c r="E20" s="32">
        <f t="shared" si="0"/>
        <v>-37.842105263157606</v>
      </c>
      <c r="F20" s="33">
        <f t="shared" si="1"/>
        <v>146906.40372523884</v>
      </c>
      <c r="G20" s="31">
        <f t="shared" si="2"/>
        <v>1.4740009529812417</v>
      </c>
      <c r="H20" s="16"/>
      <c r="Z20" s="4"/>
      <c r="AA20" s="8"/>
      <c r="AB20" s="10"/>
      <c r="AC20" s="11"/>
      <c r="AD20" s="11"/>
      <c r="AE20" s="11"/>
      <c r="AF20" s="11"/>
    </row>
    <row r="21" spans="1:32">
      <c r="A21" s="38">
        <v>34.5</v>
      </c>
      <c r="B21" s="20">
        <v>1.4741</v>
      </c>
      <c r="C21" s="20">
        <f t="shared" si="3"/>
        <v>1.0028571428571424</v>
      </c>
      <c r="D21" s="20">
        <v>0.99998939307454471</v>
      </c>
      <c r="E21" s="32">
        <f t="shared" si="0"/>
        <v>-351.00000000005019</v>
      </c>
      <c r="F21" s="33">
        <f t="shared" si="1"/>
        <v>94277.026579424492</v>
      </c>
      <c r="G21" s="31">
        <f t="shared" si="2"/>
        <v>1.4745014849695637</v>
      </c>
      <c r="H21" s="16"/>
      <c r="Z21" s="4"/>
      <c r="AA21" s="8"/>
      <c r="AB21" s="10"/>
      <c r="AC21" s="11"/>
      <c r="AD21" s="11"/>
      <c r="AE21" s="11"/>
      <c r="AF21" s="11"/>
    </row>
    <row r="22" spans="1:32">
      <c r="A22" s="38">
        <v>35</v>
      </c>
      <c r="B22" s="20">
        <v>1.4729000000000001</v>
      </c>
      <c r="C22" s="20">
        <f t="shared" si="3"/>
        <v>1.0149999999999983</v>
      </c>
      <c r="D22" s="20">
        <v>0.99998349571659295</v>
      </c>
      <c r="E22" s="32">
        <f t="shared" si="0"/>
        <v>-67.666666666674004</v>
      </c>
      <c r="F22" s="33">
        <f t="shared" si="1"/>
        <v>60589.331330164772</v>
      </c>
      <c r="G22" s="31">
        <f t="shared" si="2"/>
        <v>1.4750023105996768</v>
      </c>
      <c r="H22" s="16"/>
      <c r="L22" s="3" t="s">
        <v>13</v>
      </c>
      <c r="Z22" s="4"/>
      <c r="AA22" s="8"/>
      <c r="AB22" s="10"/>
      <c r="AC22" s="11"/>
      <c r="AD22" s="11"/>
      <c r="AE22" s="11"/>
      <c r="AF22" s="11"/>
    </row>
    <row r="23" spans="1:32">
      <c r="A23" s="38">
        <v>35.5</v>
      </c>
      <c r="B23" s="20">
        <v>1.4743999999999999</v>
      </c>
      <c r="C23" s="20">
        <f t="shared" si="3"/>
        <v>1.0078571428571437</v>
      </c>
      <c r="D23" s="20">
        <v>0.99997435632139409</v>
      </c>
      <c r="E23" s="32">
        <f t="shared" si="0"/>
        <v>-128.27272727271406</v>
      </c>
      <c r="F23" s="33">
        <f t="shared" si="1"/>
        <v>38994.965257862976</v>
      </c>
      <c r="G23" s="31">
        <f t="shared" si="2"/>
        <v>1.4755035901150049</v>
      </c>
      <c r="H23" s="16"/>
      <c r="L23" s="1" t="s">
        <v>14</v>
      </c>
      <c r="M23" s="9"/>
      <c r="Z23" s="4"/>
      <c r="AA23" s="4"/>
      <c r="AB23" s="10"/>
      <c r="AC23" s="11"/>
      <c r="AD23" s="11"/>
      <c r="AE23" s="11"/>
      <c r="AF23" s="11"/>
    </row>
    <row r="24" spans="1:32" ht="13.5" thickBot="1">
      <c r="A24" s="38">
        <v>36</v>
      </c>
      <c r="B24" s="20">
        <v>1.4723999999999999</v>
      </c>
      <c r="C24" s="20">
        <f t="shared" si="3"/>
        <v>1.025714285714286</v>
      </c>
      <c r="D24" s="20">
        <v>0.99996021285950043</v>
      </c>
      <c r="E24" s="32">
        <f t="shared" si="0"/>
        <v>-39.888888888888424</v>
      </c>
      <c r="F24" s="33">
        <f t="shared" si="1"/>
        <v>25132.748931034974</v>
      </c>
      <c r="G24" s="31">
        <f t="shared" si="2"/>
        <v>1.4760055701996699</v>
      </c>
      <c r="H24" s="16"/>
      <c r="I24" s="16"/>
      <c r="Z24" s="4"/>
      <c r="AA24" s="4"/>
      <c r="AB24" s="10"/>
      <c r="AC24" s="11"/>
      <c r="AD24" s="11"/>
      <c r="AE24" s="11"/>
      <c r="AF24" s="11"/>
    </row>
    <row r="25" spans="1:32" ht="13.5" thickBot="1">
      <c r="A25" s="38">
        <v>36.5</v>
      </c>
      <c r="B25" s="20">
        <v>1.4736</v>
      </c>
      <c r="C25" s="20">
        <f t="shared" si="3"/>
        <v>1.020714285714285</v>
      </c>
      <c r="D25" s="20">
        <v>0.99993835672527276</v>
      </c>
      <c r="E25" s="32">
        <f t="shared" si="0"/>
        <v>-49.275862068967136</v>
      </c>
      <c r="F25" s="33">
        <f t="shared" si="1"/>
        <v>16221.369827443403</v>
      </c>
      <c r="G25" s="31">
        <f t="shared" si="2"/>
        <v>1.4765086300584618</v>
      </c>
      <c r="L25" s="1" t="s">
        <v>15</v>
      </c>
      <c r="M25" s="15">
        <v>2000</v>
      </c>
      <c r="N25" s="1" t="s">
        <v>19</v>
      </c>
      <c r="Z25" s="4"/>
      <c r="AA25" s="4"/>
      <c r="AB25" s="10"/>
      <c r="AC25" s="11"/>
      <c r="AD25" s="11"/>
      <c r="AE25" s="11"/>
      <c r="AF25" s="11"/>
    </row>
    <row r="26" spans="1:32" ht="13.5" thickBot="1">
      <c r="A26" s="38">
        <v>37</v>
      </c>
      <c r="B26" s="20">
        <v>1.4722</v>
      </c>
      <c r="C26" s="20">
        <f t="shared" si="3"/>
        <v>1.0342857142857136</v>
      </c>
      <c r="D26" s="20">
        <v>0.99990463029872723</v>
      </c>
      <c r="E26" s="32">
        <f t="shared" si="0"/>
        <v>-30.166666666667261</v>
      </c>
      <c r="F26" s="33">
        <f t="shared" si="1"/>
        <v>10484.510457244975</v>
      </c>
      <c r="G26" s="31">
        <f t="shared" si="2"/>
        <v>1.4770133517581781</v>
      </c>
      <c r="L26" s="1" t="s">
        <v>16</v>
      </c>
      <c r="M26" s="15">
        <v>1000</v>
      </c>
      <c r="N26" s="1" t="s">
        <v>18</v>
      </c>
      <c r="Z26" s="4"/>
      <c r="AA26" s="4"/>
      <c r="AB26" s="6"/>
    </row>
    <row r="27" spans="1:32" ht="13.5" thickBot="1">
      <c r="A27" s="38">
        <v>37.5</v>
      </c>
      <c r="B27" s="20">
        <v>1.4742</v>
      </c>
      <c r="C27" s="20">
        <f t="shared" si="3"/>
        <v>1.023571428571429</v>
      </c>
      <c r="D27" s="20">
        <v>0.99985266121633787</v>
      </c>
      <c r="E27" s="32">
        <f t="shared" si="0"/>
        <v>-43.424242424241612</v>
      </c>
      <c r="F27" s="33">
        <f t="shared" si="1"/>
        <v>6786.0792410852027</v>
      </c>
      <c r="G27" s="31">
        <f t="shared" si="2"/>
        <v>1.4775206274297128</v>
      </c>
      <c r="L27" s="1" t="s">
        <v>17</v>
      </c>
      <c r="M27" s="15">
        <v>20</v>
      </c>
      <c r="N27" s="16" t="s">
        <v>40</v>
      </c>
      <c r="Z27" s="4"/>
      <c r="AA27" s="4"/>
      <c r="AB27" s="6"/>
      <c r="AC27" s="7"/>
      <c r="AD27" s="9"/>
      <c r="AE27" s="9"/>
      <c r="AF27" s="9"/>
    </row>
    <row r="28" spans="1:32" ht="13.5" thickBot="1">
      <c r="A28" s="38">
        <v>38</v>
      </c>
      <c r="B28" s="20">
        <v>1.478</v>
      </c>
      <c r="C28" s="20">
        <f t="shared" si="3"/>
        <v>1</v>
      </c>
      <c r="D28" s="20">
        <v>0.99977269741231822</v>
      </c>
      <c r="E28" s="32" t="e">
        <f t="shared" si="0"/>
        <v>#DIV/0!</v>
      </c>
      <c r="F28" s="33">
        <f t="shared" si="1"/>
        <v>4398.4219784246261</v>
      </c>
      <c r="G28" s="31">
        <f t="shared" si="2"/>
        <v>1.4780318223622755</v>
      </c>
      <c r="L28" s="11" t="s">
        <v>20</v>
      </c>
      <c r="M28" s="15">
        <v>0.99</v>
      </c>
      <c r="N28" s="16" t="s">
        <v>41</v>
      </c>
      <c r="Z28" s="4"/>
      <c r="AA28" s="4"/>
      <c r="AB28" s="6"/>
      <c r="AC28" s="7"/>
      <c r="AD28" s="9"/>
      <c r="AE28" s="9"/>
      <c r="AF28" s="9"/>
    </row>
    <row r="29" spans="1:32">
      <c r="A29" s="38">
        <v>38.5</v>
      </c>
      <c r="B29" s="20">
        <v>1.4739</v>
      </c>
      <c r="C29" s="20">
        <f t="shared" si="3"/>
        <v>1.0328571428571425</v>
      </c>
      <c r="D29" s="20">
        <v>0.9996498381990736</v>
      </c>
      <c r="E29" s="32">
        <f t="shared" si="0"/>
        <v>-31.434782608696008</v>
      </c>
      <c r="F29" s="33">
        <f t="shared" si="1"/>
        <v>2854.8226435732754</v>
      </c>
      <c r="G29" s="31">
        <f t="shared" si="2"/>
        <v>1.4785490226521296</v>
      </c>
      <c r="Z29" s="4"/>
      <c r="AA29" s="4"/>
      <c r="AB29" s="6"/>
      <c r="AC29" s="7"/>
      <c r="AD29" s="9"/>
      <c r="AE29" s="9"/>
      <c r="AF29" s="9"/>
    </row>
    <row r="30" spans="1:32">
      <c r="A30" s="38">
        <v>39</v>
      </c>
      <c r="B30" s="20">
        <v>1.4758</v>
      </c>
      <c r="C30" s="20">
        <f t="shared" si="3"/>
        <v>1.0228571428571418</v>
      </c>
      <c r="D30" s="20">
        <v>0.99946135421871618</v>
      </c>
      <c r="E30" s="32">
        <f t="shared" si="0"/>
        <v>-44.750000000002025</v>
      </c>
      <c r="F30" s="33">
        <f t="shared" si="1"/>
        <v>1855.5076247633071</v>
      </c>
      <c r="G30" s="31">
        <f t="shared" si="2"/>
        <v>1.4790754104093795</v>
      </c>
      <c r="Z30" s="4"/>
      <c r="AA30" s="4"/>
      <c r="AB30" s="6"/>
    </row>
    <row r="31" spans="1:32">
      <c r="A31" s="38">
        <v>39.5</v>
      </c>
      <c r="B31" s="20">
        <v>1.478</v>
      </c>
      <c r="C31" s="20">
        <f t="shared" si="3"/>
        <v>1.0107142857142861</v>
      </c>
      <c r="D31" s="20">
        <v>0.99917263776540344</v>
      </c>
      <c r="E31" s="32">
        <f t="shared" si="0"/>
        <v>-94.333333333329804</v>
      </c>
      <c r="F31" s="33">
        <f t="shared" si="1"/>
        <v>1207.6604369700519</v>
      </c>
      <c r="G31" s="31">
        <f t="shared" si="2"/>
        <v>1.4796158307128435</v>
      </c>
      <c r="Z31" s="4"/>
      <c r="AA31" s="4"/>
      <c r="AB31" s="6"/>
    </row>
    <row r="32" spans="1:32">
      <c r="A32" s="38">
        <v>40</v>
      </c>
      <c r="B32" s="20">
        <v>1.4767999999999999</v>
      </c>
      <c r="C32" s="20">
        <f t="shared" si="3"/>
        <v>1.0228571428571436</v>
      </c>
      <c r="D32" s="20">
        <v>0.9987311040172826</v>
      </c>
      <c r="E32" s="32">
        <f t="shared" si="0"/>
        <v>-44.749999999998622</v>
      </c>
      <c r="F32" s="33">
        <f t="shared" si="1"/>
        <v>787.0866624374155</v>
      </c>
      <c r="G32" s="31">
        <f t="shared" si="2"/>
        <v>1.4801776454375803</v>
      </c>
      <c r="Z32" s="4"/>
      <c r="AA32" s="4"/>
      <c r="AB32" s="6"/>
    </row>
    <row r="33" spans="1:28">
      <c r="A33" s="38">
        <v>40.5</v>
      </c>
      <c r="B33" s="20">
        <v>1.4766999999999999</v>
      </c>
      <c r="C33" s="20">
        <f t="shared" si="3"/>
        <v>1.0271428571428574</v>
      </c>
      <c r="D33" s="20">
        <v>0.99805704685214414</v>
      </c>
      <c r="E33" s="32">
        <f t="shared" si="0"/>
        <v>-37.842105263157606</v>
      </c>
      <c r="F33" s="33">
        <f t="shared" si="1"/>
        <v>513.68044975945259</v>
      </c>
      <c r="G33" s="31">
        <f t="shared" si="2"/>
        <v>1.4807720134406996</v>
      </c>
      <c r="Z33" s="4"/>
      <c r="AA33" s="4"/>
      <c r="AB33" s="6"/>
    </row>
    <row r="34" spans="1:28">
      <c r="A34" s="38">
        <v>41</v>
      </c>
      <c r="B34" s="20">
        <v>1.4772000000000001</v>
      </c>
      <c r="C34" s="20">
        <f t="shared" si="3"/>
        <v>1.0271428571428558</v>
      </c>
      <c r="D34" s="20">
        <v>0.99703001148160098</v>
      </c>
      <c r="E34" s="32">
        <f t="shared" si="0"/>
        <v>-37.842105263159709</v>
      </c>
      <c r="F34" s="33">
        <f t="shared" si="1"/>
        <v>335.70163834136673</v>
      </c>
      <c r="G34" s="31">
        <f t="shared" si="2"/>
        <v>1.4814157983925758</v>
      </c>
      <c r="Z34" s="4"/>
      <c r="AA34" s="4"/>
      <c r="AB34" s="6"/>
    </row>
    <row r="35" spans="1:28">
      <c r="A35" s="38">
        <v>41.5</v>
      </c>
      <c r="B35" s="20">
        <v>1.4784999999999999</v>
      </c>
      <c r="C35" s="20">
        <f t="shared" si="3"/>
        <v>1.0214285714285722</v>
      </c>
      <c r="D35" s="20">
        <v>0.99546866072243856</v>
      </c>
      <c r="E35" s="32">
        <f t="shared" si="0"/>
        <v>-47.666666666664902</v>
      </c>
      <c r="F35" s="33">
        <f t="shared" si="1"/>
        <v>219.68530709052402</v>
      </c>
      <c r="G35" s="31">
        <f t="shared" si="2"/>
        <v>1.4821343874988586</v>
      </c>
      <c r="Z35" s="4"/>
      <c r="AA35" s="4"/>
      <c r="AB35" s="6"/>
    </row>
    <row r="36" spans="1:28">
      <c r="A36" s="38">
        <v>42</v>
      </c>
      <c r="B36" s="20">
        <v>1.4812000000000001</v>
      </c>
      <c r="C36" s="20">
        <f t="shared" si="3"/>
        <v>1.0057142857142851</v>
      </c>
      <c r="D36" s="20">
        <v>0.99310140418082826</v>
      </c>
      <c r="E36" s="32">
        <f t="shared" si="0"/>
        <v>-176.0000000000183</v>
      </c>
      <c r="F36" s="33">
        <f t="shared" si="1"/>
        <v>143.95703563628439</v>
      </c>
      <c r="G36" s="31">
        <f t="shared" si="2"/>
        <v>1.482965803414684</v>
      </c>
      <c r="Z36" s="4"/>
      <c r="AA36" s="4"/>
      <c r="AB36" s="6"/>
    </row>
    <row r="37" spans="1:28">
      <c r="A37" s="38">
        <v>42.5</v>
      </c>
      <c r="B37" s="20">
        <v>1.4842</v>
      </c>
      <c r="C37" s="20">
        <f t="shared" si="3"/>
        <v>0.98785714285714266</v>
      </c>
      <c r="D37" s="20">
        <v>0.98952436977830993</v>
      </c>
      <c r="E37" s="32">
        <f t="shared" si="0"/>
        <v>81.352941176469216</v>
      </c>
      <c r="F37" s="33">
        <f t="shared" si="1"/>
        <v>94.459650525795922</v>
      </c>
      <c r="G37" s="31">
        <f t="shared" si="2"/>
        <v>1.4839665882310364</v>
      </c>
      <c r="Z37" s="4"/>
      <c r="AA37" s="4"/>
      <c r="AB37" s="6"/>
    </row>
    <row r="38" spans="1:28">
      <c r="A38" s="38">
        <v>43</v>
      </c>
      <c r="B38" s="20">
        <v>1.4844999999999999</v>
      </c>
      <c r="C38" s="20">
        <f t="shared" si="3"/>
        <v>0.98928571428571388</v>
      </c>
      <c r="D38" s="20">
        <v>0.98414304990863688</v>
      </c>
      <c r="E38" s="32">
        <f t="shared" si="0"/>
        <v>92.33333333332979</v>
      </c>
      <c r="F38" s="33">
        <f t="shared" si="1"/>
        <v>62.063829692235373</v>
      </c>
      <c r="G38" s="31">
        <f t="shared" si="2"/>
        <v>1.4852199730127906</v>
      </c>
      <c r="Z38" s="4"/>
      <c r="AA38" s="4"/>
      <c r="AB38" s="6"/>
    </row>
    <row r="39" spans="1:28">
      <c r="A39" s="38">
        <v>43.5</v>
      </c>
      <c r="B39" s="20">
        <v>1.4822</v>
      </c>
      <c r="C39" s="20">
        <f t="shared" si="3"/>
        <v>1.0092857142857148</v>
      </c>
      <c r="D39" s="20">
        <v>0.9760951891903602</v>
      </c>
      <c r="E39" s="32">
        <f t="shared" si="0"/>
        <v>-108.69230769230188</v>
      </c>
      <c r="F39" s="33">
        <f t="shared" si="1"/>
        <v>40.832583740706383</v>
      </c>
      <c r="G39" s="31">
        <f t="shared" si="2"/>
        <v>1.4868466735133496</v>
      </c>
      <c r="Z39" s="4"/>
      <c r="AA39" s="4"/>
      <c r="AB39" s="6"/>
    </row>
    <row r="40" spans="1:28">
      <c r="A40" s="38">
        <v>44</v>
      </c>
      <c r="B40" s="20">
        <v>1.4838</v>
      </c>
      <c r="C40" s="20">
        <f t="shared" si="3"/>
        <v>1.0014285714285713</v>
      </c>
      <c r="D40" s="20">
        <v>0.96415740392546578</v>
      </c>
      <c r="E40" s="32">
        <f t="shared" si="0"/>
        <v>-701.00000000004593</v>
      </c>
      <c r="F40" s="33">
        <f t="shared" si="1"/>
        <v>26.899764791604742</v>
      </c>
      <c r="G40" s="31">
        <f t="shared" si="2"/>
        <v>1.4890179634504348</v>
      </c>
      <c r="Z40" s="4"/>
      <c r="AA40" s="4"/>
      <c r="AB40" s="6"/>
    </row>
    <row r="41" spans="1:28">
      <c r="A41" s="38">
        <v>44.5</v>
      </c>
      <c r="B41" s="20">
        <v>1.4947999999999999</v>
      </c>
      <c r="C41" s="20">
        <f t="shared" si="3"/>
        <v>0.92642857142857171</v>
      </c>
      <c r="D41" s="20">
        <v>0.94665066415547006</v>
      </c>
      <c r="E41" s="32">
        <f t="shared" si="0"/>
        <v>12.59223300970879</v>
      </c>
      <c r="F41" s="33">
        <f t="shared" si="1"/>
        <v>17.744375804680853</v>
      </c>
      <c r="G41" s="31">
        <f t="shared" si="2"/>
        <v>1.491968907018234</v>
      </c>
      <c r="Z41" s="4"/>
      <c r="AA41" s="4"/>
      <c r="AB41" s="6"/>
    </row>
    <row r="42" spans="1:28">
      <c r="A42" s="38">
        <v>45</v>
      </c>
      <c r="B42" s="20">
        <v>1.4928999999999999</v>
      </c>
      <c r="C42" s="20">
        <f t="shared" si="3"/>
        <v>0.94357142857142851</v>
      </c>
      <c r="D42" s="20">
        <v>0.92138586470438366</v>
      </c>
      <c r="E42" s="32">
        <f t="shared" si="0"/>
        <v>16.721518987341753</v>
      </c>
      <c r="F42" s="33">
        <f t="shared" si="1"/>
        <v>11.7203587019008</v>
      </c>
      <c r="G42" s="31">
        <f t="shared" si="2"/>
        <v>1.4960059789413862</v>
      </c>
      <c r="Z42" s="4"/>
      <c r="AA42" s="4"/>
      <c r="AB42" s="6"/>
    </row>
    <row r="43" spans="1:28">
      <c r="A43" s="38">
        <v>45.5</v>
      </c>
      <c r="B43" s="20">
        <v>1.502</v>
      </c>
      <c r="C43" s="20">
        <f t="shared" si="3"/>
        <v>0.88214285714285756</v>
      </c>
      <c r="D43" s="20">
        <v>0.88573401121875805</v>
      </c>
      <c r="E43" s="32">
        <f t="shared" si="0"/>
        <v>7.4848484848485146</v>
      </c>
      <c r="F43" s="33">
        <f t="shared" si="1"/>
        <v>7.7515104946447666</v>
      </c>
      <c r="G43" s="31">
        <f t="shared" si="2"/>
        <v>1.5014972384293739</v>
      </c>
      <c r="Z43" s="4"/>
      <c r="AA43" s="4"/>
      <c r="AB43" s="6"/>
    </row>
    <row r="44" spans="1:28">
      <c r="A44" s="38">
        <v>46</v>
      </c>
      <c r="B44" s="20">
        <v>1.5126999999999999</v>
      </c>
      <c r="C44" s="20">
        <f t="shared" si="3"/>
        <v>0.80928571428571483</v>
      </c>
      <c r="D44" s="20">
        <v>0.83695492287934803</v>
      </c>
      <c r="E44" s="32">
        <f t="shared" si="0"/>
        <v>4.2434456928839097</v>
      </c>
      <c r="F44" s="33">
        <f t="shared" si="1"/>
        <v>5.1332731883711427</v>
      </c>
      <c r="G44" s="31">
        <f t="shared" si="2"/>
        <v>1.5088263107968913</v>
      </c>
      <c r="Z44" s="4"/>
      <c r="AA44" s="4"/>
      <c r="AB44" s="6"/>
    </row>
    <row r="45" spans="1:28">
      <c r="A45" s="38">
        <v>46.5</v>
      </c>
      <c r="B45" s="20">
        <v>1.518</v>
      </c>
      <c r="C45" s="20">
        <f t="shared" si="3"/>
        <v>0.77499999999999958</v>
      </c>
      <c r="D45" s="20">
        <v>0.77292271524352174</v>
      </c>
      <c r="E45" s="32">
        <f t="shared" si="0"/>
        <v>3.4444444444444362</v>
      </c>
      <c r="F45" s="33">
        <f t="shared" si="1"/>
        <v>3.4037870237545684</v>
      </c>
      <c r="G45" s="31">
        <f t="shared" si="2"/>
        <v>1.5182908198659069</v>
      </c>
      <c r="Z45" s="4"/>
      <c r="AA45" s="4"/>
      <c r="AB45" s="6"/>
    </row>
    <row r="46" spans="1:28">
      <c r="A46" s="38">
        <v>47</v>
      </c>
      <c r="B46" s="20">
        <v>1.5356000000000001</v>
      </c>
      <c r="C46" s="20">
        <f t="shared" si="3"/>
        <v>0.65285714285714169</v>
      </c>
      <c r="D46" s="20">
        <v>0.69324138730640616</v>
      </c>
      <c r="E46" s="32">
        <f t="shared" si="0"/>
        <v>1.880658436213982</v>
      </c>
      <c r="F46" s="33">
        <f t="shared" si="1"/>
        <v>2.2598921713042532</v>
      </c>
      <c r="G46" s="31">
        <f t="shared" si="2"/>
        <v>1.5299462057771032</v>
      </c>
      <c r="Z46" s="4"/>
      <c r="AA46" s="4"/>
      <c r="AB46" s="6"/>
    </row>
    <row r="47" spans="1:28">
      <c r="A47" s="38">
        <v>47.5</v>
      </c>
      <c r="B47" s="20">
        <v>1.5481</v>
      </c>
      <c r="C47" s="20">
        <f t="shared" si="3"/>
        <v>0.56714285714285761</v>
      </c>
      <c r="D47" s="20">
        <v>0.60037380572365739</v>
      </c>
      <c r="E47" s="32">
        <f t="shared" si="0"/>
        <v>1.3102310231023127</v>
      </c>
      <c r="F47" s="33">
        <f t="shared" si="1"/>
        <v>1.5023384711075702</v>
      </c>
      <c r="G47" s="31">
        <f t="shared" si="2"/>
        <v>1.5434476671986881</v>
      </c>
      <c r="Z47" s="4"/>
      <c r="AA47" s="4"/>
      <c r="AB47" s="6"/>
    </row>
    <row r="48" spans="1:28">
      <c r="A48" s="38">
        <v>48</v>
      </c>
      <c r="B48" s="20">
        <v>1.5598000000000001</v>
      </c>
      <c r="C48" s="20">
        <f t="shared" si="3"/>
        <v>0.48714285714285699</v>
      </c>
      <c r="D48" s="20">
        <v>0.5</v>
      </c>
      <c r="E48" s="32">
        <f t="shared" si="0"/>
        <v>0.94986072423398271</v>
      </c>
      <c r="F48" s="33">
        <f t="shared" si="1"/>
        <v>1</v>
      </c>
      <c r="G48" s="31">
        <f t="shared" si="2"/>
        <v>1.5580000000000001</v>
      </c>
      <c r="Z48" s="4"/>
      <c r="AA48" s="4"/>
      <c r="AB48" s="6"/>
    </row>
    <row r="49" spans="1:28">
      <c r="A49" s="38">
        <v>48.5</v>
      </c>
      <c r="B49" s="20">
        <v>1.5785</v>
      </c>
      <c r="C49" s="20">
        <f t="shared" si="3"/>
        <v>0.35714285714285715</v>
      </c>
      <c r="D49" s="20">
        <v>0.39992983921903036</v>
      </c>
      <c r="E49" s="32">
        <f t="shared" si="0"/>
        <v>0.55555555555555558</v>
      </c>
      <c r="F49" s="33">
        <f t="shared" si="1"/>
        <v>0.66647179839526782</v>
      </c>
      <c r="G49" s="31">
        <f t="shared" si="2"/>
        <v>1.5725098225093357</v>
      </c>
      <c r="Z49" s="4"/>
      <c r="AA49" s="4"/>
      <c r="AB49" s="6"/>
    </row>
    <row r="50" spans="1:28">
      <c r="A50" s="38">
        <v>49</v>
      </c>
      <c r="B50" s="20">
        <v>1.5922000000000001</v>
      </c>
      <c r="C50" s="20">
        <f t="shared" si="3"/>
        <v>0.26285714285714223</v>
      </c>
      <c r="D50" s="20">
        <v>0.30783607909650901</v>
      </c>
      <c r="E50" s="32">
        <f t="shared" si="0"/>
        <v>0.35658914728682051</v>
      </c>
      <c r="F50" s="33">
        <f t="shared" si="1"/>
        <v>0.44474447424923036</v>
      </c>
      <c r="G50" s="31">
        <f t="shared" si="2"/>
        <v>1.5859029489264886</v>
      </c>
      <c r="Z50" s="4"/>
      <c r="AA50" s="4"/>
      <c r="AB50" s="6"/>
    </row>
    <row r="51" spans="1:28">
      <c r="A51" s="38">
        <v>49.5</v>
      </c>
      <c r="B51" s="20">
        <v>1.6041000000000001</v>
      </c>
      <c r="C51" s="20">
        <f t="shared" si="3"/>
        <v>0.18142857142857191</v>
      </c>
      <c r="D51" s="20">
        <v>0.22908241818100955</v>
      </c>
      <c r="E51" s="32">
        <f t="shared" si="0"/>
        <v>0.22164048865619618</v>
      </c>
      <c r="F51" s="33">
        <f t="shared" si="1"/>
        <v>0.2971555242526529</v>
      </c>
      <c r="G51" s="31">
        <f t="shared" si="2"/>
        <v>1.5974284614546588</v>
      </c>
      <c r="Z51" s="4"/>
      <c r="AA51" s="4"/>
      <c r="AB51" s="6"/>
    </row>
    <row r="52" spans="1:28">
      <c r="A52" s="38">
        <v>50</v>
      </c>
      <c r="B52" s="20">
        <v>1.6153</v>
      </c>
      <c r="C52" s="20">
        <f t="shared" si="3"/>
        <v>0.10500000000000104</v>
      </c>
      <c r="D52" s="20">
        <v>0.16582696087605137</v>
      </c>
      <c r="E52" s="32">
        <f t="shared" si="0"/>
        <v>0.11731843575419125</v>
      </c>
      <c r="F52" s="33">
        <f t="shared" si="1"/>
        <v>0.19879204085785773</v>
      </c>
      <c r="G52" s="31">
        <f t="shared" si="2"/>
        <v>1.606784225477353</v>
      </c>
      <c r="Z52" s="4"/>
      <c r="AA52" s="4"/>
      <c r="AB52" s="6"/>
    </row>
    <row r="53" spans="1:28">
      <c r="A53" s="38">
        <v>50.5</v>
      </c>
      <c r="B53" s="20">
        <v>1.6263000000000001</v>
      </c>
      <c r="C53" s="20">
        <f t="shared" si="3"/>
        <v>2.9999999999999843E-2</v>
      </c>
      <c r="D53" s="20">
        <v>0.11750727018041525</v>
      </c>
      <c r="E53" s="32">
        <f t="shared" si="0"/>
        <v>3.0927835051546216E-2</v>
      </c>
      <c r="F53" s="33">
        <f t="shared" si="1"/>
        <v>0.13315381102849225</v>
      </c>
      <c r="G53" s="31">
        <f t="shared" si="2"/>
        <v>1.6140489821747419</v>
      </c>
      <c r="Z53" s="4"/>
      <c r="AA53" s="4"/>
      <c r="AB53" s="6"/>
    </row>
    <row r="54" spans="1:28">
      <c r="A54" s="38">
        <v>51</v>
      </c>
      <c r="B54" s="20">
        <v>1.6267</v>
      </c>
      <c r="C54" s="20">
        <f t="shared" si="3"/>
        <v>3.0714285714285475E-2</v>
      </c>
      <c r="D54" s="20">
        <v>8.1978157434593052E-2</v>
      </c>
      <c r="E54" s="32">
        <f t="shared" si="0"/>
        <v>3.1687546057479483E-2</v>
      </c>
      <c r="F54" s="33">
        <f t="shared" si="1"/>
        <v>8.9298700350642579E-2</v>
      </c>
      <c r="G54" s="31">
        <f t="shared" si="2"/>
        <v>1.6195230579591571</v>
      </c>
      <c r="Z54" s="4"/>
      <c r="AA54" s="4"/>
      <c r="AB54" s="6"/>
    </row>
    <row r="55" spans="1:28">
      <c r="A55" s="38">
        <v>51.5</v>
      </c>
      <c r="B55" s="20">
        <v>1.6342000000000001</v>
      </c>
      <c r="C55" s="20">
        <f t="shared" si="3"/>
        <v>-1.9285714285713729E-2</v>
      </c>
      <c r="D55" s="20">
        <v>5.656933968281945E-2</v>
      </c>
      <c r="E55" s="32">
        <f t="shared" si="0"/>
        <v>-1.8920812894183067E-2</v>
      </c>
      <c r="F55" s="33">
        <f t="shared" si="1"/>
        <v>5.9961311479744449E-2</v>
      </c>
      <c r="G55" s="31">
        <f t="shared" si="2"/>
        <v>1.6235802924444054</v>
      </c>
      <c r="Z55" s="4"/>
      <c r="AA55" s="4"/>
      <c r="AB55" s="6"/>
    </row>
    <row r="56" spans="1:28">
      <c r="A56" s="38">
        <v>52</v>
      </c>
      <c r="B56" s="20">
        <v>1.6380999999999999</v>
      </c>
      <c r="C56" s="20">
        <f t="shared" si="3"/>
        <v>-4.3571428571426908E-2</v>
      </c>
      <c r="D56" s="20">
        <v>3.8749462786264274E-2</v>
      </c>
      <c r="E56" s="32">
        <f t="shared" si="0"/>
        <v>-4.1752224503763022E-2</v>
      </c>
      <c r="F56" s="33">
        <f t="shared" si="1"/>
        <v>4.0311512229249613E-2</v>
      </c>
      <c r="G56" s="31">
        <f t="shared" si="2"/>
        <v>1.6265750752099231</v>
      </c>
      <c r="Z56" s="4"/>
      <c r="AA56" s="4"/>
      <c r="AB56" s="6"/>
    </row>
    <row r="57" spans="1:28">
      <c r="A57" s="38">
        <v>52.5</v>
      </c>
      <c r="B57" s="20">
        <v>1.6397999999999999</v>
      </c>
      <c r="C57" s="20">
        <f t="shared" si="3"/>
        <v>-5.214285714285611E-2</v>
      </c>
      <c r="D57" s="20">
        <v>2.6417359776282696E-2</v>
      </c>
      <c r="E57" s="32">
        <f t="shared" si="0"/>
        <v>-4.9558723693142306E-2</v>
      </c>
      <c r="F57" s="33">
        <f t="shared" si="1"/>
        <v>2.71341729862935E-2</v>
      </c>
      <c r="G57" s="31">
        <f t="shared" si="2"/>
        <v>1.6288015696313205</v>
      </c>
      <c r="Z57" s="4"/>
      <c r="AA57" s="4"/>
      <c r="AB57" s="6"/>
    </row>
    <row r="58" spans="1:28">
      <c r="A58" s="38">
        <v>53</v>
      </c>
      <c r="B58" s="20">
        <v>1.6412</v>
      </c>
      <c r="C58" s="20">
        <f t="shared" si="3"/>
        <v>-5.8571428571428413E-2</v>
      </c>
      <c r="D58" s="20">
        <v>1.795813318016623E-2</v>
      </c>
      <c r="E58" s="32">
        <f t="shared" si="0"/>
        <v>-5.5330634278002555E-2</v>
      </c>
      <c r="F58" s="33">
        <f t="shared" si="1"/>
        <v>1.8286525032095036E-2</v>
      </c>
      <c r="G58" s="31">
        <f t="shared" si="2"/>
        <v>1.6304858613547768</v>
      </c>
      <c r="Z58" s="4"/>
      <c r="AA58" s="4"/>
      <c r="AB58" s="6"/>
    </row>
    <row r="59" spans="1:28">
      <c r="A59" s="38">
        <v>53.5</v>
      </c>
      <c r="B59" s="20">
        <v>1.6418999999999999</v>
      </c>
      <c r="C59" s="20">
        <f t="shared" si="3"/>
        <v>-5.9999999999998097E-2</v>
      </c>
      <c r="D59" s="20">
        <v>1.2188341215339425E-2</v>
      </c>
      <c r="E59" s="32">
        <f t="shared" si="0"/>
        <v>-5.6603773584903962E-2</v>
      </c>
      <c r="F59" s="33">
        <f t="shared" si="1"/>
        <v>1.2338729865099152E-2</v>
      </c>
      <c r="G59" s="31">
        <f t="shared" si="2"/>
        <v>1.6317936322298527</v>
      </c>
      <c r="Z59" s="4"/>
      <c r="AA59" s="4"/>
      <c r="AB59" s="6"/>
    </row>
    <row r="60" spans="1:28">
      <c r="A60" s="38">
        <v>54</v>
      </c>
      <c r="B60" s="20">
        <v>1.6458999999999999</v>
      </c>
      <c r="C60" s="20">
        <f t="shared" si="3"/>
        <v>-8.4999999999998493E-2</v>
      </c>
      <c r="D60" s="20">
        <v>8.2666002645849519E-3</v>
      </c>
      <c r="E60" s="32">
        <f t="shared" si="0"/>
        <v>-7.8341013824883524E-2</v>
      </c>
      <c r="F60" s="33">
        <f t="shared" si="1"/>
        <v>8.3355065653636356E-3</v>
      </c>
      <c r="G60" s="31">
        <f t="shared" si="2"/>
        <v>1.6328426759629582</v>
      </c>
      <c r="Z60" s="4"/>
      <c r="AA60" s="4"/>
      <c r="AB60" s="6"/>
    </row>
    <row r="61" spans="1:28">
      <c r="A61" s="38">
        <v>54.5</v>
      </c>
      <c r="B61" s="20">
        <v>1.6436999999999999</v>
      </c>
      <c r="C61" s="20">
        <f t="shared" si="3"/>
        <v>-6.5714285714284768E-2</v>
      </c>
      <c r="D61" s="20">
        <v>5.6062415860523452E-3</v>
      </c>
      <c r="E61" s="32">
        <f t="shared" si="0"/>
        <v>-6.1662198391420078E-2</v>
      </c>
      <c r="F61" s="33">
        <f t="shared" si="1"/>
        <v>5.6378487280473975E-3</v>
      </c>
      <c r="G61" s="31">
        <f t="shared" si="2"/>
        <v>1.6337151261779528</v>
      </c>
      <c r="Z61" s="4"/>
      <c r="AA61" s="4"/>
      <c r="AB61" s="6"/>
    </row>
    <row r="62" spans="1:28">
      <c r="A62" s="38">
        <v>55</v>
      </c>
      <c r="B62" s="20">
        <v>1.6449</v>
      </c>
      <c r="C62" s="20">
        <f t="shared" si="3"/>
        <v>-7.0714285714285799E-2</v>
      </c>
      <c r="D62" s="20">
        <v>3.8032725904236708E-3</v>
      </c>
      <c r="E62" s="32">
        <f t="shared" si="0"/>
        <v>-6.6044029352902003E-2</v>
      </c>
      <c r="F62" s="33">
        <f t="shared" si="1"/>
        <v>3.8177926967431141E-3</v>
      </c>
      <c r="G62" s="31">
        <f t="shared" si="2"/>
        <v>1.6344675418373407</v>
      </c>
      <c r="Z62" s="4"/>
      <c r="AA62" s="4"/>
      <c r="AB62" s="6"/>
    </row>
    <row r="63" spans="1:28">
      <c r="A63" s="38">
        <v>55.5</v>
      </c>
      <c r="B63" s="20">
        <v>1.6485000000000001</v>
      </c>
      <c r="C63" s="20">
        <f t="shared" si="3"/>
        <v>-9.2857142857142069E-2</v>
      </c>
      <c r="D63" s="20">
        <v>2.5816879344526061E-3</v>
      </c>
      <c r="E63" s="32">
        <f t="shared" si="0"/>
        <v>-8.496732026143726E-2</v>
      </c>
      <c r="F63" s="33">
        <f t="shared" si="1"/>
        <v>2.5883702988229729E-3</v>
      </c>
      <c r="G63" s="31">
        <f t="shared" si="2"/>
        <v>1.6351385636891769</v>
      </c>
      <c r="Z63" s="4"/>
      <c r="AA63" s="4"/>
      <c r="AB63" s="6"/>
    </row>
    <row r="64" spans="1:28">
      <c r="A64" s="38">
        <v>56</v>
      </c>
      <c r="B64" s="20">
        <v>1.6482000000000001</v>
      </c>
      <c r="C64" s="20">
        <f t="shared" si="3"/>
        <v>-8.714285714285698E-2</v>
      </c>
      <c r="D64" s="20">
        <v>1.7538438029085742E-3</v>
      </c>
      <c r="E64" s="32">
        <f t="shared" si="0"/>
        <v>-8.0157687253613538E-2</v>
      </c>
      <c r="F64" s="33">
        <f t="shared" si="1"/>
        <v>1.7569251752393416E-3</v>
      </c>
      <c r="G64" s="31">
        <f t="shared" si="2"/>
        <v>1.635754461867593</v>
      </c>
      <c r="Z64" s="4"/>
      <c r="AA64" s="4"/>
      <c r="AB64" s="6"/>
    </row>
    <row r="65" spans="1:28">
      <c r="A65" s="38">
        <v>56.5</v>
      </c>
      <c r="B65" s="20">
        <v>1.6456</v>
      </c>
      <c r="C65" s="20">
        <f t="shared" si="3"/>
        <v>-6.4999999999999128E-2</v>
      </c>
      <c r="D65" s="20">
        <v>1.1925383725008125E-3</v>
      </c>
      <c r="E65" s="32">
        <f t="shared" si="0"/>
        <v>-6.1032863849764502E-2</v>
      </c>
      <c r="F65" s="33">
        <f t="shared" si="1"/>
        <v>1.1939622182614053E-3</v>
      </c>
      <c r="G65" s="31">
        <f t="shared" si="2"/>
        <v>1.6363330446278499</v>
      </c>
      <c r="Z65" s="4"/>
      <c r="AA65" s="4"/>
      <c r="AB65" s="6"/>
    </row>
    <row r="66" spans="1:28">
      <c r="A66" s="38">
        <v>57</v>
      </c>
      <c r="B66" s="20">
        <v>1.6488</v>
      </c>
      <c r="C66" s="20">
        <f t="shared" si="3"/>
        <v>-8.428571428571445E-2</v>
      </c>
      <c r="D66" s="20">
        <v>8.1167728656083237E-4</v>
      </c>
      <c r="E66" s="32">
        <f t="shared" si="0"/>
        <v>-7.7733860342556138E-2</v>
      </c>
      <c r="F66" s="33">
        <f t="shared" si="1"/>
        <v>8.1233664176199162E-4</v>
      </c>
      <c r="G66" s="31">
        <f t="shared" si="2"/>
        <v>1.6368863651798815</v>
      </c>
      <c r="Z66" s="4"/>
      <c r="AA66" s="4"/>
      <c r="AB66" s="6"/>
    </row>
    <row r="67" spans="1:28">
      <c r="A67" s="38">
        <v>57.5</v>
      </c>
      <c r="B67" s="20">
        <v>1.6505000000000001</v>
      </c>
      <c r="C67" s="20">
        <f t="shared" ref="C67:C92" si="8">(($I$7+$I$8*A67)-B67)/(($I$7+$I$8*A67)-($I$5+$I$6*A67))</f>
        <v>-9.2857142857142069E-2</v>
      </c>
      <c r="D67" s="20">
        <v>5.5302796701389809E-4</v>
      </c>
      <c r="E67" s="32">
        <f t="shared" ref="E67:E68" si="9">C67*$I$10/($I$10*(1-C67))</f>
        <v>-8.496732026143726E-2</v>
      </c>
      <c r="F67" s="33">
        <f t="shared" ref="F67:F68" si="10">(D67*$I$10/($I$10*(1-D67)))</f>
        <v>5.5333397617782351E-4</v>
      </c>
      <c r="G67" s="31">
        <f t="shared" ref="G67:G130" si="11">($I$7+$I$8*A67)-(F67/(1+F67))*(($I$7+$I$8*A67)-($I$5+$I$6*A67))</f>
        <v>1.6374225760846182</v>
      </c>
      <c r="Z67" s="4"/>
      <c r="AA67" s="4"/>
      <c r="AB67" s="6"/>
    </row>
    <row r="68" spans="1:28">
      <c r="A68" s="38">
        <v>58</v>
      </c>
      <c r="B68" s="20">
        <v>1.6509</v>
      </c>
      <c r="C68" s="20">
        <f t="shared" si="8"/>
        <v>-9.214285714285643E-2</v>
      </c>
      <c r="D68" s="20">
        <v>3.7720577014168554E-4</v>
      </c>
      <c r="E68" s="32">
        <f t="shared" si="9"/>
        <v>-8.4368868541529821E-2</v>
      </c>
      <c r="F68" s="33">
        <f t="shared" si="10"/>
        <v>3.773481080253847E-4</v>
      </c>
      <c r="G68" s="31">
        <f t="shared" si="11"/>
        <v>1.6379471911921804</v>
      </c>
      <c r="Z68" s="4"/>
      <c r="AA68" s="4"/>
      <c r="AB68" s="6"/>
    </row>
    <row r="69" spans="1:28">
      <c r="A69" s="38">
        <v>58.5</v>
      </c>
      <c r="B69" s="20">
        <v>1.6509</v>
      </c>
      <c r="C69" s="20">
        <f t="shared" si="8"/>
        <v>-8.857142857142826E-2</v>
      </c>
      <c r="D69" s="20">
        <v>2.5756474027013859E-4</v>
      </c>
      <c r="E69" s="32">
        <f t="shared" ref="E69:E72" si="12">C69*$I$10/($I$10*(1-C69))</f>
        <v>-8.1364829396325181E-2</v>
      </c>
      <c r="F69" s="33">
        <f t="shared" ref="F69:F72" si="13">(D69*$I$10/($I$10*(1-D69)))</f>
        <v>2.5763109695671178E-4</v>
      </c>
      <c r="G69" s="31">
        <f t="shared" si="11"/>
        <v>1.6384639409363622</v>
      </c>
      <c r="Z69" s="4"/>
      <c r="AA69" s="4"/>
      <c r="AB69" s="6"/>
    </row>
    <row r="70" spans="1:28">
      <c r="A70" s="38">
        <v>59</v>
      </c>
      <c r="B70" s="20">
        <v>1.6487000000000001</v>
      </c>
      <c r="C70" s="20">
        <f t="shared" si="8"/>
        <v>-6.928571428571452E-2</v>
      </c>
      <c r="D70" s="20">
        <v>1.7606657668640816E-4</v>
      </c>
      <c r="E70" s="32">
        <f t="shared" si="12"/>
        <v>-6.4796259185036939E-2</v>
      </c>
      <c r="F70" s="33">
        <f t="shared" si="13"/>
        <v>1.7609758158476055E-4</v>
      </c>
      <c r="G70" s="31">
        <f t="shared" si="11"/>
        <v>1.6389753506792639</v>
      </c>
      <c r="Z70" s="4"/>
      <c r="AA70" s="4"/>
      <c r="AB70" s="6"/>
    </row>
    <row r="71" spans="1:28">
      <c r="A71" s="38">
        <v>59.5</v>
      </c>
      <c r="B71" s="20">
        <v>1.6494</v>
      </c>
      <c r="C71" s="20">
        <f t="shared" si="8"/>
        <v>-7.0714285714284203E-2</v>
      </c>
      <c r="D71" s="20">
        <v>1.204905320670124E-4</v>
      </c>
      <c r="E71" s="32">
        <f t="shared" si="12"/>
        <v>-6.6044029352900629E-2</v>
      </c>
      <c r="F71" s="33">
        <f t="shared" si="13"/>
        <v>1.205050517848187E-4</v>
      </c>
      <c r="G71" s="31">
        <f t="shared" si="11"/>
        <v>1.6394831313255107</v>
      </c>
      <c r="Z71" s="4"/>
      <c r="AA71" s="4"/>
      <c r="AB71" s="6"/>
    </row>
    <row r="72" spans="1:28">
      <c r="A72" s="38">
        <v>60</v>
      </c>
      <c r="B72" s="20">
        <v>1.6500999999999999</v>
      </c>
      <c r="C72" s="20">
        <f t="shared" si="8"/>
        <v>-7.2142857142855482E-2</v>
      </c>
      <c r="D72" s="20">
        <v>8.2549753299618713E-5</v>
      </c>
      <c r="E72" s="32">
        <f t="shared" si="12"/>
        <v>-6.7288474350431601E-2</v>
      </c>
      <c r="F72" s="33">
        <f t="shared" si="13"/>
        <v>8.2556568323967111E-5</v>
      </c>
      <c r="G72" s="31">
        <f t="shared" si="11"/>
        <v>1.6399884430345382</v>
      </c>
      <c r="Z72" s="4"/>
      <c r="AA72" s="4"/>
      <c r="AB72" s="6"/>
    </row>
    <row r="73" spans="1:28">
      <c r="A73" s="38">
        <v>60.5</v>
      </c>
      <c r="B73" s="20">
        <v>1.6485000000000001</v>
      </c>
      <c r="C73" s="20">
        <f t="shared" si="8"/>
        <v>-5.7142857142857141E-2</v>
      </c>
      <c r="D73" s="20">
        <v>5.6619458753950105E-5</v>
      </c>
      <c r="E73" s="32">
        <f t="shared" ref="E73:E136" si="14">C73*$I$10/($I$10*(1-C73))</f>
        <v>-5.405405405405405E-2</v>
      </c>
      <c r="F73" s="33">
        <f t="shared" ref="F73:F136" si="15">(D73*$I$10/($I$10*(1-D73)))</f>
        <v>5.6622664698578549E-5</v>
      </c>
      <c r="G73" s="31">
        <f t="shared" si="11"/>
        <v>1.6404920732757746</v>
      </c>
      <c r="Z73" s="4"/>
      <c r="AA73" s="4"/>
      <c r="AB73" s="6"/>
    </row>
    <row r="74" spans="1:28">
      <c r="A74" s="38">
        <v>61</v>
      </c>
      <c r="B74" s="20">
        <v>1.6519999999999999</v>
      </c>
      <c r="C74" s="20">
        <f t="shared" si="8"/>
        <v>-7.8571428571427779E-2</v>
      </c>
      <c r="D74" s="20">
        <v>3.8877844089615953E-5</v>
      </c>
      <c r="E74" s="32">
        <f t="shared" si="14"/>
        <v>-7.2847682119204615E-2</v>
      </c>
      <c r="F74" s="33">
        <f t="shared" si="15"/>
        <v>3.8879355635142644E-5</v>
      </c>
      <c r="G74" s="31">
        <f t="shared" si="11"/>
        <v>1.6409945571018274</v>
      </c>
      <c r="Z74" s="4"/>
      <c r="AA74" s="4"/>
      <c r="AB74" s="6"/>
    </row>
    <row r="75" spans="1:28">
      <c r="A75" s="38">
        <v>61.5</v>
      </c>
      <c r="B75" s="20">
        <v>1.6536999999999999</v>
      </c>
      <c r="C75" s="20">
        <f t="shared" si="8"/>
        <v>-8.7142857142855398E-2</v>
      </c>
      <c r="D75" s="20">
        <v>2.6725392562560172E-5</v>
      </c>
      <c r="E75" s="32">
        <f t="shared" si="14"/>
        <v>-8.0157687253612178E-2</v>
      </c>
      <c r="F75" s="33">
        <f t="shared" si="15"/>
        <v>2.6726106828256827E-5</v>
      </c>
      <c r="G75" s="31">
        <f t="shared" si="11"/>
        <v>1.6414962584450414</v>
      </c>
      <c r="Z75" s="4"/>
      <c r="AA75" s="4"/>
      <c r="AB75" s="6"/>
    </row>
    <row r="76" spans="1:28">
      <c r="A76" s="38">
        <v>62</v>
      </c>
      <c r="B76" s="20">
        <v>1.6511</v>
      </c>
      <c r="C76" s="20">
        <f t="shared" si="8"/>
        <v>-6.4999999999999128E-2</v>
      </c>
      <c r="D76" s="20">
        <v>1.8392046523481945E-5</v>
      </c>
      <c r="E76" s="32">
        <f t="shared" si="14"/>
        <v>-6.1032863849764502E-2</v>
      </c>
      <c r="F76" s="33">
        <f t="shared" si="15"/>
        <v>1.8392384797078813E-5</v>
      </c>
      <c r="G76" s="31">
        <f t="shared" si="11"/>
        <v>1.6419974251134868</v>
      </c>
      <c r="Z76" s="4"/>
      <c r="AA76" s="4"/>
      <c r="AB76" s="6"/>
    </row>
    <row r="77" spans="1:28">
      <c r="A77" s="38">
        <v>62.5</v>
      </c>
      <c r="B77" s="20">
        <v>1.6529</v>
      </c>
      <c r="C77" s="20">
        <f t="shared" si="8"/>
        <v>-7.4285714285713969E-2</v>
      </c>
      <c r="D77" s="20">
        <v>1.2671219620070601E-5</v>
      </c>
      <c r="E77" s="32">
        <f t="shared" si="14"/>
        <v>-6.9148936170212491E-2</v>
      </c>
      <c r="F77" s="33">
        <f t="shared" si="15"/>
        <v>1.2671380181911775E-5</v>
      </c>
      <c r="G77" s="31">
        <f t="shared" si="11"/>
        <v>1.6424982260292533</v>
      </c>
      <c r="Z77" s="4"/>
      <c r="AA77" s="4"/>
      <c r="AB77" s="6"/>
    </row>
    <row r="78" spans="1:28">
      <c r="A78" s="38">
        <v>63</v>
      </c>
      <c r="B78" s="20">
        <v>1.6538999999999999</v>
      </c>
      <c r="C78" s="20">
        <f t="shared" si="8"/>
        <v>-7.7857142857142139E-2</v>
      </c>
      <c r="D78" s="20">
        <v>8.7395159119045454E-6</v>
      </c>
      <c r="E78" s="32">
        <f t="shared" si="14"/>
        <v>-7.2233267064280363E-2</v>
      </c>
      <c r="F78" s="33">
        <f t="shared" si="15"/>
        <v>8.7395922917104423E-6</v>
      </c>
      <c r="G78" s="31">
        <f t="shared" si="11"/>
        <v>1.6429987764677723</v>
      </c>
      <c r="Z78" s="4"/>
      <c r="AA78" s="4"/>
      <c r="AB78" s="6"/>
    </row>
    <row r="79" spans="1:28">
      <c r="A79" s="38">
        <v>63.5</v>
      </c>
      <c r="B79" s="20">
        <v>1.6546000000000001</v>
      </c>
      <c r="C79" s="20">
        <f t="shared" si="8"/>
        <v>-7.9285714285715E-2</v>
      </c>
      <c r="D79" s="20">
        <v>6.034413047934527E-6</v>
      </c>
      <c r="E79" s="32">
        <f t="shared" si="14"/>
        <v>-7.3461283917935744E-2</v>
      </c>
      <c r="F79" s="33">
        <f t="shared" si="15"/>
        <v>6.0344494622950989E-6</v>
      </c>
      <c r="G79" s="31">
        <f t="shared" si="11"/>
        <v>1.6434991551821732</v>
      </c>
      <c r="Z79" s="4"/>
      <c r="AA79" s="4"/>
      <c r="AB79" s="6"/>
    </row>
    <row r="80" spans="1:28">
      <c r="A80" s="38">
        <v>64</v>
      </c>
      <c r="B80" s="20">
        <v>1.6488</v>
      </c>
      <c r="C80" s="20">
        <f t="shared" si="8"/>
        <v>-3.4285714285713649E-2</v>
      </c>
      <c r="D80" s="20">
        <v>4.1711847138950088E-6</v>
      </c>
      <c r="E80" s="32">
        <f t="shared" si="14"/>
        <v>-3.3149171270717634E-2</v>
      </c>
      <c r="F80" s="33">
        <f t="shared" si="15"/>
        <v>4.1712021127495005E-6</v>
      </c>
      <c r="G80" s="31">
        <f t="shared" si="11"/>
        <v>1.6439994160341402</v>
      </c>
      <c r="Z80" s="4"/>
      <c r="AA80" s="4"/>
      <c r="AB80" s="6"/>
    </row>
    <row r="81" spans="1:28">
      <c r="A81" s="38">
        <v>64.5</v>
      </c>
      <c r="B81" s="20">
        <v>1.6547000000000001</v>
      </c>
      <c r="C81" s="20">
        <f t="shared" si="8"/>
        <v>-7.2857142857142704E-2</v>
      </c>
      <c r="D81" s="20">
        <v>2.8864134385326739E-6</v>
      </c>
      <c r="E81" s="32">
        <f t="shared" si="14"/>
        <v>-6.7909454061251526E-2</v>
      </c>
      <c r="F81" s="33">
        <f t="shared" si="15"/>
        <v>2.8864217699392597E-6</v>
      </c>
      <c r="G81" s="31">
        <f t="shared" si="11"/>
        <v>1.6444995959021187</v>
      </c>
      <c r="Z81" s="4"/>
      <c r="AA81" s="4"/>
      <c r="AB81" s="6"/>
    </row>
    <row r="82" spans="1:28">
      <c r="A82" s="38">
        <v>65</v>
      </c>
      <c r="B82" s="20">
        <v>1.6547000000000001</v>
      </c>
      <c r="C82" s="20">
        <f t="shared" si="8"/>
        <v>-6.928571428571452E-2</v>
      </c>
      <c r="D82" s="20">
        <v>1.9995411764155488E-6</v>
      </c>
      <c r="E82" s="32">
        <f t="shared" si="14"/>
        <v>-6.4796259185036939E-2</v>
      </c>
      <c r="F82" s="33">
        <f t="shared" si="15"/>
        <v>1.9995451745884599E-6</v>
      </c>
      <c r="G82" s="31">
        <f t="shared" si="11"/>
        <v>1.6449997200642352</v>
      </c>
      <c r="Z82" s="4"/>
      <c r="AA82" s="4"/>
      <c r="AB82" s="6"/>
    </row>
    <row r="83" spans="1:28">
      <c r="A83" s="38">
        <v>65.5</v>
      </c>
      <c r="B83" s="20">
        <v>1.6540999999999999</v>
      </c>
      <c r="C83" s="20">
        <f t="shared" si="8"/>
        <v>-6.1428571428569369E-2</v>
      </c>
      <c r="D83" s="20">
        <v>1.3866690549239412E-6</v>
      </c>
      <c r="E83" s="32">
        <f t="shared" si="14"/>
        <v>-5.7873485868100455E-2</v>
      </c>
      <c r="F83" s="33">
        <f t="shared" si="15"/>
        <v>1.3866709777776754E-6</v>
      </c>
      <c r="G83" s="31">
        <f t="shared" si="11"/>
        <v>1.6454998058663326</v>
      </c>
      <c r="Z83" s="4"/>
      <c r="AA83" s="4"/>
      <c r="AB83" s="6"/>
    </row>
    <row r="84" spans="1:28">
      <c r="A84" s="38">
        <v>66</v>
      </c>
      <c r="B84" s="20">
        <v>1.6541999999999999</v>
      </c>
      <c r="C84" s="20">
        <f t="shared" si="8"/>
        <v>-5.8571428571426824E-2</v>
      </c>
      <c r="D84" s="20">
        <v>9.6268434278389687E-7</v>
      </c>
      <c r="E84" s="32">
        <f t="shared" si="14"/>
        <v>-5.5330634278001146E-2</v>
      </c>
      <c r="F84" s="33">
        <f t="shared" si="15"/>
        <v>9.62685269545933E-7</v>
      </c>
      <c r="G84" s="31">
        <f t="shared" si="11"/>
        <v>1.6459998652241921</v>
      </c>
      <c r="Z84" s="4"/>
      <c r="AA84" s="4"/>
      <c r="AB84" s="6"/>
    </row>
    <row r="85" spans="1:28">
      <c r="A85" s="38">
        <v>66.5</v>
      </c>
      <c r="B85" s="20">
        <v>1.6558999999999999</v>
      </c>
      <c r="C85" s="20">
        <f t="shared" si="8"/>
        <v>-6.7142857142856033E-2</v>
      </c>
      <c r="D85" s="20">
        <v>6.6905460027633289E-7</v>
      </c>
      <c r="E85" s="32">
        <f t="shared" si="14"/>
        <v>-6.2918340026772782E-2</v>
      </c>
      <c r="F85" s="33">
        <f t="shared" si="15"/>
        <v>6.6905504791069061E-7</v>
      </c>
      <c r="G85" s="31">
        <f t="shared" si="11"/>
        <v>1.646499906332356</v>
      </c>
      <c r="Z85" s="4"/>
      <c r="AA85" s="4"/>
      <c r="AB85" s="6"/>
    </row>
    <row r="86" spans="1:28">
      <c r="A86" s="38">
        <v>67</v>
      </c>
      <c r="B86" s="20">
        <v>1.6576</v>
      </c>
      <c r="C86" s="20">
        <f t="shared" si="8"/>
        <v>-7.5714285714285234E-2</v>
      </c>
      <c r="D86" s="20">
        <v>4.6548291118841801E-7</v>
      </c>
      <c r="E86" s="32">
        <f t="shared" si="14"/>
        <v>-7.0385126162018183E-2</v>
      </c>
      <c r="F86" s="33">
        <f t="shared" si="15"/>
        <v>4.6548312786285946E-7</v>
      </c>
      <c r="G86" s="31">
        <f t="shared" si="11"/>
        <v>1.6469999348323925</v>
      </c>
      <c r="Z86" s="4"/>
      <c r="AA86" s="4"/>
      <c r="AB86" s="6"/>
    </row>
    <row r="87" spans="1:28">
      <c r="A87" s="38">
        <v>67.5</v>
      </c>
      <c r="B87" s="20">
        <v>1.6527000000000001</v>
      </c>
      <c r="C87" s="20">
        <f t="shared" si="8"/>
        <v>-3.7142857142857776E-2</v>
      </c>
      <c r="D87" s="20">
        <v>3.2419657077780463E-7</v>
      </c>
      <c r="E87" s="32">
        <f t="shared" si="14"/>
        <v>-3.5812672176309124E-2</v>
      </c>
      <c r="F87" s="33">
        <f t="shared" si="15"/>
        <v>3.2419667588125521E-7</v>
      </c>
      <c r="G87" s="31">
        <f t="shared" si="11"/>
        <v>1.64749995461248</v>
      </c>
      <c r="Z87" s="4"/>
      <c r="AA87" s="4"/>
      <c r="AB87" s="6"/>
    </row>
    <row r="88" spans="1:28">
      <c r="A88" s="38">
        <v>68</v>
      </c>
      <c r="B88" s="20">
        <v>1.6591</v>
      </c>
      <c r="C88" s="20">
        <f t="shared" si="8"/>
        <v>-7.9285714285713418E-2</v>
      </c>
      <c r="D88" s="20">
        <v>2.260338907652454E-7</v>
      </c>
      <c r="E88" s="32">
        <f t="shared" si="14"/>
        <v>-7.3461283917934384E-2</v>
      </c>
      <c r="F88" s="33">
        <f t="shared" si="15"/>
        <v>2.2603394185657673E-7</v>
      </c>
      <c r="G88" s="31">
        <f t="shared" si="11"/>
        <v>1.6479999683552555</v>
      </c>
      <c r="Z88" s="4"/>
      <c r="AA88" s="4"/>
      <c r="AB88" s="6"/>
    </row>
    <row r="89" spans="1:28">
      <c r="A89" s="38">
        <v>68.5</v>
      </c>
      <c r="B89" s="20">
        <v>1.6598999999999999</v>
      </c>
      <c r="C89" s="20">
        <f t="shared" si="8"/>
        <v>-8.1428571428570323E-2</v>
      </c>
      <c r="D89" s="20">
        <v>1.5776009445802703E-7</v>
      </c>
      <c r="E89" s="32">
        <f t="shared" si="14"/>
        <v>-7.5297225891676742E-2</v>
      </c>
      <c r="F89" s="33">
        <f t="shared" si="15"/>
        <v>1.5776011934627836E-7</v>
      </c>
      <c r="G89" s="31">
        <f t="shared" si="11"/>
        <v>1.6484999779135869</v>
      </c>
      <c r="Z89" s="4"/>
      <c r="AA89" s="4"/>
      <c r="AB89" s="6"/>
    </row>
    <row r="90" spans="1:28">
      <c r="A90" s="38">
        <v>69</v>
      </c>
      <c r="B90" s="20">
        <v>1.6611</v>
      </c>
      <c r="C90" s="20">
        <f t="shared" si="8"/>
        <v>-8.6428571428571355E-2</v>
      </c>
      <c r="D90" s="20">
        <v>1.1022426247738085E-7</v>
      </c>
      <c r="E90" s="32">
        <f t="shared" si="14"/>
        <v>-7.9552925706771804E-2</v>
      </c>
      <c r="F90" s="33">
        <f t="shared" si="15"/>
        <v>1.1022427462677023E-7</v>
      </c>
      <c r="G90" s="31">
        <f t="shared" si="11"/>
        <v>1.6489999845686032</v>
      </c>
      <c r="Z90" s="4"/>
      <c r="AA90" s="4"/>
      <c r="AB90" s="6"/>
    </row>
    <row r="91" spans="1:28">
      <c r="A91" s="38">
        <v>69.5</v>
      </c>
      <c r="B91" s="20">
        <v>1.6584000000000001</v>
      </c>
      <c r="C91" s="20">
        <f t="shared" si="8"/>
        <v>-6.3571428571427863E-2</v>
      </c>
      <c r="D91" s="20">
        <v>7.70924232598752E-8</v>
      </c>
      <c r="E91" s="32">
        <f t="shared" si="14"/>
        <v>-5.9771658831429868E-2</v>
      </c>
      <c r="F91" s="33">
        <f t="shared" si="15"/>
        <v>7.7092429203117383E-8</v>
      </c>
      <c r="G91" s="31">
        <f t="shared" si="11"/>
        <v>1.649499989207061</v>
      </c>
      <c r="Z91" s="4"/>
      <c r="AA91" s="4"/>
      <c r="AB91" s="6"/>
    </row>
    <row r="92" spans="1:28">
      <c r="A92" s="38">
        <v>70</v>
      </c>
      <c r="B92" s="20">
        <v>1.6605000000000001</v>
      </c>
      <c r="C92" s="20">
        <f t="shared" si="8"/>
        <v>-7.4999999999999609E-2</v>
      </c>
      <c r="D92" s="20">
        <v>5.3975746767224985E-8</v>
      </c>
      <c r="E92" s="32">
        <f t="shared" si="14"/>
        <v>-6.9767441860464782E-2</v>
      </c>
      <c r="F92" s="33">
        <f t="shared" si="15"/>
        <v>5.3975749680606381E-8</v>
      </c>
      <c r="G92" s="31">
        <f t="shared" si="11"/>
        <v>1.6499999924433957</v>
      </c>
      <c r="Z92" s="4"/>
      <c r="AA92" s="4"/>
      <c r="AB92" s="6"/>
    </row>
    <row r="93" spans="1:28">
      <c r="A93" s="38"/>
      <c r="B93" s="20"/>
      <c r="C93" s="20"/>
      <c r="D93" s="20"/>
      <c r="E93" s="32">
        <f t="shared" si="14"/>
        <v>0</v>
      </c>
      <c r="F93" s="33">
        <f t="shared" si="15"/>
        <v>0</v>
      </c>
      <c r="G93" s="31">
        <f t="shared" si="11"/>
        <v>1.58</v>
      </c>
      <c r="Z93" s="4"/>
      <c r="AA93" s="4"/>
      <c r="AB93" s="6"/>
    </row>
    <row r="94" spans="1:28">
      <c r="A94" s="38"/>
      <c r="B94" s="20"/>
      <c r="C94" s="20"/>
      <c r="D94" s="20"/>
      <c r="E94" s="32">
        <f t="shared" si="14"/>
        <v>0</v>
      </c>
      <c r="F94" s="33">
        <f t="shared" si="15"/>
        <v>0</v>
      </c>
      <c r="G94" s="31">
        <f t="shared" si="11"/>
        <v>1.58</v>
      </c>
      <c r="Z94" s="4"/>
      <c r="AA94" s="4"/>
      <c r="AB94" s="6"/>
    </row>
    <row r="95" spans="1:28">
      <c r="A95" s="38"/>
      <c r="B95" s="20"/>
      <c r="C95" s="20"/>
      <c r="D95" s="20"/>
      <c r="E95" s="32">
        <f t="shared" si="14"/>
        <v>0</v>
      </c>
      <c r="F95" s="33">
        <f t="shared" si="15"/>
        <v>0</v>
      </c>
      <c r="G95" s="31">
        <f t="shared" si="11"/>
        <v>1.58</v>
      </c>
      <c r="Z95" s="4"/>
      <c r="AA95" s="4"/>
      <c r="AB95" s="6"/>
    </row>
    <row r="96" spans="1:28">
      <c r="A96" s="38"/>
      <c r="B96" s="20"/>
      <c r="C96" s="20"/>
      <c r="D96" s="20"/>
      <c r="E96" s="32">
        <f t="shared" si="14"/>
        <v>0</v>
      </c>
      <c r="F96" s="33">
        <f t="shared" si="15"/>
        <v>0</v>
      </c>
      <c r="G96" s="31">
        <f t="shared" si="11"/>
        <v>1.58</v>
      </c>
      <c r="Z96" s="4"/>
      <c r="AA96" s="4"/>
      <c r="AB96" s="6"/>
    </row>
    <row r="97" spans="1:28">
      <c r="A97" s="38"/>
      <c r="B97" s="20"/>
      <c r="C97" s="20"/>
      <c r="D97" s="20"/>
      <c r="E97" s="32">
        <f t="shared" si="14"/>
        <v>0</v>
      </c>
      <c r="F97" s="33">
        <f t="shared" si="15"/>
        <v>0</v>
      </c>
      <c r="G97" s="31">
        <f t="shared" si="11"/>
        <v>1.58</v>
      </c>
      <c r="Z97" s="4"/>
      <c r="AA97" s="4"/>
      <c r="AB97" s="6"/>
    </row>
    <row r="98" spans="1:28">
      <c r="A98" s="38"/>
      <c r="B98" s="20"/>
      <c r="C98" s="20"/>
      <c r="D98" s="20"/>
      <c r="E98" s="32">
        <f t="shared" si="14"/>
        <v>0</v>
      </c>
      <c r="F98" s="33">
        <f t="shared" si="15"/>
        <v>0</v>
      </c>
      <c r="G98" s="31">
        <f t="shared" si="11"/>
        <v>1.58</v>
      </c>
      <c r="Z98" s="4"/>
      <c r="AA98" s="4"/>
      <c r="AB98" s="6"/>
    </row>
    <row r="99" spans="1:28">
      <c r="A99" s="38"/>
      <c r="B99" s="20"/>
      <c r="C99" s="20"/>
      <c r="D99" s="20"/>
      <c r="E99" s="32">
        <f t="shared" si="14"/>
        <v>0</v>
      </c>
      <c r="F99" s="33">
        <f t="shared" si="15"/>
        <v>0</v>
      </c>
      <c r="G99" s="31">
        <f t="shared" si="11"/>
        <v>1.58</v>
      </c>
      <c r="Z99" s="4"/>
      <c r="AA99" s="4"/>
      <c r="AB99" s="6"/>
    </row>
    <row r="100" spans="1:28">
      <c r="A100" s="38"/>
      <c r="B100" s="20"/>
      <c r="C100" s="20"/>
      <c r="D100" s="20"/>
      <c r="E100" s="32">
        <f t="shared" si="14"/>
        <v>0</v>
      </c>
      <c r="F100" s="33">
        <f t="shared" si="15"/>
        <v>0</v>
      </c>
      <c r="G100" s="31">
        <f t="shared" si="11"/>
        <v>1.58</v>
      </c>
      <c r="Z100" s="4"/>
      <c r="AA100" s="4"/>
      <c r="AB100" s="6"/>
    </row>
    <row r="101" spans="1:28">
      <c r="A101" s="38"/>
      <c r="B101" s="20"/>
      <c r="C101" s="20"/>
      <c r="D101" s="20"/>
      <c r="E101" s="32">
        <f t="shared" si="14"/>
        <v>0</v>
      </c>
      <c r="F101" s="33">
        <f t="shared" si="15"/>
        <v>0</v>
      </c>
      <c r="G101" s="31">
        <f t="shared" si="11"/>
        <v>1.58</v>
      </c>
      <c r="Z101" s="4"/>
      <c r="AA101" s="4"/>
      <c r="AB101" s="6"/>
    </row>
    <row r="102" spans="1:28">
      <c r="A102" s="38"/>
      <c r="B102" s="20"/>
      <c r="C102" s="20"/>
      <c r="D102" s="20"/>
      <c r="E102" s="32">
        <f t="shared" si="14"/>
        <v>0</v>
      </c>
      <c r="F102" s="33">
        <f t="shared" si="15"/>
        <v>0</v>
      </c>
      <c r="G102" s="31">
        <f t="shared" si="11"/>
        <v>1.58</v>
      </c>
      <c r="Z102" s="4"/>
      <c r="AA102" s="4"/>
      <c r="AB102" s="6"/>
    </row>
    <row r="103" spans="1:28">
      <c r="A103" s="38"/>
      <c r="B103" s="20"/>
      <c r="C103" s="20"/>
      <c r="D103" s="20"/>
      <c r="E103" s="32">
        <f t="shared" si="14"/>
        <v>0</v>
      </c>
      <c r="F103" s="33">
        <f t="shared" si="15"/>
        <v>0</v>
      </c>
      <c r="G103" s="31">
        <f t="shared" si="11"/>
        <v>1.58</v>
      </c>
      <c r="Z103" s="4"/>
      <c r="AA103" s="4"/>
      <c r="AB103" s="6"/>
    </row>
    <row r="104" spans="1:28">
      <c r="A104" s="38"/>
      <c r="B104" s="20"/>
      <c r="C104" s="20"/>
      <c r="D104" s="20"/>
      <c r="E104" s="32">
        <f t="shared" si="14"/>
        <v>0</v>
      </c>
      <c r="F104" s="33">
        <f t="shared" si="15"/>
        <v>0</v>
      </c>
      <c r="G104" s="31">
        <f t="shared" si="11"/>
        <v>1.58</v>
      </c>
      <c r="Z104" s="4"/>
      <c r="AA104" s="4"/>
      <c r="AB104" s="6"/>
    </row>
    <row r="105" spans="1:28">
      <c r="A105" s="38"/>
      <c r="B105" s="20"/>
      <c r="C105" s="20"/>
      <c r="D105" s="20"/>
      <c r="E105" s="32">
        <f t="shared" si="14"/>
        <v>0</v>
      </c>
      <c r="F105" s="33">
        <f t="shared" si="15"/>
        <v>0</v>
      </c>
      <c r="G105" s="31">
        <f t="shared" si="11"/>
        <v>1.58</v>
      </c>
      <c r="Z105" s="4"/>
      <c r="AA105" s="4"/>
      <c r="AB105" s="6"/>
    </row>
    <row r="106" spans="1:28">
      <c r="A106" s="38"/>
      <c r="B106" s="20"/>
      <c r="C106" s="20"/>
      <c r="D106" s="20"/>
      <c r="E106" s="32">
        <f t="shared" si="14"/>
        <v>0</v>
      </c>
      <c r="F106" s="33">
        <f t="shared" si="15"/>
        <v>0</v>
      </c>
      <c r="G106" s="31">
        <f t="shared" si="11"/>
        <v>1.58</v>
      </c>
      <c r="Z106" s="4"/>
      <c r="AA106" s="4"/>
      <c r="AB106" s="6"/>
    </row>
    <row r="107" spans="1:28">
      <c r="A107" s="38"/>
      <c r="B107" s="20"/>
      <c r="C107" s="20"/>
      <c r="D107" s="20"/>
      <c r="E107" s="32">
        <f t="shared" si="14"/>
        <v>0</v>
      </c>
      <c r="F107" s="33">
        <f t="shared" si="15"/>
        <v>0</v>
      </c>
      <c r="G107" s="31">
        <f t="shared" si="11"/>
        <v>1.58</v>
      </c>
      <c r="Z107" s="4"/>
      <c r="AA107" s="4"/>
      <c r="AB107" s="6"/>
    </row>
    <row r="108" spans="1:28">
      <c r="A108" s="38"/>
      <c r="B108" s="20"/>
      <c r="C108" s="20"/>
      <c r="D108" s="20"/>
      <c r="E108" s="32">
        <f t="shared" si="14"/>
        <v>0</v>
      </c>
      <c r="F108" s="33">
        <f t="shared" si="15"/>
        <v>0</v>
      </c>
      <c r="G108" s="31">
        <f t="shared" si="11"/>
        <v>1.58</v>
      </c>
      <c r="Z108" s="4"/>
      <c r="AA108" s="4"/>
      <c r="AB108" s="6"/>
    </row>
    <row r="109" spans="1:28">
      <c r="A109" s="38"/>
      <c r="B109" s="20"/>
      <c r="C109" s="20"/>
      <c r="D109" s="20"/>
      <c r="E109" s="32">
        <f t="shared" si="14"/>
        <v>0</v>
      </c>
      <c r="F109" s="33">
        <f t="shared" si="15"/>
        <v>0</v>
      </c>
      <c r="G109" s="31">
        <f t="shared" si="11"/>
        <v>1.58</v>
      </c>
      <c r="Z109" s="4"/>
      <c r="AA109" s="4"/>
      <c r="AB109" s="6"/>
    </row>
    <row r="110" spans="1:28">
      <c r="A110" s="38"/>
      <c r="B110" s="20"/>
      <c r="C110" s="20"/>
      <c r="D110" s="20"/>
      <c r="E110" s="32">
        <f t="shared" si="14"/>
        <v>0</v>
      </c>
      <c r="F110" s="33">
        <f t="shared" si="15"/>
        <v>0</v>
      </c>
      <c r="G110" s="31">
        <f t="shared" si="11"/>
        <v>1.58</v>
      </c>
      <c r="Z110" s="4"/>
      <c r="AA110" s="4"/>
      <c r="AB110" s="6"/>
    </row>
    <row r="111" spans="1:28">
      <c r="A111" s="38"/>
      <c r="B111" s="20"/>
      <c r="C111" s="20"/>
      <c r="D111" s="20"/>
      <c r="E111" s="32">
        <f t="shared" si="14"/>
        <v>0</v>
      </c>
      <c r="F111" s="33">
        <f t="shared" si="15"/>
        <v>0</v>
      </c>
      <c r="G111" s="31">
        <f t="shared" si="11"/>
        <v>1.58</v>
      </c>
      <c r="Z111" s="4"/>
      <c r="AA111" s="4"/>
      <c r="AB111" s="6"/>
    </row>
    <row r="112" spans="1:28">
      <c r="A112" s="38"/>
      <c r="B112" s="20"/>
      <c r="C112" s="20"/>
      <c r="D112" s="20"/>
      <c r="E112" s="32">
        <f t="shared" si="14"/>
        <v>0</v>
      </c>
      <c r="F112" s="33">
        <f t="shared" si="15"/>
        <v>0</v>
      </c>
      <c r="G112" s="31">
        <f t="shared" si="11"/>
        <v>1.58</v>
      </c>
      <c r="Z112" s="4"/>
      <c r="AA112" s="4"/>
      <c r="AB112" s="6"/>
    </row>
    <row r="113" spans="1:28">
      <c r="A113" s="38"/>
      <c r="B113" s="20"/>
      <c r="C113" s="20"/>
      <c r="D113" s="20"/>
      <c r="E113" s="32">
        <f t="shared" si="14"/>
        <v>0</v>
      </c>
      <c r="F113" s="33">
        <f t="shared" si="15"/>
        <v>0</v>
      </c>
      <c r="G113" s="31">
        <f t="shared" si="11"/>
        <v>1.58</v>
      </c>
      <c r="Z113" s="4"/>
      <c r="AA113" s="4"/>
      <c r="AB113" s="6"/>
    </row>
    <row r="114" spans="1:28">
      <c r="A114" s="38"/>
      <c r="B114" s="20"/>
      <c r="C114" s="20"/>
      <c r="D114" s="20"/>
      <c r="E114" s="32">
        <f t="shared" si="14"/>
        <v>0</v>
      </c>
      <c r="F114" s="33">
        <f t="shared" si="15"/>
        <v>0</v>
      </c>
      <c r="G114" s="31">
        <f t="shared" si="11"/>
        <v>1.58</v>
      </c>
      <c r="Z114" s="4"/>
      <c r="AA114" s="4"/>
      <c r="AB114" s="6"/>
    </row>
    <row r="115" spans="1:28">
      <c r="A115" s="38"/>
      <c r="B115" s="20"/>
      <c r="C115" s="20"/>
      <c r="D115" s="20"/>
      <c r="E115" s="32">
        <f t="shared" si="14"/>
        <v>0</v>
      </c>
      <c r="F115" s="33">
        <f t="shared" si="15"/>
        <v>0</v>
      </c>
      <c r="G115" s="31">
        <f t="shared" si="11"/>
        <v>1.58</v>
      </c>
      <c r="Z115" s="4"/>
      <c r="AA115" s="4"/>
      <c r="AB115" s="6"/>
    </row>
    <row r="116" spans="1:28">
      <c r="A116" s="38"/>
      <c r="B116" s="20"/>
      <c r="C116" s="20"/>
      <c r="D116" s="20"/>
      <c r="E116" s="32">
        <f t="shared" si="14"/>
        <v>0</v>
      </c>
      <c r="F116" s="33">
        <f t="shared" si="15"/>
        <v>0</v>
      </c>
      <c r="G116" s="31">
        <f t="shared" si="11"/>
        <v>1.58</v>
      </c>
      <c r="Z116" s="4"/>
      <c r="AA116" s="4"/>
      <c r="AB116" s="6"/>
    </row>
    <row r="117" spans="1:28">
      <c r="A117" s="38"/>
      <c r="B117" s="20"/>
      <c r="C117" s="20"/>
      <c r="D117" s="20"/>
      <c r="E117" s="32">
        <f t="shared" si="14"/>
        <v>0</v>
      </c>
      <c r="F117" s="33">
        <f t="shared" si="15"/>
        <v>0</v>
      </c>
      <c r="G117" s="31">
        <f t="shared" si="11"/>
        <v>1.58</v>
      </c>
      <c r="Z117" s="4"/>
      <c r="AA117" s="4"/>
      <c r="AB117" s="6"/>
    </row>
    <row r="118" spans="1:28">
      <c r="A118" s="38"/>
      <c r="B118" s="20"/>
      <c r="C118" s="20"/>
      <c r="D118" s="20"/>
      <c r="E118" s="32">
        <f t="shared" si="14"/>
        <v>0</v>
      </c>
      <c r="F118" s="33">
        <f t="shared" si="15"/>
        <v>0</v>
      </c>
      <c r="G118" s="31">
        <f t="shared" si="11"/>
        <v>1.58</v>
      </c>
      <c r="Z118" s="4"/>
      <c r="AA118" s="4"/>
      <c r="AB118" s="6"/>
    </row>
    <row r="119" spans="1:28">
      <c r="A119" s="38"/>
      <c r="B119" s="20"/>
      <c r="C119" s="20"/>
      <c r="D119" s="20"/>
      <c r="E119" s="32">
        <f t="shared" si="14"/>
        <v>0</v>
      </c>
      <c r="F119" s="33">
        <f t="shared" si="15"/>
        <v>0</v>
      </c>
      <c r="G119" s="31">
        <f t="shared" si="11"/>
        <v>1.58</v>
      </c>
      <c r="Z119" s="4"/>
      <c r="AA119" s="4"/>
      <c r="AB119" s="6"/>
    </row>
    <row r="120" spans="1:28">
      <c r="A120" s="38"/>
      <c r="B120" s="20"/>
      <c r="C120" s="20"/>
      <c r="D120" s="20"/>
      <c r="E120" s="32">
        <f t="shared" si="14"/>
        <v>0</v>
      </c>
      <c r="F120" s="33">
        <f t="shared" si="15"/>
        <v>0</v>
      </c>
      <c r="G120" s="31">
        <f t="shared" si="11"/>
        <v>1.58</v>
      </c>
      <c r="Z120" s="4"/>
      <c r="AA120" s="4"/>
      <c r="AB120" s="6"/>
    </row>
    <row r="121" spans="1:28">
      <c r="A121" s="38"/>
      <c r="B121" s="20"/>
      <c r="C121" s="20"/>
      <c r="D121" s="20"/>
      <c r="E121" s="32">
        <f t="shared" si="14"/>
        <v>0</v>
      </c>
      <c r="F121" s="33">
        <f t="shared" si="15"/>
        <v>0</v>
      </c>
      <c r="G121" s="31">
        <f t="shared" si="11"/>
        <v>1.58</v>
      </c>
      <c r="Z121" s="4"/>
      <c r="AA121" s="4"/>
      <c r="AB121" s="6"/>
    </row>
    <row r="122" spans="1:28">
      <c r="A122" s="38"/>
      <c r="B122" s="20"/>
      <c r="C122" s="20"/>
      <c r="D122" s="20"/>
      <c r="E122" s="32">
        <f t="shared" si="14"/>
        <v>0</v>
      </c>
      <c r="F122" s="33">
        <f t="shared" si="15"/>
        <v>0</v>
      </c>
      <c r="G122" s="31">
        <f t="shared" si="11"/>
        <v>1.58</v>
      </c>
      <c r="Z122" s="4"/>
      <c r="AA122" s="4"/>
      <c r="AB122" s="6"/>
    </row>
    <row r="123" spans="1:28">
      <c r="A123" s="38"/>
      <c r="B123" s="20"/>
      <c r="C123" s="20"/>
      <c r="D123" s="20"/>
      <c r="E123" s="32">
        <f t="shared" si="14"/>
        <v>0</v>
      </c>
      <c r="F123" s="33">
        <f t="shared" si="15"/>
        <v>0</v>
      </c>
      <c r="G123" s="31">
        <f t="shared" si="11"/>
        <v>1.58</v>
      </c>
      <c r="Z123" s="4"/>
      <c r="AA123" s="4"/>
      <c r="AB123" s="6"/>
    </row>
    <row r="124" spans="1:28">
      <c r="A124" s="38"/>
      <c r="B124" s="20"/>
      <c r="C124" s="20"/>
      <c r="D124" s="20"/>
      <c r="E124" s="32">
        <f t="shared" si="14"/>
        <v>0</v>
      </c>
      <c r="F124" s="33">
        <f t="shared" si="15"/>
        <v>0</v>
      </c>
      <c r="G124" s="31">
        <f t="shared" si="11"/>
        <v>1.58</v>
      </c>
      <c r="Z124" s="4"/>
      <c r="AA124" s="4"/>
      <c r="AB124" s="6"/>
    </row>
    <row r="125" spans="1:28">
      <c r="A125" s="38"/>
      <c r="B125" s="20"/>
      <c r="C125" s="20"/>
      <c r="D125" s="20"/>
      <c r="E125" s="32">
        <f t="shared" si="14"/>
        <v>0</v>
      </c>
      <c r="F125" s="33">
        <f t="shared" si="15"/>
        <v>0</v>
      </c>
      <c r="G125" s="31">
        <f t="shared" si="11"/>
        <v>1.58</v>
      </c>
      <c r="Z125" s="4"/>
      <c r="AA125" s="4"/>
      <c r="AB125" s="6"/>
    </row>
    <row r="126" spans="1:28">
      <c r="A126" s="38"/>
      <c r="B126" s="20"/>
      <c r="C126" s="20"/>
      <c r="D126" s="20"/>
      <c r="E126" s="32">
        <f t="shared" si="14"/>
        <v>0</v>
      </c>
      <c r="F126" s="33">
        <f t="shared" si="15"/>
        <v>0</v>
      </c>
      <c r="G126" s="31">
        <f t="shared" si="11"/>
        <v>1.58</v>
      </c>
      <c r="Z126" s="4"/>
      <c r="AA126" s="4"/>
      <c r="AB126" s="6"/>
    </row>
    <row r="127" spans="1:28">
      <c r="A127" s="38"/>
      <c r="B127" s="20"/>
      <c r="C127" s="20"/>
      <c r="D127" s="20"/>
      <c r="E127" s="32">
        <f t="shared" si="14"/>
        <v>0</v>
      </c>
      <c r="F127" s="33">
        <f t="shared" si="15"/>
        <v>0</v>
      </c>
      <c r="G127" s="31">
        <f t="shared" si="11"/>
        <v>1.58</v>
      </c>
      <c r="Z127" s="4"/>
      <c r="AA127" s="4"/>
      <c r="AB127" s="6"/>
    </row>
    <row r="128" spans="1:28">
      <c r="A128" s="38"/>
      <c r="B128" s="20"/>
      <c r="C128" s="20"/>
      <c r="D128" s="20"/>
      <c r="E128" s="32">
        <f t="shared" si="14"/>
        <v>0</v>
      </c>
      <c r="F128" s="33">
        <f t="shared" si="15"/>
        <v>0</v>
      </c>
      <c r="G128" s="31">
        <f t="shared" si="11"/>
        <v>1.58</v>
      </c>
      <c r="Z128" s="4"/>
      <c r="AA128" s="4"/>
      <c r="AB128" s="6"/>
    </row>
    <row r="129" spans="1:28">
      <c r="A129" s="38"/>
      <c r="B129" s="20"/>
      <c r="C129" s="20"/>
      <c r="D129" s="20"/>
      <c r="E129" s="32">
        <f t="shared" si="14"/>
        <v>0</v>
      </c>
      <c r="F129" s="33">
        <f t="shared" si="15"/>
        <v>0</v>
      </c>
      <c r="G129" s="31">
        <f t="shared" si="11"/>
        <v>1.58</v>
      </c>
      <c r="Z129" s="4"/>
      <c r="AA129" s="4"/>
      <c r="AB129" s="6"/>
    </row>
    <row r="130" spans="1:28">
      <c r="A130" s="38"/>
      <c r="B130" s="20"/>
      <c r="C130" s="20"/>
      <c r="D130" s="20"/>
      <c r="E130" s="32">
        <f t="shared" si="14"/>
        <v>0</v>
      </c>
      <c r="F130" s="33">
        <f t="shared" si="15"/>
        <v>0</v>
      </c>
      <c r="G130" s="31">
        <f t="shared" si="11"/>
        <v>1.58</v>
      </c>
      <c r="Z130" s="4"/>
      <c r="AA130" s="4"/>
      <c r="AB130" s="6"/>
    </row>
    <row r="131" spans="1:28">
      <c r="A131" s="38"/>
      <c r="B131" s="20"/>
      <c r="C131" s="20"/>
      <c r="D131" s="20"/>
      <c r="E131" s="32">
        <f t="shared" si="14"/>
        <v>0</v>
      </c>
      <c r="F131" s="33">
        <f t="shared" si="15"/>
        <v>0</v>
      </c>
      <c r="G131" s="31">
        <f t="shared" ref="G131:G194" si="16">($I$7+$I$8*A131)-(F131/(1+F131))*(($I$7+$I$8*A131)-($I$5+$I$6*A131))</f>
        <v>1.58</v>
      </c>
      <c r="Z131" s="4"/>
      <c r="AA131" s="4"/>
      <c r="AB131" s="6"/>
    </row>
    <row r="132" spans="1:28">
      <c r="A132" s="38"/>
      <c r="B132" s="20"/>
      <c r="C132" s="20"/>
      <c r="D132" s="20"/>
      <c r="E132" s="32">
        <f t="shared" si="14"/>
        <v>0</v>
      </c>
      <c r="F132" s="33">
        <f t="shared" si="15"/>
        <v>0</v>
      </c>
      <c r="G132" s="31">
        <f t="shared" si="16"/>
        <v>1.58</v>
      </c>
      <c r="Z132" s="4"/>
      <c r="AA132" s="4"/>
      <c r="AB132" s="6"/>
    </row>
    <row r="133" spans="1:28">
      <c r="A133" s="38"/>
      <c r="B133" s="20"/>
      <c r="C133" s="20"/>
      <c r="D133" s="20"/>
      <c r="E133" s="32">
        <f t="shared" si="14"/>
        <v>0</v>
      </c>
      <c r="F133" s="33">
        <f t="shared" si="15"/>
        <v>0</v>
      </c>
      <c r="G133" s="31">
        <f t="shared" si="16"/>
        <v>1.58</v>
      </c>
      <c r="Z133" s="4"/>
      <c r="AA133" s="4"/>
      <c r="AB133" s="6"/>
    </row>
    <row r="134" spans="1:28">
      <c r="A134" s="38"/>
      <c r="B134" s="20"/>
      <c r="C134" s="20"/>
      <c r="D134" s="20"/>
      <c r="E134" s="32">
        <f t="shared" si="14"/>
        <v>0</v>
      </c>
      <c r="F134" s="33">
        <f t="shared" si="15"/>
        <v>0</v>
      </c>
      <c r="G134" s="31">
        <f t="shared" si="16"/>
        <v>1.58</v>
      </c>
      <c r="Z134" s="4"/>
      <c r="AA134" s="4"/>
      <c r="AB134" s="6"/>
    </row>
    <row r="135" spans="1:28">
      <c r="A135" s="38"/>
      <c r="B135" s="20"/>
      <c r="C135" s="20"/>
      <c r="D135" s="20"/>
      <c r="E135" s="32">
        <f t="shared" si="14"/>
        <v>0</v>
      </c>
      <c r="F135" s="33">
        <f t="shared" si="15"/>
        <v>0</v>
      </c>
      <c r="G135" s="31">
        <f t="shared" si="16"/>
        <v>1.58</v>
      </c>
      <c r="Z135" s="4"/>
      <c r="AA135" s="4"/>
      <c r="AB135" s="6"/>
    </row>
    <row r="136" spans="1:28">
      <c r="A136" s="38"/>
      <c r="B136" s="20"/>
      <c r="C136" s="20"/>
      <c r="D136" s="20"/>
      <c r="E136" s="32">
        <f t="shared" si="14"/>
        <v>0</v>
      </c>
      <c r="F136" s="33">
        <f t="shared" si="15"/>
        <v>0</v>
      </c>
      <c r="G136" s="31">
        <f t="shared" si="16"/>
        <v>1.58</v>
      </c>
      <c r="Z136" s="4"/>
      <c r="AA136" s="4"/>
      <c r="AB136" s="6"/>
    </row>
    <row r="137" spans="1:28">
      <c r="A137" s="38"/>
      <c r="B137" s="20"/>
      <c r="C137" s="20"/>
      <c r="D137" s="20"/>
      <c r="E137" s="32">
        <f t="shared" ref="E137:E176" si="17">C137*$I$10/($I$10*(1-C137))</f>
        <v>0</v>
      </c>
      <c r="F137" s="33">
        <f t="shared" ref="F137:F176" si="18">(D137*$I$10/($I$10*(1-D137)))</f>
        <v>0</v>
      </c>
      <c r="G137" s="31">
        <f t="shared" si="16"/>
        <v>1.58</v>
      </c>
      <c r="Z137" s="4"/>
      <c r="AA137" s="4"/>
      <c r="AB137" s="6"/>
    </row>
    <row r="138" spans="1:28">
      <c r="A138" s="38"/>
      <c r="B138" s="20"/>
      <c r="C138" s="20"/>
      <c r="D138" s="20"/>
      <c r="E138" s="32">
        <f t="shared" si="17"/>
        <v>0</v>
      </c>
      <c r="F138" s="33">
        <f t="shared" si="18"/>
        <v>0</v>
      </c>
      <c r="G138" s="31">
        <f t="shared" si="16"/>
        <v>1.58</v>
      </c>
      <c r="Z138" s="4"/>
      <c r="AA138" s="4"/>
      <c r="AB138" s="6"/>
    </row>
    <row r="139" spans="1:28">
      <c r="A139" s="38"/>
      <c r="B139" s="20"/>
      <c r="C139" s="20"/>
      <c r="D139" s="20"/>
      <c r="E139" s="32">
        <f t="shared" si="17"/>
        <v>0</v>
      </c>
      <c r="F139" s="33">
        <f t="shared" si="18"/>
        <v>0</v>
      </c>
      <c r="G139" s="31">
        <f t="shared" si="16"/>
        <v>1.58</v>
      </c>
      <c r="Z139" s="4"/>
      <c r="AA139" s="4"/>
      <c r="AB139" s="6"/>
    </row>
    <row r="140" spans="1:28">
      <c r="A140" s="38"/>
      <c r="B140" s="20"/>
      <c r="C140" s="20"/>
      <c r="D140" s="20"/>
      <c r="E140" s="32">
        <f t="shared" si="17"/>
        <v>0</v>
      </c>
      <c r="F140" s="33">
        <f t="shared" si="18"/>
        <v>0</v>
      </c>
      <c r="G140" s="31">
        <f t="shared" si="16"/>
        <v>1.58</v>
      </c>
      <c r="Z140" s="4"/>
      <c r="AA140" s="4"/>
      <c r="AB140" s="6"/>
    </row>
    <row r="141" spans="1:28">
      <c r="A141" s="38"/>
      <c r="B141" s="20"/>
      <c r="C141" s="20"/>
      <c r="D141" s="20"/>
      <c r="E141" s="32">
        <f t="shared" si="17"/>
        <v>0</v>
      </c>
      <c r="F141" s="33">
        <f t="shared" si="18"/>
        <v>0</v>
      </c>
      <c r="G141" s="31">
        <f t="shared" si="16"/>
        <v>1.58</v>
      </c>
      <c r="Z141" s="4"/>
      <c r="AA141" s="4"/>
      <c r="AB141" s="6"/>
    </row>
    <row r="142" spans="1:28">
      <c r="A142" s="38"/>
      <c r="B142" s="20"/>
      <c r="C142" s="20"/>
      <c r="D142" s="20"/>
      <c r="E142" s="32">
        <f t="shared" si="17"/>
        <v>0</v>
      </c>
      <c r="F142" s="33">
        <f t="shared" si="18"/>
        <v>0</v>
      </c>
      <c r="G142" s="31">
        <f t="shared" si="16"/>
        <v>1.58</v>
      </c>
      <c r="Z142" s="4"/>
      <c r="AA142" s="4"/>
      <c r="AB142" s="6"/>
    </row>
    <row r="143" spans="1:28">
      <c r="A143" s="38"/>
      <c r="B143" s="20"/>
      <c r="C143" s="20"/>
      <c r="D143" s="20"/>
      <c r="E143" s="32">
        <f t="shared" si="17"/>
        <v>0</v>
      </c>
      <c r="F143" s="33">
        <f t="shared" si="18"/>
        <v>0</v>
      </c>
      <c r="G143" s="31">
        <f t="shared" si="16"/>
        <v>1.58</v>
      </c>
      <c r="Z143" s="4"/>
      <c r="AA143" s="4"/>
      <c r="AB143" s="6"/>
    </row>
    <row r="144" spans="1:28">
      <c r="A144" s="38"/>
      <c r="B144" s="20"/>
      <c r="C144" s="20"/>
      <c r="D144" s="20"/>
      <c r="E144" s="32">
        <f t="shared" si="17"/>
        <v>0</v>
      </c>
      <c r="F144" s="33">
        <f t="shared" si="18"/>
        <v>0</v>
      </c>
      <c r="G144" s="31">
        <f t="shared" si="16"/>
        <v>1.58</v>
      </c>
      <c r="Z144" s="4"/>
      <c r="AA144" s="4"/>
      <c r="AB144" s="6"/>
    </row>
    <row r="145" spans="1:28">
      <c r="A145" s="38"/>
      <c r="B145" s="20"/>
      <c r="C145" s="20"/>
      <c r="D145" s="20"/>
      <c r="E145" s="32">
        <f t="shared" si="17"/>
        <v>0</v>
      </c>
      <c r="F145" s="33">
        <f t="shared" si="18"/>
        <v>0</v>
      </c>
      <c r="G145" s="31">
        <f t="shared" si="16"/>
        <v>1.58</v>
      </c>
      <c r="Z145" s="4"/>
      <c r="AA145" s="4"/>
      <c r="AB145" s="6"/>
    </row>
    <row r="146" spans="1:28">
      <c r="A146" s="38"/>
      <c r="B146" s="20"/>
      <c r="C146" s="20"/>
      <c r="D146" s="20"/>
      <c r="E146" s="32">
        <f t="shared" si="17"/>
        <v>0</v>
      </c>
      <c r="F146" s="33">
        <f t="shared" si="18"/>
        <v>0</v>
      </c>
      <c r="G146" s="31">
        <f t="shared" si="16"/>
        <v>1.58</v>
      </c>
      <c r="Z146" s="4"/>
      <c r="AA146" s="4"/>
      <c r="AB146" s="6"/>
    </row>
    <row r="147" spans="1:28">
      <c r="A147" s="38"/>
      <c r="B147" s="20"/>
      <c r="C147" s="20"/>
      <c r="D147" s="20"/>
      <c r="E147" s="32">
        <f t="shared" si="17"/>
        <v>0</v>
      </c>
      <c r="F147" s="33">
        <f t="shared" si="18"/>
        <v>0</v>
      </c>
      <c r="G147" s="31">
        <f t="shared" si="16"/>
        <v>1.58</v>
      </c>
      <c r="Z147" s="4"/>
      <c r="AA147" s="4"/>
      <c r="AB147" s="6"/>
    </row>
    <row r="148" spans="1:28">
      <c r="A148" s="38"/>
      <c r="B148" s="20"/>
      <c r="C148" s="20"/>
      <c r="D148" s="20"/>
      <c r="E148" s="32">
        <f t="shared" si="17"/>
        <v>0</v>
      </c>
      <c r="F148" s="33">
        <f t="shared" si="18"/>
        <v>0</v>
      </c>
      <c r="G148" s="31">
        <f t="shared" si="16"/>
        <v>1.58</v>
      </c>
      <c r="Z148" s="4"/>
      <c r="AA148" s="4"/>
      <c r="AB148" s="6"/>
    </row>
    <row r="149" spans="1:28">
      <c r="A149" s="38"/>
      <c r="B149" s="20"/>
      <c r="C149" s="20"/>
      <c r="D149" s="20"/>
      <c r="E149" s="32">
        <f t="shared" si="17"/>
        <v>0</v>
      </c>
      <c r="F149" s="33">
        <f t="shared" si="18"/>
        <v>0</v>
      </c>
      <c r="G149" s="31">
        <f t="shared" si="16"/>
        <v>1.58</v>
      </c>
      <c r="Z149" s="4"/>
      <c r="AA149" s="4"/>
      <c r="AB149" s="6"/>
    </row>
    <row r="150" spans="1:28">
      <c r="A150" s="38"/>
      <c r="B150" s="20"/>
      <c r="C150" s="20"/>
      <c r="D150" s="20"/>
      <c r="E150" s="32">
        <f t="shared" si="17"/>
        <v>0</v>
      </c>
      <c r="F150" s="33">
        <f t="shared" si="18"/>
        <v>0</v>
      </c>
      <c r="G150" s="31">
        <f t="shared" si="16"/>
        <v>1.58</v>
      </c>
      <c r="Z150" s="4"/>
      <c r="AA150" s="4"/>
      <c r="AB150" s="6"/>
    </row>
    <row r="151" spans="1:28">
      <c r="A151" s="38"/>
      <c r="B151" s="20"/>
      <c r="C151" s="20"/>
      <c r="D151" s="20"/>
      <c r="E151" s="32">
        <f t="shared" si="17"/>
        <v>0</v>
      </c>
      <c r="F151" s="33">
        <f t="shared" si="18"/>
        <v>0</v>
      </c>
      <c r="G151" s="31">
        <f t="shared" si="16"/>
        <v>1.58</v>
      </c>
      <c r="Z151" s="4"/>
      <c r="AA151" s="4"/>
      <c r="AB151" s="6"/>
    </row>
    <row r="152" spans="1:28">
      <c r="A152" s="38"/>
      <c r="B152" s="20"/>
      <c r="C152" s="20"/>
      <c r="D152" s="20"/>
      <c r="E152" s="32">
        <f t="shared" si="17"/>
        <v>0</v>
      </c>
      <c r="F152" s="33">
        <f t="shared" si="18"/>
        <v>0</v>
      </c>
      <c r="G152" s="31">
        <f t="shared" si="16"/>
        <v>1.58</v>
      </c>
      <c r="Z152" s="4"/>
      <c r="AA152" s="4"/>
      <c r="AB152" s="6"/>
    </row>
    <row r="153" spans="1:28">
      <c r="A153" s="38"/>
      <c r="B153" s="20"/>
      <c r="C153" s="20"/>
      <c r="D153" s="20"/>
      <c r="E153" s="32">
        <f t="shared" si="17"/>
        <v>0</v>
      </c>
      <c r="F153" s="33">
        <f t="shared" si="18"/>
        <v>0</v>
      </c>
      <c r="G153" s="31">
        <f t="shared" si="16"/>
        <v>1.58</v>
      </c>
      <c r="Z153" s="4"/>
      <c r="AA153" s="4"/>
      <c r="AB153" s="6"/>
    </row>
    <row r="154" spans="1:28">
      <c r="A154" s="38"/>
      <c r="B154" s="20"/>
      <c r="C154" s="20"/>
      <c r="D154" s="20"/>
      <c r="E154" s="32">
        <f t="shared" si="17"/>
        <v>0</v>
      </c>
      <c r="F154" s="33">
        <f t="shared" si="18"/>
        <v>0</v>
      </c>
      <c r="G154" s="31">
        <f t="shared" si="16"/>
        <v>1.58</v>
      </c>
      <c r="Z154" s="4"/>
      <c r="AA154" s="4"/>
      <c r="AB154" s="6"/>
    </row>
    <row r="155" spans="1:28">
      <c r="A155" s="38"/>
      <c r="B155" s="20"/>
      <c r="C155" s="20"/>
      <c r="D155" s="20"/>
      <c r="E155" s="32">
        <f t="shared" si="17"/>
        <v>0</v>
      </c>
      <c r="F155" s="33">
        <f t="shared" si="18"/>
        <v>0</v>
      </c>
      <c r="G155" s="31">
        <f t="shared" si="16"/>
        <v>1.58</v>
      </c>
      <c r="Z155" s="4"/>
      <c r="AA155" s="4"/>
      <c r="AB155" s="6"/>
    </row>
    <row r="156" spans="1:28">
      <c r="A156" s="38"/>
      <c r="B156" s="20"/>
      <c r="C156" s="20"/>
      <c r="D156" s="20"/>
      <c r="E156" s="32">
        <f t="shared" si="17"/>
        <v>0</v>
      </c>
      <c r="F156" s="33">
        <f t="shared" si="18"/>
        <v>0</v>
      </c>
      <c r="G156" s="31">
        <f t="shared" si="16"/>
        <v>1.58</v>
      </c>
      <c r="Z156" s="4"/>
      <c r="AA156" s="4"/>
      <c r="AB156" s="6"/>
    </row>
    <row r="157" spans="1:28">
      <c r="A157" s="38"/>
      <c r="B157" s="20"/>
      <c r="C157" s="20"/>
      <c r="D157" s="20"/>
      <c r="E157" s="32">
        <f t="shared" si="17"/>
        <v>0</v>
      </c>
      <c r="F157" s="33">
        <f t="shared" si="18"/>
        <v>0</v>
      </c>
      <c r="G157" s="31">
        <f t="shared" si="16"/>
        <v>1.58</v>
      </c>
      <c r="Z157" s="4"/>
      <c r="AA157" s="4"/>
      <c r="AB157" s="6"/>
    </row>
    <row r="158" spans="1:28">
      <c r="A158" s="38"/>
      <c r="B158" s="20"/>
      <c r="C158" s="20"/>
      <c r="D158" s="20"/>
      <c r="E158" s="32">
        <f t="shared" si="17"/>
        <v>0</v>
      </c>
      <c r="F158" s="33">
        <f t="shared" si="18"/>
        <v>0</v>
      </c>
      <c r="G158" s="31">
        <f t="shared" si="16"/>
        <v>1.58</v>
      </c>
      <c r="Z158" s="4"/>
      <c r="AA158" s="4"/>
      <c r="AB158" s="6"/>
    </row>
    <row r="159" spans="1:28">
      <c r="A159" s="38"/>
      <c r="B159" s="20"/>
      <c r="C159" s="20"/>
      <c r="D159" s="20"/>
      <c r="E159" s="32">
        <f t="shared" si="17"/>
        <v>0</v>
      </c>
      <c r="F159" s="33">
        <f t="shared" si="18"/>
        <v>0</v>
      </c>
      <c r="G159" s="31">
        <f t="shared" si="16"/>
        <v>1.58</v>
      </c>
      <c r="Z159" s="4"/>
      <c r="AA159" s="4"/>
      <c r="AB159" s="6"/>
    </row>
    <row r="160" spans="1:28">
      <c r="A160" s="38"/>
      <c r="B160" s="20"/>
      <c r="C160" s="20"/>
      <c r="D160" s="20"/>
      <c r="E160" s="32">
        <f t="shared" si="17"/>
        <v>0</v>
      </c>
      <c r="F160" s="33">
        <f t="shared" si="18"/>
        <v>0</v>
      </c>
      <c r="G160" s="31">
        <f t="shared" si="16"/>
        <v>1.58</v>
      </c>
      <c r="Z160" s="4"/>
      <c r="AA160" s="4"/>
      <c r="AB160" s="6"/>
    </row>
    <row r="161" spans="1:28">
      <c r="A161" s="38"/>
      <c r="B161" s="20"/>
      <c r="C161" s="20"/>
      <c r="D161" s="20"/>
      <c r="E161" s="32">
        <f t="shared" si="17"/>
        <v>0</v>
      </c>
      <c r="F161" s="33">
        <f t="shared" si="18"/>
        <v>0</v>
      </c>
      <c r="G161" s="31">
        <f t="shared" si="16"/>
        <v>1.58</v>
      </c>
      <c r="Z161" s="4"/>
      <c r="AA161" s="4"/>
      <c r="AB161" s="6"/>
    </row>
    <row r="162" spans="1:28">
      <c r="A162" s="38"/>
      <c r="B162" s="20"/>
      <c r="C162" s="20"/>
      <c r="D162" s="20"/>
      <c r="E162" s="32">
        <f t="shared" si="17"/>
        <v>0</v>
      </c>
      <c r="F162" s="33">
        <f t="shared" si="18"/>
        <v>0</v>
      </c>
      <c r="G162" s="31">
        <f t="shared" si="16"/>
        <v>1.58</v>
      </c>
      <c r="Z162" s="4"/>
      <c r="AA162" s="4"/>
      <c r="AB162" s="6"/>
    </row>
    <row r="163" spans="1:28">
      <c r="A163" s="38"/>
      <c r="B163" s="20"/>
      <c r="C163" s="20"/>
      <c r="D163" s="20"/>
      <c r="E163" s="32">
        <f t="shared" si="17"/>
        <v>0</v>
      </c>
      <c r="F163" s="33">
        <f t="shared" si="18"/>
        <v>0</v>
      </c>
      <c r="G163" s="31">
        <f t="shared" si="16"/>
        <v>1.58</v>
      </c>
      <c r="Z163" s="4"/>
      <c r="AA163" s="4"/>
      <c r="AB163" s="6"/>
    </row>
    <row r="164" spans="1:28">
      <c r="A164" s="38"/>
      <c r="B164" s="20"/>
      <c r="C164" s="20"/>
      <c r="D164" s="20"/>
      <c r="E164" s="32">
        <f t="shared" si="17"/>
        <v>0</v>
      </c>
      <c r="F164" s="33">
        <f t="shared" si="18"/>
        <v>0</v>
      </c>
      <c r="G164" s="31">
        <f t="shared" si="16"/>
        <v>1.58</v>
      </c>
      <c r="Z164" s="4"/>
      <c r="AA164" s="4"/>
      <c r="AB164" s="6"/>
    </row>
    <row r="165" spans="1:28">
      <c r="A165" s="38"/>
      <c r="B165" s="20"/>
      <c r="C165" s="20"/>
      <c r="D165" s="20"/>
      <c r="E165" s="32">
        <f t="shared" si="17"/>
        <v>0</v>
      </c>
      <c r="F165" s="33">
        <f t="shared" si="18"/>
        <v>0</v>
      </c>
      <c r="G165" s="31">
        <f t="shared" si="16"/>
        <v>1.58</v>
      </c>
      <c r="Z165" s="4"/>
      <c r="AA165" s="4"/>
      <c r="AB165" s="6"/>
    </row>
    <row r="166" spans="1:28">
      <c r="A166" s="38"/>
      <c r="B166" s="20"/>
      <c r="C166" s="20"/>
      <c r="D166" s="20"/>
      <c r="E166" s="32">
        <f t="shared" si="17"/>
        <v>0</v>
      </c>
      <c r="F166" s="33">
        <f t="shared" si="18"/>
        <v>0</v>
      </c>
      <c r="G166" s="31">
        <f t="shared" si="16"/>
        <v>1.58</v>
      </c>
      <c r="Z166" s="4"/>
      <c r="AA166" s="4"/>
      <c r="AB166" s="6"/>
    </row>
    <row r="167" spans="1:28">
      <c r="A167" s="38"/>
      <c r="B167" s="20"/>
      <c r="C167" s="20"/>
      <c r="D167" s="20"/>
      <c r="E167" s="32">
        <f t="shared" si="17"/>
        <v>0</v>
      </c>
      <c r="F167" s="33">
        <f t="shared" si="18"/>
        <v>0</v>
      </c>
      <c r="G167" s="31">
        <f t="shared" si="16"/>
        <v>1.58</v>
      </c>
      <c r="Z167" s="4"/>
      <c r="AA167" s="4"/>
      <c r="AB167" s="6"/>
    </row>
    <row r="168" spans="1:28">
      <c r="A168" s="38"/>
      <c r="B168" s="20"/>
      <c r="C168" s="20"/>
      <c r="D168" s="20"/>
      <c r="E168" s="32">
        <f t="shared" si="17"/>
        <v>0</v>
      </c>
      <c r="F168" s="33">
        <f t="shared" si="18"/>
        <v>0</v>
      </c>
      <c r="G168" s="31">
        <f t="shared" si="16"/>
        <v>1.58</v>
      </c>
      <c r="Z168" s="4"/>
      <c r="AA168" s="4"/>
      <c r="AB168" s="6"/>
    </row>
    <row r="169" spans="1:28">
      <c r="A169" s="38"/>
      <c r="B169" s="20"/>
      <c r="C169" s="20"/>
      <c r="D169" s="20"/>
      <c r="E169" s="32">
        <f t="shared" si="17"/>
        <v>0</v>
      </c>
      <c r="F169" s="33">
        <f t="shared" si="18"/>
        <v>0</v>
      </c>
      <c r="G169" s="31">
        <f t="shared" si="16"/>
        <v>1.58</v>
      </c>
      <c r="Z169" s="4"/>
      <c r="AA169" s="4"/>
      <c r="AB169" s="6"/>
    </row>
    <row r="170" spans="1:28">
      <c r="A170" s="38"/>
      <c r="B170" s="20"/>
      <c r="C170" s="20"/>
      <c r="D170" s="20"/>
      <c r="E170" s="32">
        <f t="shared" si="17"/>
        <v>0</v>
      </c>
      <c r="F170" s="33">
        <f t="shared" si="18"/>
        <v>0</v>
      </c>
      <c r="G170" s="31">
        <f t="shared" si="16"/>
        <v>1.58</v>
      </c>
      <c r="Z170" s="4"/>
      <c r="AA170" s="4"/>
      <c r="AB170" s="6"/>
    </row>
    <row r="171" spans="1:28">
      <c r="A171" s="38"/>
      <c r="B171" s="20"/>
      <c r="C171" s="20"/>
      <c r="D171" s="20"/>
      <c r="E171" s="32">
        <f t="shared" si="17"/>
        <v>0</v>
      </c>
      <c r="F171" s="33">
        <f t="shared" si="18"/>
        <v>0</v>
      </c>
      <c r="G171" s="31">
        <f t="shared" si="16"/>
        <v>1.58</v>
      </c>
      <c r="Z171" s="4"/>
      <c r="AA171" s="4"/>
      <c r="AB171" s="6"/>
    </row>
    <row r="172" spans="1:28">
      <c r="A172" s="38"/>
      <c r="B172" s="20"/>
      <c r="C172" s="20"/>
      <c r="D172" s="20"/>
      <c r="E172" s="32">
        <f t="shared" si="17"/>
        <v>0</v>
      </c>
      <c r="F172" s="33">
        <f t="shared" si="18"/>
        <v>0</v>
      </c>
      <c r="G172" s="31">
        <f t="shared" si="16"/>
        <v>1.58</v>
      </c>
      <c r="Z172" s="4"/>
      <c r="AA172" s="4"/>
      <c r="AB172" s="6"/>
    </row>
    <row r="173" spans="1:28">
      <c r="A173" s="38"/>
      <c r="B173" s="20"/>
      <c r="C173" s="20"/>
      <c r="D173" s="20"/>
      <c r="E173" s="32">
        <f t="shared" si="17"/>
        <v>0</v>
      </c>
      <c r="F173" s="33">
        <f t="shared" si="18"/>
        <v>0</v>
      </c>
      <c r="G173" s="31">
        <f t="shared" si="16"/>
        <v>1.58</v>
      </c>
      <c r="Z173" s="4"/>
      <c r="AA173" s="4"/>
      <c r="AB173" s="6"/>
    </row>
    <row r="174" spans="1:28">
      <c r="A174" s="38"/>
      <c r="B174" s="20"/>
      <c r="C174" s="20"/>
      <c r="D174" s="20"/>
      <c r="E174" s="32">
        <f t="shared" si="17"/>
        <v>0</v>
      </c>
      <c r="F174" s="33">
        <f t="shared" si="18"/>
        <v>0</v>
      </c>
      <c r="G174" s="31">
        <f t="shared" si="16"/>
        <v>1.58</v>
      </c>
      <c r="Z174" s="4"/>
      <c r="AA174" s="4"/>
      <c r="AB174" s="6"/>
    </row>
    <row r="175" spans="1:28">
      <c r="A175" s="38"/>
      <c r="B175" s="20"/>
      <c r="C175" s="20"/>
      <c r="D175" s="20"/>
      <c r="E175" s="32">
        <f t="shared" si="17"/>
        <v>0</v>
      </c>
      <c r="F175" s="33">
        <f t="shared" si="18"/>
        <v>0</v>
      </c>
      <c r="G175" s="31">
        <f t="shared" si="16"/>
        <v>1.58</v>
      </c>
      <c r="Z175" s="4"/>
      <c r="AA175" s="4"/>
      <c r="AB175" s="6"/>
    </row>
    <row r="176" spans="1:28">
      <c r="A176" s="38"/>
      <c r="B176" s="20"/>
      <c r="C176" s="20"/>
      <c r="D176" s="20"/>
      <c r="E176" s="32">
        <f t="shared" si="17"/>
        <v>0</v>
      </c>
      <c r="F176" s="33">
        <f t="shared" si="18"/>
        <v>0</v>
      </c>
      <c r="G176" s="31">
        <f t="shared" si="16"/>
        <v>1.58</v>
      </c>
      <c r="Z176" s="4"/>
      <c r="AA176" s="4"/>
      <c r="AB176" s="6"/>
    </row>
    <row r="177" spans="1:28">
      <c r="A177" s="38"/>
      <c r="B177" s="20"/>
      <c r="C177" s="20"/>
      <c r="D177" s="20"/>
      <c r="E177" s="32">
        <f t="shared" ref="E177:E240" si="19">C177*$I$10/($I$10*(1-C177))</f>
        <v>0</v>
      </c>
      <c r="F177" s="33">
        <f t="shared" ref="F177:F240" si="20">(D177*$I$10/($I$10*(1-D177)))</f>
        <v>0</v>
      </c>
      <c r="G177" s="31">
        <f t="shared" si="16"/>
        <v>1.58</v>
      </c>
      <c r="Z177" s="4"/>
      <c r="AA177" s="4"/>
      <c r="AB177" s="6"/>
    </row>
    <row r="178" spans="1:28">
      <c r="A178" s="38"/>
      <c r="B178" s="20"/>
      <c r="C178" s="20"/>
      <c r="D178" s="20"/>
      <c r="E178" s="32">
        <f t="shared" si="19"/>
        <v>0</v>
      </c>
      <c r="F178" s="33">
        <f t="shared" si="20"/>
        <v>0</v>
      </c>
      <c r="G178" s="31">
        <f t="shared" si="16"/>
        <v>1.58</v>
      </c>
      <c r="Z178" s="4"/>
      <c r="AA178" s="4"/>
      <c r="AB178" s="6"/>
    </row>
    <row r="179" spans="1:28">
      <c r="A179" s="38"/>
      <c r="B179" s="20"/>
      <c r="C179" s="20"/>
      <c r="D179" s="20"/>
      <c r="E179" s="32">
        <f t="shared" si="19"/>
        <v>0</v>
      </c>
      <c r="F179" s="33">
        <f t="shared" si="20"/>
        <v>0</v>
      </c>
      <c r="G179" s="31">
        <f t="shared" si="16"/>
        <v>1.58</v>
      </c>
      <c r="Z179" s="4"/>
      <c r="AA179" s="4"/>
      <c r="AB179" s="6"/>
    </row>
    <row r="180" spans="1:28">
      <c r="A180" s="38"/>
      <c r="B180" s="20"/>
      <c r="C180" s="20"/>
      <c r="D180" s="20"/>
      <c r="E180" s="32">
        <f t="shared" si="19"/>
        <v>0</v>
      </c>
      <c r="F180" s="33">
        <f t="shared" si="20"/>
        <v>0</v>
      </c>
      <c r="G180" s="31">
        <f t="shared" si="16"/>
        <v>1.58</v>
      </c>
      <c r="Z180" s="4"/>
      <c r="AA180" s="4"/>
      <c r="AB180" s="6"/>
    </row>
    <row r="181" spans="1:28">
      <c r="A181" s="38"/>
      <c r="B181" s="20"/>
      <c r="C181" s="20"/>
      <c r="D181" s="20"/>
      <c r="E181" s="32">
        <f t="shared" si="19"/>
        <v>0</v>
      </c>
      <c r="F181" s="33">
        <f t="shared" si="20"/>
        <v>0</v>
      </c>
      <c r="G181" s="31">
        <f t="shared" si="16"/>
        <v>1.58</v>
      </c>
      <c r="Z181" s="4"/>
      <c r="AA181" s="4"/>
      <c r="AB181" s="6"/>
    </row>
    <row r="182" spans="1:28">
      <c r="A182" s="38"/>
      <c r="B182" s="20"/>
      <c r="C182" s="20"/>
      <c r="D182" s="20"/>
      <c r="E182" s="32">
        <f t="shared" si="19"/>
        <v>0</v>
      </c>
      <c r="F182" s="33">
        <f t="shared" si="20"/>
        <v>0</v>
      </c>
      <c r="G182" s="31">
        <f t="shared" si="16"/>
        <v>1.58</v>
      </c>
      <c r="Z182" s="4"/>
      <c r="AA182" s="4"/>
      <c r="AB182" s="6"/>
    </row>
    <row r="183" spans="1:28">
      <c r="A183" s="38"/>
      <c r="B183" s="20"/>
      <c r="C183" s="20"/>
      <c r="D183" s="20"/>
      <c r="E183" s="32">
        <f t="shared" si="19"/>
        <v>0</v>
      </c>
      <c r="F183" s="33">
        <f t="shared" si="20"/>
        <v>0</v>
      </c>
      <c r="G183" s="31">
        <f t="shared" si="16"/>
        <v>1.58</v>
      </c>
      <c r="Z183" s="4"/>
      <c r="AA183" s="4"/>
      <c r="AB183" s="6"/>
    </row>
    <row r="184" spans="1:28">
      <c r="A184" s="38"/>
      <c r="B184" s="20"/>
      <c r="C184" s="20"/>
      <c r="D184" s="20"/>
      <c r="E184" s="32">
        <f t="shared" si="19"/>
        <v>0</v>
      </c>
      <c r="F184" s="33">
        <f t="shared" si="20"/>
        <v>0</v>
      </c>
      <c r="G184" s="31">
        <f t="shared" si="16"/>
        <v>1.58</v>
      </c>
      <c r="Z184" s="4"/>
      <c r="AA184" s="4"/>
      <c r="AB184" s="6"/>
    </row>
    <row r="185" spans="1:28">
      <c r="A185" s="38"/>
      <c r="B185" s="20"/>
      <c r="C185" s="20"/>
      <c r="D185" s="20"/>
      <c r="E185" s="32">
        <f t="shared" si="19"/>
        <v>0</v>
      </c>
      <c r="F185" s="33">
        <f t="shared" si="20"/>
        <v>0</v>
      </c>
      <c r="G185" s="31">
        <f t="shared" si="16"/>
        <v>1.58</v>
      </c>
      <c r="Z185" s="4"/>
      <c r="AA185" s="4"/>
      <c r="AB185" s="6"/>
    </row>
    <row r="186" spans="1:28">
      <c r="A186" s="38"/>
      <c r="B186" s="20"/>
      <c r="C186" s="20"/>
      <c r="D186" s="20"/>
      <c r="E186" s="32">
        <f t="shared" si="19"/>
        <v>0</v>
      </c>
      <c r="F186" s="33">
        <f t="shared" si="20"/>
        <v>0</v>
      </c>
      <c r="G186" s="31">
        <f t="shared" si="16"/>
        <v>1.58</v>
      </c>
      <c r="Z186" s="4"/>
      <c r="AA186" s="4"/>
      <c r="AB186" s="6"/>
    </row>
    <row r="187" spans="1:28">
      <c r="A187" s="38"/>
      <c r="B187" s="20"/>
      <c r="C187" s="20"/>
      <c r="D187" s="20"/>
      <c r="E187" s="32">
        <f t="shared" si="19"/>
        <v>0</v>
      </c>
      <c r="F187" s="33">
        <f t="shared" si="20"/>
        <v>0</v>
      </c>
      <c r="G187" s="31">
        <f t="shared" si="16"/>
        <v>1.58</v>
      </c>
      <c r="Z187" s="4"/>
      <c r="AA187" s="4"/>
      <c r="AB187" s="6"/>
    </row>
    <row r="188" spans="1:28">
      <c r="A188" s="38"/>
      <c r="B188" s="20"/>
      <c r="C188" s="20"/>
      <c r="D188" s="20"/>
      <c r="E188" s="32">
        <f t="shared" si="19"/>
        <v>0</v>
      </c>
      <c r="F188" s="33">
        <f t="shared" si="20"/>
        <v>0</v>
      </c>
      <c r="G188" s="31">
        <f t="shared" si="16"/>
        <v>1.58</v>
      </c>
      <c r="Z188" s="4"/>
      <c r="AA188" s="4"/>
      <c r="AB188" s="6"/>
    </row>
    <row r="189" spans="1:28">
      <c r="A189" s="38"/>
      <c r="B189" s="20"/>
      <c r="C189" s="20"/>
      <c r="D189" s="20"/>
      <c r="E189" s="32">
        <f t="shared" si="19"/>
        <v>0</v>
      </c>
      <c r="F189" s="33">
        <f t="shared" si="20"/>
        <v>0</v>
      </c>
      <c r="G189" s="31">
        <f t="shared" si="16"/>
        <v>1.58</v>
      </c>
      <c r="Z189" s="4"/>
      <c r="AA189" s="4"/>
      <c r="AB189" s="6"/>
    </row>
    <row r="190" spans="1:28">
      <c r="A190" s="38"/>
      <c r="B190" s="20"/>
      <c r="C190" s="20"/>
      <c r="D190" s="20"/>
      <c r="E190" s="32">
        <f t="shared" si="19"/>
        <v>0</v>
      </c>
      <c r="F190" s="33">
        <f t="shared" si="20"/>
        <v>0</v>
      </c>
      <c r="G190" s="31">
        <f t="shared" si="16"/>
        <v>1.58</v>
      </c>
      <c r="Z190" s="4"/>
      <c r="AA190" s="4"/>
      <c r="AB190" s="6"/>
    </row>
    <row r="191" spans="1:28">
      <c r="A191" s="38"/>
      <c r="B191" s="20"/>
      <c r="C191" s="20"/>
      <c r="D191" s="20"/>
      <c r="E191" s="32">
        <f t="shared" si="19"/>
        <v>0</v>
      </c>
      <c r="F191" s="33">
        <f t="shared" si="20"/>
        <v>0</v>
      </c>
      <c r="G191" s="31">
        <f t="shared" si="16"/>
        <v>1.58</v>
      </c>
      <c r="Z191" s="4"/>
      <c r="AA191" s="4"/>
      <c r="AB191" s="6"/>
    </row>
    <row r="192" spans="1:28">
      <c r="A192" s="38"/>
      <c r="B192" s="20"/>
      <c r="C192" s="20"/>
      <c r="D192" s="20"/>
      <c r="E192" s="32">
        <f t="shared" si="19"/>
        <v>0</v>
      </c>
      <c r="F192" s="33">
        <f t="shared" si="20"/>
        <v>0</v>
      </c>
      <c r="G192" s="31">
        <f t="shared" si="16"/>
        <v>1.58</v>
      </c>
      <c r="Z192" s="4"/>
      <c r="AA192" s="4"/>
      <c r="AB192" s="6"/>
    </row>
    <row r="193" spans="1:28">
      <c r="A193" s="38"/>
      <c r="B193" s="20"/>
      <c r="C193" s="20"/>
      <c r="D193" s="20"/>
      <c r="E193" s="32">
        <f t="shared" si="19"/>
        <v>0</v>
      </c>
      <c r="F193" s="33">
        <f t="shared" si="20"/>
        <v>0</v>
      </c>
      <c r="G193" s="31">
        <f t="shared" si="16"/>
        <v>1.58</v>
      </c>
      <c r="Z193" s="4"/>
      <c r="AA193" s="4"/>
      <c r="AB193" s="6"/>
    </row>
    <row r="194" spans="1:28">
      <c r="A194" s="38"/>
      <c r="B194" s="20"/>
      <c r="C194" s="20"/>
      <c r="D194" s="20"/>
      <c r="E194" s="32">
        <f t="shared" si="19"/>
        <v>0</v>
      </c>
      <c r="F194" s="33">
        <f t="shared" si="20"/>
        <v>0</v>
      </c>
      <c r="G194" s="31">
        <f t="shared" si="16"/>
        <v>1.58</v>
      </c>
      <c r="Z194" s="4"/>
      <c r="AA194" s="4"/>
      <c r="AB194" s="6"/>
    </row>
    <row r="195" spans="1:28">
      <c r="A195" s="38"/>
      <c r="B195" s="20"/>
      <c r="C195" s="20"/>
      <c r="D195" s="20"/>
      <c r="E195" s="32">
        <f t="shared" si="19"/>
        <v>0</v>
      </c>
      <c r="F195" s="33">
        <f t="shared" si="20"/>
        <v>0</v>
      </c>
      <c r="G195" s="31">
        <f t="shared" ref="G195:G258" si="21">($I$7+$I$8*A195)-(F195/(1+F195))*(($I$7+$I$8*A195)-($I$5+$I$6*A195))</f>
        <v>1.58</v>
      </c>
      <c r="Z195" s="4"/>
      <c r="AA195" s="4"/>
      <c r="AB195" s="6"/>
    </row>
    <row r="196" spans="1:28">
      <c r="A196" s="38"/>
      <c r="B196" s="20"/>
      <c r="C196" s="20"/>
      <c r="D196" s="20"/>
      <c r="E196" s="32">
        <f t="shared" si="19"/>
        <v>0</v>
      </c>
      <c r="F196" s="33">
        <f t="shared" si="20"/>
        <v>0</v>
      </c>
      <c r="G196" s="31">
        <f t="shared" si="21"/>
        <v>1.58</v>
      </c>
      <c r="Z196" s="4"/>
      <c r="AA196" s="4"/>
      <c r="AB196" s="6"/>
    </row>
    <row r="197" spans="1:28">
      <c r="A197" s="38"/>
      <c r="B197" s="20"/>
      <c r="C197" s="20"/>
      <c r="D197" s="20"/>
      <c r="E197" s="32">
        <f t="shared" si="19"/>
        <v>0</v>
      </c>
      <c r="F197" s="33">
        <f t="shared" si="20"/>
        <v>0</v>
      </c>
      <c r="G197" s="31">
        <f t="shared" si="21"/>
        <v>1.58</v>
      </c>
      <c r="Z197" s="4"/>
      <c r="AA197" s="4"/>
      <c r="AB197" s="6"/>
    </row>
    <row r="198" spans="1:28">
      <c r="A198" s="38"/>
      <c r="B198" s="20"/>
      <c r="C198" s="20"/>
      <c r="D198" s="20"/>
      <c r="E198" s="32">
        <f t="shared" si="19"/>
        <v>0</v>
      </c>
      <c r="F198" s="33">
        <f t="shared" si="20"/>
        <v>0</v>
      </c>
      <c r="G198" s="31">
        <f t="shared" si="21"/>
        <v>1.58</v>
      </c>
      <c r="Z198" s="4"/>
      <c r="AA198" s="4"/>
      <c r="AB198" s="6"/>
    </row>
    <row r="199" spans="1:28">
      <c r="A199" s="38"/>
      <c r="B199" s="20"/>
      <c r="C199" s="20"/>
      <c r="D199" s="20"/>
      <c r="E199" s="32">
        <f t="shared" si="19"/>
        <v>0</v>
      </c>
      <c r="F199" s="33">
        <f t="shared" si="20"/>
        <v>0</v>
      </c>
      <c r="G199" s="31">
        <f t="shared" si="21"/>
        <v>1.58</v>
      </c>
      <c r="Z199" s="4"/>
      <c r="AA199" s="4"/>
      <c r="AB199" s="6"/>
    </row>
    <row r="200" spans="1:28">
      <c r="A200" s="38"/>
      <c r="B200" s="20"/>
      <c r="C200" s="20"/>
      <c r="D200" s="20"/>
      <c r="E200" s="32">
        <f t="shared" si="19"/>
        <v>0</v>
      </c>
      <c r="F200" s="33">
        <f t="shared" si="20"/>
        <v>0</v>
      </c>
      <c r="G200" s="31">
        <f t="shared" si="21"/>
        <v>1.58</v>
      </c>
      <c r="Z200" s="4"/>
      <c r="AA200" s="4"/>
      <c r="AB200" s="6"/>
    </row>
    <row r="201" spans="1:28">
      <c r="A201" s="38"/>
      <c r="B201" s="20"/>
      <c r="C201" s="20"/>
      <c r="D201" s="20"/>
      <c r="E201" s="32">
        <f t="shared" si="19"/>
        <v>0</v>
      </c>
      <c r="F201" s="33">
        <f t="shared" si="20"/>
        <v>0</v>
      </c>
      <c r="G201" s="31">
        <f t="shared" si="21"/>
        <v>1.58</v>
      </c>
      <c r="Z201" s="4"/>
      <c r="AA201" s="4"/>
      <c r="AB201" s="6"/>
    </row>
    <row r="202" spans="1:28">
      <c r="A202" s="38"/>
      <c r="B202" s="20"/>
      <c r="C202" s="20"/>
      <c r="D202" s="20"/>
      <c r="E202" s="32">
        <f t="shared" si="19"/>
        <v>0</v>
      </c>
      <c r="F202" s="33">
        <f t="shared" si="20"/>
        <v>0</v>
      </c>
      <c r="G202" s="31">
        <f t="shared" si="21"/>
        <v>1.58</v>
      </c>
      <c r="Z202" s="4"/>
      <c r="AA202" s="4"/>
      <c r="AB202" s="6"/>
    </row>
    <row r="203" spans="1:28">
      <c r="A203" s="38"/>
      <c r="B203" s="20"/>
      <c r="C203" s="20"/>
      <c r="D203" s="20"/>
      <c r="E203" s="32">
        <f t="shared" si="19"/>
        <v>0</v>
      </c>
      <c r="F203" s="33">
        <f t="shared" si="20"/>
        <v>0</v>
      </c>
      <c r="G203" s="31">
        <f t="shared" si="21"/>
        <v>1.58</v>
      </c>
      <c r="Z203" s="4"/>
      <c r="AA203" s="4"/>
      <c r="AB203" s="6"/>
    </row>
    <row r="204" spans="1:28">
      <c r="A204" s="38"/>
      <c r="B204" s="20"/>
      <c r="C204" s="20"/>
      <c r="D204" s="20"/>
      <c r="E204" s="32">
        <f t="shared" si="19"/>
        <v>0</v>
      </c>
      <c r="F204" s="33">
        <f t="shared" si="20"/>
        <v>0</v>
      </c>
      <c r="G204" s="31">
        <f t="shared" si="21"/>
        <v>1.58</v>
      </c>
      <c r="Z204" s="4"/>
      <c r="AA204" s="4"/>
      <c r="AB204" s="6"/>
    </row>
    <row r="205" spans="1:28">
      <c r="A205" s="38"/>
      <c r="B205" s="20"/>
      <c r="C205" s="20"/>
      <c r="D205" s="20"/>
      <c r="E205" s="32">
        <f t="shared" si="19"/>
        <v>0</v>
      </c>
      <c r="F205" s="33">
        <f t="shared" si="20"/>
        <v>0</v>
      </c>
      <c r="G205" s="31">
        <f t="shared" si="21"/>
        <v>1.58</v>
      </c>
      <c r="Z205" s="4"/>
      <c r="AA205" s="4"/>
      <c r="AB205" s="6"/>
    </row>
    <row r="206" spans="1:28">
      <c r="A206" s="38"/>
      <c r="B206" s="20"/>
      <c r="C206" s="20"/>
      <c r="D206" s="20"/>
      <c r="E206" s="32">
        <f t="shared" si="19"/>
        <v>0</v>
      </c>
      <c r="F206" s="33">
        <f t="shared" si="20"/>
        <v>0</v>
      </c>
      <c r="G206" s="31">
        <f t="shared" si="21"/>
        <v>1.58</v>
      </c>
      <c r="Z206" s="4"/>
      <c r="AA206" s="4"/>
      <c r="AB206" s="6"/>
    </row>
    <row r="207" spans="1:28">
      <c r="A207" s="38"/>
      <c r="B207" s="20"/>
      <c r="C207" s="20"/>
      <c r="D207" s="20"/>
      <c r="E207" s="32">
        <f t="shared" si="19"/>
        <v>0</v>
      </c>
      <c r="F207" s="33">
        <f t="shared" si="20"/>
        <v>0</v>
      </c>
      <c r="G207" s="31">
        <f t="shared" si="21"/>
        <v>1.58</v>
      </c>
      <c r="Z207" s="4"/>
      <c r="AA207" s="4"/>
      <c r="AB207" s="6"/>
    </row>
    <row r="208" spans="1:28">
      <c r="A208" s="38"/>
      <c r="B208" s="20"/>
      <c r="C208" s="20"/>
      <c r="D208" s="20"/>
      <c r="E208" s="32">
        <f t="shared" si="19"/>
        <v>0</v>
      </c>
      <c r="F208" s="33">
        <f t="shared" si="20"/>
        <v>0</v>
      </c>
      <c r="G208" s="31">
        <f t="shared" si="21"/>
        <v>1.58</v>
      </c>
      <c r="Z208" s="4"/>
      <c r="AA208" s="4"/>
      <c r="AB208" s="6"/>
    </row>
    <row r="209" spans="1:28">
      <c r="A209" s="38"/>
      <c r="B209" s="20"/>
      <c r="C209" s="20"/>
      <c r="D209" s="20"/>
      <c r="E209" s="32">
        <f t="shared" si="19"/>
        <v>0</v>
      </c>
      <c r="F209" s="33">
        <f t="shared" si="20"/>
        <v>0</v>
      </c>
      <c r="G209" s="31">
        <f t="shared" si="21"/>
        <v>1.58</v>
      </c>
      <c r="Z209" s="4"/>
      <c r="AA209" s="4"/>
      <c r="AB209" s="6"/>
    </row>
    <row r="210" spans="1:28">
      <c r="A210" s="38"/>
      <c r="B210" s="20"/>
      <c r="C210" s="20"/>
      <c r="D210" s="20"/>
      <c r="E210" s="32">
        <f t="shared" si="19"/>
        <v>0</v>
      </c>
      <c r="F210" s="33">
        <f t="shared" si="20"/>
        <v>0</v>
      </c>
      <c r="G210" s="31">
        <f t="shared" si="21"/>
        <v>1.58</v>
      </c>
      <c r="Z210" s="4"/>
      <c r="AA210" s="4"/>
      <c r="AB210" s="6"/>
    </row>
    <row r="211" spans="1:28">
      <c r="A211" s="38"/>
      <c r="B211" s="20"/>
      <c r="C211" s="20"/>
      <c r="D211" s="20"/>
      <c r="E211" s="32">
        <f t="shared" si="19"/>
        <v>0</v>
      </c>
      <c r="F211" s="33">
        <f t="shared" si="20"/>
        <v>0</v>
      </c>
      <c r="G211" s="31">
        <f t="shared" si="21"/>
        <v>1.58</v>
      </c>
      <c r="Z211" s="4"/>
      <c r="AA211" s="4"/>
      <c r="AB211" s="6"/>
    </row>
    <row r="212" spans="1:28">
      <c r="A212" s="38"/>
      <c r="B212" s="20"/>
      <c r="C212" s="20"/>
      <c r="D212" s="20"/>
      <c r="E212" s="32">
        <f t="shared" si="19"/>
        <v>0</v>
      </c>
      <c r="F212" s="33">
        <f t="shared" si="20"/>
        <v>0</v>
      </c>
      <c r="G212" s="31">
        <f t="shared" si="21"/>
        <v>1.58</v>
      </c>
      <c r="Z212" s="4"/>
      <c r="AA212" s="4"/>
      <c r="AB212" s="6"/>
    </row>
    <row r="213" spans="1:28">
      <c r="A213" s="38"/>
      <c r="B213" s="20"/>
      <c r="C213" s="20"/>
      <c r="D213" s="20"/>
      <c r="E213" s="32">
        <f t="shared" si="19"/>
        <v>0</v>
      </c>
      <c r="F213" s="33">
        <f t="shared" si="20"/>
        <v>0</v>
      </c>
      <c r="G213" s="31">
        <f t="shared" si="21"/>
        <v>1.58</v>
      </c>
      <c r="Z213" s="4"/>
      <c r="AA213" s="4"/>
      <c r="AB213" s="6"/>
    </row>
    <row r="214" spans="1:28">
      <c r="A214" s="38"/>
      <c r="B214" s="20"/>
      <c r="C214" s="20"/>
      <c r="D214" s="20"/>
      <c r="E214" s="32">
        <f t="shared" si="19"/>
        <v>0</v>
      </c>
      <c r="F214" s="33">
        <f t="shared" si="20"/>
        <v>0</v>
      </c>
      <c r="G214" s="31">
        <f t="shared" si="21"/>
        <v>1.58</v>
      </c>
      <c r="Z214" s="4"/>
      <c r="AA214" s="4"/>
      <c r="AB214" s="6"/>
    </row>
    <row r="215" spans="1:28">
      <c r="A215" s="38"/>
      <c r="B215" s="20"/>
      <c r="C215" s="20"/>
      <c r="D215" s="20"/>
      <c r="E215" s="32">
        <f t="shared" si="19"/>
        <v>0</v>
      </c>
      <c r="F215" s="33">
        <f t="shared" si="20"/>
        <v>0</v>
      </c>
      <c r="G215" s="31">
        <f t="shared" si="21"/>
        <v>1.58</v>
      </c>
      <c r="Z215" s="4"/>
      <c r="AA215" s="4"/>
      <c r="AB215" s="6"/>
    </row>
    <row r="216" spans="1:28">
      <c r="A216" s="38"/>
      <c r="B216" s="20"/>
      <c r="C216" s="20"/>
      <c r="D216" s="20"/>
      <c r="E216" s="32">
        <f t="shared" si="19"/>
        <v>0</v>
      </c>
      <c r="F216" s="33">
        <f t="shared" si="20"/>
        <v>0</v>
      </c>
      <c r="G216" s="31">
        <f t="shared" si="21"/>
        <v>1.58</v>
      </c>
      <c r="Z216" s="4"/>
      <c r="AA216" s="4"/>
      <c r="AB216" s="6"/>
    </row>
    <row r="217" spans="1:28">
      <c r="A217" s="38"/>
      <c r="B217" s="20"/>
      <c r="C217" s="20"/>
      <c r="D217" s="20"/>
      <c r="E217" s="32">
        <f t="shared" si="19"/>
        <v>0</v>
      </c>
      <c r="F217" s="33">
        <f t="shared" si="20"/>
        <v>0</v>
      </c>
      <c r="G217" s="31">
        <f t="shared" si="21"/>
        <v>1.58</v>
      </c>
      <c r="Z217" s="4"/>
      <c r="AA217" s="4"/>
      <c r="AB217" s="6"/>
    </row>
    <row r="218" spans="1:28">
      <c r="A218" s="38"/>
      <c r="B218" s="20"/>
      <c r="C218" s="20"/>
      <c r="D218" s="20"/>
      <c r="E218" s="32">
        <f t="shared" si="19"/>
        <v>0</v>
      </c>
      <c r="F218" s="33">
        <f t="shared" si="20"/>
        <v>0</v>
      </c>
      <c r="G218" s="31">
        <f t="shared" si="21"/>
        <v>1.58</v>
      </c>
      <c r="Z218" s="4"/>
      <c r="AA218" s="4"/>
      <c r="AB218" s="6"/>
    </row>
    <row r="219" spans="1:28">
      <c r="A219" s="38"/>
      <c r="B219" s="20"/>
      <c r="C219" s="20"/>
      <c r="D219" s="20"/>
      <c r="E219" s="32">
        <f t="shared" si="19"/>
        <v>0</v>
      </c>
      <c r="F219" s="33">
        <f t="shared" si="20"/>
        <v>0</v>
      </c>
      <c r="G219" s="31">
        <f t="shared" si="21"/>
        <v>1.58</v>
      </c>
      <c r="Z219" s="4"/>
      <c r="AA219" s="4"/>
      <c r="AB219" s="6"/>
    </row>
    <row r="220" spans="1:28">
      <c r="A220" s="38"/>
      <c r="B220" s="20"/>
      <c r="C220" s="20"/>
      <c r="D220" s="20"/>
      <c r="E220" s="32">
        <f t="shared" si="19"/>
        <v>0</v>
      </c>
      <c r="F220" s="33">
        <f t="shared" si="20"/>
        <v>0</v>
      </c>
      <c r="G220" s="31">
        <f t="shared" si="21"/>
        <v>1.58</v>
      </c>
      <c r="Z220" s="4"/>
      <c r="AA220" s="4"/>
      <c r="AB220" s="6"/>
    </row>
    <row r="221" spans="1:28">
      <c r="A221" s="38"/>
      <c r="B221" s="20"/>
      <c r="C221" s="20"/>
      <c r="D221" s="20"/>
      <c r="E221" s="32">
        <f t="shared" si="19"/>
        <v>0</v>
      </c>
      <c r="F221" s="33">
        <f t="shared" si="20"/>
        <v>0</v>
      </c>
      <c r="G221" s="31">
        <f t="shared" si="21"/>
        <v>1.58</v>
      </c>
      <c r="Z221" s="4"/>
      <c r="AA221" s="4"/>
      <c r="AB221" s="6"/>
    </row>
    <row r="222" spans="1:28">
      <c r="A222" s="38"/>
      <c r="B222" s="20"/>
      <c r="C222" s="20"/>
      <c r="D222" s="20"/>
      <c r="E222" s="32">
        <f t="shared" si="19"/>
        <v>0</v>
      </c>
      <c r="F222" s="33">
        <f t="shared" si="20"/>
        <v>0</v>
      </c>
      <c r="G222" s="31">
        <f t="shared" si="21"/>
        <v>1.58</v>
      </c>
      <c r="Z222" s="4"/>
      <c r="AA222" s="4"/>
      <c r="AB222" s="6"/>
    </row>
    <row r="223" spans="1:28">
      <c r="A223" s="38"/>
      <c r="B223" s="20"/>
      <c r="C223" s="20"/>
      <c r="D223" s="20"/>
      <c r="E223" s="32">
        <f t="shared" si="19"/>
        <v>0</v>
      </c>
      <c r="F223" s="33">
        <f t="shared" si="20"/>
        <v>0</v>
      </c>
      <c r="G223" s="31">
        <f t="shared" si="21"/>
        <v>1.58</v>
      </c>
      <c r="Z223" s="4"/>
      <c r="AA223" s="4"/>
      <c r="AB223" s="6"/>
    </row>
    <row r="224" spans="1:28">
      <c r="A224" s="38"/>
      <c r="B224" s="20"/>
      <c r="C224" s="20"/>
      <c r="D224" s="20"/>
      <c r="E224" s="32">
        <f t="shared" si="19"/>
        <v>0</v>
      </c>
      <c r="F224" s="33">
        <f t="shared" si="20"/>
        <v>0</v>
      </c>
      <c r="G224" s="31">
        <f t="shared" si="21"/>
        <v>1.58</v>
      </c>
      <c r="Z224" s="4"/>
      <c r="AA224" s="4"/>
      <c r="AB224" s="6"/>
    </row>
    <row r="225" spans="1:28">
      <c r="A225" s="38"/>
      <c r="B225" s="20"/>
      <c r="C225" s="20"/>
      <c r="D225" s="20"/>
      <c r="E225" s="32">
        <f t="shared" si="19"/>
        <v>0</v>
      </c>
      <c r="F225" s="33">
        <f t="shared" si="20"/>
        <v>0</v>
      </c>
      <c r="G225" s="31">
        <f t="shared" si="21"/>
        <v>1.58</v>
      </c>
      <c r="Z225" s="4"/>
      <c r="AA225" s="4"/>
      <c r="AB225" s="6"/>
    </row>
    <row r="226" spans="1:28">
      <c r="A226" s="38"/>
      <c r="B226" s="20"/>
      <c r="C226" s="20"/>
      <c r="D226" s="20"/>
      <c r="E226" s="32">
        <f t="shared" si="19"/>
        <v>0</v>
      </c>
      <c r="F226" s="33">
        <f t="shared" si="20"/>
        <v>0</v>
      </c>
      <c r="G226" s="31">
        <f t="shared" si="21"/>
        <v>1.58</v>
      </c>
      <c r="Z226" s="4"/>
      <c r="AA226" s="4"/>
      <c r="AB226" s="6"/>
    </row>
    <row r="227" spans="1:28">
      <c r="A227" s="38"/>
      <c r="B227" s="20"/>
      <c r="C227" s="20"/>
      <c r="D227" s="20"/>
      <c r="E227" s="32">
        <f t="shared" si="19"/>
        <v>0</v>
      </c>
      <c r="F227" s="33">
        <f t="shared" si="20"/>
        <v>0</v>
      </c>
      <c r="G227" s="31">
        <f t="shared" si="21"/>
        <v>1.58</v>
      </c>
      <c r="Z227" s="4"/>
      <c r="AA227" s="4"/>
      <c r="AB227" s="6"/>
    </row>
    <row r="228" spans="1:28">
      <c r="A228" s="38"/>
      <c r="B228" s="20"/>
      <c r="C228" s="20"/>
      <c r="D228" s="20"/>
      <c r="E228" s="32">
        <f t="shared" si="19"/>
        <v>0</v>
      </c>
      <c r="F228" s="33">
        <f t="shared" si="20"/>
        <v>0</v>
      </c>
      <c r="G228" s="31">
        <f t="shared" si="21"/>
        <v>1.58</v>
      </c>
      <c r="Z228" s="4"/>
      <c r="AA228" s="4"/>
      <c r="AB228" s="6"/>
    </row>
    <row r="229" spans="1:28">
      <c r="A229" s="38"/>
      <c r="B229" s="20"/>
      <c r="C229" s="20"/>
      <c r="D229" s="20"/>
      <c r="E229" s="32">
        <f t="shared" si="19"/>
        <v>0</v>
      </c>
      <c r="F229" s="33">
        <f t="shared" si="20"/>
        <v>0</v>
      </c>
      <c r="G229" s="31">
        <f t="shared" si="21"/>
        <v>1.58</v>
      </c>
      <c r="Z229" s="4"/>
      <c r="AA229" s="4"/>
      <c r="AB229" s="6"/>
    </row>
    <row r="230" spans="1:28">
      <c r="A230" s="38"/>
      <c r="B230" s="20"/>
      <c r="C230" s="20"/>
      <c r="D230" s="20"/>
      <c r="E230" s="32">
        <f t="shared" si="19"/>
        <v>0</v>
      </c>
      <c r="F230" s="33">
        <f t="shared" si="20"/>
        <v>0</v>
      </c>
      <c r="G230" s="31">
        <f t="shared" si="21"/>
        <v>1.58</v>
      </c>
      <c r="Z230" s="4"/>
      <c r="AA230" s="4"/>
      <c r="AB230" s="6"/>
    </row>
    <row r="231" spans="1:28">
      <c r="A231" s="38"/>
      <c r="B231" s="20"/>
      <c r="C231" s="20"/>
      <c r="D231" s="20"/>
      <c r="E231" s="32">
        <f t="shared" si="19"/>
        <v>0</v>
      </c>
      <c r="F231" s="33">
        <f t="shared" si="20"/>
        <v>0</v>
      </c>
      <c r="G231" s="31">
        <f t="shared" si="21"/>
        <v>1.58</v>
      </c>
      <c r="Z231" s="4"/>
      <c r="AA231" s="4"/>
      <c r="AB231" s="6"/>
    </row>
    <row r="232" spans="1:28">
      <c r="A232" s="38"/>
      <c r="B232" s="20"/>
      <c r="C232" s="20"/>
      <c r="D232" s="20"/>
      <c r="E232" s="32">
        <f t="shared" si="19"/>
        <v>0</v>
      </c>
      <c r="F232" s="33">
        <f t="shared" si="20"/>
        <v>0</v>
      </c>
      <c r="G232" s="31">
        <f t="shared" si="21"/>
        <v>1.58</v>
      </c>
      <c r="Z232" s="4"/>
      <c r="AA232" s="4"/>
      <c r="AB232" s="6"/>
    </row>
    <row r="233" spans="1:28">
      <c r="A233" s="38"/>
      <c r="B233" s="20"/>
      <c r="C233" s="20"/>
      <c r="D233" s="20"/>
      <c r="E233" s="32">
        <f t="shared" si="19"/>
        <v>0</v>
      </c>
      <c r="F233" s="33">
        <f t="shared" si="20"/>
        <v>0</v>
      </c>
      <c r="G233" s="31">
        <f t="shared" si="21"/>
        <v>1.58</v>
      </c>
      <c r="Z233" s="4"/>
      <c r="AA233" s="4"/>
      <c r="AB233" s="6"/>
    </row>
    <row r="234" spans="1:28">
      <c r="A234" s="38"/>
      <c r="B234" s="20"/>
      <c r="C234" s="20"/>
      <c r="D234" s="20"/>
      <c r="E234" s="32">
        <f t="shared" si="19"/>
        <v>0</v>
      </c>
      <c r="F234" s="33">
        <f t="shared" si="20"/>
        <v>0</v>
      </c>
      <c r="G234" s="31">
        <f t="shared" si="21"/>
        <v>1.58</v>
      </c>
      <c r="Z234" s="4"/>
      <c r="AA234" s="4"/>
      <c r="AB234" s="6"/>
    </row>
    <row r="235" spans="1:28">
      <c r="A235" s="38"/>
      <c r="B235" s="20"/>
      <c r="C235" s="20"/>
      <c r="D235" s="20"/>
      <c r="E235" s="32">
        <f t="shared" si="19"/>
        <v>0</v>
      </c>
      <c r="F235" s="33">
        <f t="shared" si="20"/>
        <v>0</v>
      </c>
      <c r="G235" s="31">
        <f t="shared" si="21"/>
        <v>1.58</v>
      </c>
      <c r="Z235" s="4"/>
      <c r="AA235" s="4"/>
      <c r="AB235" s="6"/>
    </row>
    <row r="236" spans="1:28">
      <c r="A236" s="38"/>
      <c r="B236" s="20"/>
      <c r="C236" s="20"/>
      <c r="D236" s="20"/>
      <c r="E236" s="32">
        <f t="shared" si="19"/>
        <v>0</v>
      </c>
      <c r="F236" s="33">
        <f t="shared" si="20"/>
        <v>0</v>
      </c>
      <c r="G236" s="31">
        <f t="shared" si="21"/>
        <v>1.58</v>
      </c>
      <c r="Z236" s="4"/>
      <c r="AA236" s="4"/>
      <c r="AB236" s="6"/>
    </row>
    <row r="237" spans="1:28">
      <c r="A237" s="38"/>
      <c r="B237" s="20"/>
      <c r="C237" s="20"/>
      <c r="D237" s="20"/>
      <c r="E237" s="32">
        <f t="shared" si="19"/>
        <v>0</v>
      </c>
      <c r="F237" s="33">
        <f t="shared" si="20"/>
        <v>0</v>
      </c>
      <c r="G237" s="31">
        <f t="shared" si="21"/>
        <v>1.58</v>
      </c>
      <c r="Z237" s="4"/>
      <c r="AA237" s="4"/>
      <c r="AB237" s="6"/>
    </row>
    <row r="238" spans="1:28">
      <c r="A238" s="38"/>
      <c r="B238" s="20"/>
      <c r="C238" s="20"/>
      <c r="D238" s="20"/>
      <c r="E238" s="32">
        <f t="shared" si="19"/>
        <v>0</v>
      </c>
      <c r="F238" s="33">
        <f t="shared" si="20"/>
        <v>0</v>
      </c>
      <c r="G238" s="31">
        <f t="shared" si="21"/>
        <v>1.58</v>
      </c>
      <c r="Z238" s="4"/>
      <c r="AA238" s="4"/>
      <c r="AB238" s="6"/>
    </row>
    <row r="239" spans="1:28">
      <c r="A239" s="38"/>
      <c r="B239" s="20"/>
      <c r="C239" s="20"/>
      <c r="D239" s="20"/>
      <c r="E239" s="32">
        <f t="shared" si="19"/>
        <v>0</v>
      </c>
      <c r="F239" s="33">
        <f t="shared" si="20"/>
        <v>0</v>
      </c>
      <c r="G239" s="31">
        <f t="shared" si="21"/>
        <v>1.58</v>
      </c>
      <c r="Z239" s="4"/>
      <c r="AA239" s="4"/>
      <c r="AB239" s="6"/>
    </row>
    <row r="240" spans="1:28">
      <c r="A240" s="38"/>
      <c r="B240" s="20"/>
      <c r="C240" s="20"/>
      <c r="D240" s="20"/>
      <c r="E240" s="32">
        <f t="shared" si="19"/>
        <v>0</v>
      </c>
      <c r="F240" s="33">
        <f t="shared" si="20"/>
        <v>0</v>
      </c>
      <c r="G240" s="31">
        <f t="shared" si="21"/>
        <v>1.58</v>
      </c>
      <c r="Z240" s="4"/>
      <c r="AA240" s="4"/>
      <c r="AB240" s="6"/>
    </row>
    <row r="241" spans="1:28">
      <c r="A241" s="38"/>
      <c r="B241" s="20"/>
      <c r="C241" s="20"/>
      <c r="D241" s="20"/>
      <c r="E241" s="32">
        <f t="shared" ref="E241:E304" si="22">C241*$I$10/($I$10*(1-C241))</f>
        <v>0</v>
      </c>
      <c r="F241" s="33">
        <f t="shared" ref="F241:F304" si="23">(D241*$I$10/($I$10*(1-D241)))</f>
        <v>0</v>
      </c>
      <c r="G241" s="31">
        <f t="shared" si="21"/>
        <v>1.58</v>
      </c>
      <c r="Z241" s="4"/>
      <c r="AA241" s="4"/>
      <c r="AB241" s="6"/>
    </row>
    <row r="242" spans="1:28">
      <c r="A242" s="38"/>
      <c r="B242" s="20"/>
      <c r="C242" s="20"/>
      <c r="D242" s="20"/>
      <c r="E242" s="32">
        <f t="shared" si="22"/>
        <v>0</v>
      </c>
      <c r="F242" s="33">
        <f t="shared" si="23"/>
        <v>0</v>
      </c>
      <c r="G242" s="31">
        <f t="shared" si="21"/>
        <v>1.58</v>
      </c>
      <c r="Z242" s="4"/>
      <c r="AA242" s="4"/>
      <c r="AB242" s="6"/>
    </row>
    <row r="243" spans="1:28">
      <c r="A243" s="38"/>
      <c r="B243" s="20"/>
      <c r="C243" s="20"/>
      <c r="D243" s="20"/>
      <c r="E243" s="32">
        <f t="shared" si="22"/>
        <v>0</v>
      </c>
      <c r="F243" s="33">
        <f t="shared" si="23"/>
        <v>0</v>
      </c>
      <c r="G243" s="31">
        <f t="shared" si="21"/>
        <v>1.58</v>
      </c>
      <c r="Z243" s="4"/>
      <c r="AA243" s="4"/>
      <c r="AB243" s="6"/>
    </row>
    <row r="244" spans="1:28">
      <c r="A244" s="38"/>
      <c r="B244" s="20"/>
      <c r="C244" s="20"/>
      <c r="D244" s="20"/>
      <c r="E244" s="32">
        <f t="shared" si="22"/>
        <v>0</v>
      </c>
      <c r="F244" s="33">
        <f t="shared" si="23"/>
        <v>0</v>
      </c>
      <c r="G244" s="31">
        <f t="shared" si="21"/>
        <v>1.58</v>
      </c>
      <c r="Z244" s="4"/>
      <c r="AA244" s="4"/>
      <c r="AB244" s="6"/>
    </row>
    <row r="245" spans="1:28">
      <c r="A245" s="38"/>
      <c r="B245" s="20"/>
      <c r="C245" s="20"/>
      <c r="D245" s="20"/>
      <c r="E245" s="32">
        <f t="shared" si="22"/>
        <v>0</v>
      </c>
      <c r="F245" s="33">
        <f t="shared" si="23"/>
        <v>0</v>
      </c>
      <c r="G245" s="31">
        <f t="shared" si="21"/>
        <v>1.58</v>
      </c>
      <c r="Z245" s="4"/>
      <c r="AA245" s="4"/>
      <c r="AB245" s="6"/>
    </row>
    <row r="246" spans="1:28">
      <c r="A246" s="38"/>
      <c r="B246" s="20"/>
      <c r="C246" s="20"/>
      <c r="D246" s="20"/>
      <c r="E246" s="32">
        <f t="shared" si="22"/>
        <v>0</v>
      </c>
      <c r="F246" s="33">
        <f t="shared" si="23"/>
        <v>0</v>
      </c>
      <c r="G246" s="31">
        <f t="shared" si="21"/>
        <v>1.58</v>
      </c>
      <c r="Z246" s="4"/>
      <c r="AA246" s="4"/>
      <c r="AB246" s="6"/>
    </row>
    <row r="247" spans="1:28">
      <c r="A247" s="38"/>
      <c r="B247" s="20"/>
      <c r="C247" s="20"/>
      <c r="D247" s="20"/>
      <c r="E247" s="32">
        <f t="shared" si="22"/>
        <v>0</v>
      </c>
      <c r="F247" s="33">
        <f t="shared" si="23"/>
        <v>0</v>
      </c>
      <c r="G247" s="31">
        <f t="shared" si="21"/>
        <v>1.58</v>
      </c>
      <c r="Z247" s="4"/>
      <c r="AA247" s="4"/>
      <c r="AB247" s="6"/>
    </row>
    <row r="248" spans="1:28">
      <c r="A248" s="38"/>
      <c r="B248" s="20"/>
      <c r="C248" s="20"/>
      <c r="D248" s="20"/>
      <c r="E248" s="32">
        <f t="shared" si="22"/>
        <v>0</v>
      </c>
      <c r="F248" s="33">
        <f t="shared" si="23"/>
        <v>0</v>
      </c>
      <c r="G248" s="31">
        <f t="shared" si="21"/>
        <v>1.58</v>
      </c>
      <c r="Z248" s="4"/>
      <c r="AA248" s="4"/>
      <c r="AB248" s="6"/>
    </row>
    <row r="249" spans="1:28">
      <c r="A249" s="38"/>
      <c r="B249" s="20"/>
      <c r="C249" s="20"/>
      <c r="D249" s="20"/>
      <c r="E249" s="32">
        <f t="shared" si="22"/>
        <v>0</v>
      </c>
      <c r="F249" s="33">
        <f t="shared" si="23"/>
        <v>0</v>
      </c>
      <c r="G249" s="31">
        <f t="shared" si="21"/>
        <v>1.58</v>
      </c>
      <c r="Z249" s="4"/>
      <c r="AA249" s="4"/>
      <c r="AB249" s="6"/>
    </row>
    <row r="250" spans="1:28">
      <c r="A250" s="38"/>
      <c r="B250" s="20"/>
      <c r="C250" s="20"/>
      <c r="D250" s="20"/>
      <c r="E250" s="32">
        <f t="shared" si="22"/>
        <v>0</v>
      </c>
      <c r="F250" s="33">
        <f t="shared" si="23"/>
        <v>0</v>
      </c>
      <c r="G250" s="31">
        <f t="shared" si="21"/>
        <v>1.58</v>
      </c>
      <c r="Z250" s="4"/>
      <c r="AA250" s="4"/>
      <c r="AB250" s="6"/>
    </row>
    <row r="251" spans="1:28">
      <c r="A251" s="38"/>
      <c r="B251" s="20"/>
      <c r="C251" s="20"/>
      <c r="D251" s="20"/>
      <c r="E251" s="32">
        <f t="shared" si="22"/>
        <v>0</v>
      </c>
      <c r="F251" s="33">
        <f t="shared" si="23"/>
        <v>0</v>
      </c>
      <c r="G251" s="31">
        <f t="shared" si="21"/>
        <v>1.58</v>
      </c>
      <c r="Z251" s="4"/>
      <c r="AA251" s="4"/>
      <c r="AB251" s="6"/>
    </row>
    <row r="252" spans="1:28">
      <c r="A252" s="38"/>
      <c r="B252" s="20"/>
      <c r="C252" s="20"/>
      <c r="D252" s="20"/>
      <c r="E252" s="32">
        <f t="shared" si="22"/>
        <v>0</v>
      </c>
      <c r="F252" s="33">
        <f t="shared" si="23"/>
        <v>0</v>
      </c>
      <c r="G252" s="31">
        <f t="shared" si="21"/>
        <v>1.58</v>
      </c>
      <c r="Z252" s="4"/>
      <c r="AA252" s="4"/>
      <c r="AB252" s="6"/>
    </row>
    <row r="253" spans="1:28">
      <c r="A253" s="38"/>
      <c r="B253" s="20"/>
      <c r="C253" s="20"/>
      <c r="D253" s="20"/>
      <c r="E253" s="32">
        <f t="shared" si="22"/>
        <v>0</v>
      </c>
      <c r="F253" s="33">
        <f t="shared" si="23"/>
        <v>0</v>
      </c>
      <c r="G253" s="31">
        <f t="shared" si="21"/>
        <v>1.58</v>
      </c>
      <c r="Z253" s="4"/>
      <c r="AA253" s="4"/>
      <c r="AB253" s="6"/>
    </row>
    <row r="254" spans="1:28">
      <c r="A254" s="38"/>
      <c r="B254" s="20"/>
      <c r="C254" s="20"/>
      <c r="D254" s="20"/>
      <c r="E254" s="32">
        <f t="shared" si="22"/>
        <v>0</v>
      </c>
      <c r="F254" s="33">
        <f t="shared" si="23"/>
        <v>0</v>
      </c>
      <c r="G254" s="31">
        <f t="shared" si="21"/>
        <v>1.58</v>
      </c>
      <c r="Z254" s="4"/>
      <c r="AA254" s="4"/>
      <c r="AB254" s="6"/>
    </row>
    <row r="255" spans="1:28">
      <c r="A255" s="38"/>
      <c r="B255" s="20"/>
      <c r="C255" s="20"/>
      <c r="D255" s="20"/>
      <c r="E255" s="32">
        <f t="shared" si="22"/>
        <v>0</v>
      </c>
      <c r="F255" s="33">
        <f t="shared" si="23"/>
        <v>0</v>
      </c>
      <c r="G255" s="31">
        <f t="shared" si="21"/>
        <v>1.58</v>
      </c>
      <c r="Z255" s="4"/>
      <c r="AA255" s="4"/>
      <c r="AB255" s="6"/>
    </row>
    <row r="256" spans="1:28">
      <c r="A256" s="38"/>
      <c r="B256" s="20"/>
      <c r="C256" s="20"/>
      <c r="D256" s="20"/>
      <c r="E256" s="32">
        <f t="shared" si="22"/>
        <v>0</v>
      </c>
      <c r="F256" s="33">
        <f t="shared" si="23"/>
        <v>0</v>
      </c>
      <c r="G256" s="31">
        <f t="shared" si="21"/>
        <v>1.58</v>
      </c>
      <c r="Z256" s="4"/>
      <c r="AA256" s="4"/>
      <c r="AB256" s="6"/>
    </row>
    <row r="257" spans="1:28">
      <c r="A257" s="38"/>
      <c r="B257" s="20"/>
      <c r="C257" s="20"/>
      <c r="D257" s="20"/>
      <c r="E257" s="32">
        <f t="shared" si="22"/>
        <v>0</v>
      </c>
      <c r="F257" s="33">
        <f t="shared" si="23"/>
        <v>0</v>
      </c>
      <c r="G257" s="31">
        <f t="shared" si="21"/>
        <v>1.58</v>
      </c>
      <c r="Z257" s="4"/>
      <c r="AA257" s="4"/>
      <c r="AB257" s="6"/>
    </row>
    <row r="258" spans="1:28">
      <c r="A258" s="38"/>
      <c r="B258" s="20"/>
      <c r="C258" s="20"/>
      <c r="D258" s="20"/>
      <c r="E258" s="32">
        <f t="shared" si="22"/>
        <v>0</v>
      </c>
      <c r="F258" s="33">
        <f t="shared" si="23"/>
        <v>0</v>
      </c>
      <c r="G258" s="31">
        <f t="shared" si="21"/>
        <v>1.58</v>
      </c>
      <c r="Z258" s="4"/>
      <c r="AA258" s="4"/>
      <c r="AB258" s="6"/>
    </row>
    <row r="259" spans="1:28">
      <c r="A259" s="38"/>
      <c r="B259" s="20"/>
      <c r="C259" s="20"/>
      <c r="D259" s="20"/>
      <c r="E259" s="32">
        <f t="shared" si="22"/>
        <v>0</v>
      </c>
      <c r="F259" s="33">
        <f t="shared" si="23"/>
        <v>0</v>
      </c>
      <c r="G259" s="31">
        <f t="shared" ref="G259:G322" si="24">($I$7+$I$8*A259)-(F259/(1+F259))*(($I$7+$I$8*A259)-($I$5+$I$6*A259))</f>
        <v>1.58</v>
      </c>
      <c r="Z259" s="4"/>
      <c r="AA259" s="4"/>
      <c r="AB259" s="6"/>
    </row>
    <row r="260" spans="1:28">
      <c r="A260" s="38"/>
      <c r="B260" s="20"/>
      <c r="C260" s="20"/>
      <c r="D260" s="20"/>
      <c r="E260" s="32">
        <f t="shared" si="22"/>
        <v>0</v>
      </c>
      <c r="F260" s="33">
        <f t="shared" si="23"/>
        <v>0</v>
      </c>
      <c r="G260" s="31">
        <f t="shared" si="24"/>
        <v>1.58</v>
      </c>
      <c r="Z260" s="4"/>
      <c r="AA260" s="4"/>
      <c r="AB260" s="6"/>
    </row>
    <row r="261" spans="1:28">
      <c r="A261" s="38"/>
      <c r="B261" s="20"/>
      <c r="C261" s="20"/>
      <c r="D261" s="20"/>
      <c r="E261" s="32">
        <f t="shared" si="22"/>
        <v>0</v>
      </c>
      <c r="F261" s="33">
        <f t="shared" si="23"/>
        <v>0</v>
      </c>
      <c r="G261" s="31">
        <f t="shared" si="24"/>
        <v>1.58</v>
      </c>
      <c r="Z261" s="4"/>
      <c r="AA261" s="4"/>
      <c r="AB261" s="6"/>
    </row>
    <row r="262" spans="1:28">
      <c r="A262" s="38"/>
      <c r="B262" s="20"/>
      <c r="C262" s="20"/>
      <c r="D262" s="20"/>
      <c r="E262" s="32">
        <f t="shared" si="22"/>
        <v>0</v>
      </c>
      <c r="F262" s="33">
        <f t="shared" si="23"/>
        <v>0</v>
      </c>
      <c r="G262" s="31">
        <f t="shared" si="24"/>
        <v>1.58</v>
      </c>
      <c r="Z262" s="4"/>
      <c r="AA262" s="4"/>
      <c r="AB262" s="6"/>
    </row>
    <row r="263" spans="1:28">
      <c r="A263" s="38"/>
      <c r="B263" s="20"/>
      <c r="C263" s="20"/>
      <c r="D263" s="20"/>
      <c r="E263" s="32">
        <f t="shared" si="22"/>
        <v>0</v>
      </c>
      <c r="F263" s="33">
        <f t="shared" si="23"/>
        <v>0</v>
      </c>
      <c r="G263" s="31">
        <f t="shared" si="24"/>
        <v>1.58</v>
      </c>
      <c r="Z263" s="4"/>
      <c r="AA263" s="4"/>
      <c r="AB263" s="6"/>
    </row>
    <row r="264" spans="1:28">
      <c r="A264" s="38"/>
      <c r="B264" s="20"/>
      <c r="C264" s="20"/>
      <c r="D264" s="20"/>
      <c r="E264" s="32">
        <f t="shared" si="22"/>
        <v>0</v>
      </c>
      <c r="F264" s="33">
        <f t="shared" si="23"/>
        <v>0</v>
      </c>
      <c r="G264" s="31">
        <f t="shared" si="24"/>
        <v>1.58</v>
      </c>
      <c r="Z264" s="4"/>
      <c r="AA264" s="4"/>
      <c r="AB264" s="6"/>
    </row>
    <row r="265" spans="1:28">
      <c r="A265" s="38"/>
      <c r="B265" s="20"/>
      <c r="C265" s="20"/>
      <c r="D265" s="20"/>
      <c r="E265" s="32">
        <f t="shared" si="22"/>
        <v>0</v>
      </c>
      <c r="F265" s="33">
        <f t="shared" si="23"/>
        <v>0</v>
      </c>
      <c r="G265" s="31">
        <f t="shared" si="24"/>
        <v>1.58</v>
      </c>
      <c r="Z265" s="4"/>
      <c r="AA265" s="4"/>
      <c r="AB265" s="6"/>
    </row>
    <row r="266" spans="1:28">
      <c r="A266" s="38"/>
      <c r="B266" s="20"/>
      <c r="C266" s="20"/>
      <c r="D266" s="20"/>
      <c r="E266" s="32">
        <f t="shared" si="22"/>
        <v>0</v>
      </c>
      <c r="F266" s="33">
        <f t="shared" si="23"/>
        <v>0</v>
      </c>
      <c r="G266" s="31">
        <f t="shared" si="24"/>
        <v>1.58</v>
      </c>
      <c r="Z266" s="4"/>
      <c r="AA266" s="4"/>
      <c r="AB266" s="6"/>
    </row>
    <row r="267" spans="1:28">
      <c r="A267" s="38"/>
      <c r="B267" s="20"/>
      <c r="C267" s="20"/>
      <c r="D267" s="20"/>
      <c r="E267" s="32">
        <f t="shared" si="22"/>
        <v>0</v>
      </c>
      <c r="F267" s="33">
        <f t="shared" si="23"/>
        <v>0</v>
      </c>
      <c r="G267" s="31">
        <f t="shared" si="24"/>
        <v>1.58</v>
      </c>
      <c r="Z267" s="4"/>
      <c r="AA267" s="4"/>
      <c r="AB267" s="6"/>
    </row>
    <row r="268" spans="1:28">
      <c r="A268" s="38"/>
      <c r="B268" s="20"/>
      <c r="C268" s="20"/>
      <c r="D268" s="20"/>
      <c r="E268" s="32">
        <f t="shared" si="22"/>
        <v>0</v>
      </c>
      <c r="F268" s="33">
        <f t="shared" si="23"/>
        <v>0</v>
      </c>
      <c r="G268" s="31">
        <f t="shared" si="24"/>
        <v>1.58</v>
      </c>
      <c r="Z268" s="4"/>
      <c r="AA268" s="4"/>
      <c r="AB268" s="6"/>
    </row>
    <row r="269" spans="1:28">
      <c r="A269" s="38"/>
      <c r="B269" s="20"/>
      <c r="C269" s="20"/>
      <c r="D269" s="20"/>
      <c r="E269" s="32">
        <f t="shared" si="22"/>
        <v>0</v>
      </c>
      <c r="F269" s="33">
        <f t="shared" si="23"/>
        <v>0</v>
      </c>
      <c r="G269" s="31">
        <f t="shared" si="24"/>
        <v>1.58</v>
      </c>
      <c r="Z269" s="4"/>
      <c r="AA269" s="4"/>
      <c r="AB269" s="6"/>
    </row>
    <row r="270" spans="1:28">
      <c r="A270" s="38"/>
      <c r="B270" s="20"/>
      <c r="C270" s="20"/>
      <c r="D270" s="20"/>
      <c r="E270" s="32">
        <f t="shared" si="22"/>
        <v>0</v>
      </c>
      <c r="F270" s="33">
        <f t="shared" si="23"/>
        <v>0</v>
      </c>
      <c r="G270" s="31">
        <f t="shared" si="24"/>
        <v>1.58</v>
      </c>
      <c r="Z270" s="4"/>
      <c r="AA270" s="4"/>
      <c r="AB270" s="6"/>
    </row>
    <row r="271" spans="1:28">
      <c r="A271" s="38"/>
      <c r="B271" s="20"/>
      <c r="C271" s="20"/>
      <c r="D271" s="20"/>
      <c r="E271" s="32">
        <f t="shared" si="22"/>
        <v>0</v>
      </c>
      <c r="F271" s="33">
        <f t="shared" si="23"/>
        <v>0</v>
      </c>
      <c r="G271" s="31">
        <f t="shared" si="24"/>
        <v>1.58</v>
      </c>
      <c r="Z271" s="4"/>
      <c r="AA271" s="4"/>
      <c r="AB271" s="6"/>
    </row>
    <row r="272" spans="1:28">
      <c r="A272" s="38"/>
      <c r="B272" s="20"/>
      <c r="C272" s="20"/>
      <c r="D272" s="20"/>
      <c r="E272" s="32">
        <f t="shared" si="22"/>
        <v>0</v>
      </c>
      <c r="F272" s="33">
        <f t="shared" si="23"/>
        <v>0</v>
      </c>
      <c r="G272" s="31">
        <f t="shared" si="24"/>
        <v>1.58</v>
      </c>
      <c r="Z272" s="4"/>
      <c r="AA272" s="4"/>
      <c r="AB272" s="6"/>
    </row>
    <row r="273" spans="1:28">
      <c r="A273" s="38"/>
      <c r="B273" s="20"/>
      <c r="C273" s="20"/>
      <c r="D273" s="20"/>
      <c r="E273" s="32">
        <f t="shared" si="22"/>
        <v>0</v>
      </c>
      <c r="F273" s="33">
        <f t="shared" si="23"/>
        <v>0</v>
      </c>
      <c r="G273" s="31">
        <f t="shared" si="24"/>
        <v>1.58</v>
      </c>
      <c r="Z273" s="4"/>
      <c r="AA273" s="4"/>
      <c r="AB273" s="6"/>
    </row>
    <row r="274" spans="1:28">
      <c r="A274" s="38"/>
      <c r="B274" s="20"/>
      <c r="C274" s="20"/>
      <c r="D274" s="20"/>
      <c r="E274" s="32">
        <f t="shared" si="22"/>
        <v>0</v>
      </c>
      <c r="F274" s="33">
        <f t="shared" si="23"/>
        <v>0</v>
      </c>
      <c r="G274" s="31">
        <f t="shared" si="24"/>
        <v>1.58</v>
      </c>
      <c r="Z274" s="4"/>
      <c r="AA274" s="4"/>
      <c r="AB274" s="6"/>
    </row>
    <row r="275" spans="1:28">
      <c r="A275" s="38"/>
      <c r="B275" s="20"/>
      <c r="C275" s="20"/>
      <c r="D275" s="20"/>
      <c r="E275" s="32">
        <f t="shared" si="22"/>
        <v>0</v>
      </c>
      <c r="F275" s="33">
        <f t="shared" si="23"/>
        <v>0</v>
      </c>
      <c r="G275" s="31">
        <f t="shared" si="24"/>
        <v>1.58</v>
      </c>
      <c r="Z275" s="4"/>
      <c r="AA275" s="4"/>
      <c r="AB275" s="6"/>
    </row>
    <row r="276" spans="1:28">
      <c r="A276" s="38"/>
      <c r="B276" s="20"/>
      <c r="C276" s="20"/>
      <c r="D276" s="20"/>
      <c r="E276" s="32">
        <f t="shared" si="22"/>
        <v>0</v>
      </c>
      <c r="F276" s="33">
        <f t="shared" si="23"/>
        <v>0</v>
      </c>
      <c r="G276" s="31">
        <f t="shared" si="24"/>
        <v>1.58</v>
      </c>
      <c r="Z276" s="4"/>
      <c r="AA276" s="4"/>
      <c r="AB276" s="6"/>
    </row>
    <row r="277" spans="1:28">
      <c r="A277" s="38"/>
      <c r="B277" s="20"/>
      <c r="C277" s="20"/>
      <c r="D277" s="20"/>
      <c r="E277" s="32">
        <f t="shared" si="22"/>
        <v>0</v>
      </c>
      <c r="F277" s="33">
        <f t="shared" si="23"/>
        <v>0</v>
      </c>
      <c r="G277" s="31">
        <f t="shared" si="24"/>
        <v>1.58</v>
      </c>
      <c r="Z277" s="4"/>
      <c r="AA277" s="4"/>
      <c r="AB277" s="6"/>
    </row>
    <row r="278" spans="1:28">
      <c r="A278" s="38"/>
      <c r="B278" s="20"/>
      <c r="C278" s="20"/>
      <c r="D278" s="20"/>
      <c r="E278" s="32">
        <f t="shared" si="22"/>
        <v>0</v>
      </c>
      <c r="F278" s="33">
        <f t="shared" si="23"/>
        <v>0</v>
      </c>
      <c r="G278" s="31">
        <f t="shared" si="24"/>
        <v>1.58</v>
      </c>
      <c r="Z278" s="4"/>
      <c r="AA278" s="4"/>
      <c r="AB278" s="6"/>
    </row>
    <row r="279" spans="1:28">
      <c r="A279" s="38"/>
      <c r="B279" s="20"/>
      <c r="C279" s="20"/>
      <c r="D279" s="20"/>
      <c r="E279" s="32">
        <f t="shared" si="22"/>
        <v>0</v>
      </c>
      <c r="F279" s="33">
        <f t="shared" si="23"/>
        <v>0</v>
      </c>
      <c r="G279" s="31">
        <f t="shared" si="24"/>
        <v>1.58</v>
      </c>
      <c r="Z279" s="4"/>
      <c r="AA279" s="4"/>
      <c r="AB279" s="6"/>
    </row>
    <row r="280" spans="1:28">
      <c r="A280" s="38"/>
      <c r="B280" s="20"/>
      <c r="C280" s="20"/>
      <c r="D280" s="20"/>
      <c r="E280" s="32">
        <f t="shared" si="22"/>
        <v>0</v>
      </c>
      <c r="F280" s="33">
        <f t="shared" si="23"/>
        <v>0</v>
      </c>
      <c r="G280" s="31">
        <f t="shared" si="24"/>
        <v>1.58</v>
      </c>
      <c r="Z280" s="4"/>
      <c r="AA280" s="4"/>
      <c r="AB280" s="6"/>
    </row>
    <row r="281" spans="1:28">
      <c r="A281" s="38"/>
      <c r="B281" s="20"/>
      <c r="C281" s="20"/>
      <c r="D281" s="20"/>
      <c r="E281" s="32">
        <f t="shared" si="22"/>
        <v>0</v>
      </c>
      <c r="F281" s="33">
        <f t="shared" si="23"/>
        <v>0</v>
      </c>
      <c r="G281" s="31">
        <f t="shared" si="24"/>
        <v>1.58</v>
      </c>
      <c r="Z281" s="4"/>
      <c r="AA281" s="4"/>
      <c r="AB281" s="6"/>
    </row>
    <row r="282" spans="1:28">
      <c r="A282" s="38"/>
      <c r="B282" s="20"/>
      <c r="C282" s="20"/>
      <c r="D282" s="20"/>
      <c r="E282" s="32">
        <f t="shared" si="22"/>
        <v>0</v>
      </c>
      <c r="F282" s="33">
        <f t="shared" si="23"/>
        <v>0</v>
      </c>
      <c r="G282" s="31">
        <f t="shared" si="24"/>
        <v>1.58</v>
      </c>
      <c r="Z282" s="4"/>
      <c r="AA282" s="4"/>
      <c r="AB282" s="6"/>
    </row>
    <row r="283" spans="1:28">
      <c r="A283" s="38"/>
      <c r="B283" s="20"/>
      <c r="C283" s="20"/>
      <c r="D283" s="20"/>
      <c r="E283" s="32">
        <f t="shared" si="22"/>
        <v>0</v>
      </c>
      <c r="F283" s="33">
        <f t="shared" si="23"/>
        <v>0</v>
      </c>
      <c r="G283" s="31">
        <f t="shared" si="24"/>
        <v>1.58</v>
      </c>
      <c r="Z283" s="4"/>
      <c r="AA283" s="4"/>
      <c r="AB283" s="6"/>
    </row>
    <row r="284" spans="1:28">
      <c r="A284" s="38"/>
      <c r="B284" s="20"/>
      <c r="C284" s="20"/>
      <c r="D284" s="20"/>
      <c r="E284" s="32">
        <f t="shared" si="22"/>
        <v>0</v>
      </c>
      <c r="F284" s="33">
        <f t="shared" si="23"/>
        <v>0</v>
      </c>
      <c r="G284" s="31">
        <f t="shared" si="24"/>
        <v>1.58</v>
      </c>
      <c r="Z284" s="4"/>
      <c r="AA284" s="4"/>
      <c r="AB284" s="6"/>
    </row>
    <row r="285" spans="1:28">
      <c r="A285" s="38"/>
      <c r="B285" s="20"/>
      <c r="C285" s="20"/>
      <c r="D285" s="20"/>
      <c r="E285" s="32">
        <f t="shared" si="22"/>
        <v>0</v>
      </c>
      <c r="F285" s="33">
        <f t="shared" si="23"/>
        <v>0</v>
      </c>
      <c r="G285" s="31">
        <f t="shared" si="24"/>
        <v>1.58</v>
      </c>
      <c r="Z285" s="4"/>
      <c r="AA285" s="4"/>
      <c r="AB285" s="6"/>
    </row>
    <row r="286" spans="1:28">
      <c r="A286" s="38"/>
      <c r="B286" s="20"/>
      <c r="C286" s="20"/>
      <c r="D286" s="20"/>
      <c r="E286" s="32">
        <f t="shared" si="22"/>
        <v>0</v>
      </c>
      <c r="F286" s="33">
        <f t="shared" si="23"/>
        <v>0</v>
      </c>
      <c r="G286" s="31">
        <f t="shared" si="24"/>
        <v>1.58</v>
      </c>
      <c r="Z286" s="4"/>
      <c r="AA286" s="4"/>
      <c r="AB286" s="6"/>
    </row>
    <row r="287" spans="1:28">
      <c r="A287" s="38"/>
      <c r="B287" s="20"/>
      <c r="C287" s="20"/>
      <c r="D287" s="20"/>
      <c r="E287" s="32">
        <f t="shared" si="22"/>
        <v>0</v>
      </c>
      <c r="F287" s="33">
        <f t="shared" si="23"/>
        <v>0</v>
      </c>
      <c r="G287" s="31">
        <f t="shared" si="24"/>
        <v>1.58</v>
      </c>
      <c r="Z287" s="4"/>
      <c r="AA287" s="4"/>
      <c r="AB287" s="6"/>
    </row>
    <row r="288" spans="1:28">
      <c r="A288" s="38"/>
      <c r="B288" s="20"/>
      <c r="C288" s="20"/>
      <c r="D288" s="20"/>
      <c r="E288" s="32">
        <f t="shared" si="22"/>
        <v>0</v>
      </c>
      <c r="F288" s="33">
        <f t="shared" si="23"/>
        <v>0</v>
      </c>
      <c r="G288" s="31">
        <f t="shared" si="24"/>
        <v>1.58</v>
      </c>
      <c r="Z288" s="4"/>
      <c r="AA288" s="4"/>
      <c r="AB288" s="6"/>
    </row>
    <row r="289" spans="1:28">
      <c r="A289" s="38"/>
      <c r="B289" s="20"/>
      <c r="C289" s="20"/>
      <c r="D289" s="20"/>
      <c r="E289" s="32">
        <f t="shared" si="22"/>
        <v>0</v>
      </c>
      <c r="F289" s="33">
        <f t="shared" si="23"/>
        <v>0</v>
      </c>
      <c r="G289" s="31">
        <f t="shared" si="24"/>
        <v>1.58</v>
      </c>
      <c r="Z289" s="4"/>
      <c r="AA289" s="4"/>
      <c r="AB289" s="6"/>
    </row>
    <row r="290" spans="1:28">
      <c r="A290" s="38"/>
      <c r="B290" s="20"/>
      <c r="C290" s="20"/>
      <c r="D290" s="20"/>
      <c r="E290" s="32">
        <f t="shared" si="22"/>
        <v>0</v>
      </c>
      <c r="F290" s="33">
        <f t="shared" si="23"/>
        <v>0</v>
      </c>
      <c r="G290" s="31">
        <f t="shared" si="24"/>
        <v>1.58</v>
      </c>
      <c r="Z290" s="4"/>
      <c r="AA290" s="4"/>
      <c r="AB290" s="6"/>
    </row>
    <row r="291" spans="1:28">
      <c r="A291" s="38"/>
      <c r="B291" s="20"/>
      <c r="C291" s="20"/>
      <c r="D291" s="20"/>
      <c r="E291" s="32">
        <f t="shared" si="22"/>
        <v>0</v>
      </c>
      <c r="F291" s="33">
        <f t="shared" si="23"/>
        <v>0</v>
      </c>
      <c r="G291" s="31">
        <f t="shared" si="24"/>
        <v>1.58</v>
      </c>
      <c r="Z291" s="4"/>
      <c r="AA291" s="4"/>
      <c r="AB291" s="6"/>
    </row>
    <row r="292" spans="1:28">
      <c r="A292" s="38"/>
      <c r="B292" s="20"/>
      <c r="C292" s="20"/>
      <c r="D292" s="20"/>
      <c r="E292" s="32">
        <f t="shared" si="22"/>
        <v>0</v>
      </c>
      <c r="F292" s="33">
        <f t="shared" si="23"/>
        <v>0</v>
      </c>
      <c r="G292" s="31">
        <f t="shared" si="24"/>
        <v>1.58</v>
      </c>
      <c r="Z292" s="4"/>
      <c r="AA292" s="4"/>
      <c r="AB292" s="6"/>
    </row>
    <row r="293" spans="1:28">
      <c r="A293" s="38"/>
      <c r="B293" s="20"/>
      <c r="C293" s="20"/>
      <c r="D293" s="20"/>
      <c r="E293" s="32">
        <f t="shared" si="22"/>
        <v>0</v>
      </c>
      <c r="F293" s="33">
        <f t="shared" si="23"/>
        <v>0</v>
      </c>
      <c r="G293" s="31">
        <f t="shared" si="24"/>
        <v>1.58</v>
      </c>
      <c r="Z293" s="4"/>
      <c r="AA293" s="4"/>
      <c r="AB293" s="6"/>
    </row>
    <row r="294" spans="1:28">
      <c r="A294" s="38"/>
      <c r="B294" s="20"/>
      <c r="C294" s="20"/>
      <c r="D294" s="20"/>
      <c r="E294" s="32">
        <f t="shared" si="22"/>
        <v>0</v>
      </c>
      <c r="F294" s="33">
        <f t="shared" si="23"/>
        <v>0</v>
      </c>
      <c r="G294" s="31">
        <f t="shared" si="24"/>
        <v>1.58</v>
      </c>
      <c r="Z294" s="4"/>
      <c r="AA294" s="4"/>
      <c r="AB294" s="6"/>
    </row>
    <row r="295" spans="1:28">
      <c r="A295" s="38"/>
      <c r="B295" s="20"/>
      <c r="C295" s="20"/>
      <c r="D295" s="20"/>
      <c r="E295" s="32">
        <f t="shared" si="22"/>
        <v>0</v>
      </c>
      <c r="F295" s="33">
        <f t="shared" si="23"/>
        <v>0</v>
      </c>
      <c r="G295" s="31">
        <f t="shared" si="24"/>
        <v>1.58</v>
      </c>
      <c r="Z295" s="4"/>
      <c r="AA295" s="4"/>
      <c r="AB295" s="6"/>
    </row>
    <row r="296" spans="1:28">
      <c r="A296" s="38"/>
      <c r="B296" s="20"/>
      <c r="C296" s="20"/>
      <c r="D296" s="20"/>
      <c r="E296" s="32">
        <f t="shared" si="22"/>
        <v>0</v>
      </c>
      <c r="F296" s="33">
        <f t="shared" si="23"/>
        <v>0</v>
      </c>
      <c r="G296" s="31">
        <f t="shared" si="24"/>
        <v>1.58</v>
      </c>
      <c r="Z296" s="4"/>
      <c r="AA296" s="4"/>
      <c r="AB296" s="6"/>
    </row>
    <row r="297" spans="1:28">
      <c r="A297" s="38"/>
      <c r="B297" s="20"/>
      <c r="C297" s="20"/>
      <c r="D297" s="20"/>
      <c r="E297" s="32">
        <f t="shared" si="22"/>
        <v>0</v>
      </c>
      <c r="F297" s="33">
        <f t="shared" si="23"/>
        <v>0</v>
      </c>
      <c r="G297" s="31">
        <f t="shared" si="24"/>
        <v>1.58</v>
      </c>
      <c r="Z297" s="4"/>
      <c r="AA297" s="4"/>
      <c r="AB297" s="6"/>
    </row>
    <row r="298" spans="1:28">
      <c r="A298" s="38"/>
      <c r="B298" s="20"/>
      <c r="C298" s="20"/>
      <c r="D298" s="20"/>
      <c r="E298" s="32">
        <f t="shared" si="22"/>
        <v>0</v>
      </c>
      <c r="F298" s="33">
        <f t="shared" si="23"/>
        <v>0</v>
      </c>
      <c r="G298" s="31">
        <f t="shared" si="24"/>
        <v>1.58</v>
      </c>
      <c r="Z298" s="4"/>
      <c r="AA298" s="4"/>
      <c r="AB298" s="6"/>
    </row>
    <row r="299" spans="1:28">
      <c r="A299" s="38"/>
      <c r="B299" s="20"/>
      <c r="C299" s="20"/>
      <c r="D299" s="20"/>
      <c r="E299" s="32">
        <f t="shared" si="22"/>
        <v>0</v>
      </c>
      <c r="F299" s="33">
        <f t="shared" si="23"/>
        <v>0</v>
      </c>
      <c r="G299" s="31">
        <f t="shared" si="24"/>
        <v>1.58</v>
      </c>
      <c r="Z299" s="4"/>
      <c r="AA299" s="4"/>
      <c r="AB299" s="6"/>
    </row>
    <row r="300" spans="1:28">
      <c r="A300" s="38"/>
      <c r="B300" s="20"/>
      <c r="C300" s="20"/>
      <c r="D300" s="20"/>
      <c r="E300" s="32">
        <f t="shared" si="22"/>
        <v>0</v>
      </c>
      <c r="F300" s="33">
        <f t="shared" si="23"/>
        <v>0</v>
      </c>
      <c r="G300" s="31">
        <f t="shared" si="24"/>
        <v>1.58</v>
      </c>
      <c r="Z300" s="4"/>
      <c r="AA300" s="4"/>
      <c r="AB300" s="6"/>
    </row>
    <row r="301" spans="1:28">
      <c r="A301" s="38"/>
      <c r="B301" s="20"/>
      <c r="C301" s="20"/>
      <c r="D301" s="20"/>
      <c r="E301" s="32">
        <f t="shared" si="22"/>
        <v>0</v>
      </c>
      <c r="F301" s="33">
        <f t="shared" si="23"/>
        <v>0</v>
      </c>
      <c r="G301" s="31">
        <f t="shared" si="24"/>
        <v>1.58</v>
      </c>
      <c r="Z301" s="4"/>
      <c r="AA301" s="4"/>
      <c r="AB301" s="6"/>
    </row>
    <row r="302" spans="1:28">
      <c r="A302" s="38"/>
      <c r="B302" s="20"/>
      <c r="C302" s="20"/>
      <c r="D302" s="20"/>
      <c r="E302" s="32">
        <f t="shared" si="22"/>
        <v>0</v>
      </c>
      <c r="F302" s="33">
        <f t="shared" si="23"/>
        <v>0</v>
      </c>
      <c r="G302" s="31">
        <f t="shared" si="24"/>
        <v>1.58</v>
      </c>
      <c r="Z302" s="4"/>
      <c r="AA302" s="4"/>
      <c r="AB302" s="6"/>
    </row>
    <row r="303" spans="1:28">
      <c r="A303" s="38"/>
      <c r="B303" s="20"/>
      <c r="C303" s="20"/>
      <c r="D303" s="20"/>
      <c r="E303" s="32">
        <f t="shared" si="22"/>
        <v>0</v>
      </c>
      <c r="F303" s="33">
        <f t="shared" si="23"/>
        <v>0</v>
      </c>
      <c r="G303" s="31">
        <f t="shared" si="24"/>
        <v>1.58</v>
      </c>
      <c r="Z303" s="4"/>
      <c r="AA303" s="4"/>
      <c r="AB303" s="6"/>
    </row>
    <row r="304" spans="1:28">
      <c r="A304" s="38"/>
      <c r="B304" s="20"/>
      <c r="C304" s="20"/>
      <c r="D304" s="20"/>
      <c r="E304" s="32">
        <f t="shared" si="22"/>
        <v>0</v>
      </c>
      <c r="F304" s="33">
        <f t="shared" si="23"/>
        <v>0</v>
      </c>
      <c r="G304" s="31">
        <f t="shared" si="24"/>
        <v>1.58</v>
      </c>
      <c r="Z304" s="4"/>
      <c r="AA304" s="4"/>
      <c r="AB304" s="6"/>
    </row>
    <row r="305" spans="1:28">
      <c r="A305" s="38"/>
      <c r="B305" s="20"/>
      <c r="C305" s="20"/>
      <c r="D305" s="20"/>
      <c r="E305" s="32">
        <f t="shared" ref="E305:E368" si="25">C305*$I$10/($I$10*(1-C305))</f>
        <v>0</v>
      </c>
      <c r="F305" s="33">
        <f t="shared" ref="F305:F368" si="26">(D305*$I$10/($I$10*(1-D305)))</f>
        <v>0</v>
      </c>
      <c r="G305" s="31">
        <f t="shared" si="24"/>
        <v>1.58</v>
      </c>
      <c r="Z305" s="4"/>
      <c r="AA305" s="4"/>
      <c r="AB305" s="6"/>
    </row>
    <row r="306" spans="1:28">
      <c r="A306" s="38"/>
      <c r="B306" s="20"/>
      <c r="C306" s="20"/>
      <c r="D306" s="20"/>
      <c r="E306" s="32">
        <f t="shared" si="25"/>
        <v>0</v>
      </c>
      <c r="F306" s="33">
        <f t="shared" si="26"/>
        <v>0</v>
      </c>
      <c r="G306" s="31">
        <f t="shared" si="24"/>
        <v>1.58</v>
      </c>
      <c r="Z306" s="4"/>
      <c r="AA306" s="4"/>
      <c r="AB306" s="6"/>
    </row>
    <row r="307" spans="1:28">
      <c r="A307" s="38"/>
      <c r="B307" s="20"/>
      <c r="C307" s="20"/>
      <c r="D307" s="20"/>
      <c r="E307" s="32">
        <f t="shared" si="25"/>
        <v>0</v>
      </c>
      <c r="F307" s="33">
        <f t="shared" si="26"/>
        <v>0</v>
      </c>
      <c r="G307" s="31">
        <f t="shared" si="24"/>
        <v>1.58</v>
      </c>
      <c r="Z307" s="4"/>
      <c r="AA307" s="4"/>
      <c r="AB307" s="6"/>
    </row>
    <row r="308" spans="1:28">
      <c r="A308" s="38"/>
      <c r="B308" s="20"/>
      <c r="C308" s="20"/>
      <c r="D308" s="20"/>
      <c r="E308" s="32">
        <f t="shared" si="25"/>
        <v>0</v>
      </c>
      <c r="F308" s="33">
        <f t="shared" si="26"/>
        <v>0</v>
      </c>
      <c r="G308" s="31">
        <f t="shared" si="24"/>
        <v>1.58</v>
      </c>
      <c r="Z308" s="4"/>
      <c r="AA308" s="4"/>
      <c r="AB308" s="6"/>
    </row>
    <row r="309" spans="1:28">
      <c r="A309" s="38"/>
      <c r="B309" s="20"/>
      <c r="C309" s="20"/>
      <c r="D309" s="20"/>
      <c r="E309" s="32">
        <f t="shared" si="25"/>
        <v>0</v>
      </c>
      <c r="F309" s="33">
        <f t="shared" si="26"/>
        <v>0</v>
      </c>
      <c r="G309" s="31">
        <f t="shared" si="24"/>
        <v>1.58</v>
      </c>
      <c r="Z309" s="4"/>
      <c r="AA309" s="4"/>
      <c r="AB309" s="6"/>
    </row>
    <row r="310" spans="1:28">
      <c r="A310" s="38"/>
      <c r="B310" s="20"/>
      <c r="C310" s="20"/>
      <c r="D310" s="20"/>
      <c r="E310" s="32">
        <f t="shared" si="25"/>
        <v>0</v>
      </c>
      <c r="F310" s="33">
        <f t="shared" si="26"/>
        <v>0</v>
      </c>
      <c r="G310" s="31">
        <f t="shared" si="24"/>
        <v>1.58</v>
      </c>
      <c r="Z310" s="4"/>
      <c r="AA310" s="4"/>
      <c r="AB310" s="6"/>
    </row>
    <row r="311" spans="1:28">
      <c r="A311" s="38"/>
      <c r="B311" s="20"/>
      <c r="C311" s="20"/>
      <c r="D311" s="20"/>
      <c r="E311" s="32">
        <f t="shared" si="25"/>
        <v>0</v>
      </c>
      <c r="F311" s="33">
        <f t="shared" si="26"/>
        <v>0</v>
      </c>
      <c r="G311" s="31">
        <f t="shared" si="24"/>
        <v>1.58</v>
      </c>
      <c r="Z311" s="4"/>
      <c r="AA311" s="4"/>
      <c r="AB311" s="6"/>
    </row>
    <row r="312" spans="1:28">
      <c r="A312" s="38"/>
      <c r="B312" s="20"/>
      <c r="C312" s="20"/>
      <c r="D312" s="20"/>
      <c r="E312" s="32">
        <f t="shared" si="25"/>
        <v>0</v>
      </c>
      <c r="F312" s="33">
        <f t="shared" si="26"/>
        <v>0</v>
      </c>
      <c r="G312" s="31">
        <f t="shared" si="24"/>
        <v>1.58</v>
      </c>
      <c r="Z312" s="4"/>
      <c r="AA312" s="4"/>
      <c r="AB312" s="6"/>
    </row>
    <row r="313" spans="1:28">
      <c r="A313" s="38"/>
      <c r="B313" s="20"/>
      <c r="C313" s="20"/>
      <c r="D313" s="20"/>
      <c r="E313" s="32">
        <f t="shared" si="25"/>
        <v>0</v>
      </c>
      <c r="F313" s="33">
        <f t="shared" si="26"/>
        <v>0</v>
      </c>
      <c r="G313" s="31">
        <f t="shared" si="24"/>
        <v>1.58</v>
      </c>
      <c r="Z313" s="4"/>
      <c r="AA313" s="4"/>
      <c r="AB313" s="6"/>
    </row>
    <row r="314" spans="1:28">
      <c r="A314" s="38"/>
      <c r="B314" s="20"/>
      <c r="C314" s="20"/>
      <c r="D314" s="20"/>
      <c r="E314" s="32">
        <f t="shared" si="25"/>
        <v>0</v>
      </c>
      <c r="F314" s="33">
        <f t="shared" si="26"/>
        <v>0</v>
      </c>
      <c r="G314" s="31">
        <f t="shared" si="24"/>
        <v>1.58</v>
      </c>
      <c r="Z314" s="4"/>
      <c r="AA314" s="4"/>
      <c r="AB314" s="6"/>
    </row>
    <row r="315" spans="1:28">
      <c r="A315" s="38"/>
      <c r="B315" s="20"/>
      <c r="C315" s="20"/>
      <c r="D315" s="20"/>
      <c r="E315" s="32">
        <f t="shared" si="25"/>
        <v>0</v>
      </c>
      <c r="F315" s="33">
        <f t="shared" si="26"/>
        <v>0</v>
      </c>
      <c r="G315" s="31">
        <f t="shared" si="24"/>
        <v>1.58</v>
      </c>
      <c r="Z315" s="4"/>
      <c r="AA315" s="4"/>
      <c r="AB315" s="6"/>
    </row>
    <row r="316" spans="1:28">
      <c r="A316" s="38"/>
      <c r="B316" s="20"/>
      <c r="C316" s="20"/>
      <c r="D316" s="20"/>
      <c r="E316" s="32">
        <f t="shared" si="25"/>
        <v>0</v>
      </c>
      <c r="F316" s="33">
        <f t="shared" si="26"/>
        <v>0</v>
      </c>
      <c r="G316" s="31">
        <f t="shared" si="24"/>
        <v>1.58</v>
      </c>
      <c r="Z316" s="4"/>
      <c r="AA316" s="4"/>
      <c r="AB316" s="6"/>
    </row>
    <row r="317" spans="1:28">
      <c r="A317" s="38"/>
      <c r="B317" s="20"/>
      <c r="C317" s="20"/>
      <c r="D317" s="20"/>
      <c r="E317" s="32">
        <f t="shared" si="25"/>
        <v>0</v>
      </c>
      <c r="F317" s="33">
        <f t="shared" si="26"/>
        <v>0</v>
      </c>
      <c r="G317" s="31">
        <f t="shared" si="24"/>
        <v>1.58</v>
      </c>
      <c r="Z317" s="4"/>
      <c r="AA317" s="4"/>
      <c r="AB317" s="6"/>
    </row>
    <row r="318" spans="1:28">
      <c r="A318" s="38"/>
      <c r="B318" s="20"/>
      <c r="C318" s="20"/>
      <c r="D318" s="20"/>
      <c r="E318" s="32">
        <f t="shared" si="25"/>
        <v>0</v>
      </c>
      <c r="F318" s="33">
        <f t="shared" si="26"/>
        <v>0</v>
      </c>
      <c r="G318" s="31">
        <f t="shared" si="24"/>
        <v>1.58</v>
      </c>
      <c r="Z318" s="4"/>
      <c r="AA318" s="4"/>
      <c r="AB318" s="6"/>
    </row>
    <row r="319" spans="1:28">
      <c r="A319" s="38"/>
      <c r="B319" s="20"/>
      <c r="C319" s="20"/>
      <c r="D319" s="20"/>
      <c r="E319" s="32">
        <f t="shared" si="25"/>
        <v>0</v>
      </c>
      <c r="F319" s="33">
        <f t="shared" si="26"/>
        <v>0</v>
      </c>
      <c r="G319" s="31">
        <f t="shared" si="24"/>
        <v>1.58</v>
      </c>
      <c r="Z319" s="4"/>
      <c r="AA319" s="4"/>
      <c r="AB319" s="6"/>
    </row>
    <row r="320" spans="1:28">
      <c r="A320" s="38"/>
      <c r="B320" s="20"/>
      <c r="C320" s="20"/>
      <c r="D320" s="20"/>
      <c r="E320" s="32">
        <f t="shared" si="25"/>
        <v>0</v>
      </c>
      <c r="F320" s="33">
        <f t="shared" si="26"/>
        <v>0</v>
      </c>
      <c r="G320" s="31">
        <f t="shared" si="24"/>
        <v>1.58</v>
      </c>
      <c r="Z320" s="4"/>
      <c r="AA320" s="4"/>
      <c r="AB320" s="6"/>
    </row>
    <row r="321" spans="1:28">
      <c r="A321" s="38"/>
      <c r="B321" s="20"/>
      <c r="C321" s="20"/>
      <c r="D321" s="20"/>
      <c r="E321" s="32">
        <f t="shared" si="25"/>
        <v>0</v>
      </c>
      <c r="F321" s="33">
        <f t="shared" si="26"/>
        <v>0</v>
      </c>
      <c r="G321" s="31">
        <f t="shared" si="24"/>
        <v>1.58</v>
      </c>
      <c r="Z321" s="4"/>
      <c r="AA321" s="4"/>
      <c r="AB321" s="6"/>
    </row>
    <row r="322" spans="1:28">
      <c r="A322" s="38"/>
      <c r="B322" s="20"/>
      <c r="C322" s="20"/>
      <c r="D322" s="20"/>
      <c r="E322" s="32">
        <f t="shared" si="25"/>
        <v>0</v>
      </c>
      <c r="F322" s="33">
        <f t="shared" si="26"/>
        <v>0</v>
      </c>
      <c r="G322" s="31">
        <f t="shared" si="24"/>
        <v>1.58</v>
      </c>
      <c r="Z322" s="4"/>
      <c r="AA322" s="4"/>
      <c r="AB322" s="6"/>
    </row>
    <row r="323" spans="1:28">
      <c r="A323" s="38"/>
      <c r="B323" s="20"/>
      <c r="C323" s="20"/>
      <c r="D323" s="20"/>
      <c r="E323" s="32">
        <f t="shared" si="25"/>
        <v>0</v>
      </c>
      <c r="F323" s="33">
        <f t="shared" si="26"/>
        <v>0</v>
      </c>
      <c r="G323" s="31">
        <f t="shared" ref="G323:G386" si="27">($I$7+$I$8*A323)-(F323/(1+F323))*(($I$7+$I$8*A323)-($I$5+$I$6*A323))</f>
        <v>1.58</v>
      </c>
      <c r="Z323" s="4"/>
      <c r="AA323" s="4"/>
      <c r="AB323" s="6"/>
    </row>
    <row r="324" spans="1:28">
      <c r="A324" s="38"/>
      <c r="B324" s="20"/>
      <c r="C324" s="20"/>
      <c r="D324" s="20"/>
      <c r="E324" s="32">
        <f t="shared" si="25"/>
        <v>0</v>
      </c>
      <c r="F324" s="33">
        <f t="shared" si="26"/>
        <v>0</v>
      </c>
      <c r="G324" s="31">
        <f t="shared" si="27"/>
        <v>1.58</v>
      </c>
      <c r="Z324" s="4"/>
      <c r="AA324" s="4"/>
      <c r="AB324" s="6"/>
    </row>
    <row r="325" spans="1:28">
      <c r="A325" s="38"/>
      <c r="B325" s="20"/>
      <c r="C325" s="20"/>
      <c r="D325" s="20"/>
      <c r="E325" s="32">
        <f t="shared" si="25"/>
        <v>0</v>
      </c>
      <c r="F325" s="33">
        <f t="shared" si="26"/>
        <v>0</v>
      </c>
      <c r="G325" s="31">
        <f t="shared" si="27"/>
        <v>1.58</v>
      </c>
      <c r="Z325" s="4"/>
      <c r="AA325" s="4"/>
      <c r="AB325" s="6"/>
    </row>
    <row r="326" spans="1:28">
      <c r="A326" s="38"/>
      <c r="B326" s="20"/>
      <c r="C326" s="20"/>
      <c r="D326" s="20"/>
      <c r="E326" s="32">
        <f t="shared" si="25"/>
        <v>0</v>
      </c>
      <c r="F326" s="33">
        <f t="shared" si="26"/>
        <v>0</v>
      </c>
      <c r="G326" s="31">
        <f t="shared" si="27"/>
        <v>1.58</v>
      </c>
      <c r="Z326" s="4"/>
      <c r="AA326" s="4"/>
      <c r="AB326" s="6"/>
    </row>
    <row r="327" spans="1:28">
      <c r="A327" s="38"/>
      <c r="B327" s="20"/>
      <c r="C327" s="20"/>
      <c r="D327" s="20"/>
      <c r="E327" s="32">
        <f t="shared" si="25"/>
        <v>0</v>
      </c>
      <c r="F327" s="33">
        <f t="shared" si="26"/>
        <v>0</v>
      </c>
      <c r="G327" s="31">
        <f t="shared" si="27"/>
        <v>1.58</v>
      </c>
      <c r="Z327" s="4"/>
      <c r="AA327" s="4"/>
      <c r="AB327" s="6"/>
    </row>
    <row r="328" spans="1:28">
      <c r="A328" s="38"/>
      <c r="B328" s="20"/>
      <c r="C328" s="20"/>
      <c r="D328" s="20"/>
      <c r="E328" s="32">
        <f t="shared" si="25"/>
        <v>0</v>
      </c>
      <c r="F328" s="33">
        <f t="shared" si="26"/>
        <v>0</v>
      </c>
      <c r="G328" s="31">
        <f t="shared" si="27"/>
        <v>1.58</v>
      </c>
      <c r="Z328" s="4"/>
      <c r="AA328" s="4"/>
      <c r="AB328" s="6"/>
    </row>
    <row r="329" spans="1:28">
      <c r="A329" s="38"/>
      <c r="B329" s="20"/>
      <c r="C329" s="20"/>
      <c r="D329" s="20"/>
      <c r="E329" s="32">
        <f t="shared" si="25"/>
        <v>0</v>
      </c>
      <c r="F329" s="33">
        <f t="shared" si="26"/>
        <v>0</v>
      </c>
      <c r="G329" s="31">
        <f t="shared" si="27"/>
        <v>1.58</v>
      </c>
      <c r="Z329" s="4"/>
      <c r="AA329" s="4"/>
      <c r="AB329" s="6"/>
    </row>
    <row r="330" spans="1:28">
      <c r="A330" s="38"/>
      <c r="B330" s="20"/>
      <c r="C330" s="20"/>
      <c r="D330" s="20"/>
      <c r="E330" s="32">
        <f t="shared" si="25"/>
        <v>0</v>
      </c>
      <c r="F330" s="33">
        <f t="shared" si="26"/>
        <v>0</v>
      </c>
      <c r="G330" s="31">
        <f t="shared" si="27"/>
        <v>1.58</v>
      </c>
      <c r="Z330" s="4"/>
      <c r="AA330" s="4"/>
      <c r="AB330" s="6"/>
    </row>
    <row r="331" spans="1:28">
      <c r="A331" s="38"/>
      <c r="B331" s="20"/>
      <c r="C331" s="20"/>
      <c r="D331" s="20"/>
      <c r="E331" s="32">
        <f t="shared" si="25"/>
        <v>0</v>
      </c>
      <c r="F331" s="33">
        <f t="shared" si="26"/>
        <v>0</v>
      </c>
      <c r="G331" s="31">
        <f t="shared" si="27"/>
        <v>1.58</v>
      </c>
      <c r="Z331" s="4"/>
      <c r="AA331" s="4"/>
      <c r="AB331" s="6"/>
    </row>
    <row r="332" spans="1:28">
      <c r="A332" s="38"/>
      <c r="B332" s="20"/>
      <c r="C332" s="20"/>
      <c r="D332" s="20"/>
      <c r="E332" s="32">
        <f t="shared" si="25"/>
        <v>0</v>
      </c>
      <c r="F332" s="33">
        <f t="shared" si="26"/>
        <v>0</v>
      </c>
      <c r="G332" s="31">
        <f t="shared" si="27"/>
        <v>1.58</v>
      </c>
      <c r="Z332" s="4"/>
      <c r="AA332" s="4"/>
      <c r="AB332" s="6"/>
    </row>
    <row r="333" spans="1:28">
      <c r="A333" s="38"/>
      <c r="B333" s="20"/>
      <c r="C333" s="20"/>
      <c r="D333" s="20"/>
      <c r="E333" s="32">
        <f t="shared" si="25"/>
        <v>0</v>
      </c>
      <c r="F333" s="33">
        <f t="shared" si="26"/>
        <v>0</v>
      </c>
      <c r="G333" s="31">
        <f t="shared" si="27"/>
        <v>1.58</v>
      </c>
      <c r="Z333" s="4"/>
      <c r="AA333" s="4"/>
      <c r="AB333" s="6"/>
    </row>
    <row r="334" spans="1:28">
      <c r="A334" s="38"/>
      <c r="B334" s="20"/>
      <c r="C334" s="20"/>
      <c r="D334" s="20"/>
      <c r="E334" s="32">
        <f t="shared" si="25"/>
        <v>0</v>
      </c>
      <c r="F334" s="33">
        <f t="shared" si="26"/>
        <v>0</v>
      </c>
      <c r="G334" s="31">
        <f t="shared" si="27"/>
        <v>1.58</v>
      </c>
      <c r="Z334" s="4"/>
      <c r="AA334" s="4"/>
      <c r="AB334" s="6"/>
    </row>
    <row r="335" spans="1:28">
      <c r="A335" s="38"/>
      <c r="B335" s="20"/>
      <c r="C335" s="20"/>
      <c r="D335" s="20"/>
      <c r="E335" s="32">
        <f t="shared" si="25"/>
        <v>0</v>
      </c>
      <c r="F335" s="33">
        <f t="shared" si="26"/>
        <v>0</v>
      </c>
      <c r="G335" s="31">
        <f t="shared" si="27"/>
        <v>1.58</v>
      </c>
      <c r="Z335" s="4"/>
      <c r="AA335" s="4"/>
      <c r="AB335" s="6"/>
    </row>
    <row r="336" spans="1:28">
      <c r="A336" s="38"/>
      <c r="B336" s="20"/>
      <c r="C336" s="20"/>
      <c r="D336" s="20"/>
      <c r="E336" s="32">
        <f t="shared" si="25"/>
        <v>0</v>
      </c>
      <c r="F336" s="33">
        <f t="shared" si="26"/>
        <v>0</v>
      </c>
      <c r="G336" s="31">
        <f t="shared" si="27"/>
        <v>1.58</v>
      </c>
      <c r="Z336" s="4"/>
      <c r="AA336" s="4"/>
      <c r="AB336" s="6"/>
    </row>
    <row r="337" spans="1:28">
      <c r="A337" s="38"/>
      <c r="B337" s="20"/>
      <c r="C337" s="20"/>
      <c r="D337" s="20"/>
      <c r="E337" s="32">
        <f t="shared" si="25"/>
        <v>0</v>
      </c>
      <c r="F337" s="33">
        <f t="shared" si="26"/>
        <v>0</v>
      </c>
      <c r="G337" s="31">
        <f t="shared" si="27"/>
        <v>1.58</v>
      </c>
      <c r="Z337" s="4"/>
      <c r="AA337" s="4"/>
      <c r="AB337" s="6"/>
    </row>
    <row r="338" spans="1:28">
      <c r="A338" s="38"/>
      <c r="B338" s="20"/>
      <c r="C338" s="20"/>
      <c r="D338" s="20"/>
      <c r="E338" s="32">
        <f t="shared" si="25"/>
        <v>0</v>
      </c>
      <c r="F338" s="33">
        <f t="shared" si="26"/>
        <v>0</v>
      </c>
      <c r="G338" s="31">
        <f t="shared" si="27"/>
        <v>1.58</v>
      </c>
      <c r="Z338" s="4"/>
      <c r="AA338" s="4"/>
      <c r="AB338" s="6"/>
    </row>
    <row r="339" spans="1:28">
      <c r="A339" s="38"/>
      <c r="B339" s="20"/>
      <c r="C339" s="20"/>
      <c r="D339" s="20"/>
      <c r="E339" s="32">
        <f t="shared" si="25"/>
        <v>0</v>
      </c>
      <c r="F339" s="33">
        <f t="shared" si="26"/>
        <v>0</v>
      </c>
      <c r="G339" s="31">
        <f t="shared" si="27"/>
        <v>1.58</v>
      </c>
      <c r="Z339" s="4"/>
      <c r="AA339" s="4"/>
      <c r="AB339" s="6"/>
    </row>
    <row r="340" spans="1:28">
      <c r="A340" s="38"/>
      <c r="B340" s="20"/>
      <c r="C340" s="20"/>
      <c r="D340" s="20"/>
      <c r="E340" s="32">
        <f t="shared" si="25"/>
        <v>0</v>
      </c>
      <c r="F340" s="33">
        <f t="shared" si="26"/>
        <v>0</v>
      </c>
      <c r="G340" s="31">
        <f t="shared" si="27"/>
        <v>1.58</v>
      </c>
      <c r="Z340" s="4"/>
      <c r="AA340" s="4"/>
      <c r="AB340" s="6"/>
    </row>
    <row r="341" spans="1:28">
      <c r="A341" s="38"/>
      <c r="B341" s="20"/>
      <c r="C341" s="20"/>
      <c r="D341" s="20"/>
      <c r="E341" s="32">
        <f t="shared" si="25"/>
        <v>0</v>
      </c>
      <c r="F341" s="33">
        <f t="shared" si="26"/>
        <v>0</v>
      </c>
      <c r="G341" s="31">
        <f t="shared" si="27"/>
        <v>1.58</v>
      </c>
      <c r="Z341" s="4"/>
      <c r="AA341" s="4"/>
      <c r="AB341" s="6"/>
    </row>
    <row r="342" spans="1:28">
      <c r="A342" s="38"/>
      <c r="B342" s="20"/>
      <c r="C342" s="20"/>
      <c r="D342" s="20"/>
      <c r="E342" s="32">
        <f t="shared" si="25"/>
        <v>0</v>
      </c>
      <c r="F342" s="33">
        <f t="shared" si="26"/>
        <v>0</v>
      </c>
      <c r="G342" s="31">
        <f t="shared" si="27"/>
        <v>1.58</v>
      </c>
      <c r="Z342" s="4"/>
      <c r="AA342" s="4"/>
      <c r="AB342" s="6"/>
    </row>
    <row r="343" spans="1:28">
      <c r="A343" s="38"/>
      <c r="B343" s="20"/>
      <c r="C343" s="20"/>
      <c r="D343" s="20"/>
      <c r="E343" s="32">
        <f t="shared" si="25"/>
        <v>0</v>
      </c>
      <c r="F343" s="33">
        <f t="shared" si="26"/>
        <v>0</v>
      </c>
      <c r="G343" s="31">
        <f t="shared" si="27"/>
        <v>1.58</v>
      </c>
      <c r="Z343" s="4"/>
      <c r="AA343" s="4"/>
      <c r="AB343" s="6"/>
    </row>
    <row r="344" spans="1:28">
      <c r="A344" s="38"/>
      <c r="B344" s="20"/>
      <c r="C344" s="20"/>
      <c r="D344" s="20"/>
      <c r="E344" s="32">
        <f t="shared" si="25"/>
        <v>0</v>
      </c>
      <c r="F344" s="33">
        <f t="shared" si="26"/>
        <v>0</v>
      </c>
      <c r="G344" s="31">
        <f t="shared" si="27"/>
        <v>1.58</v>
      </c>
      <c r="Z344" s="4"/>
      <c r="AA344" s="4"/>
      <c r="AB344" s="6"/>
    </row>
    <row r="345" spans="1:28">
      <c r="A345" s="38"/>
      <c r="B345" s="20"/>
      <c r="C345" s="20"/>
      <c r="D345" s="20"/>
      <c r="E345" s="32">
        <f t="shared" si="25"/>
        <v>0</v>
      </c>
      <c r="F345" s="33">
        <f t="shared" si="26"/>
        <v>0</v>
      </c>
      <c r="G345" s="31">
        <f t="shared" si="27"/>
        <v>1.58</v>
      </c>
      <c r="Z345" s="4"/>
      <c r="AA345" s="4"/>
      <c r="AB345" s="6"/>
    </row>
    <row r="346" spans="1:28">
      <c r="A346" s="38"/>
      <c r="B346" s="20"/>
      <c r="C346" s="20"/>
      <c r="D346" s="20"/>
      <c r="E346" s="32">
        <f t="shared" si="25"/>
        <v>0</v>
      </c>
      <c r="F346" s="33">
        <f t="shared" si="26"/>
        <v>0</v>
      </c>
      <c r="G346" s="31">
        <f t="shared" si="27"/>
        <v>1.58</v>
      </c>
      <c r="Z346" s="4"/>
      <c r="AA346" s="4"/>
      <c r="AB346" s="6"/>
    </row>
    <row r="347" spans="1:28">
      <c r="A347" s="38"/>
      <c r="B347" s="20"/>
      <c r="C347" s="20"/>
      <c r="D347" s="20"/>
      <c r="E347" s="32">
        <f t="shared" si="25"/>
        <v>0</v>
      </c>
      <c r="F347" s="33">
        <f t="shared" si="26"/>
        <v>0</v>
      </c>
      <c r="G347" s="31">
        <f t="shared" si="27"/>
        <v>1.58</v>
      </c>
      <c r="Z347" s="4"/>
      <c r="AA347" s="4"/>
      <c r="AB347" s="6"/>
    </row>
    <row r="348" spans="1:28">
      <c r="A348" s="38"/>
      <c r="B348" s="20"/>
      <c r="C348" s="20"/>
      <c r="D348" s="20"/>
      <c r="E348" s="32">
        <f t="shared" si="25"/>
        <v>0</v>
      </c>
      <c r="F348" s="33">
        <f t="shared" si="26"/>
        <v>0</v>
      </c>
      <c r="G348" s="31">
        <f t="shared" si="27"/>
        <v>1.58</v>
      </c>
      <c r="Z348" s="4"/>
      <c r="AA348" s="4"/>
      <c r="AB348" s="6"/>
    </row>
    <row r="349" spans="1:28">
      <c r="A349" s="38"/>
      <c r="B349" s="20"/>
      <c r="C349" s="20"/>
      <c r="D349" s="20"/>
      <c r="E349" s="32">
        <f t="shared" si="25"/>
        <v>0</v>
      </c>
      <c r="F349" s="33">
        <f t="shared" si="26"/>
        <v>0</v>
      </c>
      <c r="G349" s="31">
        <f t="shared" si="27"/>
        <v>1.58</v>
      </c>
      <c r="Z349" s="4"/>
      <c r="AA349" s="4"/>
      <c r="AB349" s="6"/>
    </row>
    <row r="350" spans="1:28">
      <c r="A350" s="38"/>
      <c r="B350" s="20"/>
      <c r="C350" s="20"/>
      <c r="D350" s="20"/>
      <c r="E350" s="32">
        <f t="shared" si="25"/>
        <v>0</v>
      </c>
      <c r="F350" s="33">
        <f t="shared" si="26"/>
        <v>0</v>
      </c>
      <c r="G350" s="31">
        <f t="shared" si="27"/>
        <v>1.58</v>
      </c>
      <c r="Z350" s="4"/>
      <c r="AA350" s="4"/>
      <c r="AB350" s="6"/>
    </row>
    <row r="351" spans="1:28">
      <c r="A351" s="38"/>
      <c r="B351" s="20"/>
      <c r="C351" s="20"/>
      <c r="D351" s="20"/>
      <c r="E351" s="32">
        <f t="shared" si="25"/>
        <v>0</v>
      </c>
      <c r="F351" s="33">
        <f t="shared" si="26"/>
        <v>0</v>
      </c>
      <c r="G351" s="31">
        <f t="shared" si="27"/>
        <v>1.58</v>
      </c>
      <c r="Z351" s="4"/>
      <c r="AA351" s="4"/>
      <c r="AB351" s="6"/>
    </row>
    <row r="352" spans="1:28">
      <c r="A352" s="38"/>
      <c r="B352" s="20"/>
      <c r="C352" s="20"/>
      <c r="D352" s="20"/>
      <c r="E352" s="32">
        <f t="shared" si="25"/>
        <v>0</v>
      </c>
      <c r="F352" s="33">
        <f t="shared" si="26"/>
        <v>0</v>
      </c>
      <c r="G352" s="31">
        <f t="shared" si="27"/>
        <v>1.58</v>
      </c>
      <c r="Z352" s="4"/>
      <c r="AA352" s="4"/>
      <c r="AB352" s="6"/>
    </row>
    <row r="353" spans="1:28">
      <c r="A353" s="38"/>
      <c r="B353" s="20"/>
      <c r="C353" s="20"/>
      <c r="D353" s="20"/>
      <c r="E353" s="32">
        <f t="shared" si="25"/>
        <v>0</v>
      </c>
      <c r="F353" s="33">
        <f t="shared" si="26"/>
        <v>0</v>
      </c>
      <c r="G353" s="31">
        <f t="shared" si="27"/>
        <v>1.58</v>
      </c>
      <c r="Z353" s="4"/>
      <c r="AA353" s="4"/>
      <c r="AB353" s="6"/>
    </row>
    <row r="354" spans="1:28">
      <c r="A354" s="38"/>
      <c r="B354" s="20"/>
      <c r="C354" s="20"/>
      <c r="D354" s="20"/>
      <c r="E354" s="32">
        <f t="shared" si="25"/>
        <v>0</v>
      </c>
      <c r="F354" s="33">
        <f t="shared" si="26"/>
        <v>0</v>
      </c>
      <c r="G354" s="31">
        <f t="shared" si="27"/>
        <v>1.58</v>
      </c>
      <c r="Z354" s="4"/>
      <c r="AA354" s="4"/>
      <c r="AB354" s="6"/>
    </row>
    <row r="355" spans="1:28">
      <c r="A355" s="38"/>
      <c r="B355" s="20"/>
      <c r="C355" s="20"/>
      <c r="D355" s="20"/>
      <c r="E355" s="32">
        <f t="shared" si="25"/>
        <v>0</v>
      </c>
      <c r="F355" s="33">
        <f t="shared" si="26"/>
        <v>0</v>
      </c>
      <c r="G355" s="31">
        <f t="shared" si="27"/>
        <v>1.58</v>
      </c>
      <c r="Z355" s="4"/>
      <c r="AA355" s="4"/>
      <c r="AB355" s="6"/>
    </row>
    <row r="356" spans="1:28">
      <c r="A356" s="38"/>
      <c r="B356" s="20"/>
      <c r="C356" s="20"/>
      <c r="D356" s="20"/>
      <c r="E356" s="32">
        <f t="shared" si="25"/>
        <v>0</v>
      </c>
      <c r="F356" s="33">
        <f t="shared" si="26"/>
        <v>0</v>
      </c>
      <c r="G356" s="31">
        <f t="shared" si="27"/>
        <v>1.58</v>
      </c>
      <c r="Z356" s="4"/>
      <c r="AA356" s="4"/>
      <c r="AB356" s="6"/>
    </row>
    <row r="357" spans="1:28">
      <c r="A357" s="38"/>
      <c r="B357" s="20"/>
      <c r="C357" s="20"/>
      <c r="D357" s="20"/>
      <c r="E357" s="32">
        <f t="shared" si="25"/>
        <v>0</v>
      </c>
      <c r="F357" s="33">
        <f t="shared" si="26"/>
        <v>0</v>
      </c>
      <c r="G357" s="31">
        <f t="shared" si="27"/>
        <v>1.58</v>
      </c>
      <c r="Z357" s="4"/>
      <c r="AA357" s="4"/>
      <c r="AB357" s="6"/>
    </row>
    <row r="358" spans="1:28">
      <c r="A358" s="38"/>
      <c r="B358" s="20"/>
      <c r="C358" s="20"/>
      <c r="D358" s="20"/>
      <c r="E358" s="32">
        <f t="shared" si="25"/>
        <v>0</v>
      </c>
      <c r="F358" s="33">
        <f t="shared" si="26"/>
        <v>0</v>
      </c>
      <c r="G358" s="31">
        <f t="shared" si="27"/>
        <v>1.58</v>
      </c>
      <c r="Z358" s="4"/>
      <c r="AA358" s="4"/>
      <c r="AB358" s="6"/>
    </row>
    <row r="359" spans="1:28">
      <c r="A359" s="38"/>
      <c r="B359" s="20"/>
      <c r="C359" s="20"/>
      <c r="D359" s="20"/>
      <c r="E359" s="32">
        <f t="shared" si="25"/>
        <v>0</v>
      </c>
      <c r="F359" s="33">
        <f t="shared" si="26"/>
        <v>0</v>
      </c>
      <c r="G359" s="31">
        <f t="shared" si="27"/>
        <v>1.58</v>
      </c>
      <c r="Z359" s="4"/>
      <c r="AA359" s="4"/>
      <c r="AB359" s="6"/>
    </row>
    <row r="360" spans="1:28">
      <c r="A360" s="38"/>
      <c r="B360" s="20"/>
      <c r="C360" s="20"/>
      <c r="D360" s="20"/>
      <c r="E360" s="32">
        <f t="shared" si="25"/>
        <v>0</v>
      </c>
      <c r="F360" s="33">
        <f t="shared" si="26"/>
        <v>0</v>
      </c>
      <c r="G360" s="31">
        <f t="shared" si="27"/>
        <v>1.58</v>
      </c>
      <c r="Z360" s="4"/>
      <c r="AA360" s="4"/>
      <c r="AB360" s="6"/>
    </row>
    <row r="361" spans="1:28">
      <c r="A361" s="38"/>
      <c r="B361" s="20"/>
      <c r="C361" s="20"/>
      <c r="D361" s="20"/>
      <c r="E361" s="32">
        <f t="shared" si="25"/>
        <v>0</v>
      </c>
      <c r="F361" s="33">
        <f t="shared" si="26"/>
        <v>0</v>
      </c>
      <c r="G361" s="31">
        <f t="shared" si="27"/>
        <v>1.58</v>
      </c>
      <c r="Z361" s="4"/>
      <c r="AA361" s="4"/>
      <c r="AB361" s="6"/>
    </row>
    <row r="362" spans="1:28">
      <c r="A362" s="38"/>
      <c r="B362" s="20"/>
      <c r="C362" s="20"/>
      <c r="D362" s="20"/>
      <c r="E362" s="32">
        <f t="shared" si="25"/>
        <v>0</v>
      </c>
      <c r="F362" s="33">
        <f t="shared" si="26"/>
        <v>0</v>
      </c>
      <c r="G362" s="31">
        <f t="shared" si="27"/>
        <v>1.58</v>
      </c>
      <c r="Z362" s="4"/>
      <c r="AA362" s="4"/>
      <c r="AB362" s="6"/>
    </row>
    <row r="363" spans="1:28">
      <c r="A363" s="38"/>
      <c r="B363" s="20"/>
      <c r="C363" s="20"/>
      <c r="D363" s="20"/>
      <c r="E363" s="32">
        <f t="shared" si="25"/>
        <v>0</v>
      </c>
      <c r="F363" s="33">
        <f t="shared" si="26"/>
        <v>0</v>
      </c>
      <c r="G363" s="31">
        <f t="shared" si="27"/>
        <v>1.58</v>
      </c>
      <c r="Z363" s="4"/>
      <c r="AA363" s="4"/>
      <c r="AB363" s="6"/>
    </row>
    <row r="364" spans="1:28">
      <c r="A364" s="38"/>
      <c r="B364" s="20"/>
      <c r="C364" s="20"/>
      <c r="D364" s="20"/>
      <c r="E364" s="32">
        <f t="shared" si="25"/>
        <v>0</v>
      </c>
      <c r="F364" s="33">
        <f t="shared" si="26"/>
        <v>0</v>
      </c>
      <c r="G364" s="31">
        <f t="shared" si="27"/>
        <v>1.58</v>
      </c>
      <c r="Z364" s="4"/>
      <c r="AA364" s="4"/>
      <c r="AB364" s="6"/>
    </row>
    <row r="365" spans="1:28">
      <c r="A365" s="38"/>
      <c r="B365" s="20"/>
      <c r="C365" s="20"/>
      <c r="D365" s="20"/>
      <c r="E365" s="32">
        <f t="shared" si="25"/>
        <v>0</v>
      </c>
      <c r="F365" s="33">
        <f t="shared" si="26"/>
        <v>0</v>
      </c>
      <c r="G365" s="31">
        <f t="shared" si="27"/>
        <v>1.58</v>
      </c>
      <c r="Z365" s="4"/>
      <c r="AA365" s="4"/>
      <c r="AB365" s="6"/>
    </row>
    <row r="366" spans="1:28">
      <c r="A366" s="38"/>
      <c r="B366" s="20"/>
      <c r="C366" s="20"/>
      <c r="D366" s="20"/>
      <c r="E366" s="32">
        <f t="shared" si="25"/>
        <v>0</v>
      </c>
      <c r="F366" s="33">
        <f t="shared" si="26"/>
        <v>0</v>
      </c>
      <c r="G366" s="31">
        <f t="shared" si="27"/>
        <v>1.58</v>
      </c>
      <c r="Z366" s="4"/>
      <c r="AA366" s="4"/>
      <c r="AB366" s="6"/>
    </row>
    <row r="367" spans="1:28">
      <c r="A367" s="38"/>
      <c r="B367" s="20"/>
      <c r="C367" s="20"/>
      <c r="D367" s="20"/>
      <c r="E367" s="32">
        <f t="shared" si="25"/>
        <v>0</v>
      </c>
      <c r="F367" s="33">
        <f t="shared" si="26"/>
        <v>0</v>
      </c>
      <c r="G367" s="31">
        <f t="shared" si="27"/>
        <v>1.58</v>
      </c>
      <c r="Z367" s="4"/>
      <c r="AA367" s="4"/>
      <c r="AB367" s="6"/>
    </row>
    <row r="368" spans="1:28">
      <c r="A368" s="38"/>
      <c r="B368" s="20"/>
      <c r="C368" s="20"/>
      <c r="D368" s="20"/>
      <c r="E368" s="32">
        <f t="shared" si="25"/>
        <v>0</v>
      </c>
      <c r="F368" s="33">
        <f t="shared" si="26"/>
        <v>0</v>
      </c>
      <c r="G368" s="31">
        <f t="shared" si="27"/>
        <v>1.58</v>
      </c>
      <c r="Z368" s="4"/>
      <c r="AA368" s="4"/>
      <c r="AB368" s="6"/>
    </row>
    <row r="369" spans="1:28">
      <c r="A369" s="38"/>
      <c r="B369" s="20"/>
      <c r="C369" s="20"/>
      <c r="D369" s="20"/>
      <c r="E369" s="32">
        <f t="shared" ref="E369:E432" si="28">C369*$I$10/($I$10*(1-C369))</f>
        <v>0</v>
      </c>
      <c r="F369" s="33">
        <f t="shared" ref="F369:F432" si="29">(D369*$I$10/($I$10*(1-D369)))</f>
        <v>0</v>
      </c>
      <c r="G369" s="31">
        <f t="shared" si="27"/>
        <v>1.58</v>
      </c>
      <c r="Z369" s="4"/>
      <c r="AA369" s="4"/>
      <c r="AB369" s="6"/>
    </row>
    <row r="370" spans="1:28">
      <c r="A370" s="38"/>
      <c r="B370" s="20"/>
      <c r="C370" s="20"/>
      <c r="D370" s="20"/>
      <c r="E370" s="32">
        <f t="shared" si="28"/>
        <v>0</v>
      </c>
      <c r="F370" s="33">
        <f t="shared" si="29"/>
        <v>0</v>
      </c>
      <c r="G370" s="31">
        <f t="shared" si="27"/>
        <v>1.58</v>
      </c>
      <c r="Z370" s="4"/>
      <c r="AA370" s="4"/>
      <c r="AB370" s="6"/>
    </row>
    <row r="371" spans="1:28">
      <c r="A371" s="38"/>
      <c r="B371" s="20"/>
      <c r="C371" s="20"/>
      <c r="D371" s="20"/>
      <c r="E371" s="32">
        <f t="shared" si="28"/>
        <v>0</v>
      </c>
      <c r="F371" s="33">
        <f t="shared" si="29"/>
        <v>0</v>
      </c>
      <c r="G371" s="31">
        <f t="shared" si="27"/>
        <v>1.58</v>
      </c>
      <c r="Z371" s="4"/>
      <c r="AA371" s="4"/>
      <c r="AB371" s="6"/>
    </row>
    <row r="372" spans="1:28">
      <c r="A372" s="38"/>
      <c r="B372" s="20"/>
      <c r="C372" s="20"/>
      <c r="D372" s="20"/>
      <c r="E372" s="32">
        <f t="shared" si="28"/>
        <v>0</v>
      </c>
      <c r="F372" s="33">
        <f t="shared" si="29"/>
        <v>0</v>
      </c>
      <c r="G372" s="31">
        <f t="shared" si="27"/>
        <v>1.58</v>
      </c>
      <c r="Z372" s="4"/>
      <c r="AA372" s="4"/>
      <c r="AB372" s="6"/>
    </row>
    <row r="373" spans="1:28">
      <c r="A373" s="38"/>
      <c r="B373" s="20"/>
      <c r="C373" s="20"/>
      <c r="D373" s="20"/>
      <c r="E373" s="32">
        <f t="shared" si="28"/>
        <v>0</v>
      </c>
      <c r="F373" s="33">
        <f t="shared" si="29"/>
        <v>0</v>
      </c>
      <c r="G373" s="31">
        <f t="shared" si="27"/>
        <v>1.58</v>
      </c>
      <c r="Z373" s="4"/>
      <c r="AA373" s="4"/>
      <c r="AB373" s="6"/>
    </row>
    <row r="374" spans="1:28">
      <c r="A374" s="38"/>
      <c r="B374" s="20"/>
      <c r="C374" s="20"/>
      <c r="D374" s="20"/>
      <c r="E374" s="32">
        <f t="shared" si="28"/>
        <v>0</v>
      </c>
      <c r="F374" s="33">
        <f t="shared" si="29"/>
        <v>0</v>
      </c>
      <c r="G374" s="31">
        <f t="shared" si="27"/>
        <v>1.58</v>
      </c>
      <c r="Z374" s="4"/>
      <c r="AA374" s="4"/>
      <c r="AB374" s="6"/>
    </row>
    <row r="375" spans="1:28">
      <c r="A375" s="38"/>
      <c r="B375" s="20"/>
      <c r="C375" s="20"/>
      <c r="D375" s="20"/>
      <c r="E375" s="32">
        <f t="shared" si="28"/>
        <v>0</v>
      </c>
      <c r="F375" s="33">
        <f t="shared" si="29"/>
        <v>0</v>
      </c>
      <c r="G375" s="31">
        <f t="shared" si="27"/>
        <v>1.58</v>
      </c>
      <c r="Z375" s="4"/>
      <c r="AA375" s="4"/>
      <c r="AB375" s="6"/>
    </row>
    <row r="376" spans="1:28">
      <c r="A376" s="38"/>
      <c r="B376" s="20"/>
      <c r="C376" s="20"/>
      <c r="D376" s="20"/>
      <c r="E376" s="32">
        <f t="shared" si="28"/>
        <v>0</v>
      </c>
      <c r="F376" s="33">
        <f t="shared" si="29"/>
        <v>0</v>
      </c>
      <c r="G376" s="31">
        <f t="shared" si="27"/>
        <v>1.58</v>
      </c>
      <c r="Z376" s="4"/>
      <c r="AA376" s="4"/>
      <c r="AB376" s="6"/>
    </row>
    <row r="377" spans="1:28">
      <c r="A377" s="38"/>
      <c r="B377" s="20"/>
      <c r="C377" s="20"/>
      <c r="D377" s="20"/>
      <c r="E377" s="32">
        <f t="shared" si="28"/>
        <v>0</v>
      </c>
      <c r="F377" s="33">
        <f t="shared" si="29"/>
        <v>0</v>
      </c>
      <c r="G377" s="31">
        <f t="shared" si="27"/>
        <v>1.58</v>
      </c>
      <c r="Z377" s="4"/>
      <c r="AA377" s="4"/>
      <c r="AB377" s="6"/>
    </row>
    <row r="378" spans="1:28">
      <c r="A378" s="38"/>
      <c r="B378" s="20"/>
      <c r="C378" s="20"/>
      <c r="D378" s="20"/>
      <c r="E378" s="32">
        <f t="shared" si="28"/>
        <v>0</v>
      </c>
      <c r="F378" s="33">
        <f t="shared" si="29"/>
        <v>0</v>
      </c>
      <c r="G378" s="31">
        <f t="shared" si="27"/>
        <v>1.58</v>
      </c>
      <c r="Z378" s="4"/>
      <c r="AA378" s="4"/>
      <c r="AB378" s="6"/>
    </row>
    <row r="379" spans="1:28">
      <c r="A379" s="38"/>
      <c r="B379" s="20"/>
      <c r="C379" s="20"/>
      <c r="D379" s="20"/>
      <c r="E379" s="32">
        <f t="shared" si="28"/>
        <v>0</v>
      </c>
      <c r="F379" s="33">
        <f t="shared" si="29"/>
        <v>0</v>
      </c>
      <c r="G379" s="31">
        <f t="shared" si="27"/>
        <v>1.58</v>
      </c>
      <c r="Z379" s="4"/>
      <c r="AA379" s="4"/>
      <c r="AB379" s="6"/>
    </row>
    <row r="380" spans="1:28">
      <c r="A380" s="38"/>
      <c r="B380" s="20"/>
      <c r="C380" s="20"/>
      <c r="D380" s="20"/>
      <c r="E380" s="32">
        <f t="shared" si="28"/>
        <v>0</v>
      </c>
      <c r="F380" s="33">
        <f t="shared" si="29"/>
        <v>0</v>
      </c>
      <c r="G380" s="31">
        <f t="shared" si="27"/>
        <v>1.58</v>
      </c>
      <c r="Z380" s="4"/>
      <c r="AA380" s="4"/>
      <c r="AB380" s="6"/>
    </row>
    <row r="381" spans="1:28">
      <c r="A381" s="38"/>
      <c r="B381" s="20"/>
      <c r="C381" s="20"/>
      <c r="D381" s="20"/>
      <c r="E381" s="32">
        <f t="shared" si="28"/>
        <v>0</v>
      </c>
      <c r="F381" s="33">
        <f t="shared" si="29"/>
        <v>0</v>
      </c>
      <c r="G381" s="31">
        <f t="shared" si="27"/>
        <v>1.58</v>
      </c>
      <c r="Z381" s="4"/>
      <c r="AA381" s="4"/>
      <c r="AB381" s="6"/>
    </row>
    <row r="382" spans="1:28">
      <c r="A382" s="38"/>
      <c r="B382" s="20"/>
      <c r="C382" s="20"/>
      <c r="D382" s="20"/>
      <c r="E382" s="32">
        <f t="shared" si="28"/>
        <v>0</v>
      </c>
      <c r="F382" s="33">
        <f t="shared" si="29"/>
        <v>0</v>
      </c>
      <c r="G382" s="31">
        <f t="shared" si="27"/>
        <v>1.58</v>
      </c>
      <c r="Z382" s="4"/>
      <c r="AA382" s="4"/>
      <c r="AB382" s="6"/>
    </row>
    <row r="383" spans="1:28">
      <c r="A383" s="38"/>
      <c r="B383" s="20"/>
      <c r="C383" s="20"/>
      <c r="D383" s="20"/>
      <c r="E383" s="32">
        <f t="shared" si="28"/>
        <v>0</v>
      </c>
      <c r="F383" s="33">
        <f t="shared" si="29"/>
        <v>0</v>
      </c>
      <c r="G383" s="31">
        <f t="shared" si="27"/>
        <v>1.58</v>
      </c>
      <c r="Z383" s="4"/>
      <c r="AA383" s="4"/>
      <c r="AB383" s="6"/>
    </row>
    <row r="384" spans="1:28">
      <c r="A384" s="38"/>
      <c r="B384" s="20"/>
      <c r="C384" s="20"/>
      <c r="D384" s="20"/>
      <c r="E384" s="32">
        <f t="shared" si="28"/>
        <v>0</v>
      </c>
      <c r="F384" s="33">
        <f t="shared" si="29"/>
        <v>0</v>
      </c>
      <c r="G384" s="31">
        <f t="shared" si="27"/>
        <v>1.58</v>
      </c>
      <c r="Z384" s="4"/>
      <c r="AA384" s="4"/>
      <c r="AB384" s="6"/>
    </row>
    <row r="385" spans="1:28">
      <c r="A385" s="38"/>
      <c r="B385" s="20"/>
      <c r="C385" s="20"/>
      <c r="D385" s="20"/>
      <c r="E385" s="32">
        <f t="shared" si="28"/>
        <v>0</v>
      </c>
      <c r="F385" s="33">
        <f t="shared" si="29"/>
        <v>0</v>
      </c>
      <c r="G385" s="31">
        <f t="shared" si="27"/>
        <v>1.58</v>
      </c>
      <c r="Z385" s="4"/>
      <c r="AA385" s="4"/>
      <c r="AB385" s="6"/>
    </row>
    <row r="386" spans="1:28">
      <c r="A386" s="38"/>
      <c r="B386" s="20"/>
      <c r="C386" s="20"/>
      <c r="D386" s="20"/>
      <c r="E386" s="32">
        <f t="shared" si="28"/>
        <v>0</v>
      </c>
      <c r="F386" s="33">
        <f t="shared" si="29"/>
        <v>0</v>
      </c>
      <c r="G386" s="31">
        <f t="shared" si="27"/>
        <v>1.58</v>
      </c>
      <c r="Z386" s="4"/>
      <c r="AA386" s="4"/>
      <c r="AB386" s="6"/>
    </row>
    <row r="387" spans="1:28">
      <c r="A387" s="38"/>
      <c r="B387" s="20"/>
      <c r="C387" s="20"/>
      <c r="D387" s="20"/>
      <c r="E387" s="32">
        <f t="shared" si="28"/>
        <v>0</v>
      </c>
      <c r="F387" s="33">
        <f t="shared" si="29"/>
        <v>0</v>
      </c>
      <c r="G387" s="31">
        <f t="shared" ref="G387:G450" si="30">($I$7+$I$8*A387)-(F387/(1+F387))*(($I$7+$I$8*A387)-($I$5+$I$6*A387))</f>
        <v>1.58</v>
      </c>
      <c r="Z387" s="4"/>
      <c r="AA387" s="4"/>
      <c r="AB387" s="6"/>
    </row>
    <row r="388" spans="1:28">
      <c r="A388" s="38"/>
      <c r="B388" s="20"/>
      <c r="C388" s="20"/>
      <c r="D388" s="20"/>
      <c r="E388" s="32">
        <f t="shared" si="28"/>
        <v>0</v>
      </c>
      <c r="F388" s="33">
        <f t="shared" si="29"/>
        <v>0</v>
      </c>
      <c r="G388" s="31">
        <f t="shared" si="30"/>
        <v>1.58</v>
      </c>
      <c r="Z388" s="4"/>
      <c r="AA388" s="4"/>
      <c r="AB388" s="6"/>
    </row>
    <row r="389" spans="1:28">
      <c r="A389" s="38"/>
      <c r="B389" s="20"/>
      <c r="C389" s="20"/>
      <c r="D389" s="20"/>
      <c r="E389" s="32">
        <f t="shared" si="28"/>
        <v>0</v>
      </c>
      <c r="F389" s="33">
        <f t="shared" si="29"/>
        <v>0</v>
      </c>
      <c r="G389" s="31">
        <f t="shared" si="30"/>
        <v>1.58</v>
      </c>
      <c r="Z389" s="4"/>
      <c r="AA389" s="4"/>
      <c r="AB389" s="6"/>
    </row>
    <row r="390" spans="1:28">
      <c r="A390" s="38"/>
      <c r="B390" s="20"/>
      <c r="C390" s="20"/>
      <c r="D390" s="20"/>
      <c r="E390" s="32">
        <f t="shared" si="28"/>
        <v>0</v>
      </c>
      <c r="F390" s="33">
        <f t="shared" si="29"/>
        <v>0</v>
      </c>
      <c r="G390" s="31">
        <f t="shared" si="30"/>
        <v>1.58</v>
      </c>
      <c r="Z390" s="4"/>
      <c r="AA390" s="4"/>
      <c r="AB390" s="6"/>
    </row>
    <row r="391" spans="1:28">
      <c r="A391" s="38"/>
      <c r="B391" s="20"/>
      <c r="C391" s="20"/>
      <c r="D391" s="20"/>
      <c r="E391" s="32">
        <f t="shared" si="28"/>
        <v>0</v>
      </c>
      <c r="F391" s="33">
        <f t="shared" si="29"/>
        <v>0</v>
      </c>
      <c r="G391" s="31">
        <f t="shared" si="30"/>
        <v>1.58</v>
      </c>
      <c r="Z391" s="4"/>
      <c r="AA391" s="4"/>
      <c r="AB391" s="6"/>
    </row>
    <row r="392" spans="1:28">
      <c r="A392" s="38"/>
      <c r="B392" s="20"/>
      <c r="C392" s="20"/>
      <c r="D392" s="20"/>
      <c r="E392" s="32">
        <f t="shared" si="28"/>
        <v>0</v>
      </c>
      <c r="F392" s="33">
        <f t="shared" si="29"/>
        <v>0</v>
      </c>
      <c r="G392" s="31">
        <f t="shared" si="30"/>
        <v>1.58</v>
      </c>
      <c r="Z392" s="4"/>
      <c r="AA392" s="4"/>
      <c r="AB392" s="6"/>
    </row>
    <row r="393" spans="1:28">
      <c r="A393" s="38"/>
      <c r="B393" s="20"/>
      <c r="C393" s="20"/>
      <c r="D393" s="20"/>
      <c r="E393" s="32">
        <f t="shared" si="28"/>
        <v>0</v>
      </c>
      <c r="F393" s="33">
        <f t="shared" si="29"/>
        <v>0</v>
      </c>
      <c r="G393" s="31">
        <f t="shared" si="30"/>
        <v>1.58</v>
      </c>
      <c r="Z393" s="4"/>
      <c r="AA393" s="4"/>
      <c r="AB393" s="6"/>
    </row>
    <row r="394" spans="1:28">
      <c r="A394" s="38"/>
      <c r="B394" s="20"/>
      <c r="C394" s="20"/>
      <c r="D394" s="20"/>
      <c r="E394" s="32">
        <f t="shared" si="28"/>
        <v>0</v>
      </c>
      <c r="F394" s="33">
        <f t="shared" si="29"/>
        <v>0</v>
      </c>
      <c r="G394" s="31">
        <f t="shared" si="30"/>
        <v>1.58</v>
      </c>
      <c r="Z394" s="4"/>
      <c r="AA394" s="4"/>
      <c r="AB394" s="6"/>
    </row>
    <row r="395" spans="1:28">
      <c r="A395" s="38"/>
      <c r="B395" s="20"/>
      <c r="C395" s="20"/>
      <c r="D395" s="20"/>
      <c r="E395" s="32">
        <f t="shared" si="28"/>
        <v>0</v>
      </c>
      <c r="F395" s="33">
        <f t="shared" si="29"/>
        <v>0</v>
      </c>
      <c r="G395" s="31">
        <f t="shared" si="30"/>
        <v>1.58</v>
      </c>
      <c r="Z395" s="4"/>
      <c r="AA395" s="4"/>
      <c r="AB395" s="6"/>
    </row>
    <row r="396" spans="1:28">
      <c r="A396" s="38"/>
      <c r="B396" s="20"/>
      <c r="C396" s="20"/>
      <c r="D396" s="20"/>
      <c r="E396" s="32">
        <f t="shared" si="28"/>
        <v>0</v>
      </c>
      <c r="F396" s="33">
        <f t="shared" si="29"/>
        <v>0</v>
      </c>
      <c r="G396" s="31">
        <f t="shared" si="30"/>
        <v>1.58</v>
      </c>
      <c r="Z396" s="4"/>
      <c r="AA396" s="4"/>
      <c r="AB396" s="6"/>
    </row>
    <row r="397" spans="1:28">
      <c r="A397" s="38"/>
      <c r="B397" s="20"/>
      <c r="C397" s="20"/>
      <c r="D397" s="20"/>
      <c r="E397" s="32">
        <f t="shared" si="28"/>
        <v>0</v>
      </c>
      <c r="F397" s="33">
        <f t="shared" si="29"/>
        <v>0</v>
      </c>
      <c r="G397" s="31">
        <f t="shared" si="30"/>
        <v>1.58</v>
      </c>
      <c r="Z397" s="4"/>
      <c r="AA397" s="4"/>
      <c r="AB397" s="6"/>
    </row>
    <row r="398" spans="1:28">
      <c r="A398" s="38"/>
      <c r="B398" s="20"/>
      <c r="C398" s="20"/>
      <c r="D398" s="20"/>
      <c r="E398" s="32">
        <f t="shared" si="28"/>
        <v>0</v>
      </c>
      <c r="F398" s="33">
        <f t="shared" si="29"/>
        <v>0</v>
      </c>
      <c r="G398" s="31">
        <f t="shared" si="30"/>
        <v>1.58</v>
      </c>
      <c r="Z398" s="4"/>
      <c r="AA398" s="4"/>
      <c r="AB398" s="6"/>
    </row>
    <row r="399" spans="1:28">
      <c r="A399" s="38"/>
      <c r="B399" s="20"/>
      <c r="C399" s="20"/>
      <c r="D399" s="20"/>
      <c r="E399" s="32">
        <f t="shared" si="28"/>
        <v>0</v>
      </c>
      <c r="F399" s="33">
        <f t="shared" si="29"/>
        <v>0</v>
      </c>
      <c r="G399" s="31">
        <f t="shared" si="30"/>
        <v>1.58</v>
      </c>
      <c r="Z399" s="4"/>
      <c r="AA399" s="4"/>
      <c r="AB399" s="6"/>
    </row>
    <row r="400" spans="1:28">
      <c r="A400" s="38"/>
      <c r="B400" s="20"/>
      <c r="C400" s="20"/>
      <c r="D400" s="20"/>
      <c r="E400" s="32">
        <f t="shared" si="28"/>
        <v>0</v>
      </c>
      <c r="F400" s="33">
        <f t="shared" si="29"/>
        <v>0</v>
      </c>
      <c r="G400" s="31">
        <f t="shared" si="30"/>
        <v>1.58</v>
      </c>
      <c r="Z400" s="4"/>
      <c r="AA400" s="4"/>
      <c r="AB400" s="6"/>
    </row>
    <row r="401" spans="1:28">
      <c r="A401" s="38"/>
      <c r="B401" s="20"/>
      <c r="C401" s="20"/>
      <c r="D401" s="20"/>
      <c r="E401" s="32">
        <f t="shared" si="28"/>
        <v>0</v>
      </c>
      <c r="F401" s="33">
        <f t="shared" si="29"/>
        <v>0</v>
      </c>
      <c r="G401" s="31">
        <f t="shared" si="30"/>
        <v>1.58</v>
      </c>
      <c r="Z401" s="4"/>
      <c r="AA401" s="4"/>
      <c r="AB401" s="6"/>
    </row>
    <row r="402" spans="1:28">
      <c r="A402" s="38"/>
      <c r="B402" s="20"/>
      <c r="C402" s="20"/>
      <c r="D402" s="20"/>
      <c r="E402" s="32">
        <f t="shared" si="28"/>
        <v>0</v>
      </c>
      <c r="F402" s="33">
        <f t="shared" si="29"/>
        <v>0</v>
      </c>
      <c r="G402" s="31">
        <f t="shared" si="30"/>
        <v>1.58</v>
      </c>
      <c r="Z402" s="4"/>
      <c r="AA402" s="4"/>
      <c r="AB402" s="6"/>
    </row>
    <row r="403" spans="1:28">
      <c r="A403" s="38"/>
      <c r="B403" s="20"/>
      <c r="C403" s="20"/>
      <c r="D403" s="20"/>
      <c r="E403" s="32">
        <f t="shared" si="28"/>
        <v>0</v>
      </c>
      <c r="F403" s="33">
        <f t="shared" si="29"/>
        <v>0</v>
      </c>
      <c r="G403" s="31">
        <f t="shared" si="30"/>
        <v>1.58</v>
      </c>
      <c r="Z403" s="4"/>
      <c r="AA403" s="4"/>
      <c r="AB403" s="6"/>
    </row>
    <row r="404" spans="1:28">
      <c r="A404" s="38"/>
      <c r="B404" s="20"/>
      <c r="C404" s="20"/>
      <c r="D404" s="20"/>
      <c r="E404" s="32">
        <f t="shared" si="28"/>
        <v>0</v>
      </c>
      <c r="F404" s="33">
        <f t="shared" si="29"/>
        <v>0</v>
      </c>
      <c r="G404" s="31">
        <f t="shared" si="30"/>
        <v>1.58</v>
      </c>
      <c r="Z404" s="4"/>
      <c r="AA404" s="4"/>
      <c r="AB404" s="6"/>
    </row>
    <row r="405" spans="1:28">
      <c r="A405" s="38"/>
      <c r="B405" s="20"/>
      <c r="C405" s="20"/>
      <c r="D405" s="20"/>
      <c r="E405" s="32">
        <f t="shared" si="28"/>
        <v>0</v>
      </c>
      <c r="F405" s="33">
        <f t="shared" si="29"/>
        <v>0</v>
      </c>
      <c r="G405" s="31">
        <f t="shared" si="30"/>
        <v>1.58</v>
      </c>
      <c r="Z405" s="4"/>
      <c r="AA405" s="4"/>
      <c r="AB405" s="6"/>
    </row>
    <row r="406" spans="1:28">
      <c r="A406" s="38"/>
      <c r="B406" s="20"/>
      <c r="C406" s="20"/>
      <c r="D406" s="20"/>
      <c r="E406" s="32">
        <f t="shared" si="28"/>
        <v>0</v>
      </c>
      <c r="F406" s="33">
        <f t="shared" si="29"/>
        <v>0</v>
      </c>
      <c r="G406" s="31">
        <f t="shared" si="30"/>
        <v>1.58</v>
      </c>
      <c r="Z406" s="4"/>
      <c r="AA406" s="4"/>
      <c r="AB406" s="6"/>
    </row>
    <row r="407" spans="1:28">
      <c r="A407" s="38"/>
      <c r="B407" s="20"/>
      <c r="C407" s="20"/>
      <c r="D407" s="20"/>
      <c r="E407" s="32">
        <f t="shared" si="28"/>
        <v>0</v>
      </c>
      <c r="F407" s="33">
        <f t="shared" si="29"/>
        <v>0</v>
      </c>
      <c r="G407" s="31">
        <f t="shared" si="30"/>
        <v>1.58</v>
      </c>
      <c r="Z407" s="4"/>
      <c r="AA407" s="4"/>
      <c r="AB407" s="6"/>
    </row>
    <row r="408" spans="1:28">
      <c r="A408" s="38"/>
      <c r="B408" s="20"/>
      <c r="C408" s="20"/>
      <c r="D408" s="20"/>
      <c r="E408" s="32">
        <f t="shared" si="28"/>
        <v>0</v>
      </c>
      <c r="F408" s="33">
        <f t="shared" si="29"/>
        <v>0</v>
      </c>
      <c r="G408" s="31">
        <f t="shared" si="30"/>
        <v>1.58</v>
      </c>
      <c r="Z408" s="4"/>
      <c r="AA408" s="4"/>
      <c r="AB408" s="6"/>
    </row>
    <row r="409" spans="1:28">
      <c r="A409" s="38"/>
      <c r="B409" s="20"/>
      <c r="C409" s="20"/>
      <c r="D409" s="20"/>
      <c r="E409" s="32">
        <f t="shared" si="28"/>
        <v>0</v>
      </c>
      <c r="F409" s="33">
        <f t="shared" si="29"/>
        <v>0</v>
      </c>
      <c r="G409" s="31">
        <f t="shared" si="30"/>
        <v>1.58</v>
      </c>
      <c r="Z409" s="4"/>
      <c r="AA409" s="4"/>
      <c r="AB409" s="6"/>
    </row>
    <row r="410" spans="1:28">
      <c r="A410" s="38"/>
      <c r="B410" s="20"/>
      <c r="C410" s="20"/>
      <c r="D410" s="20"/>
      <c r="E410" s="32">
        <f t="shared" si="28"/>
        <v>0</v>
      </c>
      <c r="F410" s="33">
        <f t="shared" si="29"/>
        <v>0</v>
      </c>
      <c r="G410" s="31">
        <f t="shared" si="30"/>
        <v>1.58</v>
      </c>
      <c r="Z410" s="4"/>
      <c r="AA410" s="4"/>
      <c r="AB410" s="6"/>
    </row>
    <row r="411" spans="1:28">
      <c r="A411" s="38"/>
      <c r="B411" s="20"/>
      <c r="C411" s="20"/>
      <c r="D411" s="20"/>
      <c r="E411" s="32">
        <f t="shared" si="28"/>
        <v>0</v>
      </c>
      <c r="F411" s="33">
        <f t="shared" si="29"/>
        <v>0</v>
      </c>
      <c r="G411" s="31">
        <f t="shared" si="30"/>
        <v>1.58</v>
      </c>
      <c r="Z411" s="4"/>
      <c r="AA411" s="4"/>
      <c r="AB411" s="6"/>
    </row>
    <row r="412" spans="1:28">
      <c r="A412" s="38"/>
      <c r="B412" s="20"/>
      <c r="C412" s="20"/>
      <c r="D412" s="20"/>
      <c r="E412" s="32">
        <f t="shared" si="28"/>
        <v>0</v>
      </c>
      <c r="F412" s="33">
        <f t="shared" si="29"/>
        <v>0</v>
      </c>
      <c r="G412" s="31">
        <f t="shared" si="30"/>
        <v>1.58</v>
      </c>
      <c r="Z412" s="4"/>
      <c r="AA412" s="4"/>
      <c r="AB412" s="6"/>
    </row>
    <row r="413" spans="1:28">
      <c r="A413" s="38"/>
      <c r="B413" s="20"/>
      <c r="C413" s="20"/>
      <c r="D413" s="20"/>
      <c r="E413" s="32">
        <f t="shared" si="28"/>
        <v>0</v>
      </c>
      <c r="F413" s="33">
        <f t="shared" si="29"/>
        <v>0</v>
      </c>
      <c r="G413" s="31">
        <f t="shared" si="30"/>
        <v>1.58</v>
      </c>
      <c r="Z413" s="4"/>
      <c r="AA413" s="4"/>
      <c r="AB413" s="6"/>
    </row>
    <row r="414" spans="1:28">
      <c r="A414" s="38"/>
      <c r="B414" s="20"/>
      <c r="C414" s="20"/>
      <c r="D414" s="20"/>
      <c r="E414" s="32">
        <f t="shared" si="28"/>
        <v>0</v>
      </c>
      <c r="F414" s="33">
        <f t="shared" si="29"/>
        <v>0</v>
      </c>
      <c r="G414" s="31">
        <f t="shared" si="30"/>
        <v>1.58</v>
      </c>
      <c r="Z414" s="4"/>
      <c r="AA414" s="4"/>
      <c r="AB414" s="6"/>
    </row>
    <row r="415" spans="1:28">
      <c r="A415" s="38"/>
      <c r="B415" s="20"/>
      <c r="C415" s="20"/>
      <c r="D415" s="20"/>
      <c r="E415" s="32">
        <f t="shared" si="28"/>
        <v>0</v>
      </c>
      <c r="F415" s="33">
        <f t="shared" si="29"/>
        <v>0</v>
      </c>
      <c r="G415" s="31">
        <f t="shared" si="30"/>
        <v>1.58</v>
      </c>
      <c r="Z415" s="4"/>
      <c r="AA415" s="4"/>
      <c r="AB415" s="6"/>
    </row>
    <row r="416" spans="1:28">
      <c r="A416" s="38"/>
      <c r="B416" s="20"/>
      <c r="C416" s="20"/>
      <c r="D416" s="20"/>
      <c r="E416" s="32">
        <f t="shared" si="28"/>
        <v>0</v>
      </c>
      <c r="F416" s="33">
        <f t="shared" si="29"/>
        <v>0</v>
      </c>
      <c r="G416" s="31">
        <f t="shared" si="30"/>
        <v>1.58</v>
      </c>
      <c r="Z416" s="4"/>
      <c r="AA416" s="4"/>
      <c r="AB416" s="6"/>
    </row>
    <row r="417" spans="1:28">
      <c r="A417" s="38"/>
      <c r="B417" s="20"/>
      <c r="C417" s="20"/>
      <c r="D417" s="20"/>
      <c r="E417" s="32">
        <f t="shared" si="28"/>
        <v>0</v>
      </c>
      <c r="F417" s="33">
        <f t="shared" si="29"/>
        <v>0</v>
      </c>
      <c r="G417" s="31">
        <f t="shared" si="30"/>
        <v>1.58</v>
      </c>
      <c r="Z417" s="4"/>
      <c r="AA417" s="4"/>
      <c r="AB417" s="6"/>
    </row>
    <row r="418" spans="1:28">
      <c r="A418" s="38"/>
      <c r="B418" s="20"/>
      <c r="C418" s="20"/>
      <c r="D418" s="20"/>
      <c r="E418" s="32">
        <f t="shared" si="28"/>
        <v>0</v>
      </c>
      <c r="F418" s="33">
        <f t="shared" si="29"/>
        <v>0</v>
      </c>
      <c r="G418" s="31">
        <f t="shared" si="30"/>
        <v>1.58</v>
      </c>
      <c r="Z418" s="4"/>
      <c r="AA418" s="4"/>
      <c r="AB418" s="6"/>
    </row>
    <row r="419" spans="1:28">
      <c r="A419" s="38"/>
      <c r="B419" s="20"/>
      <c r="C419" s="20"/>
      <c r="D419" s="20"/>
      <c r="E419" s="32">
        <f t="shared" si="28"/>
        <v>0</v>
      </c>
      <c r="F419" s="33">
        <f t="shared" si="29"/>
        <v>0</v>
      </c>
      <c r="G419" s="31">
        <f t="shared" si="30"/>
        <v>1.58</v>
      </c>
      <c r="Z419" s="4"/>
      <c r="AA419" s="4"/>
      <c r="AB419" s="6"/>
    </row>
    <row r="420" spans="1:28">
      <c r="A420" s="38"/>
      <c r="B420" s="20"/>
      <c r="C420" s="20"/>
      <c r="D420" s="20"/>
      <c r="E420" s="32">
        <f t="shared" si="28"/>
        <v>0</v>
      </c>
      <c r="F420" s="33">
        <f t="shared" si="29"/>
        <v>0</v>
      </c>
      <c r="G420" s="31">
        <f t="shared" si="30"/>
        <v>1.58</v>
      </c>
      <c r="Z420" s="4"/>
      <c r="AA420" s="4"/>
      <c r="AB420" s="6"/>
    </row>
    <row r="421" spans="1:28">
      <c r="A421" s="38"/>
      <c r="B421" s="20"/>
      <c r="C421" s="20"/>
      <c r="D421" s="20"/>
      <c r="E421" s="32">
        <f t="shared" si="28"/>
        <v>0</v>
      </c>
      <c r="F421" s="33">
        <f t="shared" si="29"/>
        <v>0</v>
      </c>
      <c r="G421" s="31">
        <f t="shared" si="30"/>
        <v>1.58</v>
      </c>
      <c r="Z421" s="4"/>
      <c r="AA421" s="4"/>
      <c r="AB421" s="6"/>
    </row>
    <row r="422" spans="1:28">
      <c r="A422" s="38"/>
      <c r="B422" s="20"/>
      <c r="C422" s="20"/>
      <c r="D422" s="20"/>
      <c r="E422" s="32">
        <f t="shared" si="28"/>
        <v>0</v>
      </c>
      <c r="F422" s="33">
        <f t="shared" si="29"/>
        <v>0</v>
      </c>
      <c r="G422" s="31">
        <f t="shared" si="30"/>
        <v>1.58</v>
      </c>
      <c r="Z422" s="4"/>
      <c r="AA422" s="4"/>
      <c r="AB422" s="6"/>
    </row>
    <row r="423" spans="1:28">
      <c r="A423" s="38"/>
      <c r="B423" s="20"/>
      <c r="C423" s="20"/>
      <c r="D423" s="20"/>
      <c r="E423" s="32">
        <f t="shared" si="28"/>
        <v>0</v>
      </c>
      <c r="F423" s="33">
        <f t="shared" si="29"/>
        <v>0</v>
      </c>
      <c r="G423" s="31">
        <f t="shared" si="30"/>
        <v>1.58</v>
      </c>
      <c r="Z423" s="4"/>
      <c r="AA423" s="4"/>
      <c r="AB423" s="6"/>
    </row>
    <row r="424" spans="1:28">
      <c r="A424" s="38"/>
      <c r="B424" s="20"/>
      <c r="C424" s="20"/>
      <c r="D424" s="20"/>
      <c r="E424" s="32">
        <f t="shared" si="28"/>
        <v>0</v>
      </c>
      <c r="F424" s="33">
        <f t="shared" si="29"/>
        <v>0</v>
      </c>
      <c r="G424" s="31">
        <f t="shared" si="30"/>
        <v>1.58</v>
      </c>
      <c r="Z424" s="4"/>
      <c r="AA424" s="4"/>
      <c r="AB424" s="6"/>
    </row>
    <row r="425" spans="1:28">
      <c r="A425" s="38"/>
      <c r="B425" s="20"/>
      <c r="C425" s="20"/>
      <c r="D425" s="20"/>
      <c r="E425" s="32">
        <f t="shared" si="28"/>
        <v>0</v>
      </c>
      <c r="F425" s="33">
        <f t="shared" si="29"/>
        <v>0</v>
      </c>
      <c r="G425" s="31">
        <f t="shared" si="30"/>
        <v>1.58</v>
      </c>
      <c r="Z425" s="4"/>
      <c r="AA425" s="4"/>
      <c r="AB425" s="6"/>
    </row>
    <row r="426" spans="1:28">
      <c r="A426" s="38"/>
      <c r="B426" s="20"/>
      <c r="C426" s="20"/>
      <c r="D426" s="20"/>
      <c r="E426" s="32">
        <f t="shared" si="28"/>
        <v>0</v>
      </c>
      <c r="F426" s="33">
        <f t="shared" si="29"/>
        <v>0</v>
      </c>
      <c r="G426" s="31">
        <f t="shared" si="30"/>
        <v>1.58</v>
      </c>
      <c r="Z426" s="4"/>
      <c r="AA426" s="4"/>
      <c r="AB426" s="6"/>
    </row>
    <row r="427" spans="1:28">
      <c r="A427" s="38"/>
      <c r="B427" s="20"/>
      <c r="C427" s="20"/>
      <c r="D427" s="20"/>
      <c r="E427" s="32">
        <f t="shared" si="28"/>
        <v>0</v>
      </c>
      <c r="F427" s="33">
        <f t="shared" si="29"/>
        <v>0</v>
      </c>
      <c r="G427" s="31">
        <f t="shared" si="30"/>
        <v>1.58</v>
      </c>
      <c r="Z427" s="4"/>
      <c r="AA427" s="4"/>
      <c r="AB427" s="6"/>
    </row>
    <row r="428" spans="1:28">
      <c r="A428" s="38"/>
      <c r="B428" s="20"/>
      <c r="C428" s="20"/>
      <c r="D428" s="20"/>
      <c r="E428" s="32">
        <f t="shared" si="28"/>
        <v>0</v>
      </c>
      <c r="F428" s="33">
        <f t="shared" si="29"/>
        <v>0</v>
      </c>
      <c r="G428" s="31">
        <f t="shared" si="30"/>
        <v>1.58</v>
      </c>
      <c r="Z428" s="4"/>
      <c r="AA428" s="4"/>
      <c r="AB428" s="6"/>
    </row>
    <row r="429" spans="1:28">
      <c r="A429" s="38"/>
      <c r="B429" s="20"/>
      <c r="C429" s="20"/>
      <c r="D429" s="20"/>
      <c r="E429" s="32">
        <f t="shared" si="28"/>
        <v>0</v>
      </c>
      <c r="F429" s="33">
        <f t="shared" si="29"/>
        <v>0</v>
      </c>
      <c r="G429" s="31">
        <f t="shared" si="30"/>
        <v>1.58</v>
      </c>
      <c r="Z429" s="4"/>
      <c r="AA429" s="4"/>
      <c r="AB429" s="6"/>
    </row>
    <row r="430" spans="1:28">
      <c r="A430" s="38"/>
      <c r="B430" s="20"/>
      <c r="C430" s="20"/>
      <c r="D430" s="20"/>
      <c r="E430" s="32">
        <f t="shared" si="28"/>
        <v>0</v>
      </c>
      <c r="F430" s="33">
        <f t="shared" si="29"/>
        <v>0</v>
      </c>
      <c r="G430" s="31">
        <f t="shared" si="30"/>
        <v>1.58</v>
      </c>
      <c r="Z430" s="4"/>
      <c r="AA430" s="4"/>
      <c r="AB430" s="6"/>
    </row>
    <row r="431" spans="1:28">
      <c r="A431" s="38"/>
      <c r="B431" s="20"/>
      <c r="C431" s="20"/>
      <c r="D431" s="20"/>
      <c r="E431" s="32">
        <f t="shared" si="28"/>
        <v>0</v>
      </c>
      <c r="F431" s="33">
        <f t="shared" si="29"/>
        <v>0</v>
      </c>
      <c r="G431" s="31">
        <f t="shared" si="30"/>
        <v>1.58</v>
      </c>
      <c r="Z431" s="4"/>
      <c r="AA431" s="4"/>
      <c r="AB431" s="6"/>
    </row>
    <row r="432" spans="1:28">
      <c r="A432" s="38"/>
      <c r="B432" s="20"/>
      <c r="C432" s="20"/>
      <c r="D432" s="20"/>
      <c r="E432" s="32">
        <f t="shared" si="28"/>
        <v>0</v>
      </c>
      <c r="F432" s="33">
        <f t="shared" si="29"/>
        <v>0</v>
      </c>
      <c r="G432" s="31">
        <f t="shared" si="30"/>
        <v>1.58</v>
      </c>
      <c r="Z432" s="4"/>
      <c r="AA432" s="4"/>
      <c r="AB432" s="6"/>
    </row>
    <row r="433" spans="1:28">
      <c r="A433" s="38"/>
      <c r="B433" s="20"/>
      <c r="C433" s="20"/>
      <c r="D433" s="20"/>
      <c r="E433" s="32">
        <f t="shared" ref="E433:E496" si="31">C433*$I$10/($I$10*(1-C433))</f>
        <v>0</v>
      </c>
      <c r="F433" s="33">
        <f t="shared" ref="F433:F496" si="32">(D433*$I$10/($I$10*(1-D433)))</f>
        <v>0</v>
      </c>
      <c r="G433" s="31">
        <f t="shared" si="30"/>
        <v>1.58</v>
      </c>
      <c r="Z433" s="4"/>
      <c r="AA433" s="4"/>
      <c r="AB433" s="6"/>
    </row>
    <row r="434" spans="1:28">
      <c r="A434" s="38"/>
      <c r="B434" s="20"/>
      <c r="C434" s="20"/>
      <c r="D434" s="20"/>
      <c r="E434" s="32">
        <f t="shared" si="31"/>
        <v>0</v>
      </c>
      <c r="F434" s="33">
        <f t="shared" si="32"/>
        <v>0</v>
      </c>
      <c r="G434" s="31">
        <f t="shared" si="30"/>
        <v>1.58</v>
      </c>
      <c r="Z434" s="4"/>
      <c r="AA434" s="4"/>
      <c r="AB434" s="6"/>
    </row>
    <row r="435" spans="1:28">
      <c r="A435" s="38"/>
      <c r="B435" s="20"/>
      <c r="C435" s="20"/>
      <c r="D435" s="20"/>
      <c r="E435" s="32">
        <f t="shared" si="31"/>
        <v>0</v>
      </c>
      <c r="F435" s="33">
        <f t="shared" si="32"/>
        <v>0</v>
      </c>
      <c r="G435" s="31">
        <f t="shared" si="30"/>
        <v>1.58</v>
      </c>
      <c r="Z435" s="4"/>
      <c r="AA435" s="4"/>
      <c r="AB435" s="6"/>
    </row>
    <row r="436" spans="1:28">
      <c r="A436" s="38"/>
      <c r="B436" s="20"/>
      <c r="C436" s="20"/>
      <c r="D436" s="20"/>
      <c r="E436" s="32">
        <f t="shared" si="31"/>
        <v>0</v>
      </c>
      <c r="F436" s="33">
        <f t="shared" si="32"/>
        <v>0</v>
      </c>
      <c r="G436" s="31">
        <f t="shared" si="30"/>
        <v>1.58</v>
      </c>
      <c r="Z436" s="4"/>
      <c r="AA436" s="4"/>
      <c r="AB436" s="6"/>
    </row>
    <row r="437" spans="1:28">
      <c r="A437" s="38"/>
      <c r="B437" s="20"/>
      <c r="C437" s="20"/>
      <c r="D437" s="20"/>
      <c r="E437" s="32">
        <f t="shared" si="31"/>
        <v>0</v>
      </c>
      <c r="F437" s="33">
        <f t="shared" si="32"/>
        <v>0</v>
      </c>
      <c r="G437" s="31">
        <f t="shared" si="30"/>
        <v>1.58</v>
      </c>
      <c r="Z437" s="4"/>
      <c r="AA437" s="4"/>
      <c r="AB437" s="6"/>
    </row>
    <row r="438" spans="1:28">
      <c r="A438" s="38"/>
      <c r="B438" s="20"/>
      <c r="C438" s="20"/>
      <c r="D438" s="20"/>
      <c r="E438" s="32">
        <f t="shared" si="31"/>
        <v>0</v>
      </c>
      <c r="F438" s="33">
        <f t="shared" si="32"/>
        <v>0</v>
      </c>
      <c r="G438" s="31">
        <f t="shared" si="30"/>
        <v>1.58</v>
      </c>
      <c r="Z438" s="4"/>
      <c r="AA438" s="4"/>
      <c r="AB438" s="6"/>
    </row>
    <row r="439" spans="1:28">
      <c r="A439" s="38"/>
      <c r="B439" s="20"/>
      <c r="C439" s="20"/>
      <c r="D439" s="20"/>
      <c r="E439" s="32">
        <f t="shared" si="31"/>
        <v>0</v>
      </c>
      <c r="F439" s="33">
        <f t="shared" si="32"/>
        <v>0</v>
      </c>
      <c r="G439" s="31">
        <f t="shared" si="30"/>
        <v>1.58</v>
      </c>
      <c r="Z439" s="4"/>
      <c r="AA439" s="4"/>
      <c r="AB439" s="6"/>
    </row>
    <row r="440" spans="1:28">
      <c r="A440" s="38"/>
      <c r="B440" s="20"/>
      <c r="C440" s="20"/>
      <c r="D440" s="20"/>
      <c r="E440" s="32">
        <f t="shared" si="31"/>
        <v>0</v>
      </c>
      <c r="F440" s="33">
        <f t="shared" si="32"/>
        <v>0</v>
      </c>
      <c r="G440" s="31">
        <f t="shared" si="30"/>
        <v>1.58</v>
      </c>
      <c r="Z440" s="4"/>
      <c r="AA440" s="4"/>
      <c r="AB440" s="6"/>
    </row>
    <row r="441" spans="1:28">
      <c r="A441" s="38"/>
      <c r="B441" s="20"/>
      <c r="C441" s="20"/>
      <c r="D441" s="20"/>
      <c r="E441" s="32">
        <f t="shared" si="31"/>
        <v>0</v>
      </c>
      <c r="F441" s="33">
        <f t="shared" si="32"/>
        <v>0</v>
      </c>
      <c r="G441" s="31">
        <f t="shared" si="30"/>
        <v>1.58</v>
      </c>
      <c r="Z441" s="4"/>
      <c r="AA441" s="4"/>
      <c r="AB441" s="6"/>
    </row>
    <row r="442" spans="1:28">
      <c r="A442" s="38"/>
      <c r="B442" s="20"/>
      <c r="C442" s="20"/>
      <c r="D442" s="20"/>
      <c r="E442" s="32">
        <f t="shared" si="31"/>
        <v>0</v>
      </c>
      <c r="F442" s="33">
        <f t="shared" si="32"/>
        <v>0</v>
      </c>
      <c r="G442" s="31">
        <f t="shared" si="30"/>
        <v>1.58</v>
      </c>
      <c r="Z442" s="4"/>
      <c r="AA442" s="4"/>
      <c r="AB442" s="6"/>
    </row>
    <row r="443" spans="1:28">
      <c r="A443" s="38"/>
      <c r="B443" s="20"/>
      <c r="C443" s="20"/>
      <c r="D443" s="20"/>
      <c r="E443" s="32">
        <f t="shared" si="31"/>
        <v>0</v>
      </c>
      <c r="F443" s="33">
        <f t="shared" si="32"/>
        <v>0</v>
      </c>
      <c r="G443" s="31">
        <f t="shared" si="30"/>
        <v>1.58</v>
      </c>
      <c r="Z443" s="4"/>
      <c r="AA443" s="4"/>
      <c r="AB443" s="6"/>
    </row>
    <row r="444" spans="1:28">
      <c r="A444" s="38"/>
      <c r="B444" s="20"/>
      <c r="C444" s="20"/>
      <c r="D444" s="20"/>
      <c r="E444" s="32">
        <f t="shared" si="31"/>
        <v>0</v>
      </c>
      <c r="F444" s="33">
        <f t="shared" si="32"/>
        <v>0</v>
      </c>
      <c r="G444" s="31">
        <f t="shared" si="30"/>
        <v>1.58</v>
      </c>
      <c r="Z444" s="4"/>
      <c r="AA444" s="4"/>
      <c r="AB444" s="6"/>
    </row>
    <row r="445" spans="1:28">
      <c r="A445" s="38"/>
      <c r="B445" s="20"/>
      <c r="C445" s="20"/>
      <c r="D445" s="20"/>
      <c r="E445" s="32">
        <f t="shared" si="31"/>
        <v>0</v>
      </c>
      <c r="F445" s="33">
        <f t="shared" si="32"/>
        <v>0</v>
      </c>
      <c r="G445" s="31">
        <f t="shared" si="30"/>
        <v>1.58</v>
      </c>
      <c r="Z445" s="4"/>
      <c r="AA445" s="4"/>
      <c r="AB445" s="6"/>
    </row>
    <row r="446" spans="1:28">
      <c r="A446" s="38"/>
      <c r="B446" s="20"/>
      <c r="C446" s="20"/>
      <c r="D446" s="20"/>
      <c r="E446" s="32">
        <f t="shared" si="31"/>
        <v>0</v>
      </c>
      <c r="F446" s="33">
        <f t="shared" si="32"/>
        <v>0</v>
      </c>
      <c r="G446" s="31">
        <f t="shared" si="30"/>
        <v>1.58</v>
      </c>
      <c r="Z446" s="4"/>
      <c r="AA446" s="4"/>
      <c r="AB446" s="6"/>
    </row>
    <row r="447" spans="1:28">
      <c r="A447" s="38"/>
      <c r="B447" s="20"/>
      <c r="C447" s="20"/>
      <c r="D447" s="20"/>
      <c r="E447" s="32">
        <f t="shared" si="31"/>
        <v>0</v>
      </c>
      <c r="F447" s="33">
        <f t="shared" si="32"/>
        <v>0</v>
      </c>
      <c r="G447" s="31">
        <f t="shared" si="30"/>
        <v>1.58</v>
      </c>
      <c r="Z447" s="4"/>
      <c r="AA447" s="4"/>
      <c r="AB447" s="6"/>
    </row>
    <row r="448" spans="1:28">
      <c r="A448" s="38"/>
      <c r="B448" s="20"/>
      <c r="C448" s="20"/>
      <c r="D448" s="20"/>
      <c r="E448" s="32">
        <f t="shared" si="31"/>
        <v>0</v>
      </c>
      <c r="F448" s="33">
        <f t="shared" si="32"/>
        <v>0</v>
      </c>
      <c r="G448" s="31">
        <f t="shared" si="30"/>
        <v>1.58</v>
      </c>
      <c r="Z448" s="4"/>
      <c r="AA448" s="4"/>
      <c r="AB448" s="6"/>
    </row>
    <row r="449" spans="1:28">
      <c r="A449" s="38"/>
      <c r="B449" s="20"/>
      <c r="C449" s="20"/>
      <c r="D449" s="20"/>
      <c r="E449" s="32">
        <f t="shared" si="31"/>
        <v>0</v>
      </c>
      <c r="F449" s="33">
        <f t="shared" si="32"/>
        <v>0</v>
      </c>
      <c r="G449" s="31">
        <f t="shared" si="30"/>
        <v>1.58</v>
      </c>
      <c r="Z449" s="4"/>
      <c r="AA449" s="4"/>
      <c r="AB449" s="6"/>
    </row>
    <row r="450" spans="1:28">
      <c r="A450" s="38"/>
      <c r="B450" s="20"/>
      <c r="C450" s="20"/>
      <c r="D450" s="20"/>
      <c r="E450" s="32">
        <f t="shared" si="31"/>
        <v>0</v>
      </c>
      <c r="F450" s="33">
        <f t="shared" si="32"/>
        <v>0</v>
      </c>
      <c r="G450" s="31">
        <f t="shared" si="30"/>
        <v>1.58</v>
      </c>
      <c r="Z450" s="4"/>
      <c r="AA450" s="4"/>
      <c r="AB450" s="6"/>
    </row>
    <row r="451" spans="1:28">
      <c r="A451" s="38"/>
      <c r="B451" s="20"/>
      <c r="C451" s="20"/>
      <c r="D451" s="20"/>
      <c r="E451" s="32">
        <f t="shared" si="31"/>
        <v>0</v>
      </c>
      <c r="F451" s="33">
        <f t="shared" si="32"/>
        <v>0</v>
      </c>
      <c r="G451" s="31">
        <f t="shared" ref="G451:G501" si="33">($I$7+$I$8*A451)-(F451/(1+F451))*(($I$7+$I$8*A451)-($I$5+$I$6*A451))</f>
        <v>1.58</v>
      </c>
      <c r="Z451" s="4"/>
      <c r="AA451" s="4"/>
      <c r="AB451" s="6"/>
    </row>
    <row r="452" spans="1:28">
      <c r="A452" s="38"/>
      <c r="B452" s="20"/>
      <c r="C452" s="20"/>
      <c r="D452" s="20"/>
      <c r="E452" s="32">
        <f t="shared" si="31"/>
        <v>0</v>
      </c>
      <c r="F452" s="33">
        <f t="shared" si="32"/>
        <v>0</v>
      </c>
      <c r="G452" s="31">
        <f t="shared" si="33"/>
        <v>1.58</v>
      </c>
      <c r="Z452" s="4"/>
      <c r="AA452" s="4"/>
      <c r="AB452" s="6"/>
    </row>
    <row r="453" spans="1:28">
      <c r="A453" s="38"/>
      <c r="B453" s="20"/>
      <c r="C453" s="20"/>
      <c r="D453" s="20"/>
      <c r="E453" s="32">
        <f t="shared" si="31"/>
        <v>0</v>
      </c>
      <c r="F453" s="33">
        <f t="shared" si="32"/>
        <v>0</v>
      </c>
      <c r="G453" s="31">
        <f t="shared" si="33"/>
        <v>1.58</v>
      </c>
      <c r="Z453" s="4"/>
      <c r="AA453" s="4"/>
      <c r="AB453" s="6"/>
    </row>
    <row r="454" spans="1:28">
      <c r="A454" s="38"/>
      <c r="B454" s="20"/>
      <c r="C454" s="20"/>
      <c r="D454" s="20"/>
      <c r="E454" s="32">
        <f t="shared" si="31"/>
        <v>0</v>
      </c>
      <c r="F454" s="33">
        <f t="shared" si="32"/>
        <v>0</v>
      </c>
      <c r="G454" s="31">
        <f t="shared" si="33"/>
        <v>1.58</v>
      </c>
      <c r="Z454" s="4"/>
      <c r="AA454" s="4"/>
      <c r="AB454" s="6"/>
    </row>
    <row r="455" spans="1:28">
      <c r="A455" s="38"/>
      <c r="B455" s="20"/>
      <c r="C455" s="20"/>
      <c r="D455" s="20"/>
      <c r="E455" s="32">
        <f t="shared" si="31"/>
        <v>0</v>
      </c>
      <c r="F455" s="33">
        <f t="shared" si="32"/>
        <v>0</v>
      </c>
      <c r="G455" s="31">
        <f t="shared" si="33"/>
        <v>1.58</v>
      </c>
      <c r="Z455" s="4"/>
      <c r="AA455" s="4"/>
      <c r="AB455" s="6"/>
    </row>
    <row r="456" spans="1:28">
      <c r="A456" s="38"/>
      <c r="B456" s="20"/>
      <c r="C456" s="20"/>
      <c r="D456" s="20"/>
      <c r="E456" s="32">
        <f t="shared" si="31"/>
        <v>0</v>
      </c>
      <c r="F456" s="33">
        <f t="shared" si="32"/>
        <v>0</v>
      </c>
      <c r="G456" s="31">
        <f t="shared" si="33"/>
        <v>1.58</v>
      </c>
      <c r="Z456" s="4"/>
      <c r="AA456" s="4"/>
      <c r="AB456" s="6"/>
    </row>
    <row r="457" spans="1:28">
      <c r="A457" s="38"/>
      <c r="B457" s="20"/>
      <c r="C457" s="20"/>
      <c r="D457" s="20"/>
      <c r="E457" s="32">
        <f t="shared" si="31"/>
        <v>0</v>
      </c>
      <c r="F457" s="33">
        <f t="shared" si="32"/>
        <v>0</v>
      </c>
      <c r="G457" s="31">
        <f t="shared" si="33"/>
        <v>1.58</v>
      </c>
      <c r="Z457" s="4"/>
      <c r="AA457" s="4"/>
      <c r="AB457" s="6"/>
    </row>
    <row r="458" spans="1:28">
      <c r="A458" s="38"/>
      <c r="B458" s="20"/>
      <c r="C458" s="20"/>
      <c r="D458" s="20"/>
      <c r="E458" s="32">
        <f t="shared" si="31"/>
        <v>0</v>
      </c>
      <c r="F458" s="33">
        <f t="shared" si="32"/>
        <v>0</v>
      </c>
      <c r="G458" s="31">
        <f t="shared" si="33"/>
        <v>1.58</v>
      </c>
      <c r="Z458" s="4"/>
      <c r="AA458" s="4"/>
      <c r="AB458" s="6"/>
    </row>
    <row r="459" spans="1:28">
      <c r="A459" s="38"/>
      <c r="B459" s="20"/>
      <c r="C459" s="20"/>
      <c r="D459" s="20"/>
      <c r="E459" s="32">
        <f t="shared" si="31"/>
        <v>0</v>
      </c>
      <c r="F459" s="33">
        <f t="shared" si="32"/>
        <v>0</v>
      </c>
      <c r="G459" s="31">
        <f t="shared" si="33"/>
        <v>1.58</v>
      </c>
      <c r="Z459" s="4"/>
      <c r="AA459" s="4"/>
      <c r="AB459" s="6"/>
    </row>
    <row r="460" spans="1:28">
      <c r="A460" s="38"/>
      <c r="B460" s="20"/>
      <c r="C460" s="20"/>
      <c r="D460" s="20"/>
      <c r="E460" s="32">
        <f t="shared" si="31"/>
        <v>0</v>
      </c>
      <c r="F460" s="33">
        <f t="shared" si="32"/>
        <v>0</v>
      </c>
      <c r="G460" s="31">
        <f t="shared" si="33"/>
        <v>1.58</v>
      </c>
      <c r="Z460" s="4"/>
      <c r="AA460" s="4"/>
      <c r="AB460" s="6"/>
    </row>
    <row r="461" spans="1:28">
      <c r="A461" s="38"/>
      <c r="B461" s="20"/>
      <c r="C461" s="20"/>
      <c r="D461" s="20"/>
      <c r="E461" s="32">
        <f t="shared" si="31"/>
        <v>0</v>
      </c>
      <c r="F461" s="33">
        <f t="shared" si="32"/>
        <v>0</v>
      </c>
      <c r="G461" s="31">
        <f t="shared" si="33"/>
        <v>1.58</v>
      </c>
      <c r="Z461" s="4"/>
      <c r="AA461" s="4"/>
      <c r="AB461" s="6"/>
    </row>
    <row r="462" spans="1:28">
      <c r="A462" s="38"/>
      <c r="B462" s="20"/>
      <c r="C462" s="20"/>
      <c r="D462" s="20"/>
      <c r="E462" s="32">
        <f t="shared" si="31"/>
        <v>0</v>
      </c>
      <c r="F462" s="33">
        <f t="shared" si="32"/>
        <v>0</v>
      </c>
      <c r="G462" s="31">
        <f t="shared" si="33"/>
        <v>1.58</v>
      </c>
      <c r="Z462" s="4"/>
      <c r="AA462" s="4"/>
      <c r="AB462" s="6"/>
    </row>
    <row r="463" spans="1:28">
      <c r="A463" s="38"/>
      <c r="B463" s="20"/>
      <c r="C463" s="20"/>
      <c r="D463" s="20"/>
      <c r="E463" s="32">
        <f t="shared" si="31"/>
        <v>0</v>
      </c>
      <c r="F463" s="33">
        <f t="shared" si="32"/>
        <v>0</v>
      </c>
      <c r="G463" s="31">
        <f t="shared" si="33"/>
        <v>1.58</v>
      </c>
      <c r="Z463" s="4"/>
      <c r="AA463" s="4"/>
      <c r="AB463" s="6"/>
    </row>
    <row r="464" spans="1:28">
      <c r="A464" s="38"/>
      <c r="B464" s="20"/>
      <c r="C464" s="20"/>
      <c r="D464" s="20"/>
      <c r="E464" s="32">
        <f t="shared" si="31"/>
        <v>0</v>
      </c>
      <c r="F464" s="33">
        <f t="shared" si="32"/>
        <v>0</v>
      </c>
      <c r="G464" s="31">
        <f t="shared" si="33"/>
        <v>1.58</v>
      </c>
      <c r="Z464" s="4"/>
      <c r="AA464" s="4"/>
      <c r="AB464" s="6"/>
    </row>
    <row r="465" spans="1:28">
      <c r="A465" s="38"/>
      <c r="B465" s="20"/>
      <c r="C465" s="20"/>
      <c r="D465" s="20"/>
      <c r="E465" s="32">
        <f t="shared" si="31"/>
        <v>0</v>
      </c>
      <c r="F465" s="33">
        <f t="shared" si="32"/>
        <v>0</v>
      </c>
      <c r="G465" s="31">
        <f t="shared" si="33"/>
        <v>1.58</v>
      </c>
      <c r="Z465" s="4"/>
      <c r="AA465" s="4"/>
      <c r="AB465" s="6"/>
    </row>
    <row r="466" spans="1:28">
      <c r="A466" s="38"/>
      <c r="B466" s="20"/>
      <c r="C466" s="20"/>
      <c r="D466" s="20"/>
      <c r="E466" s="32">
        <f t="shared" si="31"/>
        <v>0</v>
      </c>
      <c r="F466" s="33">
        <f t="shared" si="32"/>
        <v>0</v>
      </c>
      <c r="G466" s="31">
        <f t="shared" si="33"/>
        <v>1.58</v>
      </c>
      <c r="Z466" s="4"/>
      <c r="AA466" s="4"/>
      <c r="AB466" s="6"/>
    </row>
    <row r="467" spans="1:28">
      <c r="A467" s="38"/>
      <c r="B467" s="20"/>
      <c r="C467" s="20"/>
      <c r="D467" s="20"/>
      <c r="E467" s="32">
        <f t="shared" si="31"/>
        <v>0</v>
      </c>
      <c r="F467" s="33">
        <f t="shared" si="32"/>
        <v>0</v>
      </c>
      <c r="G467" s="31">
        <f t="shared" si="33"/>
        <v>1.58</v>
      </c>
      <c r="Z467" s="4"/>
      <c r="AA467" s="4"/>
      <c r="AB467" s="6"/>
    </row>
    <row r="468" spans="1:28">
      <c r="A468" s="38"/>
      <c r="B468" s="20"/>
      <c r="C468" s="20"/>
      <c r="D468" s="20"/>
      <c r="E468" s="32">
        <f t="shared" si="31"/>
        <v>0</v>
      </c>
      <c r="F468" s="33">
        <f t="shared" si="32"/>
        <v>0</v>
      </c>
      <c r="G468" s="31">
        <f t="shared" si="33"/>
        <v>1.58</v>
      </c>
      <c r="Z468" s="4"/>
      <c r="AA468" s="4"/>
      <c r="AB468" s="6"/>
    </row>
    <row r="469" spans="1:28">
      <c r="A469" s="38"/>
      <c r="B469" s="20"/>
      <c r="C469" s="20"/>
      <c r="D469" s="20"/>
      <c r="E469" s="32">
        <f t="shared" si="31"/>
        <v>0</v>
      </c>
      <c r="F469" s="33">
        <f t="shared" si="32"/>
        <v>0</v>
      </c>
      <c r="G469" s="31">
        <f t="shared" si="33"/>
        <v>1.58</v>
      </c>
      <c r="Z469" s="4"/>
      <c r="AA469" s="4"/>
      <c r="AB469" s="6"/>
    </row>
    <row r="470" spans="1:28">
      <c r="A470" s="38"/>
      <c r="B470" s="20"/>
      <c r="C470" s="20"/>
      <c r="D470" s="20"/>
      <c r="E470" s="32">
        <f t="shared" si="31"/>
        <v>0</v>
      </c>
      <c r="F470" s="33">
        <f t="shared" si="32"/>
        <v>0</v>
      </c>
      <c r="G470" s="31">
        <f t="shared" si="33"/>
        <v>1.58</v>
      </c>
      <c r="Z470" s="4"/>
      <c r="AA470" s="4"/>
      <c r="AB470" s="6"/>
    </row>
    <row r="471" spans="1:28">
      <c r="A471" s="38"/>
      <c r="B471" s="20"/>
      <c r="C471" s="20"/>
      <c r="D471" s="20"/>
      <c r="E471" s="32">
        <f t="shared" si="31"/>
        <v>0</v>
      </c>
      <c r="F471" s="33">
        <f t="shared" si="32"/>
        <v>0</v>
      </c>
      <c r="G471" s="31">
        <f t="shared" si="33"/>
        <v>1.58</v>
      </c>
      <c r="Z471" s="4"/>
      <c r="AA471" s="4"/>
      <c r="AB471" s="6"/>
    </row>
    <row r="472" spans="1:28">
      <c r="A472" s="38"/>
      <c r="B472" s="20"/>
      <c r="C472" s="20"/>
      <c r="D472" s="20"/>
      <c r="E472" s="32">
        <f t="shared" si="31"/>
        <v>0</v>
      </c>
      <c r="F472" s="33">
        <f t="shared" si="32"/>
        <v>0</v>
      </c>
      <c r="G472" s="31">
        <f t="shared" si="33"/>
        <v>1.58</v>
      </c>
      <c r="Z472" s="4"/>
      <c r="AA472" s="4"/>
      <c r="AB472" s="6"/>
    </row>
    <row r="473" spans="1:28">
      <c r="A473" s="38"/>
      <c r="B473" s="20"/>
      <c r="C473" s="20"/>
      <c r="D473" s="20"/>
      <c r="E473" s="32">
        <f t="shared" si="31"/>
        <v>0</v>
      </c>
      <c r="F473" s="33">
        <f t="shared" si="32"/>
        <v>0</v>
      </c>
      <c r="G473" s="31">
        <f t="shared" si="33"/>
        <v>1.58</v>
      </c>
      <c r="Z473" s="4"/>
      <c r="AA473" s="4"/>
      <c r="AB473" s="6"/>
    </row>
    <row r="474" spans="1:28">
      <c r="A474" s="38"/>
      <c r="B474" s="20"/>
      <c r="C474" s="20"/>
      <c r="D474" s="20"/>
      <c r="E474" s="32">
        <f t="shared" si="31"/>
        <v>0</v>
      </c>
      <c r="F474" s="33">
        <f t="shared" si="32"/>
        <v>0</v>
      </c>
      <c r="G474" s="31">
        <f t="shared" si="33"/>
        <v>1.58</v>
      </c>
      <c r="Z474" s="4"/>
      <c r="AA474" s="4"/>
      <c r="AB474" s="6"/>
    </row>
    <row r="475" spans="1:28">
      <c r="A475" s="38"/>
      <c r="B475" s="20"/>
      <c r="C475" s="20"/>
      <c r="D475" s="20"/>
      <c r="E475" s="32">
        <f t="shared" si="31"/>
        <v>0</v>
      </c>
      <c r="F475" s="33">
        <f t="shared" si="32"/>
        <v>0</v>
      </c>
      <c r="G475" s="31">
        <f t="shared" si="33"/>
        <v>1.58</v>
      </c>
      <c r="Z475" s="4"/>
      <c r="AA475" s="4"/>
      <c r="AB475" s="6"/>
    </row>
    <row r="476" spans="1:28">
      <c r="A476" s="38"/>
      <c r="B476" s="20"/>
      <c r="C476" s="20"/>
      <c r="D476" s="20"/>
      <c r="E476" s="32">
        <f t="shared" si="31"/>
        <v>0</v>
      </c>
      <c r="F476" s="33">
        <f t="shared" si="32"/>
        <v>0</v>
      </c>
      <c r="G476" s="31">
        <f t="shared" si="33"/>
        <v>1.58</v>
      </c>
      <c r="Z476" s="4"/>
      <c r="AA476" s="4"/>
      <c r="AB476" s="6"/>
    </row>
    <row r="477" spans="1:28">
      <c r="A477" s="38"/>
      <c r="B477" s="20"/>
      <c r="C477" s="20"/>
      <c r="D477" s="20"/>
      <c r="E477" s="32">
        <f t="shared" si="31"/>
        <v>0</v>
      </c>
      <c r="F477" s="33">
        <f t="shared" si="32"/>
        <v>0</v>
      </c>
      <c r="G477" s="31">
        <f t="shared" si="33"/>
        <v>1.58</v>
      </c>
      <c r="Z477" s="4"/>
      <c r="AA477" s="4"/>
      <c r="AB477" s="6"/>
    </row>
    <row r="478" spans="1:28">
      <c r="A478" s="38"/>
      <c r="B478" s="20"/>
      <c r="C478" s="20"/>
      <c r="D478" s="20"/>
      <c r="E478" s="32">
        <f t="shared" si="31"/>
        <v>0</v>
      </c>
      <c r="F478" s="33">
        <f t="shared" si="32"/>
        <v>0</v>
      </c>
      <c r="G478" s="31">
        <f t="shared" si="33"/>
        <v>1.58</v>
      </c>
      <c r="Z478" s="4"/>
      <c r="AA478" s="4"/>
      <c r="AB478" s="6"/>
    </row>
    <row r="479" spans="1:28">
      <c r="A479" s="38"/>
      <c r="B479" s="20"/>
      <c r="C479" s="20"/>
      <c r="D479" s="20"/>
      <c r="E479" s="32">
        <f t="shared" si="31"/>
        <v>0</v>
      </c>
      <c r="F479" s="33">
        <f t="shared" si="32"/>
        <v>0</v>
      </c>
      <c r="G479" s="31">
        <f t="shared" si="33"/>
        <v>1.58</v>
      </c>
      <c r="Z479" s="4"/>
      <c r="AA479" s="4"/>
      <c r="AB479" s="6"/>
    </row>
    <row r="480" spans="1:28">
      <c r="A480" s="38"/>
      <c r="B480" s="20"/>
      <c r="C480" s="20"/>
      <c r="D480" s="20"/>
      <c r="E480" s="32">
        <f t="shared" si="31"/>
        <v>0</v>
      </c>
      <c r="F480" s="33">
        <f t="shared" si="32"/>
        <v>0</v>
      </c>
      <c r="G480" s="31">
        <f t="shared" si="33"/>
        <v>1.58</v>
      </c>
      <c r="Z480" s="4"/>
      <c r="AA480" s="4"/>
      <c r="AB480" s="6"/>
    </row>
    <row r="481" spans="1:28">
      <c r="A481" s="38"/>
      <c r="B481" s="20"/>
      <c r="C481" s="20"/>
      <c r="D481" s="20"/>
      <c r="E481" s="32">
        <f t="shared" si="31"/>
        <v>0</v>
      </c>
      <c r="F481" s="33">
        <f t="shared" si="32"/>
        <v>0</v>
      </c>
      <c r="G481" s="31">
        <f t="shared" si="33"/>
        <v>1.58</v>
      </c>
      <c r="Z481" s="4"/>
      <c r="AA481" s="4"/>
      <c r="AB481" s="6"/>
    </row>
    <row r="482" spans="1:28">
      <c r="A482" s="38"/>
      <c r="B482" s="20"/>
      <c r="C482" s="20"/>
      <c r="D482" s="20"/>
      <c r="E482" s="32">
        <f t="shared" si="31"/>
        <v>0</v>
      </c>
      <c r="F482" s="33">
        <f t="shared" si="32"/>
        <v>0</v>
      </c>
      <c r="G482" s="31">
        <f t="shared" si="33"/>
        <v>1.58</v>
      </c>
      <c r="Z482" s="4"/>
      <c r="AA482" s="4"/>
      <c r="AB482" s="6"/>
    </row>
    <row r="483" spans="1:28">
      <c r="A483" s="38"/>
      <c r="B483" s="20"/>
      <c r="C483" s="20"/>
      <c r="D483" s="20"/>
      <c r="E483" s="32">
        <f t="shared" si="31"/>
        <v>0</v>
      </c>
      <c r="F483" s="33">
        <f t="shared" si="32"/>
        <v>0</v>
      </c>
      <c r="G483" s="31">
        <f t="shared" si="33"/>
        <v>1.58</v>
      </c>
      <c r="Z483" s="4"/>
      <c r="AA483" s="4"/>
      <c r="AB483" s="6"/>
    </row>
    <row r="484" spans="1:28">
      <c r="A484" s="38"/>
      <c r="B484" s="20"/>
      <c r="C484" s="20"/>
      <c r="D484" s="20"/>
      <c r="E484" s="32">
        <f t="shared" si="31"/>
        <v>0</v>
      </c>
      <c r="F484" s="33">
        <f t="shared" si="32"/>
        <v>0</v>
      </c>
      <c r="G484" s="31">
        <f t="shared" si="33"/>
        <v>1.58</v>
      </c>
      <c r="Z484" s="4"/>
      <c r="AA484" s="4"/>
      <c r="AB484" s="6"/>
    </row>
    <row r="485" spans="1:28">
      <c r="A485" s="38"/>
      <c r="B485" s="20"/>
      <c r="C485" s="20"/>
      <c r="D485" s="20"/>
      <c r="E485" s="32">
        <f t="shared" si="31"/>
        <v>0</v>
      </c>
      <c r="F485" s="33">
        <f t="shared" si="32"/>
        <v>0</v>
      </c>
      <c r="G485" s="31">
        <f t="shared" si="33"/>
        <v>1.58</v>
      </c>
      <c r="Z485" s="4"/>
      <c r="AA485" s="4"/>
      <c r="AB485" s="6"/>
    </row>
    <row r="486" spans="1:28">
      <c r="A486" s="38"/>
      <c r="B486" s="20"/>
      <c r="C486" s="20"/>
      <c r="D486" s="20"/>
      <c r="E486" s="32">
        <f t="shared" si="31"/>
        <v>0</v>
      </c>
      <c r="F486" s="33">
        <f t="shared" si="32"/>
        <v>0</v>
      </c>
      <c r="G486" s="31">
        <f t="shared" si="33"/>
        <v>1.58</v>
      </c>
      <c r="Z486" s="4"/>
      <c r="AA486" s="4"/>
      <c r="AB486" s="6"/>
    </row>
    <row r="487" spans="1:28">
      <c r="A487" s="38"/>
      <c r="B487" s="20"/>
      <c r="C487" s="20"/>
      <c r="D487" s="20"/>
      <c r="E487" s="32">
        <f t="shared" si="31"/>
        <v>0</v>
      </c>
      <c r="F487" s="33">
        <f t="shared" si="32"/>
        <v>0</v>
      </c>
      <c r="G487" s="31">
        <f t="shared" si="33"/>
        <v>1.58</v>
      </c>
      <c r="Z487" s="4"/>
      <c r="AA487" s="4"/>
      <c r="AB487" s="6"/>
    </row>
    <row r="488" spans="1:28">
      <c r="A488" s="38"/>
      <c r="B488" s="20"/>
      <c r="C488" s="20"/>
      <c r="D488" s="20"/>
      <c r="E488" s="32">
        <f t="shared" si="31"/>
        <v>0</v>
      </c>
      <c r="F488" s="33">
        <f t="shared" si="32"/>
        <v>0</v>
      </c>
      <c r="G488" s="31">
        <f t="shared" si="33"/>
        <v>1.58</v>
      </c>
      <c r="Z488" s="4"/>
      <c r="AA488" s="4"/>
      <c r="AB488" s="6"/>
    </row>
    <row r="489" spans="1:28">
      <c r="A489" s="38"/>
      <c r="B489" s="20"/>
      <c r="C489" s="20"/>
      <c r="D489" s="20"/>
      <c r="E489" s="32">
        <f t="shared" si="31"/>
        <v>0</v>
      </c>
      <c r="F489" s="33">
        <f t="shared" si="32"/>
        <v>0</v>
      </c>
      <c r="G489" s="31">
        <f t="shared" si="33"/>
        <v>1.58</v>
      </c>
      <c r="Z489" s="4"/>
      <c r="AA489" s="4"/>
      <c r="AB489" s="6"/>
    </row>
    <row r="490" spans="1:28">
      <c r="A490" s="38"/>
      <c r="B490" s="20"/>
      <c r="C490" s="20"/>
      <c r="D490" s="20"/>
      <c r="E490" s="32">
        <f t="shared" si="31"/>
        <v>0</v>
      </c>
      <c r="F490" s="33">
        <f t="shared" si="32"/>
        <v>0</v>
      </c>
      <c r="G490" s="31">
        <f t="shared" si="33"/>
        <v>1.58</v>
      </c>
      <c r="Z490" s="4"/>
      <c r="AA490" s="4"/>
      <c r="AB490" s="6"/>
    </row>
    <row r="491" spans="1:28">
      <c r="A491" s="38"/>
      <c r="B491" s="20"/>
      <c r="C491" s="20"/>
      <c r="D491" s="20"/>
      <c r="E491" s="32">
        <f t="shared" si="31"/>
        <v>0</v>
      </c>
      <c r="F491" s="33">
        <f t="shared" si="32"/>
        <v>0</v>
      </c>
      <c r="G491" s="31">
        <f t="shared" si="33"/>
        <v>1.58</v>
      </c>
      <c r="Z491" s="4"/>
      <c r="AA491" s="4"/>
      <c r="AB491" s="6"/>
    </row>
    <row r="492" spans="1:28">
      <c r="A492" s="38"/>
      <c r="B492" s="20"/>
      <c r="C492" s="20"/>
      <c r="D492" s="20"/>
      <c r="E492" s="32">
        <f t="shared" si="31"/>
        <v>0</v>
      </c>
      <c r="F492" s="33">
        <f t="shared" si="32"/>
        <v>0</v>
      </c>
      <c r="G492" s="31">
        <f t="shared" si="33"/>
        <v>1.58</v>
      </c>
      <c r="Z492" s="4"/>
      <c r="AA492" s="4"/>
      <c r="AB492" s="6"/>
    </row>
    <row r="493" spans="1:28">
      <c r="A493" s="38"/>
      <c r="B493" s="20"/>
      <c r="C493" s="20"/>
      <c r="D493" s="20"/>
      <c r="E493" s="32">
        <f t="shared" si="31"/>
        <v>0</v>
      </c>
      <c r="F493" s="33">
        <f t="shared" si="32"/>
        <v>0</v>
      </c>
      <c r="G493" s="31">
        <f t="shared" si="33"/>
        <v>1.58</v>
      </c>
      <c r="Z493" s="4"/>
      <c r="AA493" s="4"/>
      <c r="AB493" s="6"/>
    </row>
    <row r="494" spans="1:28">
      <c r="A494" s="38"/>
      <c r="B494" s="20"/>
      <c r="C494" s="20"/>
      <c r="D494" s="20"/>
      <c r="E494" s="32">
        <f t="shared" si="31"/>
        <v>0</v>
      </c>
      <c r="F494" s="33">
        <f t="shared" si="32"/>
        <v>0</v>
      </c>
      <c r="G494" s="31">
        <f t="shared" si="33"/>
        <v>1.58</v>
      </c>
      <c r="Z494" s="4"/>
      <c r="AA494" s="4"/>
      <c r="AB494" s="6"/>
    </row>
    <row r="495" spans="1:28">
      <c r="A495" s="38"/>
      <c r="B495" s="20"/>
      <c r="C495" s="20"/>
      <c r="D495" s="20"/>
      <c r="E495" s="32">
        <f t="shared" si="31"/>
        <v>0</v>
      </c>
      <c r="F495" s="33">
        <f t="shared" si="32"/>
        <v>0</v>
      </c>
      <c r="G495" s="31">
        <f t="shared" si="33"/>
        <v>1.58</v>
      </c>
      <c r="Z495" s="4"/>
      <c r="AA495" s="4"/>
      <c r="AB495" s="6"/>
    </row>
    <row r="496" spans="1:28">
      <c r="A496" s="38"/>
      <c r="B496" s="20"/>
      <c r="C496" s="20"/>
      <c r="D496" s="20"/>
      <c r="E496" s="32">
        <f t="shared" si="31"/>
        <v>0</v>
      </c>
      <c r="F496" s="33">
        <f t="shared" si="32"/>
        <v>0</v>
      </c>
      <c r="G496" s="31">
        <f t="shared" si="33"/>
        <v>1.58</v>
      </c>
      <c r="Z496" s="4"/>
      <c r="AA496" s="4"/>
      <c r="AB496" s="6"/>
    </row>
    <row r="497" spans="1:28">
      <c r="A497" s="38"/>
      <c r="B497" s="20"/>
      <c r="C497" s="20"/>
      <c r="D497" s="20"/>
      <c r="E497" s="32">
        <f t="shared" ref="E497:E501" si="34">C497*$I$10/($I$10*(1-C497))</f>
        <v>0</v>
      </c>
      <c r="F497" s="33">
        <f t="shared" ref="F497:F501" si="35">(D497*$I$10/($I$10*(1-D497)))</f>
        <v>0</v>
      </c>
      <c r="G497" s="31">
        <f t="shared" si="33"/>
        <v>1.58</v>
      </c>
      <c r="Z497" s="4"/>
      <c r="AA497" s="4"/>
      <c r="AB497" s="6"/>
    </row>
    <row r="498" spans="1:28">
      <c r="A498" s="38"/>
      <c r="B498" s="20"/>
      <c r="C498" s="20"/>
      <c r="D498" s="20"/>
      <c r="E498" s="32">
        <f t="shared" si="34"/>
        <v>0</v>
      </c>
      <c r="F498" s="33">
        <f t="shared" si="35"/>
        <v>0</v>
      </c>
      <c r="G498" s="31">
        <f t="shared" si="33"/>
        <v>1.58</v>
      </c>
      <c r="Z498" s="4"/>
      <c r="AA498" s="4"/>
      <c r="AB498" s="6"/>
    </row>
    <row r="499" spans="1:28">
      <c r="A499" s="38"/>
      <c r="B499" s="20"/>
      <c r="C499" s="20"/>
      <c r="D499" s="20"/>
      <c r="E499" s="32">
        <f t="shared" si="34"/>
        <v>0</v>
      </c>
      <c r="F499" s="33">
        <f t="shared" si="35"/>
        <v>0</v>
      </c>
      <c r="G499" s="31">
        <f t="shared" si="33"/>
        <v>1.58</v>
      </c>
      <c r="Z499" s="4"/>
      <c r="AA499" s="4"/>
      <c r="AB499" s="6"/>
    </row>
    <row r="500" spans="1:28">
      <c r="A500" s="38"/>
      <c r="B500" s="20"/>
      <c r="C500" s="20"/>
      <c r="D500" s="20"/>
      <c r="E500" s="32">
        <f t="shared" si="34"/>
        <v>0</v>
      </c>
      <c r="F500" s="33">
        <f t="shared" si="35"/>
        <v>0</v>
      </c>
      <c r="G500" s="31">
        <f t="shared" si="33"/>
        <v>1.58</v>
      </c>
      <c r="Z500" s="4"/>
      <c r="AA500" s="4"/>
      <c r="AB500" s="6"/>
    </row>
    <row r="501" spans="1:28" ht="13.5" thickBot="1">
      <c r="A501" s="39"/>
      <c r="B501" s="21"/>
      <c r="C501" s="21"/>
      <c r="D501" s="21"/>
      <c r="E501" s="32">
        <f t="shared" si="34"/>
        <v>0</v>
      </c>
      <c r="F501" s="33">
        <f t="shared" si="35"/>
        <v>0</v>
      </c>
      <c r="G501" s="31">
        <f t="shared" si="33"/>
        <v>1.58</v>
      </c>
      <c r="Z501" s="4"/>
      <c r="AA501" s="4"/>
      <c r="AB501" s="6"/>
    </row>
  </sheetData>
  <phoneticPr fontId="3" type="noConversion"/>
  <conditionalFormatting sqref="I16:I19 C502:D65536 A502:B1048576 A1:D1 E2:F18 A2:A501 E72:F501 E1:E1048576 F19:F501">
    <cfRule type="cellIs" dxfId="17" priority="18" stopIfTrue="1" operator="equal">
      <formula>FALSE</formula>
    </cfRule>
  </conditionalFormatting>
  <conditionalFormatting sqref="I10">
    <cfRule type="cellIs" dxfId="16" priority="19" stopIfTrue="1" operator="greaterThan">
      <formula>0.95</formula>
    </cfRule>
  </conditionalFormatting>
  <conditionalFormatting sqref="I4:K4 J5:K5 R12:S12 K6:K8">
    <cfRule type="cellIs" dxfId="15" priority="20" stopIfTrue="1" operator="equal">
      <formula>0</formula>
    </cfRule>
  </conditionalFormatting>
  <conditionalFormatting sqref="C2:D501">
    <cfRule type="cellIs" dxfId="14" priority="21" stopIfTrue="1" operator="equal">
      <formula>NA()</formula>
    </cfRule>
  </conditionalFormatting>
  <conditionalFormatting sqref="P1">
    <cfRule type="cellIs" dxfId="13" priority="17" stopIfTrue="1" operator="equal">
      <formula>0</formula>
    </cfRule>
  </conditionalFormatting>
  <conditionalFormatting sqref="F1">
    <cfRule type="cellIs" dxfId="12" priority="16" stopIfTrue="1" operator="equal">
      <formula>FALSE</formula>
    </cfRule>
  </conditionalFormatting>
  <conditionalFormatting sqref="B86:B501">
    <cfRule type="cellIs" dxfId="11" priority="15" stopIfTrue="1" operator="equal">
      <formula>NA()</formula>
    </cfRule>
  </conditionalFormatting>
  <conditionalFormatting sqref="I5:I6">
    <cfRule type="cellIs" dxfId="10" priority="13" stopIfTrue="1" operator="equal">
      <formula>0</formula>
    </cfRule>
  </conditionalFormatting>
  <conditionalFormatting sqref="J6">
    <cfRule type="cellIs" dxfId="9" priority="12" stopIfTrue="1" operator="equal">
      <formula>0</formula>
    </cfRule>
  </conditionalFormatting>
  <conditionalFormatting sqref="G1">
    <cfRule type="cellIs" dxfId="8" priority="10" stopIfTrue="1" operator="equal">
      <formula>FALSE</formula>
    </cfRule>
  </conditionalFormatting>
  <conditionalFormatting sqref="G2:G501">
    <cfRule type="cellIs" dxfId="7" priority="9" stopIfTrue="1" operator="equal">
      <formula>FALSE</formula>
    </cfRule>
  </conditionalFormatting>
  <conditionalFormatting sqref="J7">
    <cfRule type="cellIs" dxfId="6" priority="8" stopIfTrue="1" operator="equal">
      <formula>0</formula>
    </cfRule>
  </conditionalFormatting>
  <conditionalFormatting sqref="I7:I8">
    <cfRule type="cellIs" dxfId="5" priority="7" stopIfTrue="1" operator="equal">
      <formula>0</formula>
    </cfRule>
  </conditionalFormatting>
  <conditionalFormatting sqref="J8">
    <cfRule type="cellIs" dxfId="4" priority="6" stopIfTrue="1" operator="equal">
      <formula>0</formula>
    </cfRule>
  </conditionalFormatting>
  <conditionalFormatting sqref="J9:K9">
    <cfRule type="cellIs" dxfId="3" priority="4" stopIfTrue="1" operator="equal">
      <formula>0</formula>
    </cfRule>
  </conditionalFormatting>
  <conditionalFormatting sqref="I9">
    <cfRule type="cellIs" dxfId="2" priority="3" stopIfTrue="1" operator="equal">
      <formula>0</formula>
    </cfRule>
  </conditionalFormatting>
  <conditionalFormatting sqref="S13">
    <cfRule type="cellIs" dxfId="1" priority="2" stopIfTrue="1" operator="equal">
      <formula>0</formula>
    </cfRule>
  </conditionalFormatting>
  <conditionalFormatting sqref="B2:B85">
    <cfRule type="cellIs" dxfId="0" priority="1" stopIfTrue="1" operator="equal">
      <formula>NA()</formula>
    </cfRule>
  </conditionalFormatting>
  <pageMargins left="0.48" right="0.35" top="1" bottom="1" header="0.5" footer="0.5"/>
  <pageSetup orientation="landscape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Drop Down 10">
              <controlPr defaultSize="0" autoLine="0" autoPict="0">
                <anchor moveWithCells="1">
                  <from>
                    <xdr:col>11</xdr:col>
                    <xdr:colOff>1390650</xdr:colOff>
                    <xdr:row>2</xdr:row>
                    <xdr:rowOff>9525</xdr:rowOff>
                  </from>
                  <to>
                    <xdr:col>13</xdr:col>
                    <xdr:colOff>400050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5" name="Button 62">
              <controlPr defaultSize="0" print="0" autoFill="0" autoPict="0" macro="[0]!DSO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0</xdr:col>
                    <xdr:colOff>1066800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" name="Button 63">
              <controlPr defaultSize="0" print="0" autoFill="0" autoPict="0" macro="[0]!Fitcurrent">
                <anchor moveWithCells="1" sizeWithCells="1">
                  <from>
                    <xdr:col>1</xdr:col>
                    <xdr:colOff>0</xdr:colOff>
                    <xdr:row>0</xdr:row>
                    <xdr:rowOff>28575</xdr:rowOff>
                  </from>
                  <to>
                    <xdr:col>2</xdr:col>
                    <xdr:colOff>304800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500"/>
  <sheetViews>
    <sheetView workbookViewId="0"/>
  </sheetViews>
  <sheetFormatPr defaultRowHeight="12.75"/>
  <cols>
    <col min="1" max="1" width="12.42578125" bestFit="1" customWidth="1"/>
  </cols>
  <sheetData>
    <row r="1" spans="1:1">
      <c r="A1">
        <f>IF(ROW()&gt;Solver!$M$1,"",IF(AND(Solver!C2&lt;&gt;FALSE,Solver!$R$7=2),(1/Solver!C2),1)*IF(AND(Solver!C2&lt;&gt;FALSE,Solver!$R$7=3),(1/(Solver!C2^2)),1))</f>
        <v>1</v>
      </c>
    </row>
    <row r="2" spans="1:1">
      <c r="A2">
        <f>IF(ROW()&gt;Solver!$M$1,"",IF(AND(Solver!C3&lt;&gt;FALSE,Solver!$R$7=2),(1/Solver!C3),1)*IF(AND(Solver!C3&lt;&gt;FALSE,Solver!$R$7=3),(1/(Solver!C3^2)),1))</f>
        <v>1</v>
      </c>
    </row>
    <row r="3" spans="1:1">
      <c r="A3">
        <f>IF(ROW()&gt;Solver!$M$1,"",IF(AND(Solver!C4&lt;&gt;FALSE,Solver!$R$7=2),(1/Solver!C4),1)*IF(AND(Solver!C4&lt;&gt;FALSE,Solver!$R$7=3),(1/(Solver!C4^2)),1))</f>
        <v>1</v>
      </c>
    </row>
    <row r="4" spans="1:1">
      <c r="A4">
        <f>IF(ROW()&gt;Solver!$M$1,"",IF(AND(Solver!C5&lt;&gt;FALSE,Solver!$R$7=2),(1/Solver!C5),1)*IF(AND(Solver!C5&lt;&gt;FALSE,Solver!$R$7=3),(1/(Solver!C5^2)),1))</f>
        <v>1</v>
      </c>
    </row>
    <row r="5" spans="1:1">
      <c r="A5">
        <f>IF(ROW()&gt;Solver!$M$1,"",IF(AND(Solver!C6&lt;&gt;FALSE,Solver!$R$7=2),(1/Solver!C6),1)*IF(AND(Solver!C6&lt;&gt;FALSE,Solver!$R$7=3),(1/(Solver!C6^2)),1))</f>
        <v>1</v>
      </c>
    </row>
    <row r="6" spans="1:1">
      <c r="A6">
        <f>IF(ROW()&gt;Solver!$M$1,"",IF(AND(Solver!C7&lt;&gt;FALSE,Solver!$R$7=2),(1/Solver!C7),1)*IF(AND(Solver!C7&lt;&gt;FALSE,Solver!$R$7=3),(1/(Solver!C7^2)),1))</f>
        <v>1</v>
      </c>
    </row>
    <row r="7" spans="1:1">
      <c r="A7">
        <f>IF(ROW()&gt;Solver!$M$1,"",IF(AND(Solver!C8&lt;&gt;FALSE,Solver!$R$7=2),(1/Solver!C8),1)*IF(AND(Solver!C8&lt;&gt;FALSE,Solver!$R$7=3),(1/(Solver!C8^2)),1))</f>
        <v>1</v>
      </c>
    </row>
    <row r="8" spans="1:1">
      <c r="A8">
        <f>IF(ROW()&gt;Solver!$M$1,"",IF(AND(Solver!C9&lt;&gt;FALSE,Solver!$R$7=2),(1/Solver!C9),1)*IF(AND(Solver!C9&lt;&gt;FALSE,Solver!$R$7=3),(1/(Solver!C9^2)),1))</f>
        <v>1</v>
      </c>
    </row>
    <row r="9" spans="1:1">
      <c r="A9">
        <f>IF(ROW()&gt;Solver!$M$1,"",IF(AND(Solver!C10&lt;&gt;FALSE,Solver!$R$7=2),(1/Solver!C10),1)*IF(AND(Solver!C10&lt;&gt;FALSE,Solver!$R$7=3),(1/(Solver!C10^2)),1))</f>
        <v>1</v>
      </c>
    </row>
    <row r="10" spans="1:1">
      <c r="A10">
        <f>IF(ROW()&gt;Solver!$M$1,"",IF(AND(Solver!C11&lt;&gt;FALSE,Solver!$R$7=2),(1/Solver!C11),1)*IF(AND(Solver!C11&lt;&gt;FALSE,Solver!$R$7=3),(1/(Solver!C11^2)),1))</f>
        <v>1</v>
      </c>
    </row>
    <row r="11" spans="1:1">
      <c r="A11">
        <f>IF(ROW()&gt;Solver!$M$1,"",IF(AND(Solver!C12&lt;&gt;FALSE,Solver!$R$7=2),(1/Solver!C12),1)*IF(AND(Solver!C12&lt;&gt;FALSE,Solver!$R$7=3),(1/(Solver!C12^2)),1))</f>
        <v>1</v>
      </c>
    </row>
    <row r="12" spans="1:1">
      <c r="A12">
        <f>IF(ROW()&gt;Solver!$M$1,"",IF(AND(Solver!C13&lt;&gt;FALSE,Solver!$R$7=2),(1/Solver!C13),1)*IF(AND(Solver!C13&lt;&gt;FALSE,Solver!$R$7=3),(1/(Solver!C13^2)),1))</f>
        <v>1</v>
      </c>
    </row>
    <row r="13" spans="1:1">
      <c r="A13">
        <f>IF(ROW()&gt;Solver!$M$1,"",IF(AND(Solver!C14&lt;&gt;FALSE,Solver!$R$7=2),(1/Solver!C14),1)*IF(AND(Solver!C14&lt;&gt;FALSE,Solver!$R$7=3),(1/(Solver!C14^2)),1))</f>
        <v>1</v>
      </c>
    </row>
    <row r="14" spans="1:1">
      <c r="A14">
        <f>IF(ROW()&gt;Solver!$M$1,"",IF(AND(Solver!C15&lt;&gt;FALSE,Solver!$R$7=2),(1/Solver!C15),1)*IF(AND(Solver!C15&lt;&gt;FALSE,Solver!$R$7=3),(1/(Solver!C15^2)),1))</f>
        <v>1</v>
      </c>
    </row>
    <row r="15" spans="1:1">
      <c r="A15">
        <f>IF(ROW()&gt;Solver!$M$1,"",IF(AND(Solver!C16&lt;&gt;FALSE,Solver!$R$7=2),(1/Solver!C16),1)*IF(AND(Solver!C16&lt;&gt;FALSE,Solver!$R$7=3),(1/(Solver!C16^2)),1))</f>
        <v>1</v>
      </c>
    </row>
    <row r="16" spans="1:1">
      <c r="A16">
        <f>IF(ROW()&gt;Solver!$M$1,"",IF(AND(Solver!C17&lt;&gt;FALSE,Solver!$R$7=2),(1/Solver!C17),1)*IF(AND(Solver!C17&lt;&gt;FALSE,Solver!$R$7=3),(1/(Solver!C17^2)),1))</f>
        <v>1</v>
      </c>
    </row>
    <row r="17" spans="1:1">
      <c r="A17">
        <f>IF(ROW()&gt;Solver!$M$1,"",IF(AND(Solver!C18&lt;&gt;FALSE,Solver!$R$7=2),(1/Solver!C18),1)*IF(AND(Solver!C18&lt;&gt;FALSE,Solver!$R$7=3),(1/(Solver!C18^2)),1))</f>
        <v>1</v>
      </c>
    </row>
    <row r="18" spans="1:1">
      <c r="A18">
        <f>IF(ROW()&gt;Solver!$M$1,"",IF(AND(Solver!C19&lt;&gt;FALSE,Solver!$R$7=2),(1/Solver!C19),1)*IF(AND(Solver!C19&lt;&gt;FALSE,Solver!$R$7=3),(1/(Solver!C19^2)),1))</f>
        <v>1</v>
      </c>
    </row>
    <row r="19" spans="1:1">
      <c r="A19">
        <f>IF(ROW()&gt;Solver!$M$1,"",IF(AND(Solver!C20&lt;&gt;FALSE,Solver!$R$7=2),(1/Solver!C20),1)*IF(AND(Solver!C20&lt;&gt;FALSE,Solver!$R$7=3),(1/(Solver!C20^2)),1))</f>
        <v>1</v>
      </c>
    </row>
    <row r="20" spans="1:1">
      <c r="A20">
        <f>IF(ROW()&gt;Solver!$M$1,"",IF(AND(Solver!C21&lt;&gt;FALSE,Solver!$R$7=2),(1/Solver!C21),1)*IF(AND(Solver!C21&lt;&gt;FALSE,Solver!$R$7=3),(1/(Solver!C21^2)),1))</f>
        <v>1</v>
      </c>
    </row>
    <row r="21" spans="1:1">
      <c r="A21">
        <f>IF(ROW()&gt;Solver!$M$1,"",IF(AND(Solver!C22&lt;&gt;FALSE,Solver!$R$7=2),(1/Solver!C22),1)*IF(AND(Solver!C22&lt;&gt;FALSE,Solver!$R$7=3),(1/(Solver!C22^2)),1))</f>
        <v>1</v>
      </c>
    </row>
    <row r="22" spans="1:1">
      <c r="A22">
        <f>IF(ROW()&gt;Solver!$M$1,"",IF(AND(Solver!C23&lt;&gt;FALSE,Solver!$R$7=2),(1/Solver!C23),1)*IF(AND(Solver!C23&lt;&gt;FALSE,Solver!$R$7=3),(1/(Solver!C23^2)),1))</f>
        <v>1</v>
      </c>
    </row>
    <row r="23" spans="1:1">
      <c r="A23">
        <f>IF(ROW()&gt;Solver!$M$1,"",IF(AND(Solver!C24&lt;&gt;FALSE,Solver!$R$7=2),(1/Solver!C24),1)*IF(AND(Solver!C24&lt;&gt;FALSE,Solver!$R$7=3),(1/(Solver!C24^2)),1))</f>
        <v>1</v>
      </c>
    </row>
    <row r="24" spans="1:1">
      <c r="A24">
        <f>IF(ROW()&gt;Solver!$M$1,"",IF(AND(Solver!C25&lt;&gt;FALSE,Solver!$R$7=2),(1/Solver!C25),1)*IF(AND(Solver!C25&lt;&gt;FALSE,Solver!$R$7=3),(1/(Solver!C25^2)),1))</f>
        <v>1</v>
      </c>
    </row>
    <row r="25" spans="1:1">
      <c r="A25">
        <f>IF(ROW()&gt;Solver!$M$1,"",IF(AND(Solver!C26&lt;&gt;FALSE,Solver!$R$7=2),(1/Solver!C26),1)*IF(AND(Solver!C26&lt;&gt;FALSE,Solver!$R$7=3),(1/(Solver!C26^2)),1))</f>
        <v>1</v>
      </c>
    </row>
    <row r="26" spans="1:1">
      <c r="A26">
        <f>IF(ROW()&gt;Solver!$M$1,"",IF(AND(Solver!C27&lt;&gt;FALSE,Solver!$R$7=2),(1/Solver!C27),1)*IF(AND(Solver!C27&lt;&gt;FALSE,Solver!$R$7=3),(1/(Solver!C27^2)),1))</f>
        <v>1</v>
      </c>
    </row>
    <row r="27" spans="1:1">
      <c r="A27">
        <f>IF(ROW()&gt;Solver!$M$1,"",IF(AND(Solver!C28&lt;&gt;FALSE,Solver!$R$7=2),(1/Solver!C28),1)*IF(AND(Solver!C28&lt;&gt;FALSE,Solver!$R$7=3),(1/(Solver!C28^2)),1))</f>
        <v>1</v>
      </c>
    </row>
    <row r="28" spans="1:1">
      <c r="A28">
        <f>IF(ROW()&gt;Solver!$M$1,"",IF(AND(Solver!C29&lt;&gt;FALSE,Solver!$R$7=2),(1/Solver!C29),1)*IF(AND(Solver!C29&lt;&gt;FALSE,Solver!$R$7=3),(1/(Solver!C29^2)),1))</f>
        <v>1</v>
      </c>
    </row>
    <row r="29" spans="1:1">
      <c r="A29">
        <f>IF(ROW()&gt;Solver!$M$1,"",IF(AND(Solver!C30&lt;&gt;FALSE,Solver!$R$7=2),(1/Solver!C30),1)*IF(AND(Solver!C30&lt;&gt;FALSE,Solver!$R$7=3),(1/(Solver!C30^2)),1))</f>
        <v>1</v>
      </c>
    </row>
    <row r="30" spans="1:1">
      <c r="A30">
        <f>IF(ROW()&gt;Solver!$M$1,"",IF(AND(Solver!C31&lt;&gt;FALSE,Solver!$R$7=2),(1/Solver!C31),1)*IF(AND(Solver!C31&lt;&gt;FALSE,Solver!$R$7=3),(1/(Solver!C31^2)),1))</f>
        <v>1</v>
      </c>
    </row>
    <row r="31" spans="1:1">
      <c r="A31">
        <f>IF(ROW()&gt;Solver!$M$1,"",IF(AND(Solver!C32&lt;&gt;FALSE,Solver!$R$7=2),(1/Solver!C32),1)*IF(AND(Solver!C32&lt;&gt;FALSE,Solver!$R$7=3),(1/(Solver!C32^2)),1))</f>
        <v>1</v>
      </c>
    </row>
    <row r="32" spans="1:1">
      <c r="A32">
        <f>IF(ROW()&gt;Solver!$M$1,"",IF(AND(Solver!C33&lt;&gt;FALSE,Solver!$R$7=2),(1/Solver!C33),1)*IF(AND(Solver!C33&lt;&gt;FALSE,Solver!$R$7=3),(1/(Solver!C33^2)),1))</f>
        <v>1</v>
      </c>
    </row>
    <row r="33" spans="1:1">
      <c r="A33">
        <f>IF(ROW()&gt;Solver!$M$1,"",IF(AND(Solver!C34&lt;&gt;FALSE,Solver!$R$7=2),(1/Solver!C34),1)*IF(AND(Solver!C34&lt;&gt;FALSE,Solver!$R$7=3),(1/(Solver!C34^2)),1))</f>
        <v>1</v>
      </c>
    </row>
    <row r="34" spans="1:1">
      <c r="A34">
        <f>IF(ROW()&gt;Solver!$M$1,"",IF(AND(Solver!C35&lt;&gt;FALSE,Solver!$R$7=2),(1/Solver!C35),1)*IF(AND(Solver!C35&lt;&gt;FALSE,Solver!$R$7=3),(1/(Solver!C35^2)),1))</f>
        <v>1</v>
      </c>
    </row>
    <row r="35" spans="1:1">
      <c r="A35">
        <f>IF(ROW()&gt;Solver!$M$1,"",IF(AND(Solver!C36&lt;&gt;FALSE,Solver!$R$7=2),(1/Solver!C36),1)*IF(AND(Solver!C36&lt;&gt;FALSE,Solver!$R$7=3),(1/(Solver!C36^2)),1))</f>
        <v>1</v>
      </c>
    </row>
    <row r="36" spans="1:1">
      <c r="A36">
        <f>IF(ROW()&gt;Solver!$M$1,"",IF(AND(Solver!C37&lt;&gt;FALSE,Solver!$R$7=2),(1/Solver!C37),1)*IF(AND(Solver!C37&lt;&gt;FALSE,Solver!$R$7=3),(1/(Solver!C37^2)),1))</f>
        <v>1</v>
      </c>
    </row>
    <row r="37" spans="1:1">
      <c r="A37">
        <f>IF(ROW()&gt;Solver!$M$1,"",IF(AND(Solver!C38&lt;&gt;FALSE,Solver!$R$7=2),(1/Solver!C38),1)*IF(AND(Solver!C38&lt;&gt;FALSE,Solver!$R$7=3),(1/(Solver!C38^2)),1))</f>
        <v>1</v>
      </c>
    </row>
    <row r="38" spans="1:1">
      <c r="A38">
        <f>IF(ROW()&gt;Solver!$M$1,"",IF(AND(Solver!C39&lt;&gt;FALSE,Solver!$R$7=2),(1/Solver!C39),1)*IF(AND(Solver!C39&lt;&gt;FALSE,Solver!$R$7=3),(1/(Solver!C39^2)),1))</f>
        <v>1</v>
      </c>
    </row>
    <row r="39" spans="1:1">
      <c r="A39">
        <f>IF(ROW()&gt;Solver!$M$1,"",IF(AND(Solver!C40&lt;&gt;FALSE,Solver!$R$7=2),(1/Solver!C40),1)*IF(AND(Solver!C40&lt;&gt;FALSE,Solver!$R$7=3),(1/(Solver!C40^2)),1))</f>
        <v>1</v>
      </c>
    </row>
    <row r="40" spans="1:1">
      <c r="A40">
        <f>IF(ROW()&gt;Solver!$M$1,"",IF(AND(Solver!C41&lt;&gt;FALSE,Solver!$R$7=2),(1/Solver!C41),1)*IF(AND(Solver!C41&lt;&gt;FALSE,Solver!$R$7=3),(1/(Solver!C41^2)),1))</f>
        <v>1</v>
      </c>
    </row>
    <row r="41" spans="1:1">
      <c r="A41">
        <f>IF(ROW()&gt;Solver!$M$1,"",IF(AND(Solver!C42&lt;&gt;FALSE,Solver!$R$7=2),(1/Solver!C42),1)*IF(AND(Solver!C42&lt;&gt;FALSE,Solver!$R$7=3),(1/(Solver!C42^2)),1))</f>
        <v>1</v>
      </c>
    </row>
    <row r="42" spans="1:1">
      <c r="A42">
        <f>IF(ROW()&gt;Solver!$M$1,"",IF(AND(Solver!C43&lt;&gt;FALSE,Solver!$R$7=2),(1/Solver!C43),1)*IF(AND(Solver!C43&lt;&gt;FALSE,Solver!$R$7=3),(1/(Solver!C43^2)),1))</f>
        <v>1</v>
      </c>
    </row>
    <row r="43" spans="1:1">
      <c r="A43">
        <f>IF(ROW()&gt;Solver!$M$1,"",IF(AND(Solver!C44&lt;&gt;FALSE,Solver!$R$7=2),(1/Solver!C44),1)*IF(AND(Solver!C44&lt;&gt;FALSE,Solver!$R$7=3),(1/(Solver!C44^2)),1))</f>
        <v>1</v>
      </c>
    </row>
    <row r="44" spans="1:1">
      <c r="A44">
        <f>IF(ROW()&gt;Solver!$M$1,"",IF(AND(Solver!C45&lt;&gt;FALSE,Solver!$R$7=2),(1/Solver!C45),1)*IF(AND(Solver!C45&lt;&gt;FALSE,Solver!$R$7=3),(1/(Solver!C45^2)),1))</f>
        <v>1</v>
      </c>
    </row>
    <row r="45" spans="1:1">
      <c r="A45">
        <f>IF(ROW()&gt;Solver!$M$1,"",IF(AND(Solver!C46&lt;&gt;FALSE,Solver!$R$7=2),(1/Solver!C46),1)*IF(AND(Solver!C46&lt;&gt;FALSE,Solver!$R$7=3),(1/(Solver!C46^2)),1))</f>
        <v>1</v>
      </c>
    </row>
    <row r="46" spans="1:1">
      <c r="A46">
        <f>IF(ROW()&gt;Solver!$M$1,"",IF(AND(Solver!C47&lt;&gt;FALSE,Solver!$R$7=2),(1/Solver!C47),1)*IF(AND(Solver!C47&lt;&gt;FALSE,Solver!$R$7=3),(1/(Solver!C47^2)),1))</f>
        <v>1</v>
      </c>
    </row>
    <row r="47" spans="1:1">
      <c r="A47">
        <f>IF(ROW()&gt;Solver!$M$1,"",IF(AND(Solver!C48&lt;&gt;FALSE,Solver!$R$7=2),(1/Solver!C48),1)*IF(AND(Solver!C48&lt;&gt;FALSE,Solver!$R$7=3),(1/(Solver!C48^2)),1))</f>
        <v>1</v>
      </c>
    </row>
    <row r="48" spans="1:1">
      <c r="A48">
        <f>IF(ROW()&gt;Solver!$M$1,"",IF(AND(Solver!C49&lt;&gt;FALSE,Solver!$R$7=2),(1/Solver!C49),1)*IF(AND(Solver!C49&lt;&gt;FALSE,Solver!$R$7=3),(1/(Solver!C49^2)),1))</f>
        <v>1</v>
      </c>
    </row>
    <row r="49" spans="1:1">
      <c r="A49">
        <f>IF(ROW()&gt;Solver!$M$1,"",IF(AND(Solver!C50&lt;&gt;FALSE,Solver!$R$7=2),(1/Solver!C50),1)*IF(AND(Solver!C50&lt;&gt;FALSE,Solver!$R$7=3),(1/(Solver!C50^2)),1))</f>
        <v>1</v>
      </c>
    </row>
    <row r="50" spans="1:1">
      <c r="A50">
        <f>IF(ROW()&gt;Solver!$M$1,"",IF(AND(Solver!C51&lt;&gt;FALSE,Solver!$R$7=2),(1/Solver!C51),1)*IF(AND(Solver!C51&lt;&gt;FALSE,Solver!$R$7=3),(1/(Solver!C51^2)),1))</f>
        <v>1</v>
      </c>
    </row>
    <row r="51" spans="1:1">
      <c r="A51">
        <f>IF(ROW()&gt;Solver!$M$1,"",IF(AND(Solver!C52&lt;&gt;FALSE,Solver!$R$7=2),(1/Solver!C52),1)*IF(AND(Solver!C52&lt;&gt;FALSE,Solver!$R$7=3),(1/(Solver!C52^2)),1))</f>
        <v>1</v>
      </c>
    </row>
    <row r="52" spans="1:1">
      <c r="A52">
        <f>IF(ROW()&gt;Solver!$M$1,"",IF(AND(Solver!C53&lt;&gt;FALSE,Solver!$R$7=2),(1/Solver!C53),1)*IF(AND(Solver!C53&lt;&gt;FALSE,Solver!$R$7=3),(1/(Solver!C53^2)),1))</f>
        <v>1</v>
      </c>
    </row>
    <row r="53" spans="1:1">
      <c r="A53">
        <f>IF(ROW()&gt;Solver!$M$1,"",IF(AND(Solver!C54&lt;&gt;FALSE,Solver!$R$7=2),(1/Solver!C54),1)*IF(AND(Solver!C54&lt;&gt;FALSE,Solver!$R$7=3),(1/(Solver!C54^2)),1))</f>
        <v>1</v>
      </c>
    </row>
    <row r="54" spans="1:1">
      <c r="A54">
        <f>IF(ROW()&gt;Solver!$M$1,"",IF(AND(Solver!C55&lt;&gt;FALSE,Solver!$R$7=2),(1/Solver!C55),1)*IF(AND(Solver!C55&lt;&gt;FALSE,Solver!$R$7=3),(1/(Solver!C55^2)),1))</f>
        <v>1</v>
      </c>
    </row>
    <row r="55" spans="1:1">
      <c r="A55">
        <f>IF(ROW()&gt;Solver!$M$1,"",IF(AND(Solver!C56&lt;&gt;FALSE,Solver!$R$7=2),(1/Solver!C56),1)*IF(AND(Solver!C56&lt;&gt;FALSE,Solver!$R$7=3),(1/(Solver!C56^2)),1))</f>
        <v>1</v>
      </c>
    </row>
    <row r="56" spans="1:1">
      <c r="A56">
        <f>IF(ROW()&gt;Solver!$M$1,"",IF(AND(Solver!C57&lt;&gt;FALSE,Solver!$R$7=2),(1/Solver!C57),1)*IF(AND(Solver!C57&lt;&gt;FALSE,Solver!$R$7=3),(1/(Solver!C57^2)),1))</f>
        <v>1</v>
      </c>
    </row>
    <row r="57" spans="1:1">
      <c r="A57">
        <f>IF(ROW()&gt;Solver!$M$1,"",IF(AND(Solver!C58&lt;&gt;FALSE,Solver!$R$7=2),(1/Solver!C58),1)*IF(AND(Solver!C58&lt;&gt;FALSE,Solver!$R$7=3),(1/(Solver!C58^2)),1))</f>
        <v>1</v>
      </c>
    </row>
    <row r="58" spans="1:1">
      <c r="A58">
        <f>IF(ROW()&gt;Solver!$M$1,"",IF(AND(Solver!C59&lt;&gt;FALSE,Solver!$R$7=2),(1/Solver!C59),1)*IF(AND(Solver!C59&lt;&gt;FALSE,Solver!$R$7=3),(1/(Solver!C59^2)),1))</f>
        <v>1</v>
      </c>
    </row>
    <row r="59" spans="1:1">
      <c r="A59">
        <f>IF(ROW()&gt;Solver!$M$1,"",IF(AND(Solver!C60&lt;&gt;FALSE,Solver!$R$7=2),(1/Solver!C60),1)*IF(AND(Solver!C60&lt;&gt;FALSE,Solver!$R$7=3),(1/(Solver!C60^2)),1))</f>
        <v>1</v>
      </c>
    </row>
    <row r="60" spans="1:1">
      <c r="A60">
        <f>IF(ROW()&gt;Solver!$M$1,"",IF(AND(Solver!C61&lt;&gt;FALSE,Solver!$R$7=2),(1/Solver!C61),1)*IF(AND(Solver!C61&lt;&gt;FALSE,Solver!$R$7=3),(1/(Solver!C61^2)),1))</f>
        <v>1</v>
      </c>
    </row>
    <row r="61" spans="1:1">
      <c r="A61">
        <f>IF(ROW()&gt;Solver!$M$1,"",IF(AND(Solver!C62&lt;&gt;FALSE,Solver!$R$7=2),(1/Solver!C62),1)*IF(AND(Solver!C62&lt;&gt;FALSE,Solver!$R$7=3),(1/(Solver!C62^2)),1))</f>
        <v>1</v>
      </c>
    </row>
    <row r="62" spans="1:1">
      <c r="A62">
        <f>IF(ROW()&gt;Solver!$M$1,"",IF(AND(Solver!C63&lt;&gt;FALSE,Solver!$R$7=2),(1/Solver!C63),1)*IF(AND(Solver!C63&lt;&gt;FALSE,Solver!$R$7=3),(1/(Solver!C63^2)),1))</f>
        <v>1</v>
      </c>
    </row>
    <row r="63" spans="1:1">
      <c r="A63">
        <f>IF(ROW()&gt;Solver!$M$1,"",IF(AND(Solver!C64&lt;&gt;FALSE,Solver!$R$7=2),(1/Solver!C64),1)*IF(AND(Solver!C64&lt;&gt;FALSE,Solver!$R$7=3),(1/(Solver!C64^2)),1))</f>
        <v>1</v>
      </c>
    </row>
    <row r="64" spans="1:1">
      <c r="A64">
        <f>IF(ROW()&gt;Solver!$M$1,"",IF(AND(Solver!C65&lt;&gt;FALSE,Solver!$R$7=2),(1/Solver!C65),1)*IF(AND(Solver!C65&lt;&gt;FALSE,Solver!$R$7=3),(1/(Solver!C65^2)),1))</f>
        <v>1</v>
      </c>
    </row>
    <row r="65" spans="1:1">
      <c r="A65">
        <f>IF(ROW()&gt;Solver!$M$1,"",IF(AND(Solver!C66&lt;&gt;FALSE,Solver!$R$7=2),(1/Solver!C66),1)*IF(AND(Solver!C66&lt;&gt;FALSE,Solver!$R$7=3),(1/(Solver!C66^2)),1))</f>
        <v>1</v>
      </c>
    </row>
    <row r="66" spans="1:1">
      <c r="A66">
        <f>IF(ROW()&gt;Solver!$M$1,"",IF(AND(Solver!C67&lt;&gt;FALSE,Solver!$R$7=2),(1/Solver!C67),1)*IF(AND(Solver!C67&lt;&gt;FALSE,Solver!$R$7=3),(1/(Solver!C67^2)),1))</f>
        <v>1</v>
      </c>
    </row>
    <row r="67" spans="1:1">
      <c r="A67">
        <f>IF(ROW()&gt;Solver!$M$1,"",IF(AND(Solver!C68&lt;&gt;FALSE,Solver!$R$7=2),(1/Solver!C68),1)*IF(AND(Solver!C68&lt;&gt;FALSE,Solver!$R$7=3),(1/(Solver!C68^2)),1))</f>
        <v>1</v>
      </c>
    </row>
    <row r="68" spans="1:1">
      <c r="A68">
        <f>IF(ROW()&gt;Solver!$M$1,"",IF(AND(Solver!C69&lt;&gt;FALSE,Solver!$R$7=2),(1/Solver!C69),1)*IF(AND(Solver!C69&lt;&gt;FALSE,Solver!$R$7=3),(1/(Solver!C69^2)),1))</f>
        <v>1</v>
      </c>
    </row>
    <row r="69" spans="1:1">
      <c r="A69">
        <f>IF(ROW()&gt;Solver!$M$1,"",IF(AND(Solver!C70&lt;&gt;FALSE,Solver!$R$7=2),(1/Solver!C70),1)*IF(AND(Solver!C70&lt;&gt;FALSE,Solver!$R$7=3),(1/(Solver!C70^2)),1))</f>
        <v>1</v>
      </c>
    </row>
    <row r="70" spans="1:1">
      <c r="A70">
        <f>IF(ROW()&gt;Solver!$M$1,"",IF(AND(Solver!C71&lt;&gt;FALSE,Solver!$R$7=2),(1/Solver!C71),1)*IF(AND(Solver!C71&lt;&gt;FALSE,Solver!$R$7=3),(1/(Solver!C71^2)),1))</f>
        <v>1</v>
      </c>
    </row>
    <row r="71" spans="1:1">
      <c r="A71">
        <f>IF(ROW()&gt;Solver!$M$1,"",IF(AND(Solver!C72&lt;&gt;FALSE,Solver!$R$7=2),(1/Solver!C72),1)*IF(AND(Solver!C72&lt;&gt;FALSE,Solver!$R$7=3),(1/(Solver!C72^2)),1))</f>
        <v>1</v>
      </c>
    </row>
    <row r="72" spans="1:1">
      <c r="A72">
        <f>IF(ROW()&gt;Solver!$M$1,"",IF(AND(Solver!C73&lt;&gt;FALSE,Solver!$R$7=2),(1/Solver!C73),1)*IF(AND(Solver!C73&lt;&gt;FALSE,Solver!$R$7=3),(1/(Solver!C73^2)),1))</f>
        <v>1</v>
      </c>
    </row>
    <row r="73" spans="1:1">
      <c r="A73">
        <f>IF(ROW()&gt;Solver!$M$1,"",IF(AND(Solver!C74&lt;&gt;FALSE,Solver!$R$7=2),(1/Solver!C74),1)*IF(AND(Solver!C74&lt;&gt;FALSE,Solver!$R$7=3),(1/(Solver!C74^2)),1))</f>
        <v>1</v>
      </c>
    </row>
    <row r="74" spans="1:1">
      <c r="A74">
        <f>IF(ROW()&gt;Solver!$M$1,"",IF(AND(Solver!C75&lt;&gt;FALSE,Solver!$R$7=2),(1/Solver!C75),1)*IF(AND(Solver!C75&lt;&gt;FALSE,Solver!$R$7=3),(1/(Solver!C75^2)),1))</f>
        <v>1</v>
      </c>
    </row>
    <row r="75" spans="1:1">
      <c r="A75">
        <f>IF(ROW()&gt;Solver!$M$1,"",IF(AND(Solver!C76&lt;&gt;FALSE,Solver!$R$7=2),(1/Solver!C76),1)*IF(AND(Solver!C76&lt;&gt;FALSE,Solver!$R$7=3),(1/(Solver!C76^2)),1))</f>
        <v>1</v>
      </c>
    </row>
    <row r="76" spans="1:1">
      <c r="A76">
        <f>IF(ROW()&gt;Solver!$M$1,"",IF(AND(Solver!C77&lt;&gt;FALSE,Solver!$R$7=2),(1/Solver!C77),1)*IF(AND(Solver!C77&lt;&gt;FALSE,Solver!$R$7=3),(1/(Solver!C77^2)),1))</f>
        <v>1</v>
      </c>
    </row>
    <row r="77" spans="1:1">
      <c r="A77">
        <f>IF(ROW()&gt;Solver!$M$1,"",IF(AND(Solver!C78&lt;&gt;FALSE,Solver!$R$7=2),(1/Solver!C78),1)*IF(AND(Solver!C78&lt;&gt;FALSE,Solver!$R$7=3),(1/(Solver!C78^2)),1))</f>
        <v>1</v>
      </c>
    </row>
    <row r="78" spans="1:1">
      <c r="A78">
        <f>IF(ROW()&gt;Solver!$M$1,"",IF(AND(Solver!C79&lt;&gt;FALSE,Solver!$R$7=2),(1/Solver!C79),1)*IF(AND(Solver!C79&lt;&gt;FALSE,Solver!$R$7=3),(1/(Solver!C79^2)),1))</f>
        <v>1</v>
      </c>
    </row>
    <row r="79" spans="1:1">
      <c r="A79">
        <f>IF(ROW()&gt;Solver!$M$1,"",IF(AND(Solver!C80&lt;&gt;FALSE,Solver!$R$7=2),(1/Solver!C80),1)*IF(AND(Solver!C80&lt;&gt;FALSE,Solver!$R$7=3),(1/(Solver!C80^2)),1))</f>
        <v>1</v>
      </c>
    </row>
    <row r="80" spans="1:1">
      <c r="A80">
        <f>IF(ROW()&gt;Solver!$M$1,"",IF(AND(Solver!C81&lt;&gt;FALSE,Solver!$R$7=2),(1/Solver!C81),1)*IF(AND(Solver!C81&lt;&gt;FALSE,Solver!$R$7=3),(1/(Solver!C81^2)),1))</f>
        <v>1</v>
      </c>
    </row>
    <row r="81" spans="1:1">
      <c r="A81">
        <f>IF(ROW()&gt;Solver!$M$1,"",IF(AND(Solver!C82&lt;&gt;FALSE,Solver!$R$7=2),(1/Solver!C82),1)*IF(AND(Solver!C82&lt;&gt;FALSE,Solver!$R$7=3),(1/(Solver!C82^2)),1))</f>
        <v>1</v>
      </c>
    </row>
    <row r="82" spans="1:1">
      <c r="A82">
        <f>IF(ROW()&gt;Solver!$M$1,"",IF(AND(Solver!C83&lt;&gt;FALSE,Solver!$R$7=2),(1/Solver!C83),1)*IF(AND(Solver!C83&lt;&gt;FALSE,Solver!$R$7=3),(1/(Solver!C83^2)),1))</f>
        <v>1</v>
      </c>
    </row>
    <row r="83" spans="1:1">
      <c r="A83">
        <f>IF(ROW()&gt;Solver!$M$1,"",IF(AND(Solver!C84&lt;&gt;FALSE,Solver!$R$7=2),(1/Solver!C84),1)*IF(AND(Solver!C84&lt;&gt;FALSE,Solver!$R$7=3),(1/(Solver!C84^2)),1))</f>
        <v>1</v>
      </c>
    </row>
    <row r="84" spans="1:1">
      <c r="A84">
        <f>IF(ROW()&gt;Solver!$M$1,"",IF(AND(Solver!C85&lt;&gt;FALSE,Solver!$R$7=2),(1/Solver!C85),1)*IF(AND(Solver!C85&lt;&gt;FALSE,Solver!$R$7=3),(1/(Solver!C85^2)),1))</f>
        <v>1</v>
      </c>
    </row>
    <row r="85" spans="1:1">
      <c r="A85">
        <f>IF(ROW()&gt;Solver!$M$1,"",IF(AND(Solver!C86&lt;&gt;FALSE,Solver!$R$7=2),(1/Solver!C86),1)*IF(AND(Solver!C86&lt;&gt;FALSE,Solver!$R$7=3),(1/(Solver!C86^2)),1))</f>
        <v>1</v>
      </c>
    </row>
    <row r="86" spans="1:1">
      <c r="A86">
        <f>IF(ROW()&gt;Solver!$M$1,"",IF(AND(Solver!C87&lt;&gt;FALSE,Solver!$R$7=2),(1/Solver!C87),1)*IF(AND(Solver!C87&lt;&gt;FALSE,Solver!$R$7=3),(1/(Solver!C87^2)),1))</f>
        <v>1</v>
      </c>
    </row>
    <row r="87" spans="1:1">
      <c r="A87">
        <f>IF(ROW()&gt;Solver!$M$1,"",IF(AND(Solver!C88&lt;&gt;FALSE,Solver!$R$7=2),(1/Solver!C88),1)*IF(AND(Solver!C88&lt;&gt;FALSE,Solver!$R$7=3),(1/(Solver!C88^2)),1))</f>
        <v>1</v>
      </c>
    </row>
    <row r="88" spans="1:1">
      <c r="A88">
        <f>IF(ROW()&gt;Solver!$M$1,"",IF(AND(Solver!C89&lt;&gt;FALSE,Solver!$R$7=2),(1/Solver!C89),1)*IF(AND(Solver!C89&lt;&gt;FALSE,Solver!$R$7=3),(1/(Solver!C89^2)),1))</f>
        <v>1</v>
      </c>
    </row>
    <row r="89" spans="1:1">
      <c r="A89">
        <f>IF(ROW()&gt;Solver!$M$1,"",IF(AND(Solver!C90&lt;&gt;FALSE,Solver!$R$7=2),(1/Solver!C90),1)*IF(AND(Solver!C90&lt;&gt;FALSE,Solver!$R$7=3),(1/(Solver!C90^2)),1))</f>
        <v>1</v>
      </c>
    </row>
    <row r="90" spans="1:1">
      <c r="A90">
        <f>IF(ROW()&gt;Solver!$M$1,"",IF(AND(Solver!C91&lt;&gt;FALSE,Solver!$R$7=2),(1/Solver!C91),1)*IF(AND(Solver!C91&lt;&gt;FALSE,Solver!$R$7=3),(1/(Solver!C91^2)),1))</f>
        <v>1</v>
      </c>
    </row>
    <row r="91" spans="1:1">
      <c r="A91">
        <f>IF(ROW()&gt;Solver!$M$1,"",IF(AND(Solver!C92&lt;&gt;FALSE,Solver!$R$7=2),(1/Solver!C92),1)*IF(AND(Solver!C92&lt;&gt;FALSE,Solver!$R$7=3),(1/(Solver!C92^2)),1))</f>
        <v>1</v>
      </c>
    </row>
    <row r="92" spans="1:1">
      <c r="A92" t="str">
        <f>IF(ROW()&gt;Solver!$M$1,"",IF(AND(Solver!C93&lt;&gt;FALSE,Solver!$R$7=2),(1/Solver!C93),1)*IF(AND(Solver!C93&lt;&gt;FALSE,Solver!$R$7=3),(1/(Solver!C93^2)),1))</f>
        <v/>
      </c>
    </row>
    <row r="93" spans="1:1">
      <c r="A93" t="str">
        <f>IF(ROW()&gt;Solver!$M$1,"",IF(AND(Solver!C94&lt;&gt;FALSE,Solver!$R$7=2),(1/Solver!C94),1)*IF(AND(Solver!C94&lt;&gt;FALSE,Solver!$R$7=3),(1/(Solver!C94^2)),1))</f>
        <v/>
      </c>
    </row>
    <row r="94" spans="1:1">
      <c r="A94" t="str">
        <f>IF(ROW()&gt;Solver!$M$1,"",IF(AND(Solver!C95&lt;&gt;FALSE,Solver!$R$7=2),(1/Solver!C95),1)*IF(AND(Solver!C95&lt;&gt;FALSE,Solver!$R$7=3),(1/(Solver!C95^2)),1))</f>
        <v/>
      </c>
    </row>
    <row r="95" spans="1:1">
      <c r="A95" t="str">
        <f>IF(ROW()&gt;Solver!$M$1,"",IF(AND(Solver!C96&lt;&gt;FALSE,Solver!$R$7=2),(1/Solver!C96),1)*IF(AND(Solver!C96&lt;&gt;FALSE,Solver!$R$7=3),(1/(Solver!C96^2)),1))</f>
        <v/>
      </c>
    </row>
    <row r="96" spans="1:1">
      <c r="A96" t="str">
        <f>IF(ROW()&gt;Solver!$M$1,"",IF(AND(Solver!C97&lt;&gt;FALSE,Solver!$R$7=2),(1/Solver!C97),1)*IF(AND(Solver!C97&lt;&gt;FALSE,Solver!$R$7=3),(1/(Solver!C97^2)),1))</f>
        <v/>
      </c>
    </row>
    <row r="97" spans="1:1">
      <c r="A97" t="str">
        <f>IF(ROW()&gt;Solver!$M$1,"",IF(AND(Solver!C98&lt;&gt;FALSE,Solver!$R$7=2),(1/Solver!C98),1)*IF(AND(Solver!C98&lt;&gt;FALSE,Solver!$R$7=3),(1/(Solver!C98^2)),1))</f>
        <v/>
      </c>
    </row>
    <row r="98" spans="1:1">
      <c r="A98" t="str">
        <f>IF(ROW()&gt;Solver!$M$1,"",IF(AND(Solver!C99&lt;&gt;FALSE,Solver!$R$7=2),(1/Solver!C99),1)*IF(AND(Solver!C99&lt;&gt;FALSE,Solver!$R$7=3),(1/(Solver!C99^2)),1))</f>
        <v/>
      </c>
    </row>
    <row r="99" spans="1:1">
      <c r="A99" t="str">
        <f>IF(ROW()&gt;Solver!$M$1,"",IF(AND(Solver!C100&lt;&gt;FALSE,Solver!$R$7=2),(1/Solver!C100),1)*IF(AND(Solver!C100&lt;&gt;FALSE,Solver!$R$7=3),(1/(Solver!C100^2)),1))</f>
        <v/>
      </c>
    </row>
    <row r="100" spans="1:1">
      <c r="A100" t="str">
        <f>IF(ROW()&gt;Solver!$M$1,"",IF(AND(Solver!C101&lt;&gt;FALSE,Solver!$R$7=2),(1/Solver!C101),1)*IF(AND(Solver!C101&lt;&gt;FALSE,Solver!$R$7=3),(1/(Solver!C101^2)),1))</f>
        <v/>
      </c>
    </row>
    <row r="101" spans="1:1">
      <c r="A101" t="str">
        <f>IF(ROW()&gt;Solver!$M$1,"",IF(AND(Solver!C102&lt;&gt;FALSE,Solver!$R$7=2),(1/Solver!C102),1)*IF(AND(Solver!C102&lt;&gt;FALSE,Solver!$R$7=3),(1/(Solver!C102^2)),1))</f>
        <v/>
      </c>
    </row>
    <row r="102" spans="1:1">
      <c r="A102" t="str">
        <f>IF(ROW()&gt;Solver!$M$1,"",IF(AND(Solver!C103&lt;&gt;FALSE,Solver!$R$7=2),(1/Solver!C103),1)*IF(AND(Solver!C103&lt;&gt;FALSE,Solver!$R$7=3),(1/(Solver!C103^2)),1))</f>
        <v/>
      </c>
    </row>
    <row r="103" spans="1:1">
      <c r="A103" t="str">
        <f>IF(ROW()&gt;Solver!$M$1,"",IF(AND(Solver!C104&lt;&gt;FALSE,Solver!$R$7=2),(1/Solver!C104),1)*IF(AND(Solver!C104&lt;&gt;FALSE,Solver!$R$7=3),(1/(Solver!C104^2)),1))</f>
        <v/>
      </c>
    </row>
    <row r="104" spans="1:1">
      <c r="A104" t="str">
        <f>IF(ROW()&gt;Solver!$M$1,"",IF(AND(Solver!C105&lt;&gt;FALSE,Solver!$R$7=2),(1/Solver!C105),1)*IF(AND(Solver!C105&lt;&gt;FALSE,Solver!$R$7=3),(1/(Solver!C105^2)),1))</f>
        <v/>
      </c>
    </row>
    <row r="105" spans="1:1">
      <c r="A105" t="str">
        <f>IF(ROW()&gt;Solver!$M$1,"",IF(AND(Solver!C106&lt;&gt;FALSE,Solver!$R$7=2),(1/Solver!C106),1)*IF(AND(Solver!C106&lt;&gt;FALSE,Solver!$R$7=3),(1/(Solver!C106^2)),1))</f>
        <v/>
      </c>
    </row>
    <row r="106" spans="1:1">
      <c r="A106" t="str">
        <f>IF(ROW()&gt;Solver!$M$1,"",IF(AND(Solver!C107&lt;&gt;FALSE,Solver!$R$7=2),(1/Solver!C107),1)*IF(AND(Solver!C107&lt;&gt;FALSE,Solver!$R$7=3),(1/(Solver!C107^2)),1))</f>
        <v/>
      </c>
    </row>
    <row r="107" spans="1:1">
      <c r="A107" t="str">
        <f>IF(ROW()&gt;Solver!$M$1,"",IF(AND(Solver!C108&lt;&gt;FALSE,Solver!$R$7=2),(1/Solver!C108),1)*IF(AND(Solver!C108&lt;&gt;FALSE,Solver!$R$7=3),(1/(Solver!C108^2)),1))</f>
        <v/>
      </c>
    </row>
    <row r="108" spans="1:1">
      <c r="A108" t="str">
        <f>IF(ROW()&gt;Solver!$M$1,"",IF(AND(Solver!C109&lt;&gt;FALSE,Solver!$R$7=2),(1/Solver!C109),1)*IF(AND(Solver!C109&lt;&gt;FALSE,Solver!$R$7=3),(1/(Solver!C109^2)),1))</f>
        <v/>
      </c>
    </row>
    <row r="109" spans="1:1">
      <c r="A109" t="str">
        <f>IF(ROW()&gt;Solver!$M$1,"",IF(AND(Solver!C110&lt;&gt;FALSE,Solver!$R$7=2),(1/Solver!C110),1)*IF(AND(Solver!C110&lt;&gt;FALSE,Solver!$R$7=3),(1/(Solver!C110^2)),1))</f>
        <v/>
      </c>
    </row>
    <row r="110" spans="1:1">
      <c r="A110" t="str">
        <f>IF(ROW()&gt;Solver!$M$1,"",IF(AND(Solver!C111&lt;&gt;FALSE,Solver!$R$7=2),(1/Solver!C111),1)*IF(AND(Solver!C111&lt;&gt;FALSE,Solver!$R$7=3),(1/(Solver!C111^2)),1))</f>
        <v/>
      </c>
    </row>
    <row r="111" spans="1:1">
      <c r="A111" t="str">
        <f>IF(ROW()&gt;Solver!$M$1,"",IF(AND(Solver!C112&lt;&gt;FALSE,Solver!$R$7=2),(1/Solver!C112),1)*IF(AND(Solver!C112&lt;&gt;FALSE,Solver!$R$7=3),(1/(Solver!C112^2)),1))</f>
        <v/>
      </c>
    </row>
    <row r="112" spans="1:1">
      <c r="A112" t="str">
        <f>IF(ROW()&gt;Solver!$M$1,"",IF(AND(Solver!C113&lt;&gt;FALSE,Solver!$R$7=2),(1/Solver!C113),1)*IF(AND(Solver!C113&lt;&gt;FALSE,Solver!$R$7=3),(1/(Solver!C113^2)),1))</f>
        <v/>
      </c>
    </row>
    <row r="113" spans="1:1">
      <c r="A113" t="str">
        <f>IF(ROW()&gt;Solver!$M$1,"",IF(AND(Solver!C114&lt;&gt;FALSE,Solver!$R$7=2),(1/Solver!C114),1)*IF(AND(Solver!C114&lt;&gt;FALSE,Solver!$R$7=3),(1/(Solver!C114^2)),1))</f>
        <v/>
      </c>
    </row>
    <row r="114" spans="1:1">
      <c r="A114" t="str">
        <f>IF(ROW()&gt;Solver!$M$1,"",IF(AND(Solver!C115&lt;&gt;FALSE,Solver!$R$7=2),(1/Solver!C115),1)*IF(AND(Solver!C115&lt;&gt;FALSE,Solver!$R$7=3),(1/(Solver!C115^2)),1))</f>
        <v/>
      </c>
    </row>
    <row r="115" spans="1:1">
      <c r="A115" t="str">
        <f>IF(ROW()&gt;Solver!$M$1,"",IF(AND(Solver!C116&lt;&gt;FALSE,Solver!$R$7=2),(1/Solver!C116),1)*IF(AND(Solver!C116&lt;&gt;FALSE,Solver!$R$7=3),(1/(Solver!C116^2)),1))</f>
        <v/>
      </c>
    </row>
    <row r="116" spans="1:1">
      <c r="A116" t="str">
        <f>IF(ROW()&gt;Solver!$M$1,"",IF(AND(Solver!C117&lt;&gt;FALSE,Solver!$R$7=2),(1/Solver!C117),1)*IF(AND(Solver!C117&lt;&gt;FALSE,Solver!$R$7=3),(1/(Solver!C117^2)),1))</f>
        <v/>
      </c>
    </row>
    <row r="117" spans="1:1">
      <c r="A117" t="str">
        <f>IF(ROW()&gt;Solver!$M$1,"",IF(AND(Solver!C118&lt;&gt;FALSE,Solver!$R$7=2),(1/Solver!C118),1)*IF(AND(Solver!C118&lt;&gt;FALSE,Solver!$R$7=3),(1/(Solver!C118^2)),1))</f>
        <v/>
      </c>
    </row>
    <row r="118" spans="1:1">
      <c r="A118" t="str">
        <f>IF(ROW()&gt;Solver!$M$1,"",IF(AND(Solver!C119&lt;&gt;FALSE,Solver!$R$7=2),(1/Solver!C119),1)*IF(AND(Solver!C119&lt;&gt;FALSE,Solver!$R$7=3),(1/(Solver!C119^2)),1))</f>
        <v/>
      </c>
    </row>
    <row r="119" spans="1:1">
      <c r="A119" t="str">
        <f>IF(ROW()&gt;Solver!$M$1,"",IF(AND(Solver!C120&lt;&gt;FALSE,Solver!$R$7=2),(1/Solver!C120),1)*IF(AND(Solver!C120&lt;&gt;FALSE,Solver!$R$7=3),(1/(Solver!C120^2)),1))</f>
        <v/>
      </c>
    </row>
    <row r="120" spans="1:1">
      <c r="A120" t="str">
        <f>IF(ROW()&gt;Solver!$M$1,"",IF(AND(Solver!C121&lt;&gt;FALSE,Solver!$R$7=2),(1/Solver!C121),1)*IF(AND(Solver!C121&lt;&gt;FALSE,Solver!$R$7=3),(1/(Solver!C121^2)),1))</f>
        <v/>
      </c>
    </row>
    <row r="121" spans="1:1">
      <c r="A121" t="str">
        <f>IF(ROW()&gt;Solver!$M$1,"",IF(AND(Solver!C122&lt;&gt;FALSE,Solver!$R$7=2),(1/Solver!C122),1)*IF(AND(Solver!C122&lt;&gt;FALSE,Solver!$R$7=3),(1/(Solver!C122^2)),1))</f>
        <v/>
      </c>
    </row>
    <row r="122" spans="1:1">
      <c r="A122" t="str">
        <f>IF(ROW()&gt;Solver!$M$1,"",IF(AND(Solver!C123&lt;&gt;FALSE,Solver!$R$7=2),(1/Solver!C123),1)*IF(AND(Solver!C123&lt;&gt;FALSE,Solver!$R$7=3),(1/(Solver!C123^2)),1))</f>
        <v/>
      </c>
    </row>
    <row r="123" spans="1:1">
      <c r="A123" t="str">
        <f>IF(ROW()&gt;Solver!$M$1,"",IF(AND(Solver!C124&lt;&gt;FALSE,Solver!$R$7=2),(1/Solver!C124),1)*IF(AND(Solver!C124&lt;&gt;FALSE,Solver!$R$7=3),(1/(Solver!C124^2)),1))</f>
        <v/>
      </c>
    </row>
    <row r="124" spans="1:1">
      <c r="A124" t="str">
        <f>IF(ROW()&gt;Solver!$M$1,"",IF(AND(Solver!C125&lt;&gt;FALSE,Solver!$R$7=2),(1/Solver!C125),1)*IF(AND(Solver!C125&lt;&gt;FALSE,Solver!$R$7=3),(1/(Solver!C125^2)),1))</f>
        <v/>
      </c>
    </row>
    <row r="125" spans="1:1">
      <c r="A125" t="str">
        <f>IF(ROW()&gt;Solver!$M$1,"",IF(AND(Solver!C126&lt;&gt;FALSE,Solver!$R$7=2),(1/Solver!C126),1)*IF(AND(Solver!C126&lt;&gt;FALSE,Solver!$R$7=3),(1/(Solver!C126^2)),1))</f>
        <v/>
      </c>
    </row>
    <row r="126" spans="1:1">
      <c r="A126" t="str">
        <f>IF(ROW()&gt;Solver!$M$1,"",IF(AND(Solver!C127&lt;&gt;FALSE,Solver!$R$7=2),(1/Solver!C127),1)*IF(AND(Solver!C127&lt;&gt;FALSE,Solver!$R$7=3),(1/(Solver!C127^2)),1))</f>
        <v/>
      </c>
    </row>
    <row r="127" spans="1:1">
      <c r="A127" t="str">
        <f>IF(ROW()&gt;Solver!$M$1,"",IF(AND(Solver!C128&lt;&gt;FALSE,Solver!$R$7=2),(1/Solver!C128),1)*IF(AND(Solver!C128&lt;&gt;FALSE,Solver!$R$7=3),(1/(Solver!C128^2)),1))</f>
        <v/>
      </c>
    </row>
    <row r="128" spans="1:1">
      <c r="A128" t="str">
        <f>IF(ROW()&gt;Solver!$M$1,"",IF(AND(Solver!C129&lt;&gt;FALSE,Solver!$R$7=2),(1/Solver!C129),1)*IF(AND(Solver!C129&lt;&gt;FALSE,Solver!$R$7=3),(1/(Solver!C129^2)),1))</f>
        <v/>
      </c>
    </row>
    <row r="129" spans="1:1">
      <c r="A129" t="str">
        <f>IF(ROW()&gt;Solver!$M$1,"",IF(AND(Solver!C130&lt;&gt;FALSE,Solver!$R$7=2),(1/Solver!C130),1)*IF(AND(Solver!C130&lt;&gt;FALSE,Solver!$R$7=3),(1/(Solver!C130^2)),1))</f>
        <v/>
      </c>
    </row>
    <row r="130" spans="1:1">
      <c r="A130" t="str">
        <f>IF(ROW()&gt;Solver!$M$1,"",IF(AND(Solver!C131&lt;&gt;FALSE,Solver!$R$7=2),(1/Solver!C131),1)*IF(AND(Solver!C131&lt;&gt;FALSE,Solver!$R$7=3),(1/(Solver!C131^2)),1))</f>
        <v/>
      </c>
    </row>
    <row r="131" spans="1:1">
      <c r="A131" t="str">
        <f>IF(ROW()&gt;Solver!$M$1,"",IF(AND(Solver!C132&lt;&gt;FALSE,Solver!$R$7=2),(1/Solver!C132),1)*IF(AND(Solver!C132&lt;&gt;FALSE,Solver!$R$7=3),(1/(Solver!C132^2)),1))</f>
        <v/>
      </c>
    </row>
    <row r="132" spans="1:1">
      <c r="A132" t="str">
        <f>IF(ROW()&gt;Solver!$M$1,"",IF(AND(Solver!C133&lt;&gt;FALSE,Solver!$R$7=2),(1/Solver!C133),1)*IF(AND(Solver!C133&lt;&gt;FALSE,Solver!$R$7=3),(1/(Solver!C133^2)),1))</f>
        <v/>
      </c>
    </row>
    <row r="133" spans="1:1">
      <c r="A133" t="str">
        <f>IF(ROW()&gt;Solver!$M$1,"",IF(AND(Solver!C134&lt;&gt;FALSE,Solver!$R$7=2),(1/Solver!C134),1)*IF(AND(Solver!C134&lt;&gt;FALSE,Solver!$R$7=3),(1/(Solver!C134^2)),1))</f>
        <v/>
      </c>
    </row>
    <row r="134" spans="1:1">
      <c r="A134" t="str">
        <f>IF(ROW()&gt;Solver!$M$1,"",IF(AND(Solver!C135&lt;&gt;FALSE,Solver!$R$7=2),(1/Solver!C135),1)*IF(AND(Solver!C135&lt;&gt;FALSE,Solver!$R$7=3),(1/(Solver!C135^2)),1))</f>
        <v/>
      </c>
    </row>
    <row r="135" spans="1:1">
      <c r="A135" t="str">
        <f>IF(ROW()&gt;Solver!$M$1,"",IF(AND(Solver!C136&lt;&gt;FALSE,Solver!$R$7=2),(1/Solver!C136),1)*IF(AND(Solver!C136&lt;&gt;FALSE,Solver!$R$7=3),(1/(Solver!C136^2)),1))</f>
        <v/>
      </c>
    </row>
    <row r="136" spans="1:1">
      <c r="A136" t="str">
        <f>IF(ROW()&gt;Solver!$M$1,"",IF(AND(Solver!C137&lt;&gt;FALSE,Solver!$R$7=2),(1/Solver!C137),1)*IF(AND(Solver!C137&lt;&gt;FALSE,Solver!$R$7=3),(1/(Solver!C137^2)),1))</f>
        <v/>
      </c>
    </row>
    <row r="137" spans="1:1">
      <c r="A137" t="str">
        <f>IF(ROW()&gt;Solver!$M$1,"",IF(AND(Solver!C138&lt;&gt;FALSE,Solver!$R$7=2),(1/Solver!C138),1)*IF(AND(Solver!C138&lt;&gt;FALSE,Solver!$R$7=3),(1/(Solver!C138^2)),1))</f>
        <v/>
      </c>
    </row>
    <row r="138" spans="1:1">
      <c r="A138" t="str">
        <f>IF(ROW()&gt;Solver!$M$1,"",IF(AND(Solver!C139&lt;&gt;FALSE,Solver!$R$7=2),(1/Solver!C139),1)*IF(AND(Solver!C139&lt;&gt;FALSE,Solver!$R$7=3),(1/(Solver!C139^2)),1))</f>
        <v/>
      </c>
    </row>
    <row r="139" spans="1:1">
      <c r="A139" t="str">
        <f>IF(ROW()&gt;Solver!$M$1,"",IF(AND(Solver!C140&lt;&gt;FALSE,Solver!$R$7=2),(1/Solver!C140),1)*IF(AND(Solver!C140&lt;&gt;FALSE,Solver!$R$7=3),(1/(Solver!C140^2)),1))</f>
        <v/>
      </c>
    </row>
    <row r="140" spans="1:1">
      <c r="A140" t="str">
        <f>IF(ROW()&gt;Solver!$M$1,"",IF(AND(Solver!C141&lt;&gt;FALSE,Solver!$R$7=2),(1/Solver!C141),1)*IF(AND(Solver!C141&lt;&gt;FALSE,Solver!$R$7=3),(1/(Solver!C141^2)),1))</f>
        <v/>
      </c>
    </row>
    <row r="141" spans="1:1">
      <c r="A141" t="str">
        <f>IF(ROW()&gt;Solver!$M$1,"",IF(AND(Solver!C142&lt;&gt;FALSE,Solver!$R$7=2),(1/Solver!C142),1)*IF(AND(Solver!C142&lt;&gt;FALSE,Solver!$R$7=3),(1/(Solver!C142^2)),1))</f>
        <v/>
      </c>
    </row>
    <row r="142" spans="1:1">
      <c r="A142" t="str">
        <f>IF(ROW()&gt;Solver!$M$1,"",IF(AND(Solver!C143&lt;&gt;FALSE,Solver!$R$7=2),(1/Solver!C143),1)*IF(AND(Solver!C143&lt;&gt;FALSE,Solver!$R$7=3),(1/(Solver!C143^2)),1))</f>
        <v/>
      </c>
    </row>
    <row r="143" spans="1:1">
      <c r="A143" t="str">
        <f>IF(ROW()&gt;Solver!$M$1,"",IF(AND(Solver!C144&lt;&gt;FALSE,Solver!$R$7=2),(1/Solver!C144),1)*IF(AND(Solver!C144&lt;&gt;FALSE,Solver!$R$7=3),(1/(Solver!C144^2)),1))</f>
        <v/>
      </c>
    </row>
    <row r="144" spans="1:1">
      <c r="A144" t="str">
        <f>IF(ROW()&gt;Solver!$M$1,"",IF(AND(Solver!C145&lt;&gt;FALSE,Solver!$R$7=2),(1/Solver!C145),1)*IF(AND(Solver!C145&lt;&gt;FALSE,Solver!$R$7=3),(1/(Solver!C145^2)),1))</f>
        <v/>
      </c>
    </row>
    <row r="145" spans="1:1">
      <c r="A145" t="str">
        <f>IF(ROW()&gt;Solver!$M$1,"",IF(AND(Solver!C146&lt;&gt;FALSE,Solver!$R$7=2),(1/Solver!C146),1)*IF(AND(Solver!C146&lt;&gt;FALSE,Solver!$R$7=3),(1/(Solver!C146^2)),1))</f>
        <v/>
      </c>
    </row>
    <row r="146" spans="1:1">
      <c r="A146" t="str">
        <f>IF(ROW()&gt;Solver!$M$1,"",IF(AND(Solver!C147&lt;&gt;FALSE,Solver!$R$7=2),(1/Solver!C147),1)*IF(AND(Solver!C147&lt;&gt;FALSE,Solver!$R$7=3),(1/(Solver!C147^2)),1))</f>
        <v/>
      </c>
    </row>
    <row r="147" spans="1:1">
      <c r="A147" t="str">
        <f>IF(ROW()&gt;Solver!$M$1,"",IF(AND(Solver!C148&lt;&gt;FALSE,Solver!$R$7=2),(1/Solver!C148),1)*IF(AND(Solver!C148&lt;&gt;FALSE,Solver!$R$7=3),(1/(Solver!C148^2)),1))</f>
        <v/>
      </c>
    </row>
    <row r="148" spans="1:1">
      <c r="A148" t="str">
        <f>IF(ROW()&gt;Solver!$M$1,"",IF(AND(Solver!C149&lt;&gt;FALSE,Solver!$R$7=2),(1/Solver!C149),1)*IF(AND(Solver!C149&lt;&gt;FALSE,Solver!$R$7=3),(1/(Solver!C149^2)),1))</f>
        <v/>
      </c>
    </row>
    <row r="149" spans="1:1">
      <c r="A149" t="str">
        <f>IF(ROW()&gt;Solver!$M$1,"",IF(AND(Solver!C150&lt;&gt;FALSE,Solver!$R$7=2),(1/Solver!C150),1)*IF(AND(Solver!C150&lt;&gt;FALSE,Solver!$R$7=3),(1/(Solver!C150^2)),1))</f>
        <v/>
      </c>
    </row>
    <row r="150" spans="1:1">
      <c r="A150" t="str">
        <f>IF(ROW()&gt;Solver!$M$1,"",IF(AND(Solver!C151&lt;&gt;FALSE,Solver!$R$7=2),(1/Solver!C151),1)*IF(AND(Solver!C151&lt;&gt;FALSE,Solver!$R$7=3),(1/(Solver!C151^2)),1))</f>
        <v/>
      </c>
    </row>
    <row r="151" spans="1:1">
      <c r="A151" t="str">
        <f>IF(ROW()&gt;Solver!$M$1,"",IF(AND(Solver!C152&lt;&gt;FALSE,Solver!$R$7=2),(1/Solver!C152),1)*IF(AND(Solver!C152&lt;&gt;FALSE,Solver!$R$7=3),(1/(Solver!C152^2)),1))</f>
        <v/>
      </c>
    </row>
    <row r="152" spans="1:1">
      <c r="A152" t="str">
        <f>IF(ROW()&gt;Solver!$M$1,"",IF(AND(Solver!C153&lt;&gt;FALSE,Solver!$R$7=2),(1/Solver!C153),1)*IF(AND(Solver!C153&lt;&gt;FALSE,Solver!$R$7=3),(1/(Solver!C153^2)),1))</f>
        <v/>
      </c>
    </row>
    <row r="153" spans="1:1">
      <c r="A153" t="str">
        <f>IF(ROW()&gt;Solver!$M$1,"",IF(AND(Solver!C154&lt;&gt;FALSE,Solver!$R$7=2),(1/Solver!C154),1)*IF(AND(Solver!C154&lt;&gt;FALSE,Solver!$R$7=3),(1/(Solver!C154^2)),1))</f>
        <v/>
      </c>
    </row>
    <row r="154" spans="1:1">
      <c r="A154" t="str">
        <f>IF(ROW()&gt;Solver!$M$1,"",IF(AND(Solver!C155&lt;&gt;FALSE,Solver!$R$7=2),(1/Solver!C155),1)*IF(AND(Solver!C155&lt;&gt;FALSE,Solver!$R$7=3),(1/(Solver!C155^2)),1))</f>
        <v/>
      </c>
    </row>
    <row r="155" spans="1:1">
      <c r="A155" t="str">
        <f>IF(ROW()&gt;Solver!$M$1,"",IF(AND(Solver!C156&lt;&gt;FALSE,Solver!$R$7=2),(1/Solver!C156),1)*IF(AND(Solver!C156&lt;&gt;FALSE,Solver!$R$7=3),(1/(Solver!C156^2)),1))</f>
        <v/>
      </c>
    </row>
    <row r="156" spans="1:1">
      <c r="A156" t="str">
        <f>IF(ROW()&gt;Solver!$M$1,"",IF(AND(Solver!C157&lt;&gt;FALSE,Solver!$R$7=2),(1/Solver!C157),1)*IF(AND(Solver!C157&lt;&gt;FALSE,Solver!$R$7=3),(1/(Solver!C157^2)),1))</f>
        <v/>
      </c>
    </row>
    <row r="157" spans="1:1">
      <c r="A157" t="str">
        <f>IF(ROW()&gt;Solver!$M$1,"",IF(AND(Solver!C158&lt;&gt;FALSE,Solver!$R$7=2),(1/Solver!C158),1)*IF(AND(Solver!C158&lt;&gt;FALSE,Solver!$R$7=3),(1/(Solver!C158^2)),1))</f>
        <v/>
      </c>
    </row>
    <row r="158" spans="1:1">
      <c r="A158" t="str">
        <f>IF(ROW()&gt;Solver!$M$1,"",IF(AND(Solver!C159&lt;&gt;FALSE,Solver!$R$7=2),(1/Solver!C159),1)*IF(AND(Solver!C159&lt;&gt;FALSE,Solver!$R$7=3),(1/(Solver!C159^2)),1))</f>
        <v/>
      </c>
    </row>
    <row r="159" spans="1:1">
      <c r="A159" t="str">
        <f>IF(ROW()&gt;Solver!$M$1,"",IF(AND(Solver!C160&lt;&gt;FALSE,Solver!$R$7=2),(1/Solver!C160),1)*IF(AND(Solver!C160&lt;&gt;FALSE,Solver!$R$7=3),(1/(Solver!C160^2)),1))</f>
        <v/>
      </c>
    </row>
    <row r="160" spans="1:1">
      <c r="A160" t="str">
        <f>IF(ROW()&gt;Solver!$M$1,"",IF(AND(Solver!C161&lt;&gt;FALSE,Solver!$R$7=2),(1/Solver!C161),1)*IF(AND(Solver!C161&lt;&gt;FALSE,Solver!$R$7=3),(1/(Solver!C161^2)),1))</f>
        <v/>
      </c>
    </row>
    <row r="161" spans="1:1">
      <c r="A161" t="str">
        <f>IF(ROW()&gt;Solver!$M$1,"",IF(AND(Solver!C162&lt;&gt;FALSE,Solver!$R$7=2),(1/Solver!C162),1)*IF(AND(Solver!C162&lt;&gt;FALSE,Solver!$R$7=3),(1/(Solver!C162^2)),1))</f>
        <v/>
      </c>
    </row>
    <row r="162" spans="1:1">
      <c r="A162" t="str">
        <f>IF(ROW()&gt;Solver!$M$1,"",IF(AND(Solver!C163&lt;&gt;FALSE,Solver!$R$7=2),(1/Solver!C163),1)*IF(AND(Solver!C163&lt;&gt;FALSE,Solver!$R$7=3),(1/(Solver!C163^2)),1))</f>
        <v/>
      </c>
    </row>
    <row r="163" spans="1:1">
      <c r="A163" t="str">
        <f>IF(ROW()&gt;Solver!$M$1,"",IF(AND(Solver!C164&lt;&gt;FALSE,Solver!$R$7=2),(1/Solver!C164),1)*IF(AND(Solver!C164&lt;&gt;FALSE,Solver!$R$7=3),(1/(Solver!C164^2)),1))</f>
        <v/>
      </c>
    </row>
    <row r="164" spans="1:1">
      <c r="A164" t="str">
        <f>IF(ROW()&gt;Solver!$M$1,"",IF(AND(Solver!C165&lt;&gt;FALSE,Solver!$R$7=2),(1/Solver!C165),1)*IF(AND(Solver!C165&lt;&gt;FALSE,Solver!$R$7=3),(1/(Solver!C165^2)),1))</f>
        <v/>
      </c>
    </row>
    <row r="165" spans="1:1">
      <c r="A165" t="str">
        <f>IF(ROW()&gt;Solver!$M$1,"",IF(AND(Solver!C166&lt;&gt;FALSE,Solver!$R$7=2),(1/Solver!C166),1)*IF(AND(Solver!C166&lt;&gt;FALSE,Solver!$R$7=3),(1/(Solver!C166^2)),1))</f>
        <v/>
      </c>
    </row>
    <row r="166" spans="1:1">
      <c r="A166" t="str">
        <f>IF(ROW()&gt;Solver!$M$1,"",IF(AND(Solver!C167&lt;&gt;FALSE,Solver!$R$7=2),(1/Solver!C167),1)*IF(AND(Solver!C167&lt;&gt;FALSE,Solver!$R$7=3),(1/(Solver!C167^2)),1))</f>
        <v/>
      </c>
    </row>
    <row r="167" spans="1:1">
      <c r="A167" t="str">
        <f>IF(ROW()&gt;Solver!$M$1,"",IF(AND(Solver!C168&lt;&gt;FALSE,Solver!$R$7=2),(1/Solver!C168),1)*IF(AND(Solver!C168&lt;&gt;FALSE,Solver!$R$7=3),(1/(Solver!C168^2)),1))</f>
        <v/>
      </c>
    </row>
    <row r="168" spans="1:1">
      <c r="A168" t="str">
        <f>IF(ROW()&gt;Solver!$M$1,"",IF(AND(Solver!C169&lt;&gt;FALSE,Solver!$R$7=2),(1/Solver!C169),1)*IF(AND(Solver!C169&lt;&gt;FALSE,Solver!$R$7=3),(1/(Solver!C169^2)),1))</f>
        <v/>
      </c>
    </row>
    <row r="169" spans="1:1">
      <c r="A169" t="str">
        <f>IF(ROW()&gt;Solver!$M$1,"",IF(AND(Solver!C170&lt;&gt;FALSE,Solver!$R$7=2),(1/Solver!C170),1)*IF(AND(Solver!C170&lt;&gt;FALSE,Solver!$R$7=3),(1/(Solver!C170^2)),1))</f>
        <v/>
      </c>
    </row>
    <row r="170" spans="1:1">
      <c r="A170" t="str">
        <f>IF(ROW()&gt;Solver!$M$1,"",IF(AND(Solver!C171&lt;&gt;FALSE,Solver!$R$7=2),(1/Solver!C171),1)*IF(AND(Solver!C171&lt;&gt;FALSE,Solver!$R$7=3),(1/(Solver!C171^2)),1))</f>
        <v/>
      </c>
    </row>
    <row r="171" spans="1:1">
      <c r="A171" t="str">
        <f>IF(ROW()&gt;Solver!$M$1,"",IF(AND(Solver!C172&lt;&gt;FALSE,Solver!$R$7=2),(1/Solver!C172),1)*IF(AND(Solver!C172&lt;&gt;FALSE,Solver!$R$7=3),(1/(Solver!C172^2)),1))</f>
        <v/>
      </c>
    </row>
    <row r="172" spans="1:1">
      <c r="A172" t="str">
        <f>IF(ROW()&gt;Solver!$M$1,"",IF(AND(Solver!C173&lt;&gt;FALSE,Solver!$R$7=2),(1/Solver!C173),1)*IF(AND(Solver!C173&lt;&gt;FALSE,Solver!$R$7=3),(1/(Solver!C173^2)),1))</f>
        <v/>
      </c>
    </row>
    <row r="173" spans="1:1">
      <c r="A173" t="str">
        <f>IF(ROW()&gt;Solver!$M$1,"",IF(AND(Solver!C174&lt;&gt;FALSE,Solver!$R$7=2),(1/Solver!C174),1)*IF(AND(Solver!C174&lt;&gt;FALSE,Solver!$R$7=3),(1/(Solver!C174^2)),1))</f>
        <v/>
      </c>
    </row>
    <row r="174" spans="1:1">
      <c r="A174" t="str">
        <f>IF(ROW()&gt;Solver!$M$1,"",IF(AND(Solver!C175&lt;&gt;FALSE,Solver!$R$7=2),(1/Solver!C175),1)*IF(AND(Solver!C175&lt;&gt;FALSE,Solver!$R$7=3),(1/(Solver!C175^2)),1))</f>
        <v/>
      </c>
    </row>
    <row r="175" spans="1:1">
      <c r="A175" t="str">
        <f>IF(ROW()&gt;Solver!$M$1,"",IF(AND(Solver!C176&lt;&gt;FALSE,Solver!$R$7=2),(1/Solver!C176),1)*IF(AND(Solver!C176&lt;&gt;FALSE,Solver!$R$7=3),(1/(Solver!C176^2)),1))</f>
        <v/>
      </c>
    </row>
    <row r="176" spans="1:1">
      <c r="A176" t="str">
        <f>IF(ROW()&gt;Solver!$M$1,"",IF(AND(Solver!C177&lt;&gt;FALSE,Solver!$R$7=2),(1/Solver!C177),1)*IF(AND(Solver!C177&lt;&gt;FALSE,Solver!$R$7=3),(1/(Solver!C177^2)),1))</f>
        <v/>
      </c>
    </row>
    <row r="177" spans="1:1">
      <c r="A177" t="str">
        <f>IF(ROW()&gt;Solver!$M$1,"",IF(AND(Solver!C178&lt;&gt;FALSE,Solver!$R$7=2),(1/Solver!C178),1)*IF(AND(Solver!C178&lt;&gt;FALSE,Solver!$R$7=3),(1/(Solver!C178^2)),1))</f>
        <v/>
      </c>
    </row>
    <row r="178" spans="1:1">
      <c r="A178" t="str">
        <f>IF(ROW()&gt;Solver!$M$1,"",IF(AND(Solver!C179&lt;&gt;FALSE,Solver!$R$7=2),(1/Solver!C179),1)*IF(AND(Solver!C179&lt;&gt;FALSE,Solver!$R$7=3),(1/(Solver!C179^2)),1))</f>
        <v/>
      </c>
    </row>
    <row r="179" spans="1:1">
      <c r="A179" t="str">
        <f>IF(ROW()&gt;Solver!$M$1,"",IF(AND(Solver!C180&lt;&gt;FALSE,Solver!$R$7=2),(1/Solver!C180),1)*IF(AND(Solver!C180&lt;&gt;FALSE,Solver!$R$7=3),(1/(Solver!C180^2)),1))</f>
        <v/>
      </c>
    </row>
    <row r="180" spans="1:1">
      <c r="A180" t="str">
        <f>IF(ROW()&gt;Solver!$M$1,"",IF(AND(Solver!C181&lt;&gt;FALSE,Solver!$R$7=2),(1/Solver!C181),1)*IF(AND(Solver!C181&lt;&gt;FALSE,Solver!$R$7=3),(1/(Solver!C181^2)),1))</f>
        <v/>
      </c>
    </row>
    <row r="181" spans="1:1">
      <c r="A181" t="str">
        <f>IF(ROW()&gt;Solver!$M$1,"",IF(AND(Solver!C182&lt;&gt;FALSE,Solver!$R$7=2),(1/Solver!C182),1)*IF(AND(Solver!C182&lt;&gt;FALSE,Solver!$R$7=3),(1/(Solver!C182^2)),1))</f>
        <v/>
      </c>
    </row>
    <row r="182" spans="1:1">
      <c r="A182" t="str">
        <f>IF(ROW()&gt;Solver!$M$1,"",IF(AND(Solver!C183&lt;&gt;FALSE,Solver!$R$7=2),(1/Solver!C183),1)*IF(AND(Solver!C183&lt;&gt;FALSE,Solver!$R$7=3),(1/(Solver!C183^2)),1))</f>
        <v/>
      </c>
    </row>
    <row r="183" spans="1:1">
      <c r="A183" t="str">
        <f>IF(ROW()&gt;Solver!$M$1,"",IF(AND(Solver!C184&lt;&gt;FALSE,Solver!$R$7=2),(1/Solver!C184),1)*IF(AND(Solver!C184&lt;&gt;FALSE,Solver!$R$7=3),(1/(Solver!C184^2)),1))</f>
        <v/>
      </c>
    </row>
    <row r="184" spans="1:1">
      <c r="A184" t="str">
        <f>IF(ROW()&gt;Solver!$M$1,"",IF(AND(Solver!C185&lt;&gt;FALSE,Solver!$R$7=2),(1/Solver!C185),1)*IF(AND(Solver!C185&lt;&gt;FALSE,Solver!$R$7=3),(1/(Solver!C185^2)),1))</f>
        <v/>
      </c>
    </row>
    <row r="185" spans="1:1">
      <c r="A185" t="str">
        <f>IF(ROW()&gt;Solver!$M$1,"",IF(AND(Solver!C186&lt;&gt;FALSE,Solver!$R$7=2),(1/Solver!C186),1)*IF(AND(Solver!C186&lt;&gt;FALSE,Solver!$R$7=3),(1/(Solver!C186^2)),1))</f>
        <v/>
      </c>
    </row>
    <row r="186" spans="1:1">
      <c r="A186" t="str">
        <f>IF(ROW()&gt;Solver!$M$1,"",IF(AND(Solver!C187&lt;&gt;FALSE,Solver!$R$7=2),(1/Solver!C187),1)*IF(AND(Solver!C187&lt;&gt;FALSE,Solver!$R$7=3),(1/(Solver!C187^2)),1))</f>
        <v/>
      </c>
    </row>
    <row r="187" spans="1:1">
      <c r="A187" t="str">
        <f>IF(ROW()&gt;Solver!$M$1,"",IF(AND(Solver!C188&lt;&gt;FALSE,Solver!$R$7=2),(1/Solver!C188),1)*IF(AND(Solver!C188&lt;&gt;FALSE,Solver!$R$7=3),(1/(Solver!C188^2)),1))</f>
        <v/>
      </c>
    </row>
    <row r="188" spans="1:1">
      <c r="A188" t="str">
        <f>IF(ROW()&gt;Solver!$M$1,"",IF(AND(Solver!C189&lt;&gt;FALSE,Solver!$R$7=2),(1/Solver!C189),1)*IF(AND(Solver!C189&lt;&gt;FALSE,Solver!$R$7=3),(1/(Solver!C189^2)),1))</f>
        <v/>
      </c>
    </row>
    <row r="189" spans="1:1">
      <c r="A189" t="str">
        <f>IF(ROW()&gt;Solver!$M$1,"",IF(AND(Solver!C190&lt;&gt;FALSE,Solver!$R$7=2),(1/Solver!C190),1)*IF(AND(Solver!C190&lt;&gt;FALSE,Solver!$R$7=3),(1/(Solver!C190^2)),1))</f>
        <v/>
      </c>
    </row>
    <row r="190" spans="1:1">
      <c r="A190" t="str">
        <f>IF(ROW()&gt;Solver!$M$1,"",IF(AND(Solver!C191&lt;&gt;FALSE,Solver!$R$7=2),(1/Solver!C191),1)*IF(AND(Solver!C191&lt;&gt;FALSE,Solver!$R$7=3),(1/(Solver!C191^2)),1))</f>
        <v/>
      </c>
    </row>
    <row r="191" spans="1:1">
      <c r="A191" t="str">
        <f>IF(ROW()&gt;Solver!$M$1,"",IF(AND(Solver!C192&lt;&gt;FALSE,Solver!$R$7=2),(1/Solver!C192),1)*IF(AND(Solver!C192&lt;&gt;FALSE,Solver!$R$7=3),(1/(Solver!C192^2)),1))</f>
        <v/>
      </c>
    </row>
    <row r="192" spans="1:1">
      <c r="A192" t="str">
        <f>IF(ROW()&gt;Solver!$M$1,"",IF(AND(Solver!C193&lt;&gt;FALSE,Solver!$R$7=2),(1/Solver!C193),1)*IF(AND(Solver!C193&lt;&gt;FALSE,Solver!$R$7=3),(1/(Solver!C193^2)),1))</f>
        <v/>
      </c>
    </row>
    <row r="193" spans="1:1">
      <c r="A193" t="str">
        <f>IF(ROW()&gt;Solver!$M$1,"",IF(AND(Solver!C194&lt;&gt;FALSE,Solver!$R$7=2),(1/Solver!C194),1)*IF(AND(Solver!C194&lt;&gt;FALSE,Solver!$R$7=3),(1/(Solver!C194^2)),1))</f>
        <v/>
      </c>
    </row>
    <row r="194" spans="1:1">
      <c r="A194" t="str">
        <f>IF(ROW()&gt;Solver!$M$1,"",IF(AND(Solver!C195&lt;&gt;FALSE,Solver!$R$7=2),(1/Solver!C195),1)*IF(AND(Solver!C195&lt;&gt;FALSE,Solver!$R$7=3),(1/(Solver!C195^2)),1))</f>
        <v/>
      </c>
    </row>
    <row r="195" spans="1:1">
      <c r="A195" t="str">
        <f>IF(ROW()&gt;Solver!$M$1,"",IF(AND(Solver!C196&lt;&gt;FALSE,Solver!$R$7=2),(1/Solver!C196),1)*IF(AND(Solver!C196&lt;&gt;FALSE,Solver!$R$7=3),(1/(Solver!C196^2)),1))</f>
        <v/>
      </c>
    </row>
    <row r="196" spans="1:1">
      <c r="A196" t="str">
        <f>IF(ROW()&gt;Solver!$M$1,"",IF(AND(Solver!C197&lt;&gt;FALSE,Solver!$R$7=2),(1/Solver!C197),1)*IF(AND(Solver!C197&lt;&gt;FALSE,Solver!$R$7=3),(1/(Solver!C197^2)),1))</f>
        <v/>
      </c>
    </row>
    <row r="197" spans="1:1">
      <c r="A197" t="str">
        <f>IF(ROW()&gt;Solver!$M$1,"",IF(AND(Solver!C198&lt;&gt;FALSE,Solver!$R$7=2),(1/Solver!C198),1)*IF(AND(Solver!C198&lt;&gt;FALSE,Solver!$R$7=3),(1/(Solver!C198^2)),1))</f>
        <v/>
      </c>
    </row>
    <row r="198" spans="1:1">
      <c r="A198" t="str">
        <f>IF(ROW()&gt;Solver!$M$1,"",IF(AND(Solver!C199&lt;&gt;FALSE,Solver!$R$7=2),(1/Solver!C199),1)*IF(AND(Solver!C199&lt;&gt;FALSE,Solver!$R$7=3),(1/(Solver!C199^2)),1))</f>
        <v/>
      </c>
    </row>
    <row r="199" spans="1:1">
      <c r="A199" t="str">
        <f>IF(ROW()&gt;Solver!$M$1,"",IF(AND(Solver!C200&lt;&gt;FALSE,Solver!$R$7=2),(1/Solver!C200),1)*IF(AND(Solver!C200&lt;&gt;FALSE,Solver!$R$7=3),(1/(Solver!C200^2)),1))</f>
        <v/>
      </c>
    </row>
    <row r="200" spans="1:1">
      <c r="A200" t="str">
        <f>IF(ROW()&gt;Solver!$M$1,"",IF(AND(Solver!C201&lt;&gt;FALSE,Solver!$R$7=2),(1/Solver!C201),1)*IF(AND(Solver!C201&lt;&gt;FALSE,Solver!$R$7=3),(1/(Solver!C201^2)),1))</f>
        <v/>
      </c>
    </row>
    <row r="201" spans="1:1">
      <c r="A201" t="str">
        <f>IF(ROW()&gt;Solver!$M$1,"",IF(AND(Solver!C202&lt;&gt;FALSE,Solver!$R$7=2),(1/Solver!C202),1)*IF(AND(Solver!C202&lt;&gt;FALSE,Solver!$R$7=3),(1/(Solver!C202^2)),1))</f>
        <v/>
      </c>
    </row>
    <row r="202" spans="1:1">
      <c r="A202" t="str">
        <f>IF(ROW()&gt;Solver!$M$1,"",IF(AND(Solver!C203&lt;&gt;FALSE,Solver!$R$7=2),(1/Solver!C203),1)*IF(AND(Solver!C203&lt;&gt;FALSE,Solver!$R$7=3),(1/(Solver!C203^2)),1))</f>
        <v/>
      </c>
    </row>
    <row r="203" spans="1:1">
      <c r="A203" t="str">
        <f>IF(ROW()&gt;Solver!$M$1,"",IF(AND(Solver!C204&lt;&gt;FALSE,Solver!$R$7=2),(1/Solver!C204),1)*IF(AND(Solver!C204&lt;&gt;FALSE,Solver!$R$7=3),(1/(Solver!C204^2)),1))</f>
        <v/>
      </c>
    </row>
    <row r="204" spans="1:1">
      <c r="A204" t="str">
        <f>IF(ROW()&gt;Solver!$M$1,"",IF(AND(Solver!C205&lt;&gt;FALSE,Solver!$R$7=2),(1/Solver!C205),1)*IF(AND(Solver!C205&lt;&gt;FALSE,Solver!$R$7=3),(1/(Solver!C205^2)),1))</f>
        <v/>
      </c>
    </row>
    <row r="205" spans="1:1">
      <c r="A205" t="str">
        <f>IF(ROW()&gt;Solver!$M$1,"",IF(AND(Solver!C206&lt;&gt;FALSE,Solver!$R$7=2),(1/Solver!C206),1)*IF(AND(Solver!C206&lt;&gt;FALSE,Solver!$R$7=3),(1/(Solver!C206^2)),1))</f>
        <v/>
      </c>
    </row>
    <row r="206" spans="1:1">
      <c r="A206" t="str">
        <f>IF(ROW()&gt;Solver!$M$1,"",IF(AND(Solver!C207&lt;&gt;FALSE,Solver!$R$7=2),(1/Solver!C207),1)*IF(AND(Solver!C207&lt;&gt;FALSE,Solver!$R$7=3),(1/(Solver!C207^2)),1))</f>
        <v/>
      </c>
    </row>
    <row r="207" spans="1:1">
      <c r="A207" t="str">
        <f>IF(ROW()&gt;Solver!$M$1,"",IF(AND(Solver!C208&lt;&gt;FALSE,Solver!$R$7=2),(1/Solver!C208),1)*IF(AND(Solver!C208&lt;&gt;FALSE,Solver!$R$7=3),(1/(Solver!C208^2)),1))</f>
        <v/>
      </c>
    </row>
    <row r="208" spans="1:1">
      <c r="A208" t="str">
        <f>IF(ROW()&gt;Solver!$M$1,"",IF(AND(Solver!C209&lt;&gt;FALSE,Solver!$R$7=2),(1/Solver!C209),1)*IF(AND(Solver!C209&lt;&gt;FALSE,Solver!$R$7=3),(1/(Solver!C209^2)),1))</f>
        <v/>
      </c>
    </row>
    <row r="209" spans="1:1">
      <c r="A209" t="str">
        <f>IF(ROW()&gt;Solver!$M$1,"",IF(AND(Solver!C210&lt;&gt;FALSE,Solver!$R$7=2),(1/Solver!C210),1)*IF(AND(Solver!C210&lt;&gt;FALSE,Solver!$R$7=3),(1/(Solver!C210^2)),1))</f>
        <v/>
      </c>
    </row>
    <row r="210" spans="1:1">
      <c r="A210" t="str">
        <f>IF(ROW()&gt;Solver!$M$1,"",IF(AND(Solver!C211&lt;&gt;FALSE,Solver!$R$7=2),(1/Solver!C211),1)*IF(AND(Solver!C211&lt;&gt;FALSE,Solver!$R$7=3),(1/(Solver!C211^2)),1))</f>
        <v/>
      </c>
    </row>
    <row r="211" spans="1:1">
      <c r="A211" t="str">
        <f>IF(ROW()&gt;Solver!$M$1,"",IF(AND(Solver!C212&lt;&gt;FALSE,Solver!$R$7=2),(1/Solver!C212),1)*IF(AND(Solver!C212&lt;&gt;FALSE,Solver!$R$7=3),(1/(Solver!C212^2)),1))</f>
        <v/>
      </c>
    </row>
    <row r="212" spans="1:1">
      <c r="A212" t="str">
        <f>IF(ROW()&gt;Solver!$M$1,"",IF(AND(Solver!C213&lt;&gt;FALSE,Solver!$R$7=2),(1/Solver!C213),1)*IF(AND(Solver!C213&lt;&gt;FALSE,Solver!$R$7=3),(1/(Solver!C213^2)),1))</f>
        <v/>
      </c>
    </row>
    <row r="213" spans="1:1">
      <c r="A213" t="str">
        <f>IF(ROW()&gt;Solver!$M$1,"",IF(AND(Solver!C214&lt;&gt;FALSE,Solver!$R$7=2),(1/Solver!C214),1)*IF(AND(Solver!C214&lt;&gt;FALSE,Solver!$R$7=3),(1/(Solver!C214^2)),1))</f>
        <v/>
      </c>
    </row>
    <row r="214" spans="1:1">
      <c r="A214" t="str">
        <f>IF(ROW()&gt;Solver!$M$1,"",IF(AND(Solver!C215&lt;&gt;FALSE,Solver!$R$7=2),(1/Solver!C215),1)*IF(AND(Solver!C215&lt;&gt;FALSE,Solver!$R$7=3),(1/(Solver!C215^2)),1))</f>
        <v/>
      </c>
    </row>
    <row r="215" spans="1:1">
      <c r="A215" t="str">
        <f>IF(ROW()&gt;Solver!$M$1,"",IF(AND(Solver!C216&lt;&gt;FALSE,Solver!$R$7=2),(1/Solver!C216),1)*IF(AND(Solver!C216&lt;&gt;FALSE,Solver!$R$7=3),(1/(Solver!C216^2)),1))</f>
        <v/>
      </c>
    </row>
    <row r="216" spans="1:1">
      <c r="A216" t="str">
        <f>IF(ROW()&gt;Solver!$M$1,"",IF(AND(Solver!C217&lt;&gt;FALSE,Solver!$R$7=2),(1/Solver!C217),1)*IF(AND(Solver!C217&lt;&gt;FALSE,Solver!$R$7=3),(1/(Solver!C217^2)),1))</f>
        <v/>
      </c>
    </row>
    <row r="217" spans="1:1">
      <c r="A217" t="str">
        <f>IF(ROW()&gt;Solver!$M$1,"",IF(AND(Solver!C218&lt;&gt;FALSE,Solver!$R$7=2),(1/Solver!C218),1)*IF(AND(Solver!C218&lt;&gt;FALSE,Solver!$R$7=3),(1/(Solver!C218^2)),1))</f>
        <v/>
      </c>
    </row>
    <row r="218" spans="1:1">
      <c r="A218" t="str">
        <f>IF(ROW()&gt;Solver!$M$1,"",IF(AND(Solver!C219&lt;&gt;FALSE,Solver!$R$7=2),(1/Solver!C219),1)*IF(AND(Solver!C219&lt;&gt;FALSE,Solver!$R$7=3),(1/(Solver!C219^2)),1))</f>
        <v/>
      </c>
    </row>
    <row r="219" spans="1:1">
      <c r="A219" t="str">
        <f>IF(ROW()&gt;Solver!$M$1,"",IF(AND(Solver!C220&lt;&gt;FALSE,Solver!$R$7=2),(1/Solver!C220),1)*IF(AND(Solver!C220&lt;&gt;FALSE,Solver!$R$7=3),(1/(Solver!C220^2)),1))</f>
        <v/>
      </c>
    </row>
    <row r="220" spans="1:1">
      <c r="A220" t="str">
        <f>IF(ROW()&gt;Solver!$M$1,"",IF(AND(Solver!C221&lt;&gt;FALSE,Solver!$R$7=2),(1/Solver!C221),1)*IF(AND(Solver!C221&lt;&gt;FALSE,Solver!$R$7=3),(1/(Solver!C221^2)),1))</f>
        <v/>
      </c>
    </row>
    <row r="221" spans="1:1">
      <c r="A221" t="str">
        <f>IF(ROW()&gt;Solver!$M$1,"",IF(AND(Solver!C222&lt;&gt;FALSE,Solver!$R$7=2),(1/Solver!C222),1)*IF(AND(Solver!C222&lt;&gt;FALSE,Solver!$R$7=3),(1/(Solver!C222^2)),1))</f>
        <v/>
      </c>
    </row>
    <row r="222" spans="1:1">
      <c r="A222" t="str">
        <f>IF(ROW()&gt;Solver!$M$1,"",IF(AND(Solver!C223&lt;&gt;FALSE,Solver!$R$7=2),(1/Solver!C223),1)*IF(AND(Solver!C223&lt;&gt;FALSE,Solver!$R$7=3),(1/(Solver!C223^2)),1))</f>
        <v/>
      </c>
    </row>
    <row r="223" spans="1:1">
      <c r="A223" t="str">
        <f>IF(ROW()&gt;Solver!$M$1,"",IF(AND(Solver!C224&lt;&gt;FALSE,Solver!$R$7=2),(1/Solver!C224),1)*IF(AND(Solver!C224&lt;&gt;FALSE,Solver!$R$7=3),(1/(Solver!C224^2)),1))</f>
        <v/>
      </c>
    </row>
    <row r="224" spans="1:1">
      <c r="A224" t="str">
        <f>IF(ROW()&gt;Solver!$M$1,"",IF(AND(Solver!C225&lt;&gt;FALSE,Solver!$R$7=2),(1/Solver!C225),1)*IF(AND(Solver!C225&lt;&gt;FALSE,Solver!$R$7=3),(1/(Solver!C225^2)),1))</f>
        <v/>
      </c>
    </row>
    <row r="225" spans="1:1">
      <c r="A225" t="str">
        <f>IF(ROW()&gt;Solver!$M$1,"",IF(AND(Solver!C226&lt;&gt;FALSE,Solver!$R$7=2),(1/Solver!C226),1)*IF(AND(Solver!C226&lt;&gt;FALSE,Solver!$R$7=3),(1/(Solver!C226^2)),1))</f>
        <v/>
      </c>
    </row>
    <row r="226" spans="1:1">
      <c r="A226" t="str">
        <f>IF(ROW()&gt;Solver!$M$1,"",IF(AND(Solver!C227&lt;&gt;FALSE,Solver!$R$7=2),(1/Solver!C227),1)*IF(AND(Solver!C227&lt;&gt;FALSE,Solver!$R$7=3),(1/(Solver!C227^2)),1))</f>
        <v/>
      </c>
    </row>
    <row r="227" spans="1:1">
      <c r="A227" t="str">
        <f>IF(ROW()&gt;Solver!$M$1,"",IF(AND(Solver!C228&lt;&gt;FALSE,Solver!$R$7=2),(1/Solver!C228),1)*IF(AND(Solver!C228&lt;&gt;FALSE,Solver!$R$7=3),(1/(Solver!C228^2)),1))</f>
        <v/>
      </c>
    </row>
    <row r="228" spans="1:1">
      <c r="A228" t="str">
        <f>IF(ROW()&gt;Solver!$M$1,"",IF(AND(Solver!C229&lt;&gt;FALSE,Solver!$R$7=2),(1/Solver!C229),1)*IF(AND(Solver!C229&lt;&gt;FALSE,Solver!$R$7=3),(1/(Solver!C229^2)),1))</f>
        <v/>
      </c>
    </row>
    <row r="229" spans="1:1">
      <c r="A229" t="str">
        <f>IF(ROW()&gt;Solver!$M$1,"",IF(AND(Solver!C230&lt;&gt;FALSE,Solver!$R$7=2),(1/Solver!C230),1)*IF(AND(Solver!C230&lt;&gt;FALSE,Solver!$R$7=3),(1/(Solver!C230^2)),1))</f>
        <v/>
      </c>
    </row>
    <row r="230" spans="1:1">
      <c r="A230" t="str">
        <f>IF(ROW()&gt;Solver!$M$1,"",IF(AND(Solver!C231&lt;&gt;FALSE,Solver!$R$7=2),(1/Solver!C231),1)*IF(AND(Solver!C231&lt;&gt;FALSE,Solver!$R$7=3),(1/(Solver!C231^2)),1))</f>
        <v/>
      </c>
    </row>
    <row r="231" spans="1:1">
      <c r="A231" t="str">
        <f>IF(ROW()&gt;Solver!$M$1,"",IF(AND(Solver!C232&lt;&gt;FALSE,Solver!$R$7=2),(1/Solver!C232),1)*IF(AND(Solver!C232&lt;&gt;FALSE,Solver!$R$7=3),(1/(Solver!C232^2)),1))</f>
        <v/>
      </c>
    </row>
    <row r="232" spans="1:1">
      <c r="A232" t="str">
        <f>IF(ROW()&gt;Solver!$M$1,"",IF(AND(Solver!C233&lt;&gt;FALSE,Solver!$R$7=2),(1/Solver!C233),1)*IF(AND(Solver!C233&lt;&gt;FALSE,Solver!$R$7=3),(1/(Solver!C233^2)),1))</f>
        <v/>
      </c>
    </row>
    <row r="233" spans="1:1">
      <c r="A233" t="str">
        <f>IF(ROW()&gt;Solver!$M$1,"",IF(AND(Solver!C234&lt;&gt;FALSE,Solver!$R$7=2),(1/Solver!C234),1)*IF(AND(Solver!C234&lt;&gt;FALSE,Solver!$R$7=3),(1/(Solver!C234^2)),1))</f>
        <v/>
      </c>
    </row>
    <row r="234" spans="1:1">
      <c r="A234" t="str">
        <f>IF(ROW()&gt;Solver!$M$1,"",IF(AND(Solver!C235&lt;&gt;FALSE,Solver!$R$7=2),(1/Solver!C235),1)*IF(AND(Solver!C235&lt;&gt;FALSE,Solver!$R$7=3),(1/(Solver!C235^2)),1))</f>
        <v/>
      </c>
    </row>
    <row r="235" spans="1:1">
      <c r="A235" t="str">
        <f>IF(ROW()&gt;Solver!$M$1,"",IF(AND(Solver!C236&lt;&gt;FALSE,Solver!$R$7=2),(1/Solver!C236),1)*IF(AND(Solver!C236&lt;&gt;FALSE,Solver!$R$7=3),(1/(Solver!C236^2)),1))</f>
        <v/>
      </c>
    </row>
    <row r="236" spans="1:1">
      <c r="A236" t="str">
        <f>IF(ROW()&gt;Solver!$M$1,"",IF(AND(Solver!C237&lt;&gt;FALSE,Solver!$R$7=2),(1/Solver!C237),1)*IF(AND(Solver!C237&lt;&gt;FALSE,Solver!$R$7=3),(1/(Solver!C237^2)),1))</f>
        <v/>
      </c>
    </row>
    <row r="237" spans="1:1">
      <c r="A237" t="str">
        <f>IF(ROW()&gt;Solver!$M$1,"",IF(AND(Solver!C238&lt;&gt;FALSE,Solver!$R$7=2),(1/Solver!C238),1)*IF(AND(Solver!C238&lt;&gt;FALSE,Solver!$R$7=3),(1/(Solver!C238^2)),1))</f>
        <v/>
      </c>
    </row>
    <row r="238" spans="1:1">
      <c r="A238" t="str">
        <f>IF(ROW()&gt;Solver!$M$1,"",IF(AND(Solver!C239&lt;&gt;FALSE,Solver!$R$7=2),(1/Solver!C239),1)*IF(AND(Solver!C239&lt;&gt;FALSE,Solver!$R$7=3),(1/(Solver!C239^2)),1))</f>
        <v/>
      </c>
    </row>
    <row r="239" spans="1:1">
      <c r="A239" t="str">
        <f>IF(ROW()&gt;Solver!$M$1,"",IF(AND(Solver!C240&lt;&gt;FALSE,Solver!$R$7=2),(1/Solver!C240),1)*IF(AND(Solver!C240&lt;&gt;FALSE,Solver!$R$7=3),(1/(Solver!C240^2)),1))</f>
        <v/>
      </c>
    </row>
    <row r="240" spans="1:1">
      <c r="A240" t="str">
        <f>IF(ROW()&gt;Solver!$M$1,"",IF(AND(Solver!C241&lt;&gt;FALSE,Solver!$R$7=2),(1/Solver!C241),1)*IF(AND(Solver!C241&lt;&gt;FALSE,Solver!$R$7=3),(1/(Solver!C241^2)),1))</f>
        <v/>
      </c>
    </row>
    <row r="241" spans="1:1">
      <c r="A241" t="str">
        <f>IF(ROW()&gt;Solver!$M$1,"",IF(AND(Solver!C242&lt;&gt;FALSE,Solver!$R$7=2),(1/Solver!C242),1)*IF(AND(Solver!C242&lt;&gt;FALSE,Solver!$R$7=3),(1/(Solver!C242^2)),1))</f>
        <v/>
      </c>
    </row>
    <row r="242" spans="1:1">
      <c r="A242" t="str">
        <f>IF(ROW()&gt;Solver!$M$1,"",IF(AND(Solver!C243&lt;&gt;FALSE,Solver!$R$7=2),(1/Solver!C243),1)*IF(AND(Solver!C243&lt;&gt;FALSE,Solver!$R$7=3),(1/(Solver!C243^2)),1))</f>
        <v/>
      </c>
    </row>
    <row r="243" spans="1:1">
      <c r="A243" t="str">
        <f>IF(ROW()&gt;Solver!$M$1,"",IF(AND(Solver!C244&lt;&gt;FALSE,Solver!$R$7=2),(1/Solver!C244),1)*IF(AND(Solver!C244&lt;&gt;FALSE,Solver!$R$7=3),(1/(Solver!C244^2)),1))</f>
        <v/>
      </c>
    </row>
    <row r="244" spans="1:1">
      <c r="A244" t="str">
        <f>IF(ROW()&gt;Solver!$M$1,"",IF(AND(Solver!C245&lt;&gt;FALSE,Solver!$R$7=2),(1/Solver!C245),1)*IF(AND(Solver!C245&lt;&gt;FALSE,Solver!$R$7=3),(1/(Solver!C245^2)),1))</f>
        <v/>
      </c>
    </row>
    <row r="245" spans="1:1">
      <c r="A245" t="str">
        <f>IF(ROW()&gt;Solver!$M$1,"",IF(AND(Solver!C246&lt;&gt;FALSE,Solver!$R$7=2),(1/Solver!C246),1)*IF(AND(Solver!C246&lt;&gt;FALSE,Solver!$R$7=3),(1/(Solver!C246^2)),1))</f>
        <v/>
      </c>
    </row>
    <row r="246" spans="1:1">
      <c r="A246" t="str">
        <f>IF(ROW()&gt;Solver!$M$1,"",IF(AND(Solver!C247&lt;&gt;FALSE,Solver!$R$7=2),(1/Solver!C247),1)*IF(AND(Solver!C247&lt;&gt;FALSE,Solver!$R$7=3),(1/(Solver!C247^2)),1))</f>
        <v/>
      </c>
    </row>
    <row r="247" spans="1:1">
      <c r="A247" t="str">
        <f>IF(ROW()&gt;Solver!$M$1,"",IF(AND(Solver!C248&lt;&gt;FALSE,Solver!$R$7=2),(1/Solver!C248),1)*IF(AND(Solver!C248&lt;&gt;FALSE,Solver!$R$7=3),(1/(Solver!C248^2)),1))</f>
        <v/>
      </c>
    </row>
    <row r="248" spans="1:1">
      <c r="A248" t="str">
        <f>IF(ROW()&gt;Solver!$M$1,"",IF(AND(Solver!C249&lt;&gt;FALSE,Solver!$R$7=2),(1/Solver!C249),1)*IF(AND(Solver!C249&lt;&gt;FALSE,Solver!$R$7=3),(1/(Solver!C249^2)),1))</f>
        <v/>
      </c>
    </row>
    <row r="249" spans="1:1">
      <c r="A249" t="str">
        <f>IF(ROW()&gt;Solver!$M$1,"",IF(AND(Solver!C250&lt;&gt;FALSE,Solver!$R$7=2),(1/Solver!C250),1)*IF(AND(Solver!C250&lt;&gt;FALSE,Solver!$R$7=3),(1/(Solver!C250^2)),1))</f>
        <v/>
      </c>
    </row>
    <row r="250" spans="1:1">
      <c r="A250" t="str">
        <f>IF(ROW()&gt;Solver!$M$1,"",IF(AND(Solver!C251&lt;&gt;FALSE,Solver!$R$7=2),(1/Solver!C251),1)*IF(AND(Solver!C251&lt;&gt;FALSE,Solver!$R$7=3),(1/(Solver!C251^2)),1))</f>
        <v/>
      </c>
    </row>
    <row r="251" spans="1:1">
      <c r="A251" t="str">
        <f>IF(ROW()&gt;Solver!$M$1,"",IF(AND(Solver!C252&lt;&gt;FALSE,Solver!$R$7=2),(1/Solver!C252),1)*IF(AND(Solver!C252&lt;&gt;FALSE,Solver!$R$7=3),(1/(Solver!C252^2)),1))</f>
        <v/>
      </c>
    </row>
    <row r="252" spans="1:1">
      <c r="A252" t="str">
        <f>IF(ROW()&gt;Solver!$M$1,"",IF(AND(Solver!C253&lt;&gt;FALSE,Solver!$R$7=2),(1/Solver!C253),1)*IF(AND(Solver!C253&lt;&gt;FALSE,Solver!$R$7=3),(1/(Solver!C253^2)),1))</f>
        <v/>
      </c>
    </row>
    <row r="253" spans="1:1">
      <c r="A253" t="str">
        <f>IF(ROW()&gt;Solver!$M$1,"",IF(AND(Solver!C254&lt;&gt;FALSE,Solver!$R$7=2),(1/Solver!C254),1)*IF(AND(Solver!C254&lt;&gt;FALSE,Solver!$R$7=3),(1/(Solver!C254^2)),1))</f>
        <v/>
      </c>
    </row>
    <row r="254" spans="1:1">
      <c r="A254" t="str">
        <f>IF(ROW()&gt;Solver!$M$1,"",IF(AND(Solver!C255&lt;&gt;FALSE,Solver!$R$7=2),(1/Solver!C255),1)*IF(AND(Solver!C255&lt;&gt;FALSE,Solver!$R$7=3),(1/(Solver!C255^2)),1))</f>
        <v/>
      </c>
    </row>
    <row r="255" spans="1:1">
      <c r="A255" t="str">
        <f>IF(ROW()&gt;Solver!$M$1,"",IF(AND(Solver!C256&lt;&gt;FALSE,Solver!$R$7=2),(1/Solver!C256),1)*IF(AND(Solver!C256&lt;&gt;FALSE,Solver!$R$7=3),(1/(Solver!C256^2)),1))</f>
        <v/>
      </c>
    </row>
    <row r="256" spans="1:1">
      <c r="A256" t="str">
        <f>IF(ROW()&gt;Solver!$M$1,"",IF(AND(Solver!C257&lt;&gt;FALSE,Solver!$R$7=2),(1/Solver!C257),1)*IF(AND(Solver!C257&lt;&gt;FALSE,Solver!$R$7=3),(1/(Solver!C257^2)),1))</f>
        <v/>
      </c>
    </row>
    <row r="257" spans="1:1">
      <c r="A257" t="str">
        <f>IF(ROW()&gt;Solver!$M$1,"",IF(AND(Solver!C258&lt;&gt;FALSE,Solver!$R$7=2),(1/Solver!C258),1)*IF(AND(Solver!C258&lt;&gt;FALSE,Solver!$R$7=3),(1/(Solver!C258^2)),1))</f>
        <v/>
      </c>
    </row>
    <row r="258" spans="1:1">
      <c r="A258" t="str">
        <f>IF(ROW()&gt;Solver!$M$1,"",IF(AND(Solver!C259&lt;&gt;FALSE,Solver!$R$7=2),(1/Solver!C259),1)*IF(AND(Solver!C259&lt;&gt;FALSE,Solver!$R$7=3),(1/(Solver!C259^2)),1))</f>
        <v/>
      </c>
    </row>
    <row r="259" spans="1:1">
      <c r="A259" t="str">
        <f>IF(ROW()&gt;Solver!$M$1,"",IF(AND(Solver!C260&lt;&gt;FALSE,Solver!$R$7=2),(1/Solver!C260),1)*IF(AND(Solver!C260&lt;&gt;FALSE,Solver!$R$7=3),(1/(Solver!C260^2)),1))</f>
        <v/>
      </c>
    </row>
    <row r="260" spans="1:1">
      <c r="A260" t="str">
        <f>IF(ROW()&gt;Solver!$M$1,"",IF(AND(Solver!C261&lt;&gt;FALSE,Solver!$R$7=2),(1/Solver!C261),1)*IF(AND(Solver!C261&lt;&gt;FALSE,Solver!$R$7=3),(1/(Solver!C261^2)),1))</f>
        <v/>
      </c>
    </row>
    <row r="261" spans="1:1">
      <c r="A261" t="str">
        <f>IF(ROW()&gt;Solver!$M$1,"",IF(AND(Solver!C262&lt;&gt;FALSE,Solver!$R$7=2),(1/Solver!C262),1)*IF(AND(Solver!C262&lt;&gt;FALSE,Solver!$R$7=3),(1/(Solver!C262^2)),1))</f>
        <v/>
      </c>
    </row>
    <row r="262" spans="1:1">
      <c r="A262" t="str">
        <f>IF(ROW()&gt;Solver!$M$1,"",IF(AND(Solver!C263&lt;&gt;FALSE,Solver!$R$7=2),(1/Solver!C263),1)*IF(AND(Solver!C263&lt;&gt;FALSE,Solver!$R$7=3),(1/(Solver!C263^2)),1))</f>
        <v/>
      </c>
    </row>
    <row r="263" spans="1:1">
      <c r="A263" t="str">
        <f>IF(ROW()&gt;Solver!$M$1,"",IF(AND(Solver!C264&lt;&gt;FALSE,Solver!$R$7=2),(1/Solver!C264),1)*IF(AND(Solver!C264&lt;&gt;FALSE,Solver!$R$7=3),(1/(Solver!C264^2)),1))</f>
        <v/>
      </c>
    </row>
    <row r="264" spans="1:1">
      <c r="A264" t="str">
        <f>IF(ROW()&gt;Solver!$M$1,"",IF(AND(Solver!C265&lt;&gt;FALSE,Solver!$R$7=2),(1/Solver!C265),1)*IF(AND(Solver!C265&lt;&gt;FALSE,Solver!$R$7=3),(1/(Solver!C265^2)),1))</f>
        <v/>
      </c>
    </row>
    <row r="265" spans="1:1">
      <c r="A265" t="str">
        <f>IF(ROW()&gt;Solver!$M$1,"",IF(AND(Solver!C266&lt;&gt;FALSE,Solver!$R$7=2),(1/Solver!C266),1)*IF(AND(Solver!C266&lt;&gt;FALSE,Solver!$R$7=3),(1/(Solver!C266^2)),1))</f>
        <v/>
      </c>
    </row>
    <row r="266" spans="1:1">
      <c r="A266" t="str">
        <f>IF(ROW()&gt;Solver!$M$1,"",IF(AND(Solver!C267&lt;&gt;FALSE,Solver!$R$7=2),(1/Solver!C267),1)*IF(AND(Solver!C267&lt;&gt;FALSE,Solver!$R$7=3),(1/(Solver!C267^2)),1))</f>
        <v/>
      </c>
    </row>
    <row r="267" spans="1:1">
      <c r="A267" t="str">
        <f>IF(ROW()&gt;Solver!$M$1,"",IF(AND(Solver!C268&lt;&gt;FALSE,Solver!$R$7=2),(1/Solver!C268),1)*IF(AND(Solver!C268&lt;&gt;FALSE,Solver!$R$7=3),(1/(Solver!C268^2)),1))</f>
        <v/>
      </c>
    </row>
    <row r="268" spans="1:1">
      <c r="A268" t="str">
        <f>IF(ROW()&gt;Solver!$M$1,"",IF(AND(Solver!C269&lt;&gt;FALSE,Solver!$R$7=2),(1/Solver!C269),1)*IF(AND(Solver!C269&lt;&gt;FALSE,Solver!$R$7=3),(1/(Solver!C269^2)),1))</f>
        <v/>
      </c>
    </row>
    <row r="269" spans="1:1">
      <c r="A269" t="str">
        <f>IF(ROW()&gt;Solver!$M$1,"",IF(AND(Solver!C270&lt;&gt;FALSE,Solver!$R$7=2),(1/Solver!C270),1)*IF(AND(Solver!C270&lt;&gt;FALSE,Solver!$R$7=3),(1/(Solver!C270^2)),1))</f>
        <v/>
      </c>
    </row>
    <row r="270" spans="1:1">
      <c r="A270" t="str">
        <f>IF(ROW()&gt;Solver!$M$1,"",IF(AND(Solver!C271&lt;&gt;FALSE,Solver!$R$7=2),(1/Solver!C271),1)*IF(AND(Solver!C271&lt;&gt;FALSE,Solver!$R$7=3),(1/(Solver!C271^2)),1))</f>
        <v/>
      </c>
    </row>
    <row r="271" spans="1:1">
      <c r="A271" t="str">
        <f>IF(ROW()&gt;Solver!$M$1,"",IF(AND(Solver!C272&lt;&gt;FALSE,Solver!$R$7=2),(1/Solver!C272),1)*IF(AND(Solver!C272&lt;&gt;FALSE,Solver!$R$7=3),(1/(Solver!C272^2)),1))</f>
        <v/>
      </c>
    </row>
    <row r="272" spans="1:1">
      <c r="A272" t="str">
        <f>IF(ROW()&gt;Solver!$M$1,"",IF(AND(Solver!C273&lt;&gt;FALSE,Solver!$R$7=2),(1/Solver!C273),1)*IF(AND(Solver!C273&lt;&gt;FALSE,Solver!$R$7=3),(1/(Solver!C273^2)),1))</f>
        <v/>
      </c>
    </row>
    <row r="273" spans="1:1">
      <c r="A273" t="str">
        <f>IF(ROW()&gt;Solver!$M$1,"",IF(AND(Solver!C274&lt;&gt;FALSE,Solver!$R$7=2),(1/Solver!C274),1)*IF(AND(Solver!C274&lt;&gt;FALSE,Solver!$R$7=3),(1/(Solver!C274^2)),1))</f>
        <v/>
      </c>
    </row>
    <row r="274" spans="1:1">
      <c r="A274" t="str">
        <f>IF(ROW()&gt;Solver!$M$1,"",IF(AND(Solver!C275&lt;&gt;FALSE,Solver!$R$7=2),(1/Solver!C275),1)*IF(AND(Solver!C275&lt;&gt;FALSE,Solver!$R$7=3),(1/(Solver!C275^2)),1))</f>
        <v/>
      </c>
    </row>
    <row r="275" spans="1:1">
      <c r="A275" t="str">
        <f>IF(ROW()&gt;Solver!$M$1,"",IF(AND(Solver!C276&lt;&gt;FALSE,Solver!$R$7=2),(1/Solver!C276),1)*IF(AND(Solver!C276&lt;&gt;FALSE,Solver!$R$7=3),(1/(Solver!C276^2)),1))</f>
        <v/>
      </c>
    </row>
    <row r="276" spans="1:1">
      <c r="A276" t="str">
        <f>IF(ROW()&gt;Solver!$M$1,"",IF(AND(Solver!C277&lt;&gt;FALSE,Solver!$R$7=2),(1/Solver!C277),1)*IF(AND(Solver!C277&lt;&gt;FALSE,Solver!$R$7=3),(1/(Solver!C277^2)),1))</f>
        <v/>
      </c>
    </row>
    <row r="277" spans="1:1">
      <c r="A277" t="str">
        <f>IF(ROW()&gt;Solver!$M$1,"",IF(AND(Solver!C278&lt;&gt;FALSE,Solver!$R$7=2),(1/Solver!C278),1)*IF(AND(Solver!C278&lt;&gt;FALSE,Solver!$R$7=3),(1/(Solver!C278^2)),1))</f>
        <v/>
      </c>
    </row>
    <row r="278" spans="1:1">
      <c r="A278" t="str">
        <f>IF(ROW()&gt;Solver!$M$1,"",IF(AND(Solver!C279&lt;&gt;FALSE,Solver!$R$7=2),(1/Solver!C279),1)*IF(AND(Solver!C279&lt;&gt;FALSE,Solver!$R$7=3),(1/(Solver!C279^2)),1))</f>
        <v/>
      </c>
    </row>
    <row r="279" spans="1:1">
      <c r="A279" t="str">
        <f>IF(ROW()&gt;Solver!$M$1,"",IF(AND(Solver!C280&lt;&gt;FALSE,Solver!$R$7=2),(1/Solver!C280),1)*IF(AND(Solver!C280&lt;&gt;FALSE,Solver!$R$7=3),(1/(Solver!C280^2)),1))</f>
        <v/>
      </c>
    </row>
    <row r="280" spans="1:1">
      <c r="A280" t="str">
        <f>IF(ROW()&gt;Solver!$M$1,"",IF(AND(Solver!C281&lt;&gt;FALSE,Solver!$R$7=2),(1/Solver!C281),1)*IF(AND(Solver!C281&lt;&gt;FALSE,Solver!$R$7=3),(1/(Solver!C281^2)),1))</f>
        <v/>
      </c>
    </row>
    <row r="281" spans="1:1">
      <c r="A281" t="str">
        <f>IF(ROW()&gt;Solver!$M$1,"",IF(AND(Solver!C282&lt;&gt;FALSE,Solver!$R$7=2),(1/Solver!C282),1)*IF(AND(Solver!C282&lt;&gt;FALSE,Solver!$R$7=3),(1/(Solver!C282^2)),1))</f>
        <v/>
      </c>
    </row>
    <row r="282" spans="1:1">
      <c r="A282" t="str">
        <f>IF(ROW()&gt;Solver!$M$1,"",IF(AND(Solver!C283&lt;&gt;FALSE,Solver!$R$7=2),(1/Solver!C283),1)*IF(AND(Solver!C283&lt;&gt;FALSE,Solver!$R$7=3),(1/(Solver!C283^2)),1))</f>
        <v/>
      </c>
    </row>
    <row r="283" spans="1:1">
      <c r="A283" t="str">
        <f>IF(ROW()&gt;Solver!$M$1,"",IF(AND(Solver!C284&lt;&gt;FALSE,Solver!$R$7=2),(1/Solver!C284),1)*IF(AND(Solver!C284&lt;&gt;FALSE,Solver!$R$7=3),(1/(Solver!C284^2)),1))</f>
        <v/>
      </c>
    </row>
    <row r="284" spans="1:1">
      <c r="A284" t="str">
        <f>IF(ROW()&gt;Solver!$M$1,"",IF(AND(Solver!C285&lt;&gt;FALSE,Solver!$R$7=2),(1/Solver!C285),1)*IF(AND(Solver!C285&lt;&gt;FALSE,Solver!$R$7=3),(1/(Solver!C285^2)),1))</f>
        <v/>
      </c>
    </row>
    <row r="285" spans="1:1">
      <c r="A285" t="str">
        <f>IF(ROW()&gt;Solver!$M$1,"",IF(AND(Solver!C286&lt;&gt;FALSE,Solver!$R$7=2),(1/Solver!C286),1)*IF(AND(Solver!C286&lt;&gt;FALSE,Solver!$R$7=3),(1/(Solver!C286^2)),1))</f>
        <v/>
      </c>
    </row>
    <row r="286" spans="1:1">
      <c r="A286" t="str">
        <f>IF(ROW()&gt;Solver!$M$1,"",IF(AND(Solver!C287&lt;&gt;FALSE,Solver!$R$7=2),(1/Solver!C287),1)*IF(AND(Solver!C287&lt;&gt;FALSE,Solver!$R$7=3),(1/(Solver!C287^2)),1))</f>
        <v/>
      </c>
    </row>
    <row r="287" spans="1:1">
      <c r="A287" t="str">
        <f>IF(ROW()&gt;Solver!$M$1,"",IF(AND(Solver!C288&lt;&gt;FALSE,Solver!$R$7=2),(1/Solver!C288),1)*IF(AND(Solver!C288&lt;&gt;FALSE,Solver!$R$7=3),(1/(Solver!C288^2)),1))</f>
        <v/>
      </c>
    </row>
    <row r="288" spans="1:1">
      <c r="A288" t="str">
        <f>IF(ROW()&gt;Solver!$M$1,"",IF(AND(Solver!C289&lt;&gt;FALSE,Solver!$R$7=2),(1/Solver!C289),1)*IF(AND(Solver!C289&lt;&gt;FALSE,Solver!$R$7=3),(1/(Solver!C289^2)),1))</f>
        <v/>
      </c>
    </row>
    <row r="289" spans="1:1">
      <c r="A289" t="str">
        <f>IF(ROW()&gt;Solver!$M$1,"",IF(AND(Solver!C290&lt;&gt;FALSE,Solver!$R$7=2),(1/Solver!C290),1)*IF(AND(Solver!C290&lt;&gt;FALSE,Solver!$R$7=3),(1/(Solver!C290^2)),1))</f>
        <v/>
      </c>
    </row>
    <row r="290" spans="1:1">
      <c r="A290" t="str">
        <f>IF(ROW()&gt;Solver!$M$1,"",IF(AND(Solver!C291&lt;&gt;FALSE,Solver!$R$7=2),(1/Solver!C291),1)*IF(AND(Solver!C291&lt;&gt;FALSE,Solver!$R$7=3),(1/(Solver!C291^2)),1))</f>
        <v/>
      </c>
    </row>
    <row r="291" spans="1:1">
      <c r="A291" t="str">
        <f>IF(ROW()&gt;Solver!$M$1,"",IF(AND(Solver!C292&lt;&gt;FALSE,Solver!$R$7=2),(1/Solver!C292),1)*IF(AND(Solver!C292&lt;&gt;FALSE,Solver!$R$7=3),(1/(Solver!C292^2)),1))</f>
        <v/>
      </c>
    </row>
    <row r="292" spans="1:1">
      <c r="A292" t="str">
        <f>IF(ROW()&gt;Solver!$M$1,"",IF(AND(Solver!C293&lt;&gt;FALSE,Solver!$R$7=2),(1/Solver!C293),1)*IF(AND(Solver!C293&lt;&gt;FALSE,Solver!$R$7=3),(1/(Solver!C293^2)),1))</f>
        <v/>
      </c>
    </row>
    <row r="293" spans="1:1">
      <c r="A293" t="str">
        <f>IF(ROW()&gt;Solver!$M$1,"",IF(AND(Solver!C294&lt;&gt;FALSE,Solver!$R$7=2),(1/Solver!C294),1)*IF(AND(Solver!C294&lt;&gt;FALSE,Solver!$R$7=3),(1/(Solver!C294^2)),1))</f>
        <v/>
      </c>
    </row>
    <row r="294" spans="1:1">
      <c r="A294" t="str">
        <f>IF(ROW()&gt;Solver!$M$1,"",IF(AND(Solver!C295&lt;&gt;FALSE,Solver!$R$7=2),(1/Solver!C295),1)*IF(AND(Solver!C295&lt;&gt;FALSE,Solver!$R$7=3),(1/(Solver!C295^2)),1))</f>
        <v/>
      </c>
    </row>
    <row r="295" spans="1:1">
      <c r="A295" t="str">
        <f>IF(ROW()&gt;Solver!$M$1,"",IF(AND(Solver!C296&lt;&gt;FALSE,Solver!$R$7=2),(1/Solver!C296),1)*IF(AND(Solver!C296&lt;&gt;FALSE,Solver!$R$7=3),(1/(Solver!C296^2)),1))</f>
        <v/>
      </c>
    </row>
    <row r="296" spans="1:1">
      <c r="A296" t="str">
        <f>IF(ROW()&gt;Solver!$M$1,"",IF(AND(Solver!C297&lt;&gt;FALSE,Solver!$R$7=2),(1/Solver!C297),1)*IF(AND(Solver!C297&lt;&gt;FALSE,Solver!$R$7=3),(1/(Solver!C297^2)),1))</f>
        <v/>
      </c>
    </row>
    <row r="297" spans="1:1">
      <c r="A297" t="str">
        <f>IF(ROW()&gt;Solver!$M$1,"",IF(AND(Solver!C298&lt;&gt;FALSE,Solver!$R$7=2),(1/Solver!C298),1)*IF(AND(Solver!C298&lt;&gt;FALSE,Solver!$R$7=3),(1/(Solver!C298^2)),1))</f>
        <v/>
      </c>
    </row>
    <row r="298" spans="1:1">
      <c r="A298" t="str">
        <f>IF(ROW()&gt;Solver!$M$1,"",IF(AND(Solver!C299&lt;&gt;FALSE,Solver!$R$7=2),(1/Solver!C299),1)*IF(AND(Solver!C299&lt;&gt;FALSE,Solver!$R$7=3),(1/(Solver!C299^2)),1))</f>
        <v/>
      </c>
    </row>
    <row r="299" spans="1:1">
      <c r="A299" t="str">
        <f>IF(ROW()&gt;Solver!$M$1,"",IF(AND(Solver!C300&lt;&gt;FALSE,Solver!$R$7=2),(1/Solver!C300),1)*IF(AND(Solver!C300&lt;&gt;FALSE,Solver!$R$7=3),(1/(Solver!C300^2)),1))</f>
        <v/>
      </c>
    </row>
    <row r="300" spans="1:1">
      <c r="A300" t="str">
        <f>IF(ROW()&gt;Solver!$M$1,"",IF(AND(Solver!C301&lt;&gt;FALSE,Solver!$R$7=2),(1/Solver!C301),1)*IF(AND(Solver!C301&lt;&gt;FALSE,Solver!$R$7=3),(1/(Solver!C301^2)),1))</f>
        <v/>
      </c>
    </row>
    <row r="301" spans="1:1">
      <c r="A301" t="str">
        <f>IF(ROW()&gt;Solver!$M$1,"",IF(AND(Solver!C302&lt;&gt;FALSE,Solver!$R$7=2),(1/Solver!C302),1)*IF(AND(Solver!C302&lt;&gt;FALSE,Solver!$R$7=3),(1/(Solver!C302^2)),1))</f>
        <v/>
      </c>
    </row>
    <row r="302" spans="1:1">
      <c r="A302" t="str">
        <f>IF(ROW()&gt;Solver!$M$1,"",IF(AND(Solver!C303&lt;&gt;FALSE,Solver!$R$7=2),(1/Solver!C303),1)*IF(AND(Solver!C303&lt;&gt;FALSE,Solver!$R$7=3),(1/(Solver!C303^2)),1))</f>
        <v/>
      </c>
    </row>
    <row r="303" spans="1:1">
      <c r="A303" t="str">
        <f>IF(ROW()&gt;Solver!$M$1,"",IF(AND(Solver!C304&lt;&gt;FALSE,Solver!$R$7=2),(1/Solver!C304),1)*IF(AND(Solver!C304&lt;&gt;FALSE,Solver!$R$7=3),(1/(Solver!C304^2)),1))</f>
        <v/>
      </c>
    </row>
    <row r="304" spans="1:1">
      <c r="A304" t="str">
        <f>IF(ROW()&gt;Solver!$M$1,"",IF(AND(Solver!C305&lt;&gt;FALSE,Solver!$R$7=2),(1/Solver!C305),1)*IF(AND(Solver!C305&lt;&gt;FALSE,Solver!$R$7=3),(1/(Solver!C305^2)),1))</f>
        <v/>
      </c>
    </row>
    <row r="305" spans="1:1">
      <c r="A305" t="str">
        <f>IF(ROW()&gt;Solver!$M$1,"",IF(AND(Solver!C306&lt;&gt;FALSE,Solver!$R$7=2),(1/Solver!C306),1)*IF(AND(Solver!C306&lt;&gt;FALSE,Solver!$R$7=3),(1/(Solver!C306^2)),1))</f>
        <v/>
      </c>
    </row>
    <row r="306" spans="1:1">
      <c r="A306" t="str">
        <f>IF(ROW()&gt;Solver!$M$1,"",IF(AND(Solver!C307&lt;&gt;FALSE,Solver!$R$7=2),(1/Solver!C307),1)*IF(AND(Solver!C307&lt;&gt;FALSE,Solver!$R$7=3),(1/(Solver!C307^2)),1))</f>
        <v/>
      </c>
    </row>
    <row r="307" spans="1:1">
      <c r="A307" t="str">
        <f>IF(ROW()&gt;Solver!$M$1,"",IF(AND(Solver!C308&lt;&gt;FALSE,Solver!$R$7=2),(1/Solver!C308),1)*IF(AND(Solver!C308&lt;&gt;FALSE,Solver!$R$7=3),(1/(Solver!C308^2)),1))</f>
        <v/>
      </c>
    </row>
    <row r="308" spans="1:1">
      <c r="A308" t="str">
        <f>IF(ROW()&gt;Solver!$M$1,"",IF(AND(Solver!C309&lt;&gt;FALSE,Solver!$R$7=2),(1/Solver!C309),1)*IF(AND(Solver!C309&lt;&gt;FALSE,Solver!$R$7=3),(1/(Solver!C309^2)),1))</f>
        <v/>
      </c>
    </row>
    <row r="309" spans="1:1">
      <c r="A309" t="str">
        <f>IF(ROW()&gt;Solver!$M$1,"",IF(AND(Solver!C310&lt;&gt;FALSE,Solver!$R$7=2),(1/Solver!C310),1)*IF(AND(Solver!C310&lt;&gt;FALSE,Solver!$R$7=3),(1/(Solver!C310^2)),1))</f>
        <v/>
      </c>
    </row>
    <row r="310" spans="1:1">
      <c r="A310" t="str">
        <f>IF(ROW()&gt;Solver!$M$1,"",IF(AND(Solver!C311&lt;&gt;FALSE,Solver!$R$7=2),(1/Solver!C311),1)*IF(AND(Solver!C311&lt;&gt;FALSE,Solver!$R$7=3),(1/(Solver!C311^2)),1))</f>
        <v/>
      </c>
    </row>
    <row r="311" spans="1:1">
      <c r="A311" t="str">
        <f>IF(ROW()&gt;Solver!$M$1,"",IF(AND(Solver!C312&lt;&gt;FALSE,Solver!$R$7=2),(1/Solver!C312),1)*IF(AND(Solver!C312&lt;&gt;FALSE,Solver!$R$7=3),(1/(Solver!C312^2)),1))</f>
        <v/>
      </c>
    </row>
    <row r="312" spans="1:1">
      <c r="A312" t="str">
        <f>IF(ROW()&gt;Solver!$M$1,"",IF(AND(Solver!C313&lt;&gt;FALSE,Solver!$R$7=2),(1/Solver!C313),1)*IF(AND(Solver!C313&lt;&gt;FALSE,Solver!$R$7=3),(1/(Solver!C313^2)),1))</f>
        <v/>
      </c>
    </row>
    <row r="313" spans="1:1">
      <c r="A313" t="str">
        <f>IF(ROW()&gt;Solver!$M$1,"",IF(AND(Solver!C314&lt;&gt;FALSE,Solver!$R$7=2),(1/Solver!C314),1)*IF(AND(Solver!C314&lt;&gt;FALSE,Solver!$R$7=3),(1/(Solver!C314^2)),1))</f>
        <v/>
      </c>
    </row>
    <row r="314" spans="1:1">
      <c r="A314" t="str">
        <f>IF(ROW()&gt;Solver!$M$1,"",IF(AND(Solver!C315&lt;&gt;FALSE,Solver!$R$7=2),(1/Solver!C315),1)*IF(AND(Solver!C315&lt;&gt;FALSE,Solver!$R$7=3),(1/(Solver!C315^2)),1))</f>
        <v/>
      </c>
    </row>
    <row r="315" spans="1:1">
      <c r="A315" t="str">
        <f>IF(ROW()&gt;Solver!$M$1,"",IF(AND(Solver!C316&lt;&gt;FALSE,Solver!$R$7=2),(1/Solver!C316),1)*IF(AND(Solver!C316&lt;&gt;FALSE,Solver!$R$7=3),(1/(Solver!C316^2)),1))</f>
        <v/>
      </c>
    </row>
    <row r="316" spans="1:1">
      <c r="A316" t="str">
        <f>IF(ROW()&gt;Solver!$M$1,"",IF(AND(Solver!C317&lt;&gt;FALSE,Solver!$R$7=2),(1/Solver!C317),1)*IF(AND(Solver!C317&lt;&gt;FALSE,Solver!$R$7=3),(1/(Solver!C317^2)),1))</f>
        <v/>
      </c>
    </row>
    <row r="317" spans="1:1">
      <c r="A317" t="str">
        <f>IF(ROW()&gt;Solver!$M$1,"",IF(AND(Solver!C318&lt;&gt;FALSE,Solver!$R$7=2),(1/Solver!C318),1)*IF(AND(Solver!C318&lt;&gt;FALSE,Solver!$R$7=3),(1/(Solver!C318^2)),1))</f>
        <v/>
      </c>
    </row>
    <row r="318" spans="1:1">
      <c r="A318" t="str">
        <f>IF(ROW()&gt;Solver!$M$1,"",IF(AND(Solver!C319&lt;&gt;FALSE,Solver!$R$7=2),(1/Solver!C319),1)*IF(AND(Solver!C319&lt;&gt;FALSE,Solver!$R$7=3),(1/(Solver!C319^2)),1))</f>
        <v/>
      </c>
    </row>
    <row r="319" spans="1:1">
      <c r="A319" t="str">
        <f>IF(ROW()&gt;Solver!$M$1,"",IF(AND(Solver!C320&lt;&gt;FALSE,Solver!$R$7=2),(1/Solver!C320),1)*IF(AND(Solver!C320&lt;&gt;FALSE,Solver!$R$7=3),(1/(Solver!C320^2)),1))</f>
        <v/>
      </c>
    </row>
    <row r="320" spans="1:1">
      <c r="A320" t="str">
        <f>IF(ROW()&gt;Solver!$M$1,"",IF(AND(Solver!C321&lt;&gt;FALSE,Solver!$R$7=2),(1/Solver!C321),1)*IF(AND(Solver!C321&lt;&gt;FALSE,Solver!$R$7=3),(1/(Solver!C321^2)),1))</f>
        <v/>
      </c>
    </row>
    <row r="321" spans="1:1">
      <c r="A321" t="str">
        <f>IF(ROW()&gt;Solver!$M$1,"",IF(AND(Solver!C322&lt;&gt;FALSE,Solver!$R$7=2),(1/Solver!C322),1)*IF(AND(Solver!C322&lt;&gt;FALSE,Solver!$R$7=3),(1/(Solver!C322^2)),1))</f>
        <v/>
      </c>
    </row>
    <row r="322" spans="1:1">
      <c r="A322" t="str">
        <f>IF(ROW()&gt;Solver!$M$1,"",IF(AND(Solver!C323&lt;&gt;FALSE,Solver!$R$7=2),(1/Solver!C323),1)*IF(AND(Solver!C323&lt;&gt;FALSE,Solver!$R$7=3),(1/(Solver!C323^2)),1))</f>
        <v/>
      </c>
    </row>
    <row r="323" spans="1:1">
      <c r="A323" t="str">
        <f>IF(ROW()&gt;Solver!$M$1,"",IF(AND(Solver!C324&lt;&gt;FALSE,Solver!$R$7=2),(1/Solver!C324),1)*IF(AND(Solver!C324&lt;&gt;FALSE,Solver!$R$7=3),(1/(Solver!C324^2)),1))</f>
        <v/>
      </c>
    </row>
    <row r="324" spans="1:1">
      <c r="A324" t="str">
        <f>IF(ROW()&gt;Solver!$M$1,"",IF(AND(Solver!C325&lt;&gt;FALSE,Solver!$R$7=2),(1/Solver!C325),1)*IF(AND(Solver!C325&lt;&gt;FALSE,Solver!$R$7=3),(1/(Solver!C325^2)),1))</f>
        <v/>
      </c>
    </row>
    <row r="325" spans="1:1">
      <c r="A325" t="str">
        <f>IF(ROW()&gt;Solver!$M$1,"",IF(AND(Solver!C326&lt;&gt;FALSE,Solver!$R$7=2),(1/Solver!C326),1)*IF(AND(Solver!C326&lt;&gt;FALSE,Solver!$R$7=3),(1/(Solver!C326^2)),1))</f>
        <v/>
      </c>
    </row>
    <row r="326" spans="1:1">
      <c r="A326" t="str">
        <f>IF(ROW()&gt;Solver!$M$1,"",IF(AND(Solver!C327&lt;&gt;FALSE,Solver!$R$7=2),(1/Solver!C327),1)*IF(AND(Solver!C327&lt;&gt;FALSE,Solver!$R$7=3),(1/(Solver!C327^2)),1))</f>
        <v/>
      </c>
    </row>
    <row r="327" spans="1:1">
      <c r="A327" t="str">
        <f>IF(ROW()&gt;Solver!$M$1,"",IF(AND(Solver!C328&lt;&gt;FALSE,Solver!$R$7=2),(1/Solver!C328),1)*IF(AND(Solver!C328&lt;&gt;FALSE,Solver!$R$7=3),(1/(Solver!C328^2)),1))</f>
        <v/>
      </c>
    </row>
    <row r="328" spans="1:1">
      <c r="A328" t="str">
        <f>IF(ROW()&gt;Solver!$M$1,"",IF(AND(Solver!C329&lt;&gt;FALSE,Solver!$R$7=2),(1/Solver!C329),1)*IF(AND(Solver!C329&lt;&gt;FALSE,Solver!$R$7=3),(1/(Solver!C329^2)),1))</f>
        <v/>
      </c>
    </row>
    <row r="329" spans="1:1">
      <c r="A329" t="str">
        <f>IF(ROW()&gt;Solver!$M$1,"",IF(AND(Solver!C330&lt;&gt;FALSE,Solver!$R$7=2),(1/Solver!C330),1)*IF(AND(Solver!C330&lt;&gt;FALSE,Solver!$R$7=3),(1/(Solver!C330^2)),1))</f>
        <v/>
      </c>
    </row>
    <row r="330" spans="1:1">
      <c r="A330" t="str">
        <f>IF(ROW()&gt;Solver!$M$1,"",IF(AND(Solver!C331&lt;&gt;FALSE,Solver!$R$7=2),(1/Solver!C331),1)*IF(AND(Solver!C331&lt;&gt;FALSE,Solver!$R$7=3),(1/(Solver!C331^2)),1))</f>
        <v/>
      </c>
    </row>
    <row r="331" spans="1:1">
      <c r="A331" t="str">
        <f>IF(ROW()&gt;Solver!$M$1,"",IF(AND(Solver!C332&lt;&gt;FALSE,Solver!$R$7=2),(1/Solver!C332),1)*IF(AND(Solver!C332&lt;&gt;FALSE,Solver!$R$7=3),(1/(Solver!C332^2)),1))</f>
        <v/>
      </c>
    </row>
    <row r="332" spans="1:1">
      <c r="A332" t="str">
        <f>IF(ROW()&gt;Solver!$M$1,"",IF(AND(Solver!C333&lt;&gt;FALSE,Solver!$R$7=2),(1/Solver!C333),1)*IF(AND(Solver!C333&lt;&gt;FALSE,Solver!$R$7=3),(1/(Solver!C333^2)),1))</f>
        <v/>
      </c>
    </row>
    <row r="333" spans="1:1">
      <c r="A333" t="str">
        <f>IF(ROW()&gt;Solver!$M$1,"",IF(AND(Solver!C334&lt;&gt;FALSE,Solver!$R$7=2),(1/Solver!C334),1)*IF(AND(Solver!C334&lt;&gt;FALSE,Solver!$R$7=3),(1/(Solver!C334^2)),1))</f>
        <v/>
      </c>
    </row>
    <row r="334" spans="1:1">
      <c r="A334" t="str">
        <f>IF(ROW()&gt;Solver!$M$1,"",IF(AND(Solver!C335&lt;&gt;FALSE,Solver!$R$7=2),(1/Solver!C335),1)*IF(AND(Solver!C335&lt;&gt;FALSE,Solver!$R$7=3),(1/(Solver!C335^2)),1))</f>
        <v/>
      </c>
    </row>
    <row r="335" spans="1:1">
      <c r="A335" t="str">
        <f>IF(ROW()&gt;Solver!$M$1,"",IF(AND(Solver!C336&lt;&gt;FALSE,Solver!$R$7=2),(1/Solver!C336),1)*IF(AND(Solver!C336&lt;&gt;FALSE,Solver!$R$7=3),(1/(Solver!C336^2)),1))</f>
        <v/>
      </c>
    </row>
    <row r="336" spans="1:1">
      <c r="A336" t="str">
        <f>IF(ROW()&gt;Solver!$M$1,"",IF(AND(Solver!C337&lt;&gt;FALSE,Solver!$R$7=2),(1/Solver!C337),1)*IF(AND(Solver!C337&lt;&gt;FALSE,Solver!$R$7=3),(1/(Solver!C337^2)),1))</f>
        <v/>
      </c>
    </row>
    <row r="337" spans="1:1">
      <c r="A337" t="str">
        <f>IF(ROW()&gt;Solver!$M$1,"",IF(AND(Solver!C338&lt;&gt;FALSE,Solver!$R$7=2),(1/Solver!C338),1)*IF(AND(Solver!C338&lt;&gt;FALSE,Solver!$R$7=3),(1/(Solver!C338^2)),1))</f>
        <v/>
      </c>
    </row>
    <row r="338" spans="1:1">
      <c r="A338" t="str">
        <f>IF(ROW()&gt;Solver!$M$1,"",IF(AND(Solver!C339&lt;&gt;FALSE,Solver!$R$7=2),(1/Solver!C339),1)*IF(AND(Solver!C339&lt;&gt;FALSE,Solver!$R$7=3),(1/(Solver!C339^2)),1))</f>
        <v/>
      </c>
    </row>
    <row r="339" spans="1:1">
      <c r="A339" t="str">
        <f>IF(ROW()&gt;Solver!$M$1,"",IF(AND(Solver!C340&lt;&gt;FALSE,Solver!$R$7=2),(1/Solver!C340),1)*IF(AND(Solver!C340&lt;&gt;FALSE,Solver!$R$7=3),(1/(Solver!C340^2)),1))</f>
        <v/>
      </c>
    </row>
    <row r="340" spans="1:1">
      <c r="A340" t="str">
        <f>IF(ROW()&gt;Solver!$M$1,"",IF(AND(Solver!C341&lt;&gt;FALSE,Solver!$R$7=2),(1/Solver!C341),1)*IF(AND(Solver!C341&lt;&gt;FALSE,Solver!$R$7=3),(1/(Solver!C341^2)),1))</f>
        <v/>
      </c>
    </row>
    <row r="341" spans="1:1">
      <c r="A341" t="str">
        <f>IF(ROW()&gt;Solver!$M$1,"",IF(AND(Solver!C342&lt;&gt;FALSE,Solver!$R$7=2),(1/Solver!C342),1)*IF(AND(Solver!C342&lt;&gt;FALSE,Solver!$R$7=3),(1/(Solver!C342^2)),1))</f>
        <v/>
      </c>
    </row>
    <row r="342" spans="1:1">
      <c r="A342" t="str">
        <f>IF(ROW()&gt;Solver!$M$1,"",IF(AND(Solver!C343&lt;&gt;FALSE,Solver!$R$7=2),(1/Solver!C343),1)*IF(AND(Solver!C343&lt;&gt;FALSE,Solver!$R$7=3),(1/(Solver!C343^2)),1))</f>
        <v/>
      </c>
    </row>
    <row r="343" spans="1:1">
      <c r="A343" t="str">
        <f>IF(ROW()&gt;Solver!$M$1,"",IF(AND(Solver!C344&lt;&gt;FALSE,Solver!$R$7=2),(1/Solver!C344),1)*IF(AND(Solver!C344&lt;&gt;FALSE,Solver!$R$7=3),(1/(Solver!C344^2)),1))</f>
        <v/>
      </c>
    </row>
    <row r="344" spans="1:1">
      <c r="A344" t="str">
        <f>IF(ROW()&gt;Solver!$M$1,"",IF(AND(Solver!C345&lt;&gt;FALSE,Solver!$R$7=2),(1/Solver!C345),1)*IF(AND(Solver!C345&lt;&gt;FALSE,Solver!$R$7=3),(1/(Solver!C345^2)),1))</f>
        <v/>
      </c>
    </row>
    <row r="345" spans="1:1">
      <c r="A345" t="str">
        <f>IF(ROW()&gt;Solver!$M$1,"",IF(AND(Solver!C346&lt;&gt;FALSE,Solver!$R$7=2),(1/Solver!C346),1)*IF(AND(Solver!C346&lt;&gt;FALSE,Solver!$R$7=3),(1/(Solver!C346^2)),1))</f>
        <v/>
      </c>
    </row>
    <row r="346" spans="1:1">
      <c r="A346" t="str">
        <f>IF(ROW()&gt;Solver!$M$1,"",IF(AND(Solver!C347&lt;&gt;FALSE,Solver!$R$7=2),(1/Solver!C347),1)*IF(AND(Solver!C347&lt;&gt;FALSE,Solver!$R$7=3),(1/(Solver!C347^2)),1))</f>
        <v/>
      </c>
    </row>
    <row r="347" spans="1:1">
      <c r="A347" t="str">
        <f>IF(ROW()&gt;Solver!$M$1,"",IF(AND(Solver!C348&lt;&gt;FALSE,Solver!$R$7=2),(1/Solver!C348),1)*IF(AND(Solver!C348&lt;&gt;FALSE,Solver!$R$7=3),(1/(Solver!C348^2)),1))</f>
        <v/>
      </c>
    </row>
    <row r="348" spans="1:1">
      <c r="A348" t="str">
        <f>IF(ROW()&gt;Solver!$M$1,"",IF(AND(Solver!C349&lt;&gt;FALSE,Solver!$R$7=2),(1/Solver!C349),1)*IF(AND(Solver!C349&lt;&gt;FALSE,Solver!$R$7=3),(1/(Solver!C349^2)),1))</f>
        <v/>
      </c>
    </row>
    <row r="349" spans="1:1">
      <c r="A349" t="str">
        <f>IF(ROW()&gt;Solver!$M$1,"",IF(AND(Solver!C350&lt;&gt;FALSE,Solver!$R$7=2),(1/Solver!C350),1)*IF(AND(Solver!C350&lt;&gt;FALSE,Solver!$R$7=3),(1/(Solver!C350^2)),1))</f>
        <v/>
      </c>
    </row>
    <row r="350" spans="1:1">
      <c r="A350" t="str">
        <f>IF(ROW()&gt;Solver!$M$1,"",IF(AND(Solver!C351&lt;&gt;FALSE,Solver!$R$7=2),(1/Solver!C351),1)*IF(AND(Solver!C351&lt;&gt;FALSE,Solver!$R$7=3),(1/(Solver!C351^2)),1))</f>
        <v/>
      </c>
    </row>
    <row r="351" spans="1:1">
      <c r="A351" t="str">
        <f>IF(ROW()&gt;Solver!$M$1,"",IF(AND(Solver!C352&lt;&gt;FALSE,Solver!$R$7=2),(1/Solver!C352),1)*IF(AND(Solver!C352&lt;&gt;FALSE,Solver!$R$7=3),(1/(Solver!C352^2)),1))</f>
        <v/>
      </c>
    </row>
    <row r="352" spans="1:1">
      <c r="A352" t="str">
        <f>IF(ROW()&gt;Solver!$M$1,"",IF(AND(Solver!C353&lt;&gt;FALSE,Solver!$R$7=2),(1/Solver!C353),1)*IF(AND(Solver!C353&lt;&gt;FALSE,Solver!$R$7=3),(1/(Solver!C353^2)),1))</f>
        <v/>
      </c>
    </row>
    <row r="353" spans="1:1">
      <c r="A353" t="str">
        <f>IF(ROW()&gt;Solver!$M$1,"",IF(AND(Solver!C354&lt;&gt;FALSE,Solver!$R$7=2),(1/Solver!C354),1)*IF(AND(Solver!C354&lt;&gt;FALSE,Solver!$R$7=3),(1/(Solver!C354^2)),1))</f>
        <v/>
      </c>
    </row>
    <row r="354" spans="1:1">
      <c r="A354" t="str">
        <f>IF(ROW()&gt;Solver!$M$1,"",IF(AND(Solver!C355&lt;&gt;FALSE,Solver!$R$7=2),(1/Solver!C355),1)*IF(AND(Solver!C355&lt;&gt;FALSE,Solver!$R$7=3),(1/(Solver!C355^2)),1))</f>
        <v/>
      </c>
    </row>
    <row r="355" spans="1:1">
      <c r="A355" t="str">
        <f>IF(ROW()&gt;Solver!$M$1,"",IF(AND(Solver!C356&lt;&gt;FALSE,Solver!$R$7=2),(1/Solver!C356),1)*IF(AND(Solver!C356&lt;&gt;FALSE,Solver!$R$7=3),(1/(Solver!C356^2)),1))</f>
        <v/>
      </c>
    </row>
    <row r="356" spans="1:1">
      <c r="A356" t="str">
        <f>IF(ROW()&gt;Solver!$M$1,"",IF(AND(Solver!C357&lt;&gt;FALSE,Solver!$R$7=2),(1/Solver!C357),1)*IF(AND(Solver!C357&lt;&gt;FALSE,Solver!$R$7=3),(1/(Solver!C357^2)),1))</f>
        <v/>
      </c>
    </row>
    <row r="357" spans="1:1">
      <c r="A357" t="str">
        <f>IF(ROW()&gt;Solver!$M$1,"",IF(AND(Solver!C358&lt;&gt;FALSE,Solver!$R$7=2),(1/Solver!C358),1)*IF(AND(Solver!C358&lt;&gt;FALSE,Solver!$R$7=3),(1/(Solver!C358^2)),1))</f>
        <v/>
      </c>
    </row>
    <row r="358" spans="1:1">
      <c r="A358" t="str">
        <f>IF(ROW()&gt;Solver!$M$1,"",IF(AND(Solver!C359&lt;&gt;FALSE,Solver!$R$7=2),(1/Solver!C359),1)*IF(AND(Solver!C359&lt;&gt;FALSE,Solver!$R$7=3),(1/(Solver!C359^2)),1))</f>
        <v/>
      </c>
    </row>
    <row r="359" spans="1:1">
      <c r="A359" t="str">
        <f>IF(ROW()&gt;Solver!$M$1,"",IF(AND(Solver!C360&lt;&gt;FALSE,Solver!$R$7=2),(1/Solver!C360),1)*IF(AND(Solver!C360&lt;&gt;FALSE,Solver!$R$7=3),(1/(Solver!C360^2)),1))</f>
        <v/>
      </c>
    </row>
    <row r="360" spans="1:1">
      <c r="A360" t="str">
        <f>IF(ROW()&gt;Solver!$M$1,"",IF(AND(Solver!C361&lt;&gt;FALSE,Solver!$R$7=2),(1/Solver!C361),1)*IF(AND(Solver!C361&lt;&gt;FALSE,Solver!$R$7=3),(1/(Solver!C361^2)),1))</f>
        <v/>
      </c>
    </row>
    <row r="361" spans="1:1">
      <c r="A361" t="str">
        <f>IF(ROW()&gt;Solver!$M$1,"",IF(AND(Solver!C362&lt;&gt;FALSE,Solver!$R$7=2),(1/Solver!C362),1)*IF(AND(Solver!C362&lt;&gt;FALSE,Solver!$R$7=3),(1/(Solver!C362^2)),1))</f>
        <v/>
      </c>
    </row>
    <row r="362" spans="1:1">
      <c r="A362" t="str">
        <f>IF(ROW()&gt;Solver!$M$1,"",IF(AND(Solver!C363&lt;&gt;FALSE,Solver!$R$7=2),(1/Solver!C363),1)*IF(AND(Solver!C363&lt;&gt;FALSE,Solver!$R$7=3),(1/(Solver!C363^2)),1))</f>
        <v/>
      </c>
    </row>
    <row r="363" spans="1:1">
      <c r="A363" t="str">
        <f>IF(ROW()&gt;Solver!$M$1,"",IF(AND(Solver!C364&lt;&gt;FALSE,Solver!$R$7=2),(1/Solver!C364),1)*IF(AND(Solver!C364&lt;&gt;FALSE,Solver!$R$7=3),(1/(Solver!C364^2)),1))</f>
        <v/>
      </c>
    </row>
    <row r="364" spans="1:1">
      <c r="A364" t="str">
        <f>IF(ROW()&gt;Solver!$M$1,"",IF(AND(Solver!C365&lt;&gt;FALSE,Solver!$R$7=2),(1/Solver!C365),1)*IF(AND(Solver!C365&lt;&gt;FALSE,Solver!$R$7=3),(1/(Solver!C365^2)),1))</f>
        <v/>
      </c>
    </row>
    <row r="365" spans="1:1">
      <c r="A365" t="str">
        <f>IF(ROW()&gt;Solver!$M$1,"",IF(AND(Solver!C366&lt;&gt;FALSE,Solver!$R$7=2),(1/Solver!C366),1)*IF(AND(Solver!C366&lt;&gt;FALSE,Solver!$R$7=3),(1/(Solver!C366^2)),1))</f>
        <v/>
      </c>
    </row>
    <row r="366" spans="1:1">
      <c r="A366" t="str">
        <f>IF(ROW()&gt;Solver!$M$1,"",IF(AND(Solver!C367&lt;&gt;FALSE,Solver!$R$7=2),(1/Solver!C367),1)*IF(AND(Solver!C367&lt;&gt;FALSE,Solver!$R$7=3),(1/(Solver!C367^2)),1))</f>
        <v/>
      </c>
    </row>
    <row r="367" spans="1:1">
      <c r="A367" t="str">
        <f>IF(ROW()&gt;Solver!$M$1,"",IF(AND(Solver!C368&lt;&gt;FALSE,Solver!$R$7=2),(1/Solver!C368),1)*IF(AND(Solver!C368&lt;&gt;FALSE,Solver!$R$7=3),(1/(Solver!C368^2)),1))</f>
        <v/>
      </c>
    </row>
    <row r="368" spans="1:1">
      <c r="A368" t="str">
        <f>IF(ROW()&gt;Solver!$M$1,"",IF(AND(Solver!C369&lt;&gt;FALSE,Solver!$R$7=2),(1/Solver!C369),1)*IF(AND(Solver!C369&lt;&gt;FALSE,Solver!$R$7=3),(1/(Solver!C369^2)),1))</f>
        <v/>
      </c>
    </row>
    <row r="369" spans="1:1">
      <c r="A369" t="str">
        <f>IF(ROW()&gt;Solver!$M$1,"",IF(AND(Solver!C370&lt;&gt;FALSE,Solver!$R$7=2),(1/Solver!C370),1)*IF(AND(Solver!C370&lt;&gt;FALSE,Solver!$R$7=3),(1/(Solver!C370^2)),1))</f>
        <v/>
      </c>
    </row>
    <row r="370" spans="1:1">
      <c r="A370" t="str">
        <f>IF(ROW()&gt;Solver!$M$1,"",IF(AND(Solver!C371&lt;&gt;FALSE,Solver!$R$7=2),(1/Solver!C371),1)*IF(AND(Solver!C371&lt;&gt;FALSE,Solver!$R$7=3),(1/(Solver!C371^2)),1))</f>
        <v/>
      </c>
    </row>
    <row r="371" spans="1:1">
      <c r="A371" t="str">
        <f>IF(ROW()&gt;Solver!$M$1,"",IF(AND(Solver!C372&lt;&gt;FALSE,Solver!$R$7=2),(1/Solver!C372),1)*IF(AND(Solver!C372&lt;&gt;FALSE,Solver!$R$7=3),(1/(Solver!C372^2)),1))</f>
        <v/>
      </c>
    </row>
    <row r="372" spans="1:1">
      <c r="A372" t="str">
        <f>IF(ROW()&gt;Solver!$M$1,"",IF(AND(Solver!C373&lt;&gt;FALSE,Solver!$R$7=2),(1/Solver!C373),1)*IF(AND(Solver!C373&lt;&gt;FALSE,Solver!$R$7=3),(1/(Solver!C373^2)),1))</f>
        <v/>
      </c>
    </row>
    <row r="373" spans="1:1">
      <c r="A373" t="str">
        <f>IF(ROW()&gt;Solver!$M$1,"",IF(AND(Solver!C374&lt;&gt;FALSE,Solver!$R$7=2),(1/Solver!C374),1)*IF(AND(Solver!C374&lt;&gt;FALSE,Solver!$R$7=3),(1/(Solver!C374^2)),1))</f>
        <v/>
      </c>
    </row>
    <row r="374" spans="1:1">
      <c r="A374" t="str">
        <f>IF(ROW()&gt;Solver!$M$1,"",IF(AND(Solver!C375&lt;&gt;FALSE,Solver!$R$7=2),(1/Solver!C375),1)*IF(AND(Solver!C375&lt;&gt;FALSE,Solver!$R$7=3),(1/(Solver!C375^2)),1))</f>
        <v/>
      </c>
    </row>
    <row r="375" spans="1:1">
      <c r="A375" t="str">
        <f>IF(ROW()&gt;Solver!$M$1,"",IF(AND(Solver!C376&lt;&gt;FALSE,Solver!$R$7=2),(1/Solver!C376),1)*IF(AND(Solver!C376&lt;&gt;FALSE,Solver!$R$7=3),(1/(Solver!C376^2)),1))</f>
        <v/>
      </c>
    </row>
    <row r="376" spans="1:1">
      <c r="A376" t="str">
        <f>IF(ROW()&gt;Solver!$M$1,"",IF(AND(Solver!C377&lt;&gt;FALSE,Solver!$R$7=2),(1/Solver!C377),1)*IF(AND(Solver!C377&lt;&gt;FALSE,Solver!$R$7=3),(1/(Solver!C377^2)),1))</f>
        <v/>
      </c>
    </row>
    <row r="377" spans="1:1">
      <c r="A377" t="str">
        <f>IF(ROW()&gt;Solver!$M$1,"",IF(AND(Solver!C378&lt;&gt;FALSE,Solver!$R$7=2),(1/Solver!C378),1)*IF(AND(Solver!C378&lt;&gt;FALSE,Solver!$R$7=3),(1/(Solver!C378^2)),1))</f>
        <v/>
      </c>
    </row>
    <row r="378" spans="1:1">
      <c r="A378" t="str">
        <f>IF(ROW()&gt;Solver!$M$1,"",IF(AND(Solver!C379&lt;&gt;FALSE,Solver!$R$7=2),(1/Solver!C379),1)*IF(AND(Solver!C379&lt;&gt;FALSE,Solver!$R$7=3),(1/(Solver!C379^2)),1))</f>
        <v/>
      </c>
    </row>
    <row r="379" spans="1:1">
      <c r="A379" t="str">
        <f>IF(ROW()&gt;Solver!$M$1,"",IF(AND(Solver!C380&lt;&gt;FALSE,Solver!$R$7=2),(1/Solver!C380),1)*IF(AND(Solver!C380&lt;&gt;FALSE,Solver!$R$7=3),(1/(Solver!C380^2)),1))</f>
        <v/>
      </c>
    </row>
    <row r="380" spans="1:1">
      <c r="A380" t="str">
        <f>IF(ROW()&gt;Solver!$M$1,"",IF(AND(Solver!C381&lt;&gt;FALSE,Solver!$R$7=2),(1/Solver!C381),1)*IF(AND(Solver!C381&lt;&gt;FALSE,Solver!$R$7=3),(1/(Solver!C381^2)),1))</f>
        <v/>
      </c>
    </row>
    <row r="381" spans="1:1">
      <c r="A381" t="str">
        <f>IF(ROW()&gt;Solver!$M$1,"",IF(AND(Solver!C382&lt;&gt;FALSE,Solver!$R$7=2),(1/Solver!C382),1)*IF(AND(Solver!C382&lt;&gt;FALSE,Solver!$R$7=3),(1/(Solver!C382^2)),1))</f>
        <v/>
      </c>
    </row>
    <row r="382" spans="1:1">
      <c r="A382" t="str">
        <f>IF(ROW()&gt;Solver!$M$1,"",IF(AND(Solver!C383&lt;&gt;FALSE,Solver!$R$7=2),(1/Solver!C383),1)*IF(AND(Solver!C383&lt;&gt;FALSE,Solver!$R$7=3),(1/(Solver!C383^2)),1))</f>
        <v/>
      </c>
    </row>
    <row r="383" spans="1:1">
      <c r="A383" t="str">
        <f>IF(ROW()&gt;Solver!$M$1,"",IF(AND(Solver!C384&lt;&gt;FALSE,Solver!$R$7=2),(1/Solver!C384),1)*IF(AND(Solver!C384&lt;&gt;FALSE,Solver!$R$7=3),(1/(Solver!C384^2)),1))</f>
        <v/>
      </c>
    </row>
    <row r="384" spans="1:1">
      <c r="A384" t="str">
        <f>IF(ROW()&gt;Solver!$M$1,"",IF(AND(Solver!C385&lt;&gt;FALSE,Solver!$R$7=2),(1/Solver!C385),1)*IF(AND(Solver!C385&lt;&gt;FALSE,Solver!$R$7=3),(1/(Solver!C385^2)),1))</f>
        <v/>
      </c>
    </row>
    <row r="385" spans="1:1">
      <c r="A385" t="str">
        <f>IF(ROW()&gt;Solver!$M$1,"",IF(AND(Solver!C386&lt;&gt;FALSE,Solver!$R$7=2),(1/Solver!C386),1)*IF(AND(Solver!C386&lt;&gt;FALSE,Solver!$R$7=3),(1/(Solver!C386^2)),1))</f>
        <v/>
      </c>
    </row>
    <row r="386" spans="1:1">
      <c r="A386" t="str">
        <f>IF(ROW()&gt;Solver!$M$1,"",IF(AND(Solver!C387&lt;&gt;FALSE,Solver!$R$7=2),(1/Solver!C387),1)*IF(AND(Solver!C387&lt;&gt;FALSE,Solver!$R$7=3),(1/(Solver!C387^2)),1))</f>
        <v/>
      </c>
    </row>
    <row r="387" spans="1:1">
      <c r="A387" t="str">
        <f>IF(ROW()&gt;Solver!$M$1,"",IF(AND(Solver!C388&lt;&gt;FALSE,Solver!$R$7=2),(1/Solver!C388),1)*IF(AND(Solver!C388&lt;&gt;FALSE,Solver!$R$7=3),(1/(Solver!C388^2)),1))</f>
        <v/>
      </c>
    </row>
    <row r="388" spans="1:1">
      <c r="A388" t="str">
        <f>IF(ROW()&gt;Solver!$M$1,"",IF(AND(Solver!C389&lt;&gt;FALSE,Solver!$R$7=2),(1/Solver!C389),1)*IF(AND(Solver!C389&lt;&gt;FALSE,Solver!$R$7=3),(1/(Solver!C389^2)),1))</f>
        <v/>
      </c>
    </row>
    <row r="389" spans="1:1">
      <c r="A389" t="str">
        <f>IF(ROW()&gt;Solver!$M$1,"",IF(AND(Solver!C390&lt;&gt;FALSE,Solver!$R$7=2),(1/Solver!C390),1)*IF(AND(Solver!C390&lt;&gt;FALSE,Solver!$R$7=3),(1/(Solver!C390^2)),1))</f>
        <v/>
      </c>
    </row>
    <row r="390" spans="1:1">
      <c r="A390" t="str">
        <f>IF(ROW()&gt;Solver!$M$1,"",IF(AND(Solver!C391&lt;&gt;FALSE,Solver!$R$7=2),(1/Solver!C391),1)*IF(AND(Solver!C391&lt;&gt;FALSE,Solver!$R$7=3),(1/(Solver!C391^2)),1))</f>
        <v/>
      </c>
    </row>
    <row r="391" spans="1:1">
      <c r="A391" t="str">
        <f>IF(ROW()&gt;Solver!$M$1,"",IF(AND(Solver!C392&lt;&gt;FALSE,Solver!$R$7=2),(1/Solver!C392),1)*IF(AND(Solver!C392&lt;&gt;FALSE,Solver!$R$7=3),(1/(Solver!C392^2)),1))</f>
        <v/>
      </c>
    </row>
    <row r="392" spans="1:1">
      <c r="A392" t="str">
        <f>IF(ROW()&gt;Solver!$M$1,"",IF(AND(Solver!C393&lt;&gt;FALSE,Solver!$R$7=2),(1/Solver!C393),1)*IF(AND(Solver!C393&lt;&gt;FALSE,Solver!$R$7=3),(1/(Solver!C393^2)),1))</f>
        <v/>
      </c>
    </row>
    <row r="393" spans="1:1">
      <c r="A393" t="str">
        <f>IF(ROW()&gt;Solver!$M$1,"",IF(AND(Solver!C394&lt;&gt;FALSE,Solver!$R$7=2),(1/Solver!C394),1)*IF(AND(Solver!C394&lt;&gt;FALSE,Solver!$R$7=3),(1/(Solver!C394^2)),1))</f>
        <v/>
      </c>
    </row>
    <row r="394" spans="1:1">
      <c r="A394" t="str">
        <f>IF(ROW()&gt;Solver!$M$1,"",IF(AND(Solver!C395&lt;&gt;FALSE,Solver!$R$7=2),(1/Solver!C395),1)*IF(AND(Solver!C395&lt;&gt;FALSE,Solver!$R$7=3),(1/(Solver!C395^2)),1))</f>
        <v/>
      </c>
    </row>
    <row r="395" spans="1:1">
      <c r="A395" t="str">
        <f>IF(ROW()&gt;Solver!$M$1,"",IF(AND(Solver!C396&lt;&gt;FALSE,Solver!$R$7=2),(1/Solver!C396),1)*IF(AND(Solver!C396&lt;&gt;FALSE,Solver!$R$7=3),(1/(Solver!C396^2)),1))</f>
        <v/>
      </c>
    </row>
    <row r="396" spans="1:1">
      <c r="A396" t="str">
        <f>IF(ROW()&gt;Solver!$M$1,"",IF(AND(Solver!C397&lt;&gt;FALSE,Solver!$R$7=2),(1/Solver!C397),1)*IF(AND(Solver!C397&lt;&gt;FALSE,Solver!$R$7=3),(1/(Solver!C397^2)),1))</f>
        <v/>
      </c>
    </row>
    <row r="397" spans="1:1">
      <c r="A397" t="str">
        <f>IF(ROW()&gt;Solver!$M$1,"",IF(AND(Solver!C398&lt;&gt;FALSE,Solver!$R$7=2),(1/Solver!C398),1)*IF(AND(Solver!C398&lt;&gt;FALSE,Solver!$R$7=3),(1/(Solver!C398^2)),1))</f>
        <v/>
      </c>
    </row>
    <row r="398" spans="1:1">
      <c r="A398" t="str">
        <f>IF(ROW()&gt;Solver!$M$1,"",IF(AND(Solver!C399&lt;&gt;FALSE,Solver!$R$7=2),(1/Solver!C399),1)*IF(AND(Solver!C399&lt;&gt;FALSE,Solver!$R$7=3),(1/(Solver!C399^2)),1))</f>
        <v/>
      </c>
    </row>
    <row r="399" spans="1:1">
      <c r="A399" t="str">
        <f>IF(ROW()&gt;Solver!$M$1,"",IF(AND(Solver!C400&lt;&gt;FALSE,Solver!$R$7=2),(1/Solver!C400),1)*IF(AND(Solver!C400&lt;&gt;FALSE,Solver!$R$7=3),(1/(Solver!C400^2)),1))</f>
        <v/>
      </c>
    </row>
    <row r="400" spans="1:1">
      <c r="A400" t="str">
        <f>IF(ROW()&gt;Solver!$M$1,"",IF(AND(Solver!C401&lt;&gt;FALSE,Solver!$R$7=2),(1/Solver!C401),1)*IF(AND(Solver!C401&lt;&gt;FALSE,Solver!$R$7=3),(1/(Solver!C401^2)),1))</f>
        <v/>
      </c>
    </row>
    <row r="401" spans="1:1">
      <c r="A401" t="str">
        <f>IF(ROW()&gt;Solver!$M$1,"",IF(AND(Solver!C402&lt;&gt;FALSE,Solver!$R$7=2),(1/Solver!C402),1)*IF(AND(Solver!C402&lt;&gt;FALSE,Solver!$R$7=3),(1/(Solver!C402^2)),1))</f>
        <v/>
      </c>
    </row>
    <row r="402" spans="1:1">
      <c r="A402" t="str">
        <f>IF(ROW()&gt;Solver!$M$1,"",IF(AND(Solver!C403&lt;&gt;FALSE,Solver!$R$7=2),(1/Solver!C403),1)*IF(AND(Solver!C403&lt;&gt;FALSE,Solver!$R$7=3),(1/(Solver!C403^2)),1))</f>
        <v/>
      </c>
    </row>
    <row r="403" spans="1:1">
      <c r="A403" t="str">
        <f>IF(ROW()&gt;Solver!$M$1,"",IF(AND(Solver!C404&lt;&gt;FALSE,Solver!$R$7=2),(1/Solver!C404),1)*IF(AND(Solver!C404&lt;&gt;FALSE,Solver!$R$7=3),(1/(Solver!C404^2)),1))</f>
        <v/>
      </c>
    </row>
    <row r="404" spans="1:1">
      <c r="A404" t="str">
        <f>IF(ROW()&gt;Solver!$M$1,"",IF(AND(Solver!C405&lt;&gt;FALSE,Solver!$R$7=2),(1/Solver!C405),1)*IF(AND(Solver!C405&lt;&gt;FALSE,Solver!$R$7=3),(1/(Solver!C405^2)),1))</f>
        <v/>
      </c>
    </row>
    <row r="405" spans="1:1">
      <c r="A405" t="str">
        <f>IF(ROW()&gt;Solver!$M$1,"",IF(AND(Solver!C406&lt;&gt;FALSE,Solver!$R$7=2),(1/Solver!C406),1)*IF(AND(Solver!C406&lt;&gt;FALSE,Solver!$R$7=3),(1/(Solver!C406^2)),1))</f>
        <v/>
      </c>
    </row>
    <row r="406" spans="1:1">
      <c r="A406" t="str">
        <f>IF(ROW()&gt;Solver!$M$1,"",IF(AND(Solver!C407&lt;&gt;FALSE,Solver!$R$7=2),(1/Solver!C407),1)*IF(AND(Solver!C407&lt;&gt;FALSE,Solver!$R$7=3),(1/(Solver!C407^2)),1))</f>
        <v/>
      </c>
    </row>
    <row r="407" spans="1:1">
      <c r="A407" t="str">
        <f>IF(ROW()&gt;Solver!$M$1,"",IF(AND(Solver!C408&lt;&gt;FALSE,Solver!$R$7=2),(1/Solver!C408),1)*IF(AND(Solver!C408&lt;&gt;FALSE,Solver!$R$7=3),(1/(Solver!C408^2)),1))</f>
        <v/>
      </c>
    </row>
    <row r="408" spans="1:1">
      <c r="A408" t="str">
        <f>IF(ROW()&gt;Solver!$M$1,"",IF(AND(Solver!C409&lt;&gt;FALSE,Solver!$R$7=2),(1/Solver!C409),1)*IF(AND(Solver!C409&lt;&gt;FALSE,Solver!$R$7=3),(1/(Solver!C409^2)),1))</f>
        <v/>
      </c>
    </row>
    <row r="409" spans="1:1">
      <c r="A409" t="str">
        <f>IF(ROW()&gt;Solver!$M$1,"",IF(AND(Solver!C410&lt;&gt;FALSE,Solver!$R$7=2),(1/Solver!C410),1)*IF(AND(Solver!C410&lt;&gt;FALSE,Solver!$R$7=3),(1/(Solver!C410^2)),1))</f>
        <v/>
      </c>
    </row>
    <row r="410" spans="1:1">
      <c r="A410" t="str">
        <f>IF(ROW()&gt;Solver!$M$1,"",IF(AND(Solver!C411&lt;&gt;FALSE,Solver!$R$7=2),(1/Solver!C411),1)*IF(AND(Solver!C411&lt;&gt;FALSE,Solver!$R$7=3),(1/(Solver!C411^2)),1))</f>
        <v/>
      </c>
    </row>
    <row r="411" spans="1:1">
      <c r="A411" t="str">
        <f>IF(ROW()&gt;Solver!$M$1,"",IF(AND(Solver!C412&lt;&gt;FALSE,Solver!$R$7=2),(1/Solver!C412),1)*IF(AND(Solver!C412&lt;&gt;FALSE,Solver!$R$7=3),(1/(Solver!C412^2)),1))</f>
        <v/>
      </c>
    </row>
    <row r="412" spans="1:1">
      <c r="A412" t="str">
        <f>IF(ROW()&gt;Solver!$M$1,"",IF(AND(Solver!C413&lt;&gt;FALSE,Solver!$R$7=2),(1/Solver!C413),1)*IF(AND(Solver!C413&lt;&gt;FALSE,Solver!$R$7=3),(1/(Solver!C413^2)),1))</f>
        <v/>
      </c>
    </row>
    <row r="413" spans="1:1">
      <c r="A413" t="str">
        <f>IF(ROW()&gt;Solver!$M$1,"",IF(AND(Solver!C414&lt;&gt;FALSE,Solver!$R$7=2),(1/Solver!C414),1)*IF(AND(Solver!C414&lt;&gt;FALSE,Solver!$R$7=3),(1/(Solver!C414^2)),1))</f>
        <v/>
      </c>
    </row>
    <row r="414" spans="1:1">
      <c r="A414" t="str">
        <f>IF(ROW()&gt;Solver!$M$1,"",IF(AND(Solver!C415&lt;&gt;FALSE,Solver!$R$7=2),(1/Solver!C415),1)*IF(AND(Solver!C415&lt;&gt;FALSE,Solver!$R$7=3),(1/(Solver!C415^2)),1))</f>
        <v/>
      </c>
    </row>
    <row r="415" spans="1:1">
      <c r="A415" t="str">
        <f>IF(ROW()&gt;Solver!$M$1,"",IF(AND(Solver!C416&lt;&gt;FALSE,Solver!$R$7=2),(1/Solver!C416),1)*IF(AND(Solver!C416&lt;&gt;FALSE,Solver!$R$7=3),(1/(Solver!C416^2)),1))</f>
        <v/>
      </c>
    </row>
    <row r="416" spans="1:1">
      <c r="A416" t="str">
        <f>IF(ROW()&gt;Solver!$M$1,"",IF(AND(Solver!C417&lt;&gt;FALSE,Solver!$R$7=2),(1/Solver!C417),1)*IF(AND(Solver!C417&lt;&gt;FALSE,Solver!$R$7=3),(1/(Solver!C417^2)),1))</f>
        <v/>
      </c>
    </row>
    <row r="417" spans="1:1">
      <c r="A417" t="str">
        <f>IF(ROW()&gt;Solver!$M$1,"",IF(AND(Solver!C418&lt;&gt;FALSE,Solver!$R$7=2),(1/Solver!C418),1)*IF(AND(Solver!C418&lt;&gt;FALSE,Solver!$R$7=3),(1/(Solver!C418^2)),1))</f>
        <v/>
      </c>
    </row>
    <row r="418" spans="1:1">
      <c r="A418" t="str">
        <f>IF(ROW()&gt;Solver!$M$1,"",IF(AND(Solver!C419&lt;&gt;FALSE,Solver!$R$7=2),(1/Solver!C419),1)*IF(AND(Solver!C419&lt;&gt;FALSE,Solver!$R$7=3),(1/(Solver!C419^2)),1))</f>
        <v/>
      </c>
    </row>
    <row r="419" spans="1:1">
      <c r="A419" t="str">
        <f>IF(ROW()&gt;Solver!$M$1,"",IF(AND(Solver!C420&lt;&gt;FALSE,Solver!$R$7=2),(1/Solver!C420),1)*IF(AND(Solver!C420&lt;&gt;FALSE,Solver!$R$7=3),(1/(Solver!C420^2)),1))</f>
        <v/>
      </c>
    </row>
    <row r="420" spans="1:1">
      <c r="A420" t="str">
        <f>IF(ROW()&gt;Solver!$M$1,"",IF(AND(Solver!C421&lt;&gt;FALSE,Solver!$R$7=2),(1/Solver!C421),1)*IF(AND(Solver!C421&lt;&gt;FALSE,Solver!$R$7=3),(1/(Solver!C421^2)),1))</f>
        <v/>
      </c>
    </row>
    <row r="421" spans="1:1">
      <c r="A421" t="str">
        <f>IF(ROW()&gt;Solver!$M$1,"",IF(AND(Solver!C422&lt;&gt;FALSE,Solver!$R$7=2),(1/Solver!C422),1)*IF(AND(Solver!C422&lt;&gt;FALSE,Solver!$R$7=3),(1/(Solver!C422^2)),1))</f>
        <v/>
      </c>
    </row>
    <row r="422" spans="1:1">
      <c r="A422" t="str">
        <f>IF(ROW()&gt;Solver!$M$1,"",IF(AND(Solver!C423&lt;&gt;FALSE,Solver!$R$7=2),(1/Solver!C423),1)*IF(AND(Solver!C423&lt;&gt;FALSE,Solver!$R$7=3),(1/(Solver!C423^2)),1))</f>
        <v/>
      </c>
    </row>
    <row r="423" spans="1:1">
      <c r="A423" t="str">
        <f>IF(ROW()&gt;Solver!$M$1,"",IF(AND(Solver!C424&lt;&gt;FALSE,Solver!$R$7=2),(1/Solver!C424),1)*IF(AND(Solver!C424&lt;&gt;FALSE,Solver!$R$7=3),(1/(Solver!C424^2)),1))</f>
        <v/>
      </c>
    </row>
    <row r="424" spans="1:1">
      <c r="A424" t="str">
        <f>IF(ROW()&gt;Solver!$M$1,"",IF(AND(Solver!C425&lt;&gt;FALSE,Solver!$R$7=2),(1/Solver!C425),1)*IF(AND(Solver!C425&lt;&gt;FALSE,Solver!$R$7=3),(1/(Solver!C425^2)),1))</f>
        <v/>
      </c>
    </row>
    <row r="425" spans="1:1">
      <c r="A425" t="str">
        <f>IF(ROW()&gt;Solver!$M$1,"",IF(AND(Solver!C426&lt;&gt;FALSE,Solver!$R$7=2),(1/Solver!C426),1)*IF(AND(Solver!C426&lt;&gt;FALSE,Solver!$R$7=3),(1/(Solver!C426^2)),1))</f>
        <v/>
      </c>
    </row>
    <row r="426" spans="1:1">
      <c r="A426" t="str">
        <f>IF(ROW()&gt;Solver!$M$1,"",IF(AND(Solver!C427&lt;&gt;FALSE,Solver!$R$7=2),(1/Solver!C427),1)*IF(AND(Solver!C427&lt;&gt;FALSE,Solver!$R$7=3),(1/(Solver!C427^2)),1))</f>
        <v/>
      </c>
    </row>
    <row r="427" spans="1:1">
      <c r="A427" t="str">
        <f>IF(ROW()&gt;Solver!$M$1,"",IF(AND(Solver!C428&lt;&gt;FALSE,Solver!$R$7=2),(1/Solver!C428),1)*IF(AND(Solver!C428&lt;&gt;FALSE,Solver!$R$7=3),(1/(Solver!C428^2)),1))</f>
        <v/>
      </c>
    </row>
    <row r="428" spans="1:1">
      <c r="A428" t="str">
        <f>IF(ROW()&gt;Solver!$M$1,"",IF(AND(Solver!C429&lt;&gt;FALSE,Solver!$R$7=2),(1/Solver!C429),1)*IF(AND(Solver!C429&lt;&gt;FALSE,Solver!$R$7=3),(1/(Solver!C429^2)),1))</f>
        <v/>
      </c>
    </row>
    <row r="429" spans="1:1">
      <c r="A429" t="str">
        <f>IF(ROW()&gt;Solver!$M$1,"",IF(AND(Solver!C430&lt;&gt;FALSE,Solver!$R$7=2),(1/Solver!C430),1)*IF(AND(Solver!C430&lt;&gt;FALSE,Solver!$R$7=3),(1/(Solver!C430^2)),1))</f>
        <v/>
      </c>
    </row>
    <row r="430" spans="1:1">
      <c r="A430" t="str">
        <f>IF(ROW()&gt;Solver!$M$1,"",IF(AND(Solver!C431&lt;&gt;FALSE,Solver!$R$7=2),(1/Solver!C431),1)*IF(AND(Solver!C431&lt;&gt;FALSE,Solver!$R$7=3),(1/(Solver!C431^2)),1))</f>
        <v/>
      </c>
    </row>
    <row r="431" spans="1:1">
      <c r="A431" t="str">
        <f>IF(ROW()&gt;Solver!$M$1,"",IF(AND(Solver!C432&lt;&gt;FALSE,Solver!$R$7=2),(1/Solver!C432),1)*IF(AND(Solver!C432&lt;&gt;FALSE,Solver!$R$7=3),(1/(Solver!C432^2)),1))</f>
        <v/>
      </c>
    </row>
    <row r="432" spans="1:1">
      <c r="A432" t="str">
        <f>IF(ROW()&gt;Solver!$M$1,"",IF(AND(Solver!C433&lt;&gt;FALSE,Solver!$R$7=2),(1/Solver!C433),1)*IF(AND(Solver!C433&lt;&gt;FALSE,Solver!$R$7=3),(1/(Solver!C433^2)),1))</f>
        <v/>
      </c>
    </row>
    <row r="433" spans="1:1">
      <c r="A433" t="str">
        <f>IF(ROW()&gt;Solver!$M$1,"",IF(AND(Solver!C434&lt;&gt;FALSE,Solver!$R$7=2),(1/Solver!C434),1)*IF(AND(Solver!C434&lt;&gt;FALSE,Solver!$R$7=3),(1/(Solver!C434^2)),1))</f>
        <v/>
      </c>
    </row>
    <row r="434" spans="1:1">
      <c r="A434" t="str">
        <f>IF(ROW()&gt;Solver!$M$1,"",IF(AND(Solver!C435&lt;&gt;FALSE,Solver!$R$7=2),(1/Solver!C435),1)*IF(AND(Solver!C435&lt;&gt;FALSE,Solver!$R$7=3),(1/(Solver!C435^2)),1))</f>
        <v/>
      </c>
    </row>
    <row r="435" spans="1:1">
      <c r="A435" t="str">
        <f>IF(ROW()&gt;Solver!$M$1,"",IF(AND(Solver!C436&lt;&gt;FALSE,Solver!$R$7=2),(1/Solver!C436),1)*IF(AND(Solver!C436&lt;&gt;FALSE,Solver!$R$7=3),(1/(Solver!C436^2)),1))</f>
        <v/>
      </c>
    </row>
    <row r="436" spans="1:1">
      <c r="A436" t="str">
        <f>IF(ROW()&gt;Solver!$M$1,"",IF(AND(Solver!C437&lt;&gt;FALSE,Solver!$R$7=2),(1/Solver!C437),1)*IF(AND(Solver!C437&lt;&gt;FALSE,Solver!$R$7=3),(1/(Solver!C437^2)),1))</f>
        <v/>
      </c>
    </row>
    <row r="437" spans="1:1">
      <c r="A437" t="str">
        <f>IF(ROW()&gt;Solver!$M$1,"",IF(AND(Solver!C438&lt;&gt;FALSE,Solver!$R$7=2),(1/Solver!C438),1)*IF(AND(Solver!C438&lt;&gt;FALSE,Solver!$R$7=3),(1/(Solver!C438^2)),1))</f>
        <v/>
      </c>
    </row>
    <row r="438" spans="1:1">
      <c r="A438" t="str">
        <f>IF(ROW()&gt;Solver!$M$1,"",IF(AND(Solver!C439&lt;&gt;FALSE,Solver!$R$7=2),(1/Solver!C439),1)*IF(AND(Solver!C439&lt;&gt;FALSE,Solver!$R$7=3),(1/(Solver!C439^2)),1))</f>
        <v/>
      </c>
    </row>
    <row r="439" spans="1:1">
      <c r="A439" t="str">
        <f>IF(ROW()&gt;Solver!$M$1,"",IF(AND(Solver!C440&lt;&gt;FALSE,Solver!$R$7=2),(1/Solver!C440),1)*IF(AND(Solver!C440&lt;&gt;FALSE,Solver!$R$7=3),(1/(Solver!C440^2)),1))</f>
        <v/>
      </c>
    </row>
    <row r="440" spans="1:1">
      <c r="A440" t="str">
        <f>IF(ROW()&gt;Solver!$M$1,"",IF(AND(Solver!C441&lt;&gt;FALSE,Solver!$R$7=2),(1/Solver!C441),1)*IF(AND(Solver!C441&lt;&gt;FALSE,Solver!$R$7=3),(1/(Solver!C441^2)),1))</f>
        <v/>
      </c>
    </row>
    <row r="441" spans="1:1">
      <c r="A441" t="str">
        <f>IF(ROW()&gt;Solver!$M$1,"",IF(AND(Solver!C442&lt;&gt;FALSE,Solver!$R$7=2),(1/Solver!C442),1)*IF(AND(Solver!C442&lt;&gt;FALSE,Solver!$R$7=3),(1/(Solver!C442^2)),1))</f>
        <v/>
      </c>
    </row>
    <row r="442" spans="1:1">
      <c r="A442" t="str">
        <f>IF(ROW()&gt;Solver!$M$1,"",IF(AND(Solver!C443&lt;&gt;FALSE,Solver!$R$7=2),(1/Solver!C443),1)*IF(AND(Solver!C443&lt;&gt;FALSE,Solver!$R$7=3),(1/(Solver!C443^2)),1))</f>
        <v/>
      </c>
    </row>
    <row r="443" spans="1:1">
      <c r="A443" t="str">
        <f>IF(ROW()&gt;Solver!$M$1,"",IF(AND(Solver!C444&lt;&gt;FALSE,Solver!$R$7=2),(1/Solver!C444),1)*IF(AND(Solver!C444&lt;&gt;FALSE,Solver!$R$7=3),(1/(Solver!C444^2)),1))</f>
        <v/>
      </c>
    </row>
    <row r="444" spans="1:1">
      <c r="A444" t="str">
        <f>IF(ROW()&gt;Solver!$M$1,"",IF(AND(Solver!C445&lt;&gt;FALSE,Solver!$R$7=2),(1/Solver!C445),1)*IF(AND(Solver!C445&lt;&gt;FALSE,Solver!$R$7=3),(1/(Solver!C445^2)),1))</f>
        <v/>
      </c>
    </row>
    <row r="445" spans="1:1">
      <c r="A445" t="str">
        <f>IF(ROW()&gt;Solver!$M$1,"",IF(AND(Solver!C446&lt;&gt;FALSE,Solver!$R$7=2),(1/Solver!C446),1)*IF(AND(Solver!C446&lt;&gt;FALSE,Solver!$R$7=3),(1/(Solver!C446^2)),1))</f>
        <v/>
      </c>
    </row>
    <row r="446" spans="1:1">
      <c r="A446" t="str">
        <f>IF(ROW()&gt;Solver!$M$1,"",IF(AND(Solver!C447&lt;&gt;FALSE,Solver!$R$7=2),(1/Solver!C447),1)*IF(AND(Solver!C447&lt;&gt;FALSE,Solver!$R$7=3),(1/(Solver!C447^2)),1))</f>
        <v/>
      </c>
    </row>
    <row r="447" spans="1:1">
      <c r="A447" t="str">
        <f>IF(ROW()&gt;Solver!$M$1,"",IF(AND(Solver!C448&lt;&gt;FALSE,Solver!$R$7=2),(1/Solver!C448),1)*IF(AND(Solver!C448&lt;&gt;FALSE,Solver!$R$7=3),(1/(Solver!C448^2)),1))</f>
        <v/>
      </c>
    </row>
    <row r="448" spans="1:1">
      <c r="A448" t="str">
        <f>IF(ROW()&gt;Solver!$M$1,"",IF(AND(Solver!C449&lt;&gt;FALSE,Solver!$R$7=2),(1/Solver!C449),1)*IF(AND(Solver!C449&lt;&gt;FALSE,Solver!$R$7=3),(1/(Solver!C449^2)),1))</f>
        <v/>
      </c>
    </row>
    <row r="449" spans="1:1">
      <c r="A449" t="str">
        <f>IF(ROW()&gt;Solver!$M$1,"",IF(AND(Solver!C450&lt;&gt;FALSE,Solver!$R$7=2),(1/Solver!C450),1)*IF(AND(Solver!C450&lt;&gt;FALSE,Solver!$R$7=3),(1/(Solver!C450^2)),1))</f>
        <v/>
      </c>
    </row>
    <row r="450" spans="1:1">
      <c r="A450" t="str">
        <f>IF(ROW()&gt;Solver!$M$1,"",IF(AND(Solver!C451&lt;&gt;FALSE,Solver!$R$7=2),(1/Solver!C451),1)*IF(AND(Solver!C451&lt;&gt;FALSE,Solver!$R$7=3),(1/(Solver!C451^2)),1))</f>
        <v/>
      </c>
    </row>
    <row r="451" spans="1:1">
      <c r="A451" t="str">
        <f>IF(ROW()&gt;Solver!$M$1,"",IF(AND(Solver!C452&lt;&gt;FALSE,Solver!$R$7=2),(1/Solver!C452),1)*IF(AND(Solver!C452&lt;&gt;FALSE,Solver!$R$7=3),(1/(Solver!C452^2)),1))</f>
        <v/>
      </c>
    </row>
    <row r="452" spans="1:1">
      <c r="A452" t="str">
        <f>IF(ROW()&gt;Solver!$M$1,"",IF(AND(Solver!C453&lt;&gt;FALSE,Solver!$R$7=2),(1/Solver!C453),1)*IF(AND(Solver!C453&lt;&gt;FALSE,Solver!$R$7=3),(1/(Solver!C453^2)),1))</f>
        <v/>
      </c>
    </row>
    <row r="453" spans="1:1">
      <c r="A453" t="str">
        <f>IF(ROW()&gt;Solver!$M$1,"",IF(AND(Solver!C454&lt;&gt;FALSE,Solver!$R$7=2),(1/Solver!C454),1)*IF(AND(Solver!C454&lt;&gt;FALSE,Solver!$R$7=3),(1/(Solver!C454^2)),1))</f>
        <v/>
      </c>
    </row>
    <row r="454" spans="1:1">
      <c r="A454" t="str">
        <f>IF(ROW()&gt;Solver!$M$1,"",IF(AND(Solver!C455&lt;&gt;FALSE,Solver!$R$7=2),(1/Solver!C455),1)*IF(AND(Solver!C455&lt;&gt;FALSE,Solver!$R$7=3),(1/(Solver!C455^2)),1))</f>
        <v/>
      </c>
    </row>
    <row r="455" spans="1:1">
      <c r="A455" t="str">
        <f>IF(ROW()&gt;Solver!$M$1,"",IF(AND(Solver!C456&lt;&gt;FALSE,Solver!$R$7=2),(1/Solver!C456),1)*IF(AND(Solver!C456&lt;&gt;FALSE,Solver!$R$7=3),(1/(Solver!C456^2)),1))</f>
        <v/>
      </c>
    </row>
    <row r="456" spans="1:1">
      <c r="A456" t="str">
        <f>IF(ROW()&gt;Solver!$M$1,"",IF(AND(Solver!C457&lt;&gt;FALSE,Solver!$R$7=2),(1/Solver!C457),1)*IF(AND(Solver!C457&lt;&gt;FALSE,Solver!$R$7=3),(1/(Solver!C457^2)),1))</f>
        <v/>
      </c>
    </row>
    <row r="457" spans="1:1">
      <c r="A457" t="str">
        <f>IF(ROW()&gt;Solver!$M$1,"",IF(AND(Solver!C458&lt;&gt;FALSE,Solver!$R$7=2),(1/Solver!C458),1)*IF(AND(Solver!C458&lt;&gt;FALSE,Solver!$R$7=3),(1/(Solver!C458^2)),1))</f>
        <v/>
      </c>
    </row>
    <row r="458" spans="1:1">
      <c r="A458" t="str">
        <f>IF(ROW()&gt;Solver!$M$1,"",IF(AND(Solver!C459&lt;&gt;FALSE,Solver!$R$7=2),(1/Solver!C459),1)*IF(AND(Solver!C459&lt;&gt;FALSE,Solver!$R$7=3),(1/(Solver!C459^2)),1))</f>
        <v/>
      </c>
    </row>
    <row r="459" spans="1:1">
      <c r="A459" t="str">
        <f>IF(ROW()&gt;Solver!$M$1,"",IF(AND(Solver!C460&lt;&gt;FALSE,Solver!$R$7=2),(1/Solver!C460),1)*IF(AND(Solver!C460&lt;&gt;FALSE,Solver!$R$7=3),(1/(Solver!C460^2)),1))</f>
        <v/>
      </c>
    </row>
    <row r="460" spans="1:1">
      <c r="A460" t="str">
        <f>IF(ROW()&gt;Solver!$M$1,"",IF(AND(Solver!C461&lt;&gt;FALSE,Solver!$R$7=2),(1/Solver!C461),1)*IF(AND(Solver!C461&lt;&gt;FALSE,Solver!$R$7=3),(1/(Solver!C461^2)),1))</f>
        <v/>
      </c>
    </row>
    <row r="461" spans="1:1">
      <c r="A461" t="str">
        <f>IF(ROW()&gt;Solver!$M$1,"",IF(AND(Solver!C462&lt;&gt;FALSE,Solver!$R$7=2),(1/Solver!C462),1)*IF(AND(Solver!C462&lt;&gt;FALSE,Solver!$R$7=3),(1/(Solver!C462^2)),1))</f>
        <v/>
      </c>
    </row>
    <row r="462" spans="1:1">
      <c r="A462" t="str">
        <f>IF(ROW()&gt;Solver!$M$1,"",IF(AND(Solver!C463&lt;&gt;FALSE,Solver!$R$7=2),(1/Solver!C463),1)*IF(AND(Solver!C463&lt;&gt;FALSE,Solver!$R$7=3),(1/(Solver!C463^2)),1))</f>
        <v/>
      </c>
    </row>
    <row r="463" spans="1:1">
      <c r="A463" t="str">
        <f>IF(ROW()&gt;Solver!$M$1,"",IF(AND(Solver!C464&lt;&gt;FALSE,Solver!$R$7=2),(1/Solver!C464),1)*IF(AND(Solver!C464&lt;&gt;FALSE,Solver!$R$7=3),(1/(Solver!C464^2)),1))</f>
        <v/>
      </c>
    </row>
    <row r="464" spans="1:1">
      <c r="A464" t="str">
        <f>IF(ROW()&gt;Solver!$M$1,"",IF(AND(Solver!C465&lt;&gt;FALSE,Solver!$R$7=2),(1/Solver!C465),1)*IF(AND(Solver!C465&lt;&gt;FALSE,Solver!$R$7=3),(1/(Solver!C465^2)),1))</f>
        <v/>
      </c>
    </row>
    <row r="465" spans="1:1">
      <c r="A465" t="str">
        <f>IF(ROW()&gt;Solver!$M$1,"",IF(AND(Solver!C466&lt;&gt;FALSE,Solver!$R$7=2),(1/Solver!C466),1)*IF(AND(Solver!C466&lt;&gt;FALSE,Solver!$R$7=3),(1/(Solver!C466^2)),1))</f>
        <v/>
      </c>
    </row>
    <row r="466" spans="1:1">
      <c r="A466" t="str">
        <f>IF(ROW()&gt;Solver!$M$1,"",IF(AND(Solver!C467&lt;&gt;FALSE,Solver!$R$7=2),(1/Solver!C467),1)*IF(AND(Solver!C467&lt;&gt;FALSE,Solver!$R$7=3),(1/(Solver!C467^2)),1))</f>
        <v/>
      </c>
    </row>
    <row r="467" spans="1:1">
      <c r="A467" t="str">
        <f>IF(ROW()&gt;Solver!$M$1,"",IF(AND(Solver!C468&lt;&gt;FALSE,Solver!$R$7=2),(1/Solver!C468),1)*IF(AND(Solver!C468&lt;&gt;FALSE,Solver!$R$7=3),(1/(Solver!C468^2)),1))</f>
        <v/>
      </c>
    </row>
    <row r="468" spans="1:1">
      <c r="A468" t="str">
        <f>IF(ROW()&gt;Solver!$M$1,"",IF(AND(Solver!C469&lt;&gt;FALSE,Solver!$R$7=2),(1/Solver!C469),1)*IF(AND(Solver!C469&lt;&gt;FALSE,Solver!$R$7=3),(1/(Solver!C469^2)),1))</f>
        <v/>
      </c>
    </row>
    <row r="469" spans="1:1">
      <c r="A469" t="str">
        <f>IF(ROW()&gt;Solver!$M$1,"",IF(AND(Solver!C470&lt;&gt;FALSE,Solver!$R$7=2),(1/Solver!C470),1)*IF(AND(Solver!C470&lt;&gt;FALSE,Solver!$R$7=3),(1/(Solver!C470^2)),1))</f>
        <v/>
      </c>
    </row>
    <row r="470" spans="1:1">
      <c r="A470" t="str">
        <f>IF(ROW()&gt;Solver!$M$1,"",IF(AND(Solver!C471&lt;&gt;FALSE,Solver!$R$7=2),(1/Solver!C471),1)*IF(AND(Solver!C471&lt;&gt;FALSE,Solver!$R$7=3),(1/(Solver!C471^2)),1))</f>
        <v/>
      </c>
    </row>
    <row r="471" spans="1:1">
      <c r="A471" t="str">
        <f>IF(ROW()&gt;Solver!$M$1,"",IF(AND(Solver!C472&lt;&gt;FALSE,Solver!$R$7=2),(1/Solver!C472),1)*IF(AND(Solver!C472&lt;&gt;FALSE,Solver!$R$7=3),(1/(Solver!C472^2)),1))</f>
        <v/>
      </c>
    </row>
    <row r="472" spans="1:1">
      <c r="A472" t="str">
        <f>IF(ROW()&gt;Solver!$M$1,"",IF(AND(Solver!C473&lt;&gt;FALSE,Solver!$R$7=2),(1/Solver!C473),1)*IF(AND(Solver!C473&lt;&gt;FALSE,Solver!$R$7=3),(1/(Solver!C473^2)),1))</f>
        <v/>
      </c>
    </row>
    <row r="473" spans="1:1">
      <c r="A473" t="str">
        <f>IF(ROW()&gt;Solver!$M$1,"",IF(AND(Solver!C474&lt;&gt;FALSE,Solver!$R$7=2),(1/Solver!C474),1)*IF(AND(Solver!C474&lt;&gt;FALSE,Solver!$R$7=3),(1/(Solver!C474^2)),1))</f>
        <v/>
      </c>
    </row>
    <row r="474" spans="1:1">
      <c r="A474" t="str">
        <f>IF(ROW()&gt;Solver!$M$1,"",IF(AND(Solver!C475&lt;&gt;FALSE,Solver!$R$7=2),(1/Solver!C475),1)*IF(AND(Solver!C475&lt;&gt;FALSE,Solver!$R$7=3),(1/(Solver!C475^2)),1))</f>
        <v/>
      </c>
    </row>
    <row r="475" spans="1:1">
      <c r="A475" t="str">
        <f>IF(ROW()&gt;Solver!$M$1,"",IF(AND(Solver!C476&lt;&gt;FALSE,Solver!$R$7=2),(1/Solver!C476),1)*IF(AND(Solver!C476&lt;&gt;FALSE,Solver!$R$7=3),(1/(Solver!C476^2)),1))</f>
        <v/>
      </c>
    </row>
    <row r="476" spans="1:1">
      <c r="A476" t="str">
        <f>IF(ROW()&gt;Solver!$M$1,"",IF(AND(Solver!C477&lt;&gt;FALSE,Solver!$R$7=2),(1/Solver!C477),1)*IF(AND(Solver!C477&lt;&gt;FALSE,Solver!$R$7=3),(1/(Solver!C477^2)),1))</f>
        <v/>
      </c>
    </row>
    <row r="477" spans="1:1">
      <c r="A477" t="str">
        <f>IF(ROW()&gt;Solver!$M$1,"",IF(AND(Solver!C478&lt;&gt;FALSE,Solver!$R$7=2),(1/Solver!C478),1)*IF(AND(Solver!C478&lt;&gt;FALSE,Solver!$R$7=3),(1/(Solver!C478^2)),1))</f>
        <v/>
      </c>
    </row>
    <row r="478" spans="1:1">
      <c r="A478" t="str">
        <f>IF(ROW()&gt;Solver!$M$1,"",IF(AND(Solver!C479&lt;&gt;FALSE,Solver!$R$7=2),(1/Solver!C479),1)*IF(AND(Solver!C479&lt;&gt;FALSE,Solver!$R$7=3),(1/(Solver!C479^2)),1))</f>
        <v/>
      </c>
    </row>
    <row r="479" spans="1:1">
      <c r="A479" t="str">
        <f>IF(ROW()&gt;Solver!$M$1,"",IF(AND(Solver!C480&lt;&gt;FALSE,Solver!$R$7=2),(1/Solver!C480),1)*IF(AND(Solver!C480&lt;&gt;FALSE,Solver!$R$7=3),(1/(Solver!C480^2)),1))</f>
        <v/>
      </c>
    </row>
    <row r="480" spans="1:1">
      <c r="A480" t="str">
        <f>IF(ROW()&gt;Solver!$M$1,"",IF(AND(Solver!C481&lt;&gt;FALSE,Solver!$R$7=2),(1/Solver!C481),1)*IF(AND(Solver!C481&lt;&gt;FALSE,Solver!$R$7=3),(1/(Solver!C481^2)),1))</f>
        <v/>
      </c>
    </row>
    <row r="481" spans="1:1">
      <c r="A481" t="str">
        <f>IF(ROW()&gt;Solver!$M$1,"",IF(AND(Solver!C482&lt;&gt;FALSE,Solver!$R$7=2),(1/Solver!C482),1)*IF(AND(Solver!C482&lt;&gt;FALSE,Solver!$R$7=3),(1/(Solver!C482^2)),1))</f>
        <v/>
      </c>
    </row>
    <row r="482" spans="1:1">
      <c r="A482" t="str">
        <f>IF(ROW()&gt;Solver!$M$1,"",IF(AND(Solver!C483&lt;&gt;FALSE,Solver!$R$7=2),(1/Solver!C483),1)*IF(AND(Solver!C483&lt;&gt;FALSE,Solver!$R$7=3),(1/(Solver!C483^2)),1))</f>
        <v/>
      </c>
    </row>
    <row r="483" spans="1:1">
      <c r="A483" t="str">
        <f>IF(ROW()&gt;Solver!$M$1,"",IF(AND(Solver!C484&lt;&gt;FALSE,Solver!$R$7=2),(1/Solver!C484),1)*IF(AND(Solver!C484&lt;&gt;FALSE,Solver!$R$7=3),(1/(Solver!C484^2)),1))</f>
        <v/>
      </c>
    </row>
    <row r="484" spans="1:1">
      <c r="A484" t="str">
        <f>IF(ROW()&gt;Solver!$M$1,"",IF(AND(Solver!C485&lt;&gt;FALSE,Solver!$R$7=2),(1/Solver!C485),1)*IF(AND(Solver!C485&lt;&gt;FALSE,Solver!$R$7=3),(1/(Solver!C485^2)),1))</f>
        <v/>
      </c>
    </row>
    <row r="485" spans="1:1">
      <c r="A485" t="str">
        <f>IF(ROW()&gt;Solver!$M$1,"",IF(AND(Solver!C486&lt;&gt;FALSE,Solver!$R$7=2),(1/Solver!C486),1)*IF(AND(Solver!C486&lt;&gt;FALSE,Solver!$R$7=3),(1/(Solver!C486^2)),1))</f>
        <v/>
      </c>
    </row>
    <row r="486" spans="1:1">
      <c r="A486" t="str">
        <f>IF(ROW()&gt;Solver!$M$1,"",IF(AND(Solver!C487&lt;&gt;FALSE,Solver!$R$7=2),(1/Solver!C487),1)*IF(AND(Solver!C487&lt;&gt;FALSE,Solver!$R$7=3),(1/(Solver!C487^2)),1))</f>
        <v/>
      </c>
    </row>
    <row r="487" spans="1:1">
      <c r="A487" t="str">
        <f>IF(ROW()&gt;Solver!$M$1,"",IF(AND(Solver!C488&lt;&gt;FALSE,Solver!$R$7=2),(1/Solver!C488),1)*IF(AND(Solver!C488&lt;&gt;FALSE,Solver!$R$7=3),(1/(Solver!C488^2)),1))</f>
        <v/>
      </c>
    </row>
    <row r="488" spans="1:1">
      <c r="A488" t="str">
        <f>IF(ROW()&gt;Solver!$M$1,"",IF(AND(Solver!C489&lt;&gt;FALSE,Solver!$R$7=2),(1/Solver!C489),1)*IF(AND(Solver!C489&lt;&gt;FALSE,Solver!$R$7=3),(1/(Solver!C489^2)),1))</f>
        <v/>
      </c>
    </row>
    <row r="489" spans="1:1">
      <c r="A489" t="str">
        <f>IF(ROW()&gt;Solver!$M$1,"",IF(AND(Solver!C490&lt;&gt;FALSE,Solver!$R$7=2),(1/Solver!C490),1)*IF(AND(Solver!C490&lt;&gt;FALSE,Solver!$R$7=3),(1/(Solver!C490^2)),1))</f>
        <v/>
      </c>
    </row>
    <row r="490" spans="1:1">
      <c r="A490" t="str">
        <f>IF(ROW()&gt;Solver!$M$1,"",IF(AND(Solver!C491&lt;&gt;FALSE,Solver!$R$7=2),(1/Solver!C491),1)*IF(AND(Solver!C491&lt;&gt;FALSE,Solver!$R$7=3),(1/(Solver!C491^2)),1))</f>
        <v/>
      </c>
    </row>
    <row r="491" spans="1:1">
      <c r="A491" t="str">
        <f>IF(ROW()&gt;Solver!$M$1,"",IF(AND(Solver!C492&lt;&gt;FALSE,Solver!$R$7=2),(1/Solver!C492),1)*IF(AND(Solver!C492&lt;&gt;FALSE,Solver!$R$7=3),(1/(Solver!C492^2)),1))</f>
        <v/>
      </c>
    </row>
    <row r="492" spans="1:1">
      <c r="A492" t="str">
        <f>IF(ROW()&gt;Solver!$M$1,"",IF(AND(Solver!C493&lt;&gt;FALSE,Solver!$R$7=2),(1/Solver!C493),1)*IF(AND(Solver!C493&lt;&gt;FALSE,Solver!$R$7=3),(1/(Solver!C493^2)),1))</f>
        <v/>
      </c>
    </row>
    <row r="493" spans="1:1">
      <c r="A493" t="str">
        <f>IF(ROW()&gt;Solver!$M$1,"",IF(AND(Solver!C494&lt;&gt;FALSE,Solver!$R$7=2),(1/Solver!C494),1)*IF(AND(Solver!C494&lt;&gt;FALSE,Solver!$R$7=3),(1/(Solver!C494^2)),1))</f>
        <v/>
      </c>
    </row>
    <row r="494" spans="1:1">
      <c r="A494" t="str">
        <f>IF(ROW()&gt;Solver!$M$1,"",IF(AND(Solver!C495&lt;&gt;FALSE,Solver!$R$7=2),(1/Solver!C495),1)*IF(AND(Solver!C495&lt;&gt;FALSE,Solver!$R$7=3),(1/(Solver!C495^2)),1))</f>
        <v/>
      </c>
    </row>
    <row r="495" spans="1:1">
      <c r="A495" t="str">
        <f>IF(ROW()&gt;Solver!$M$1,"",IF(AND(Solver!C496&lt;&gt;FALSE,Solver!$R$7=2),(1/Solver!C496),1)*IF(AND(Solver!C496&lt;&gt;FALSE,Solver!$R$7=3),(1/(Solver!C496^2)),1))</f>
        <v/>
      </c>
    </row>
    <row r="496" spans="1:1">
      <c r="A496" t="str">
        <f>IF(ROW()&gt;Solver!$M$1,"",IF(AND(Solver!C497&lt;&gt;FALSE,Solver!$R$7=2),(1/Solver!C497),1)*IF(AND(Solver!C497&lt;&gt;FALSE,Solver!$R$7=3),(1/(Solver!C497^2)),1))</f>
        <v/>
      </c>
    </row>
    <row r="497" spans="1:1">
      <c r="A497" t="str">
        <f>IF(ROW()&gt;Solver!$M$1,"",IF(AND(Solver!C498&lt;&gt;FALSE,Solver!$R$7=2),(1/Solver!C498),1)*IF(AND(Solver!C498&lt;&gt;FALSE,Solver!$R$7=3),(1/(Solver!C498^2)),1))</f>
        <v/>
      </c>
    </row>
    <row r="498" spans="1:1">
      <c r="A498" t="str">
        <f>IF(ROW()&gt;Solver!$M$1,"",IF(AND(Solver!C499&lt;&gt;FALSE,Solver!$R$7=2),(1/Solver!C499),1)*IF(AND(Solver!C499&lt;&gt;FALSE,Solver!$R$7=3),(1/(Solver!C499^2)),1))</f>
        <v/>
      </c>
    </row>
    <row r="499" spans="1:1">
      <c r="A499" t="str">
        <f>IF(ROW()&gt;Solver!$M$1,"",IF(AND(Solver!C500&lt;&gt;FALSE,Solver!$R$7=2),(1/Solver!C500),1)*IF(AND(Solver!C500&lt;&gt;FALSE,Solver!$R$7=3),(1/(Solver!C500^2)),1))</f>
        <v/>
      </c>
    </row>
    <row r="500" spans="1:1">
      <c r="A500" t="str">
        <f>IF(ROW()&gt;Solver!$M$1,"",IF(AND(Solver!C501&lt;&gt;FALSE,Solver!$R$7=2),(1/Solver!C501),1)*IF(AND(Solver!C501&lt;&gt;FALSE,Solver!$R$7=3),(1/(Solver!C501^2)),1))</f>
        <v/>
      </c>
    </row>
  </sheetData>
  <phoneticPr fontId="3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O51"/>
  <sheetViews>
    <sheetView topLeftCell="A23" workbookViewId="0">
      <selection activeCell="A51" sqref="A51"/>
    </sheetView>
  </sheetViews>
  <sheetFormatPr defaultRowHeight="12.75"/>
  <sheetData>
    <row r="1" spans="1:15" s="26" customFormat="1">
      <c r="A1" s="26" t="s">
        <v>35</v>
      </c>
      <c r="B1" s="26" t="s">
        <v>36</v>
      </c>
      <c r="C1" s="26" t="s">
        <v>37</v>
      </c>
      <c r="D1" s="26" t="s">
        <v>38</v>
      </c>
      <c r="E1" s="26" t="s">
        <v>42</v>
      </c>
      <c r="F1" s="26" t="s">
        <v>45</v>
      </c>
      <c r="G1" s="26" t="s">
        <v>54</v>
      </c>
      <c r="H1" s="26" t="s">
        <v>56</v>
      </c>
      <c r="I1" s="26" t="s">
        <v>58</v>
      </c>
      <c r="J1" s="26" t="s">
        <v>39</v>
      </c>
      <c r="K1" s="26" t="s">
        <v>43</v>
      </c>
      <c r="L1" s="26" t="s">
        <v>46</v>
      </c>
      <c r="M1" s="26" t="s">
        <v>55</v>
      </c>
      <c r="N1" s="26" t="s">
        <v>57</v>
      </c>
      <c r="O1" s="26" t="s">
        <v>59</v>
      </c>
    </row>
    <row r="2" spans="1:15">
      <c r="A2">
        <v>20</v>
      </c>
      <c r="B2">
        <v>13</v>
      </c>
      <c r="C2">
        <v>3.1555516815554525E-2</v>
      </c>
      <c r="D2">
        <v>47.932762062931957</v>
      </c>
      <c r="E2">
        <v>1.4413485046480254</v>
      </c>
      <c r="F2">
        <v>9.1110918828963595E-4</v>
      </c>
      <c r="G2">
        <v>1.5876411620792412</v>
      </c>
      <c r="H2">
        <v>1.0963414529985118E-3</v>
      </c>
      <c r="I2">
        <v>-646.13723036398142</v>
      </c>
      <c r="J2">
        <v>2.4785058715067594</v>
      </c>
      <c r="K2">
        <v>0.11880762867956453</v>
      </c>
      <c r="L2">
        <v>8.0917886584541714E-5</v>
      </c>
      <c r="M2">
        <v>0.13133244964359414</v>
      </c>
      <c r="N2">
        <v>8.2659780234148011E-5</v>
      </c>
      <c r="O2">
        <v>-206.54215595889664</v>
      </c>
    </row>
    <row r="3" spans="1:15">
      <c r="A3">
        <v>40</v>
      </c>
      <c r="B3">
        <v>13</v>
      </c>
      <c r="C3">
        <v>3.1555516815554525E-2</v>
      </c>
      <c r="D3">
        <v>47.932762062931957</v>
      </c>
      <c r="E3">
        <v>1.4413485046480254</v>
      </c>
      <c r="F3">
        <v>9.1110918828963595E-4</v>
      </c>
      <c r="G3">
        <v>1.5876411620792412</v>
      </c>
      <c r="H3">
        <v>1.0963414529985118E-3</v>
      </c>
      <c r="I3">
        <v>-646.13723036398142</v>
      </c>
      <c r="J3">
        <v>2.0271871471808489</v>
      </c>
      <c r="K3">
        <v>9.7173583736491584E-2</v>
      </c>
      <c r="L3">
        <v>6.618330081320254E-5</v>
      </c>
      <c r="M3">
        <v>0.10741772169513462</v>
      </c>
      <c r="N3">
        <v>6.7608007713772093E-5</v>
      </c>
      <c r="O3">
        <v>-168.93226226507073</v>
      </c>
    </row>
    <row r="4" spans="1:15">
      <c r="A4">
        <v>60</v>
      </c>
      <c r="B4">
        <v>15</v>
      </c>
      <c r="C4">
        <v>2.5830189905792649E-2</v>
      </c>
      <c r="D4">
        <v>47.885942520396391</v>
      </c>
      <c r="E4">
        <v>1.4405102086490229</v>
      </c>
      <c r="F4">
        <v>9.2220791583674984E-4</v>
      </c>
      <c r="G4">
        <v>1.5798408585052288</v>
      </c>
      <c r="H4">
        <v>1.1368688700751472E-3</v>
      </c>
      <c r="I4">
        <v>-728.36162026585771</v>
      </c>
      <c r="J4">
        <v>1.6580504314871547</v>
      </c>
      <c r="K4">
        <v>7.94789482892619E-2</v>
      </c>
      <c r="L4">
        <v>5.4131780888202802E-5</v>
      </c>
      <c r="M4">
        <v>8.7857699795339167E-2</v>
      </c>
      <c r="N4">
        <v>5.5297058546221313E-5</v>
      </c>
      <c r="O4">
        <v>-138.17086929059619</v>
      </c>
    </row>
    <row r="5" spans="1:15">
      <c r="A5">
        <v>80</v>
      </c>
      <c r="B5">
        <v>18</v>
      </c>
      <c r="C5">
        <v>2.1947717211067502E-2</v>
      </c>
      <c r="D5">
        <v>47.909329212038692</v>
      </c>
      <c r="E5">
        <v>1.4387366941166133</v>
      </c>
      <c r="F5">
        <v>9.6323165259123208E-4</v>
      </c>
      <c r="G5">
        <v>1.5805927932703256</v>
      </c>
      <c r="H5">
        <v>1.1706099715180923E-3</v>
      </c>
      <c r="I5">
        <v>-757.8313725710243</v>
      </c>
      <c r="J5">
        <v>1.3561309507994259</v>
      </c>
      <c r="K5">
        <v>6.5006383198718876E-2</v>
      </c>
      <c r="L5">
        <v>4.4274759132954255E-5</v>
      </c>
      <c r="M5">
        <v>7.1859422183942728E-2</v>
      </c>
      <c r="N5">
        <v>4.5227847813674651E-5</v>
      </c>
      <c r="O5">
        <v>-113.0109125666188</v>
      </c>
    </row>
    <row r="6" spans="1:15">
      <c r="A6">
        <v>100</v>
      </c>
      <c r="B6">
        <v>18</v>
      </c>
      <c r="C6">
        <v>2.1947717211067502E-2</v>
      </c>
      <c r="D6">
        <v>47.909329212038692</v>
      </c>
      <c r="E6">
        <v>1.4387366941166133</v>
      </c>
      <c r="F6">
        <v>9.6323165259123208E-4</v>
      </c>
      <c r="G6">
        <v>1.5805927932703256</v>
      </c>
      <c r="H6">
        <v>1.1706099715180923E-3</v>
      </c>
      <c r="I6">
        <v>-757.8313725710243</v>
      </c>
      <c r="J6">
        <v>1.1091889129491794</v>
      </c>
      <c r="K6">
        <v>5.3169171806336214E-2</v>
      </c>
      <c r="L6">
        <v>3.6212632655289639E-5</v>
      </c>
      <c r="M6">
        <v>5.8774319935975074E-2</v>
      </c>
      <c r="N6">
        <v>3.6992170499396252E-5</v>
      </c>
      <c r="O6">
        <v>-92.432409412431554</v>
      </c>
    </row>
    <row r="7" spans="1:15">
      <c r="A7">
        <v>120</v>
      </c>
      <c r="B7">
        <v>20</v>
      </c>
      <c r="C7">
        <v>2.0495972735555638E-2</v>
      </c>
      <c r="D7">
        <v>47.845521609408813</v>
      </c>
      <c r="E7">
        <v>1.439358089435832</v>
      </c>
      <c r="F7">
        <v>9.6432357447170914E-4</v>
      </c>
      <c r="G7">
        <v>1.5791090517814619</v>
      </c>
      <c r="H7">
        <v>1.1758239677999009E-3</v>
      </c>
      <c r="I7">
        <v>-724.77463496716632</v>
      </c>
      <c r="J7">
        <v>0.90721330700706493</v>
      </c>
      <c r="K7">
        <v>4.3487434486701469E-2</v>
      </c>
      <c r="L7">
        <v>2.9618563477421417E-5</v>
      </c>
      <c r="M7">
        <v>4.8071924028193234E-2</v>
      </c>
      <c r="N7">
        <v>3.0256152888235824E-5</v>
      </c>
      <c r="O7">
        <v>-75.60110891725536</v>
      </c>
    </row>
    <row r="8" spans="1:15">
      <c r="A8">
        <v>140</v>
      </c>
      <c r="B8">
        <v>21</v>
      </c>
      <c r="C8">
        <v>1.9553985295192023E-2</v>
      </c>
      <c r="D8">
        <v>47.924130514669358</v>
      </c>
      <c r="E8">
        <v>1.4380677764005372</v>
      </c>
      <c r="F8">
        <v>9.7378043079455394E-4</v>
      </c>
      <c r="G8">
        <v>1.5790844125800123</v>
      </c>
      <c r="H8">
        <v>1.1889261734240421E-3</v>
      </c>
      <c r="I8">
        <v>-734.02647096093881</v>
      </c>
      <c r="J8">
        <v>0.74201605768160483</v>
      </c>
      <c r="K8">
        <v>3.5568674364978209E-2</v>
      </c>
      <c r="L8">
        <v>2.4225228549846938E-5</v>
      </c>
      <c r="M8">
        <v>3.9318360166306257E-2</v>
      </c>
      <c r="N8">
        <v>2.4746717352290569E-5</v>
      </c>
      <c r="O8">
        <v>-61.834671473467004</v>
      </c>
    </row>
    <row r="9" spans="1:15">
      <c r="A9">
        <v>160</v>
      </c>
      <c r="B9">
        <v>21</v>
      </c>
      <c r="C9">
        <v>1.9553985295192023E-2</v>
      </c>
      <c r="D9">
        <v>47.924130514669358</v>
      </c>
      <c r="E9">
        <v>1.4380677764005372</v>
      </c>
      <c r="F9">
        <v>9.7378043079455394E-4</v>
      </c>
      <c r="G9">
        <v>1.5790844125800123</v>
      </c>
      <c r="H9">
        <v>1.1889261734240421E-3</v>
      </c>
      <c r="I9">
        <v>-734.02647096093881</v>
      </c>
      <c r="J9">
        <v>0.60690008138633145</v>
      </c>
      <c r="K9">
        <v>2.9091865524252448E-2</v>
      </c>
      <c r="L9">
        <v>1.9813982495798309E-5</v>
      </c>
      <c r="M9">
        <v>3.2158759554968476E-2</v>
      </c>
      <c r="N9">
        <v>2.0240511805196229E-5</v>
      </c>
      <c r="O9">
        <v>-50.57500678219423</v>
      </c>
    </row>
    <row r="10" spans="1:15">
      <c r="A10">
        <v>180</v>
      </c>
      <c r="B10">
        <v>23</v>
      </c>
      <c r="C10">
        <v>1.8579081124915874E-2</v>
      </c>
      <c r="D10">
        <v>47.884558135039683</v>
      </c>
      <c r="E10">
        <v>1.4384766112876726</v>
      </c>
      <c r="F10">
        <v>9.7444563255650956E-4</v>
      </c>
      <c r="G10">
        <v>1.5782809269740992</v>
      </c>
      <c r="H10">
        <v>1.191976154585353E-3</v>
      </c>
      <c r="I10">
        <v>-702.47444302465863</v>
      </c>
      <c r="J10">
        <v>0.49638778699420466</v>
      </c>
      <c r="K10">
        <v>2.3794438639931775E-2</v>
      </c>
      <c r="L10">
        <v>1.6205993744743529E-5</v>
      </c>
      <c r="M10">
        <v>2.630287254452995E-2</v>
      </c>
      <c r="N10">
        <v>1.6554855025988641E-5</v>
      </c>
      <c r="O10">
        <v>-41.365648916183659</v>
      </c>
    </row>
    <row r="11" spans="1:15">
      <c r="A11">
        <v>200</v>
      </c>
      <c r="B11">
        <v>25</v>
      </c>
      <c r="C11">
        <v>1.8482970378513607E-2</v>
      </c>
      <c r="D11">
        <v>47.892029158282597</v>
      </c>
      <c r="E11">
        <v>1.4376285099971007</v>
      </c>
      <c r="F11">
        <v>9.8606736976884096E-4</v>
      </c>
      <c r="G11">
        <v>1.5781897220026477</v>
      </c>
      <c r="H11">
        <v>1.2019520794750035E-3</v>
      </c>
      <c r="I11">
        <v>-710.70370127161061</v>
      </c>
      <c r="J11">
        <v>0.40599901472109634</v>
      </c>
      <c r="K11">
        <v>1.9461636439831814E-2</v>
      </c>
      <c r="L11">
        <v>1.325499471448306E-5</v>
      </c>
      <c r="M11">
        <v>2.1513301932906775E-2</v>
      </c>
      <c r="N11">
        <v>1.3540330776672495E-5</v>
      </c>
      <c r="O11">
        <v>-33.833251226758009</v>
      </c>
    </row>
    <row r="12" spans="1:15">
      <c r="A12">
        <v>220</v>
      </c>
      <c r="B12">
        <v>25</v>
      </c>
      <c r="C12">
        <v>1.8482970378513607E-2</v>
      </c>
      <c r="D12">
        <v>47.892029158282597</v>
      </c>
      <c r="E12">
        <v>1.4376285099971007</v>
      </c>
      <c r="F12">
        <v>9.8606736976884096E-4</v>
      </c>
      <c r="G12">
        <v>1.5781897220026477</v>
      </c>
      <c r="H12">
        <v>1.2019520794750035E-3</v>
      </c>
      <c r="I12">
        <v>-710.70370127161061</v>
      </c>
      <c r="J12">
        <v>0.33206941079802499</v>
      </c>
      <c r="K12">
        <v>1.5917807461133505E-2</v>
      </c>
      <c r="L12">
        <v>1.0841352134790318E-5</v>
      </c>
      <c r="M12">
        <v>1.7595878901548363E-2</v>
      </c>
      <c r="N12">
        <v>1.1074730479601735E-5</v>
      </c>
      <c r="O12">
        <v>-27.672450899835393</v>
      </c>
    </row>
    <row r="13" spans="1:15">
      <c r="A13">
        <v>240</v>
      </c>
      <c r="B13">
        <v>25</v>
      </c>
      <c r="C13">
        <v>1.8482970378513607E-2</v>
      </c>
      <c r="D13">
        <v>47.892029158282597</v>
      </c>
      <c r="E13">
        <v>1.4376285099971007</v>
      </c>
      <c r="F13">
        <v>9.8606736976884096E-4</v>
      </c>
      <c r="G13">
        <v>1.5781897220026477</v>
      </c>
      <c r="H13">
        <v>1.2019520794750035E-3</v>
      </c>
      <c r="I13">
        <v>-710.70370127161061</v>
      </c>
      <c r="J13">
        <v>0.27160187485552939</v>
      </c>
      <c r="K13">
        <v>1.3019285153798058E-2</v>
      </c>
      <c r="L13">
        <v>8.8672171239795487E-6</v>
      </c>
      <c r="M13">
        <v>1.4391791426697149E-2</v>
      </c>
      <c r="N13">
        <v>9.0580988912857635E-6</v>
      </c>
      <c r="O13">
        <v>-22.633489571294096</v>
      </c>
    </row>
    <row r="14" spans="1:15">
      <c r="A14">
        <v>260</v>
      </c>
      <c r="B14">
        <v>27</v>
      </c>
      <c r="C14">
        <v>1.8446816789658017E-2</v>
      </c>
      <c r="D14">
        <v>47.898803964111195</v>
      </c>
      <c r="E14">
        <v>1.4377346142582066</v>
      </c>
      <c r="F14">
        <v>9.9034816124900075E-4</v>
      </c>
      <c r="G14">
        <v>1.578059944819765</v>
      </c>
      <c r="H14">
        <v>1.2045493129890722E-3</v>
      </c>
      <c r="I14">
        <v>-708.31724842345318</v>
      </c>
      <c r="J14">
        <v>0.22214505770875237</v>
      </c>
      <c r="K14">
        <v>1.0648563649848061E-2</v>
      </c>
      <c r="L14">
        <v>7.2525584028838343E-6</v>
      </c>
      <c r="M14">
        <v>1.1771146052347945E-2</v>
      </c>
      <c r="N14">
        <v>7.4086819246244106E-6</v>
      </c>
      <c r="O14">
        <v>-18.51208814239601</v>
      </c>
    </row>
    <row r="15" spans="1:15">
      <c r="A15">
        <v>280</v>
      </c>
      <c r="B15">
        <v>27</v>
      </c>
      <c r="C15">
        <v>1.8446816789658017E-2</v>
      </c>
      <c r="D15">
        <v>47.898803964111195</v>
      </c>
      <c r="E15">
        <v>1.4377346142582066</v>
      </c>
      <c r="F15">
        <v>9.9034816124900075E-4</v>
      </c>
      <c r="G15">
        <v>1.578059944819765</v>
      </c>
      <c r="H15">
        <v>1.2045493129890722E-3</v>
      </c>
      <c r="I15">
        <v>-708.31724842345318</v>
      </c>
      <c r="J15">
        <v>0.18169398385292573</v>
      </c>
      <c r="K15">
        <v>8.7095340846564187E-3</v>
      </c>
      <c r="L15">
        <v>5.9319178330477791E-6</v>
      </c>
      <c r="M15">
        <v>9.6277020196856387E-3</v>
      </c>
      <c r="N15">
        <v>6.0596123446015097E-6</v>
      </c>
      <c r="O15">
        <v>-15.141165321077132</v>
      </c>
    </row>
    <row r="16" spans="1:15">
      <c r="A16">
        <v>300</v>
      </c>
      <c r="B16">
        <v>27</v>
      </c>
      <c r="C16">
        <v>1.8446816789658017E-2</v>
      </c>
      <c r="D16">
        <v>47.898803964111195</v>
      </c>
      <c r="E16">
        <v>1.4377346142582066</v>
      </c>
      <c r="F16">
        <v>9.9034816124900075E-4</v>
      </c>
      <c r="G16">
        <v>1.578059944819765</v>
      </c>
      <c r="H16">
        <v>1.2045493129890722E-3</v>
      </c>
      <c r="I16">
        <v>-708.31724842345318</v>
      </c>
      <c r="J16">
        <v>0.14860876991298724</v>
      </c>
      <c r="K16">
        <v>7.1235883510800306E-3</v>
      </c>
      <c r="L16">
        <v>4.8517567489065108E-6</v>
      </c>
      <c r="M16">
        <v>7.8745642750197489E-3</v>
      </c>
      <c r="N16">
        <v>4.9561989757993944E-6</v>
      </c>
      <c r="O16">
        <v>-12.384064159415585</v>
      </c>
    </row>
    <row r="17" spans="1:15">
      <c r="A17">
        <v>320</v>
      </c>
      <c r="B17">
        <v>27</v>
      </c>
      <c r="C17">
        <v>1.8446816789658017E-2</v>
      </c>
      <c r="D17">
        <v>47.898803964111195</v>
      </c>
      <c r="E17">
        <v>1.4377346142582066</v>
      </c>
      <c r="F17">
        <v>9.9034816124900075E-4</v>
      </c>
      <c r="G17">
        <v>1.578059944819765</v>
      </c>
      <c r="H17">
        <v>1.2045493129890722E-3</v>
      </c>
      <c r="I17">
        <v>-708.31724842345318</v>
      </c>
      <c r="J17">
        <v>0.12154814389962285</v>
      </c>
      <c r="K17">
        <v>5.8264323329351728E-3</v>
      </c>
      <c r="L17">
        <v>3.9682855044648209E-6</v>
      </c>
      <c r="M17">
        <v>6.4406607510939596E-3</v>
      </c>
      <c r="N17">
        <v>4.0537095264186137E-6</v>
      </c>
      <c r="O17">
        <v>-10.129011991635224</v>
      </c>
    </row>
    <row r="18" spans="1:15">
      <c r="A18">
        <v>340</v>
      </c>
      <c r="B18">
        <v>27</v>
      </c>
      <c r="C18">
        <v>1.8446816789658017E-2</v>
      </c>
      <c r="D18">
        <v>47.898803964111195</v>
      </c>
      <c r="E18">
        <v>1.4377346142582066</v>
      </c>
      <c r="F18">
        <v>9.9034816124900075E-4</v>
      </c>
      <c r="G18">
        <v>1.578059944819765</v>
      </c>
      <c r="H18">
        <v>1.2045493129890722E-3</v>
      </c>
      <c r="I18">
        <v>-708.31724842345318</v>
      </c>
      <c r="J18">
        <v>9.9415070147568035E-2</v>
      </c>
      <c r="K18">
        <v>4.7654794265484966E-3</v>
      </c>
      <c r="L18">
        <v>3.2456882444683044E-6</v>
      </c>
      <c r="M18">
        <v>5.2678611110299417E-3</v>
      </c>
      <c r="N18">
        <v>3.3155571446617682E-6</v>
      </c>
      <c r="O18">
        <v>-8.2845891789639907</v>
      </c>
    </row>
    <row r="19" spans="1:15">
      <c r="A19">
        <v>360</v>
      </c>
      <c r="B19">
        <v>28</v>
      </c>
      <c r="C19">
        <v>1.8445606792788907E-2</v>
      </c>
      <c r="D19">
        <v>47.907378636895686</v>
      </c>
      <c r="E19">
        <v>1.4377487655359344</v>
      </c>
      <c r="F19">
        <v>9.9038915281015314E-4</v>
      </c>
      <c r="G19">
        <v>1.5779738128161693</v>
      </c>
      <c r="H19">
        <v>1.2047833567429013E-3</v>
      </c>
      <c r="I19">
        <v>-706.7412664709409</v>
      </c>
      <c r="J19">
        <v>8.1312275575411222E-2</v>
      </c>
      <c r="K19">
        <v>3.8977186839508873E-3</v>
      </c>
      <c r="L19">
        <v>2.6546709324284019E-6</v>
      </c>
      <c r="M19">
        <v>4.3086201490100447E-3</v>
      </c>
      <c r="N19">
        <v>2.7118171906189243E-6</v>
      </c>
      <c r="O19">
        <v>-6.7760229646175931</v>
      </c>
    </row>
    <row r="20" spans="1:15">
      <c r="A20">
        <v>380</v>
      </c>
      <c r="B20">
        <v>28</v>
      </c>
      <c r="C20">
        <v>1.8445606792788907E-2</v>
      </c>
      <c r="D20">
        <v>47.907378636895686</v>
      </c>
      <c r="E20">
        <v>1.4377487655359344</v>
      </c>
      <c r="F20">
        <v>9.9038915281015314E-4</v>
      </c>
      <c r="G20">
        <v>1.5779738128161693</v>
      </c>
      <c r="H20">
        <v>1.2047833567429013E-3</v>
      </c>
      <c r="I20">
        <v>-706.7412664709409</v>
      </c>
      <c r="J20">
        <v>6.6505874304946699E-2</v>
      </c>
      <c r="K20">
        <v>3.1879711524057776E-3</v>
      </c>
      <c r="L20">
        <v>2.1712737726708992E-6</v>
      </c>
      <c r="M20">
        <v>3.5240503113465288E-3</v>
      </c>
      <c r="N20">
        <v>2.2180140937026502E-6</v>
      </c>
      <c r="O20">
        <v>-5.5421561920788829</v>
      </c>
    </row>
    <row r="21" spans="1:15">
      <c r="A21">
        <v>400</v>
      </c>
      <c r="B21">
        <v>34</v>
      </c>
      <c r="C21">
        <v>1.8370880502496568E-2</v>
      </c>
      <c r="D21">
        <v>47.90371487121439</v>
      </c>
      <c r="E21">
        <v>1.4376732612253371</v>
      </c>
      <c r="F21">
        <v>9.9049310067638179E-4</v>
      </c>
      <c r="G21">
        <v>1.5780724661230583</v>
      </c>
      <c r="H21">
        <v>1.2032209461539957E-3</v>
      </c>
      <c r="I21">
        <v>-705.71218272336807</v>
      </c>
      <c r="J21">
        <v>5.439561598498531E-2</v>
      </c>
      <c r="K21">
        <v>2.6074637224125252E-3</v>
      </c>
      <c r="L21">
        <v>1.7758998820904409E-6</v>
      </c>
      <c r="M21">
        <v>2.8823451980920069E-3</v>
      </c>
      <c r="N21">
        <v>1.8141291149278321E-6</v>
      </c>
      <c r="O21">
        <v>-4.5329679987487674</v>
      </c>
    </row>
    <row r="22" spans="1:15">
      <c r="A22">
        <v>420</v>
      </c>
      <c r="B22">
        <v>34</v>
      </c>
      <c r="C22">
        <v>1.8370880502496568E-2</v>
      </c>
      <c r="D22">
        <v>47.90371487121439</v>
      </c>
      <c r="E22">
        <v>1.4376732612253371</v>
      </c>
      <c r="F22">
        <v>9.9049310067638179E-4</v>
      </c>
      <c r="G22">
        <v>1.5780724661230583</v>
      </c>
      <c r="H22">
        <v>1.2032209461539957E-3</v>
      </c>
      <c r="I22">
        <v>-705.71218272336807</v>
      </c>
      <c r="J22">
        <v>4.4490551688994302E-2</v>
      </c>
      <c r="K22">
        <v>2.1326626680943043E-3</v>
      </c>
      <c r="L22">
        <v>1.4525208340398756E-6</v>
      </c>
      <c r="M22">
        <v>2.3574901340695171E-3</v>
      </c>
      <c r="N22">
        <v>1.4837887887965979E-6</v>
      </c>
      <c r="O22">
        <v>-3.7075459740828509</v>
      </c>
    </row>
    <row r="23" spans="1:15">
      <c r="A23">
        <v>440</v>
      </c>
      <c r="B23">
        <v>59</v>
      </c>
      <c r="C23">
        <v>1.8185417329234396E-2</v>
      </c>
      <c r="D23">
        <v>47.896643994601831</v>
      </c>
      <c r="E23">
        <v>1.4378398981678941</v>
      </c>
      <c r="F23">
        <v>9.8713171372137977E-4</v>
      </c>
      <c r="G23">
        <v>1.5784063700426065</v>
      </c>
      <c r="H23">
        <v>1.1975354592468923E-3</v>
      </c>
      <c r="I23">
        <v>-703.96429367369115</v>
      </c>
      <c r="J23">
        <v>3.6389130883956622E-2</v>
      </c>
      <c r="K23">
        <v>1.744319591788951E-3</v>
      </c>
      <c r="L23">
        <v>1.1880268671657301E-6</v>
      </c>
      <c r="M23">
        <v>1.9282075359724829E-3</v>
      </c>
      <c r="N23">
        <v>1.2136011442857294E-6</v>
      </c>
      <c r="O23">
        <v>-3.0324275736630466</v>
      </c>
    </row>
    <row r="24" spans="1:15">
      <c r="A24">
        <v>460</v>
      </c>
      <c r="B24">
        <v>69</v>
      </c>
      <c r="C24">
        <v>1.8125138121329546E-2</v>
      </c>
      <c r="D24">
        <v>47.900420193151625</v>
      </c>
      <c r="E24">
        <v>1.4378527743865774</v>
      </c>
      <c r="F24">
        <v>9.8574157435384014E-4</v>
      </c>
      <c r="G24">
        <v>1.5785462970936122</v>
      </c>
      <c r="H24">
        <v>1.196533551919161E-3</v>
      </c>
      <c r="I24">
        <v>-700.15575019197252</v>
      </c>
      <c r="J24">
        <v>2.9762922603121765E-2</v>
      </c>
      <c r="K24">
        <v>1.4266910955109526E-3</v>
      </c>
      <c r="L24">
        <v>9.7169541670675417E-7</v>
      </c>
      <c r="M24">
        <v>1.5770943207991557E-3</v>
      </c>
      <c r="N24">
        <v>9.9261279538723611E-7</v>
      </c>
      <c r="O24">
        <v>-2.4802435502601434</v>
      </c>
    </row>
    <row r="25" spans="1:15">
      <c r="A25">
        <v>480</v>
      </c>
      <c r="B25">
        <v>92</v>
      </c>
      <c r="C25">
        <v>1.7987803730246582E-2</v>
      </c>
      <c r="D25">
        <v>47.906360663014212</v>
      </c>
      <c r="E25">
        <v>1.4379149468047367</v>
      </c>
      <c r="F25">
        <v>9.8380864379827562E-4</v>
      </c>
      <c r="G25">
        <v>1.5788153159664755</v>
      </c>
      <c r="H25">
        <v>1.1922298706349922E-3</v>
      </c>
      <c r="I25">
        <v>-698.72786832432109</v>
      </c>
      <c r="J25">
        <v>2.4343300880262715E-2</v>
      </c>
      <c r="K25">
        <v>1.1669005448266014E-3</v>
      </c>
      <c r="L25">
        <v>7.9475642255588633E-7</v>
      </c>
      <c r="M25">
        <v>1.2899163862268219E-3</v>
      </c>
      <c r="N25">
        <v>8.1186489169500072E-7</v>
      </c>
      <c r="O25">
        <v>-2.0286084066885577</v>
      </c>
    </row>
    <row r="26" spans="1:15">
      <c r="A26">
        <v>500</v>
      </c>
      <c r="B26">
        <v>123</v>
      </c>
      <c r="C26">
        <v>1.7835836249274623E-2</v>
      </c>
      <c r="D26">
        <v>47.901832803040669</v>
      </c>
      <c r="E26">
        <v>1.4378770676566877</v>
      </c>
      <c r="F26">
        <v>9.8428895123130254E-4</v>
      </c>
      <c r="G26">
        <v>1.5790701456697323</v>
      </c>
      <c r="H26">
        <v>1.1875667096389278E-3</v>
      </c>
      <c r="I26">
        <v>-699.67480896528343</v>
      </c>
      <c r="J26">
        <v>1.9910554673983647E-2</v>
      </c>
      <c r="K26">
        <v>9.5441605109966587E-4</v>
      </c>
      <c r="L26">
        <v>6.5003679170841566E-7</v>
      </c>
      <c r="M26">
        <v>1.0550315612152666E-3</v>
      </c>
      <c r="N26">
        <v>6.6402992730896569E-7</v>
      </c>
      <c r="O26">
        <v>-1.659212889498636</v>
      </c>
    </row>
    <row r="27" spans="1:15">
      <c r="A27">
        <v>520</v>
      </c>
      <c r="B27">
        <v>152</v>
      </c>
      <c r="C27">
        <v>1.7744623581173808E-2</v>
      </c>
      <c r="D27">
        <v>47.899851010295464</v>
      </c>
      <c r="E27">
        <v>1.4378669584221917</v>
      </c>
      <c r="F27">
        <v>9.8356095769902238E-4</v>
      </c>
      <c r="G27">
        <v>1.5793101053132559</v>
      </c>
      <c r="H27">
        <v>1.1845305107880625E-3</v>
      </c>
      <c r="I27">
        <v>-698.03012446335151</v>
      </c>
      <c r="J27">
        <v>1.6284980799260201E-2</v>
      </c>
      <c r="K27">
        <v>7.8062350954856993E-4</v>
      </c>
      <c r="L27">
        <v>5.316696016317594E-7</v>
      </c>
      <c r="M27">
        <v>8.6291763330200398E-4</v>
      </c>
      <c r="N27">
        <v>5.4311468431818766E-7</v>
      </c>
      <c r="O27">
        <v>-1.3570817332716818</v>
      </c>
    </row>
    <row r="28" spans="1:15">
      <c r="A28">
        <v>540</v>
      </c>
      <c r="B28">
        <v>190</v>
      </c>
      <c r="C28">
        <v>1.7646628794480368E-2</v>
      </c>
      <c r="D28">
        <v>47.902055746640649</v>
      </c>
      <c r="E28">
        <v>1.4378701562675247</v>
      </c>
      <c r="F28">
        <v>9.8300058863904911E-4</v>
      </c>
      <c r="G28">
        <v>1.5794657701228856</v>
      </c>
      <c r="H28">
        <v>1.1814879834651281E-3</v>
      </c>
      <c r="I28">
        <v>-699.8606402963693</v>
      </c>
      <c r="J28">
        <v>1.3319598774352615E-2</v>
      </c>
      <c r="K28">
        <v>6.3847738411127353E-4</v>
      </c>
      <c r="L28">
        <v>4.34856255684172E-7</v>
      </c>
      <c r="M28">
        <v>7.0578631885269243E-4</v>
      </c>
      <c r="N28">
        <v>4.4421726821477535E-7</v>
      </c>
      <c r="O28">
        <v>-1.109966564529383</v>
      </c>
    </row>
    <row r="29" spans="1:15">
      <c r="A29">
        <v>560</v>
      </c>
      <c r="B29">
        <v>225</v>
      </c>
      <c r="C29">
        <v>1.7565369198462612E-2</v>
      </c>
      <c r="D29">
        <v>47.902663099772084</v>
      </c>
      <c r="E29">
        <v>1.4379203926556456</v>
      </c>
      <c r="F29">
        <v>9.8211225497701893E-4</v>
      </c>
      <c r="G29">
        <v>1.5795719734208467</v>
      </c>
      <c r="H29">
        <v>1.1788702034373564E-3</v>
      </c>
      <c r="I29">
        <v>-698.24233079580017</v>
      </c>
      <c r="J29">
        <v>1.0894192243554573E-2</v>
      </c>
      <c r="K29">
        <v>5.2221508196354253E-4</v>
      </c>
      <c r="L29">
        <v>3.5567194838163946E-7</v>
      </c>
      <c r="M29">
        <v>5.7726752665082811E-4</v>
      </c>
      <c r="N29">
        <v>3.6332838547335455E-7</v>
      </c>
      <c r="O29">
        <v>-0.90784935362954666</v>
      </c>
    </row>
    <row r="30" spans="1:15">
      <c r="A30">
        <v>580</v>
      </c>
      <c r="B30">
        <v>270</v>
      </c>
      <c r="C30">
        <v>1.7491890096523022E-2</v>
      </c>
      <c r="D30">
        <v>47.90463142234028</v>
      </c>
      <c r="E30">
        <v>1.4379426931206676</v>
      </c>
      <c r="F30">
        <v>9.8183208142251887E-4</v>
      </c>
      <c r="G30">
        <v>1.5797606633620742</v>
      </c>
      <c r="H30">
        <v>1.1765106361973229E-3</v>
      </c>
      <c r="I30">
        <v>-696.84729101109338</v>
      </c>
      <c r="J30">
        <v>8.9104354155212229E-3</v>
      </c>
      <c r="K30">
        <v>4.2712333845588784E-4</v>
      </c>
      <c r="L30">
        <v>2.9090655409006713E-7</v>
      </c>
      <c r="M30">
        <v>4.7215111489730643E-4</v>
      </c>
      <c r="N30">
        <v>2.9716880710465761E-7</v>
      </c>
      <c r="O30">
        <v>-0.74253628462676791</v>
      </c>
    </row>
    <row r="31" spans="1:15">
      <c r="A31">
        <v>600</v>
      </c>
      <c r="B31">
        <v>314</v>
      </c>
      <c r="C31">
        <v>1.7432392391345357E-2</v>
      </c>
      <c r="D31">
        <v>47.905450751173582</v>
      </c>
      <c r="E31">
        <v>1.4379206279130781</v>
      </c>
      <c r="F31">
        <v>9.8187656876587122E-4</v>
      </c>
      <c r="G31">
        <v>1.5798711621823289</v>
      </c>
      <c r="H31">
        <v>1.1745861392046496E-3</v>
      </c>
      <c r="I31">
        <v>-697.16812998029695</v>
      </c>
      <c r="J31">
        <v>7.2879069433668701E-3</v>
      </c>
      <c r="K31">
        <v>3.4934714173276074E-4</v>
      </c>
      <c r="L31">
        <v>2.3793448878276992E-7</v>
      </c>
      <c r="M31">
        <v>3.8617567246877407E-4</v>
      </c>
      <c r="N31">
        <v>2.4305642896839272E-7</v>
      </c>
      <c r="O31">
        <v>-0.60732557861390513</v>
      </c>
    </row>
    <row r="32" spans="1:15">
      <c r="A32">
        <v>620</v>
      </c>
      <c r="B32">
        <v>371</v>
      </c>
      <c r="C32">
        <v>1.7381766027210008E-2</v>
      </c>
      <c r="D32">
        <v>47.905952895791749</v>
      </c>
      <c r="E32">
        <v>1.4379251442095935</v>
      </c>
      <c r="F32">
        <v>9.8190528761023699E-4</v>
      </c>
      <c r="G32">
        <v>1.5799705674913618</v>
      </c>
      <c r="H32">
        <v>1.1729075977965691E-3</v>
      </c>
      <c r="I32">
        <v>-698.28117047237527</v>
      </c>
      <c r="J32">
        <v>5.960829649542791E-3</v>
      </c>
      <c r="K32">
        <v>2.8573345085298801E-4</v>
      </c>
      <c r="L32">
        <v>1.9460826906907801E-7</v>
      </c>
      <c r="M32">
        <v>3.1585576164348627E-4</v>
      </c>
      <c r="N32">
        <v>1.9879753948085692E-7</v>
      </c>
      <c r="O32">
        <v>-0.49673580412856538</v>
      </c>
    </row>
    <row r="33" spans="1:15">
      <c r="A33">
        <v>640</v>
      </c>
      <c r="B33">
        <v>434</v>
      </c>
      <c r="C33">
        <v>1.7342252149133902E-2</v>
      </c>
      <c r="D33">
        <v>47.908009613740539</v>
      </c>
      <c r="E33">
        <v>1.4379507624513825</v>
      </c>
      <c r="F33">
        <v>9.8180722243204708E-4</v>
      </c>
      <c r="G33">
        <v>1.5800596433739889</v>
      </c>
      <c r="H33">
        <v>1.171561761481978E-3</v>
      </c>
      <c r="I33">
        <v>-697.8478544701494</v>
      </c>
      <c r="J33">
        <v>4.8754039241963171E-3</v>
      </c>
      <c r="K33">
        <v>2.3370337175625621E-4</v>
      </c>
      <c r="L33">
        <v>1.5917145338538752E-7</v>
      </c>
      <c r="M33">
        <v>2.5834061872826461E-4</v>
      </c>
      <c r="N33">
        <v>1.6259788671865226E-7</v>
      </c>
      <c r="O33">
        <v>-0.40628366034969271</v>
      </c>
    </row>
    <row r="34" spans="1:15">
      <c r="A34">
        <v>660</v>
      </c>
      <c r="B34">
        <v>492</v>
      </c>
      <c r="C34">
        <v>1.7307296222830285E-2</v>
      </c>
      <c r="D34">
        <v>47.907809343013561</v>
      </c>
      <c r="E34">
        <v>1.4379412361412822</v>
      </c>
      <c r="F34">
        <v>9.8195317109097411E-4</v>
      </c>
      <c r="G34">
        <v>1.5801649773907926</v>
      </c>
      <c r="H34">
        <v>1.1703607629253109E-3</v>
      </c>
      <c r="I34">
        <v>-697.32049130528173</v>
      </c>
      <c r="J34">
        <v>3.9876266931889309E-3</v>
      </c>
      <c r="K34">
        <v>1.9114760909930668E-4</v>
      </c>
      <c r="L34">
        <v>1.3018743599134271E-7</v>
      </c>
      <c r="M34">
        <v>2.1129858432100872E-4</v>
      </c>
      <c r="N34">
        <v>1.3298993958583432E-7</v>
      </c>
      <c r="O34">
        <v>-0.3323022244324107</v>
      </c>
    </row>
    <row r="35" spans="1:15">
      <c r="A35">
        <v>680</v>
      </c>
      <c r="B35">
        <v>558</v>
      </c>
      <c r="C35">
        <v>1.7276418786463268E-2</v>
      </c>
      <c r="D35">
        <v>47.907290875626209</v>
      </c>
      <c r="E35">
        <v>1.4379325606885558</v>
      </c>
      <c r="F35">
        <v>9.8199401314942765E-4</v>
      </c>
      <c r="G35">
        <v>1.5801858860958546</v>
      </c>
      <c r="H35">
        <v>1.1693394668973627E-3</v>
      </c>
      <c r="I35">
        <v>-697.57767778013624</v>
      </c>
      <c r="J35">
        <v>3.2615075369071306E-3</v>
      </c>
      <c r="K35">
        <v>1.5634095558744645E-4</v>
      </c>
      <c r="L35">
        <v>1.0648120708531462E-7</v>
      </c>
      <c r="M35">
        <v>1.728225780206265E-4</v>
      </c>
      <c r="N35">
        <v>1.0877339421789048E-7</v>
      </c>
      <c r="O35">
        <v>-0.27179229474226069</v>
      </c>
    </row>
    <row r="36" spans="1:15">
      <c r="A36">
        <v>700</v>
      </c>
      <c r="B36">
        <v>642</v>
      </c>
      <c r="C36">
        <v>1.7249553864811137E-2</v>
      </c>
      <c r="D36">
        <v>47.908409422570763</v>
      </c>
      <c r="E36">
        <v>1.437929954251935</v>
      </c>
      <c r="F36">
        <v>9.8199524010652542E-4</v>
      </c>
      <c r="G36">
        <v>1.5802698139134954</v>
      </c>
      <c r="H36">
        <v>1.1684375465534872E-3</v>
      </c>
      <c r="I36">
        <v>-697.48615986046514</v>
      </c>
      <c r="J36">
        <v>2.6676096414619994E-3</v>
      </c>
      <c r="K36">
        <v>1.2787235220555296E-4</v>
      </c>
      <c r="L36">
        <v>8.7091717998806259E-8</v>
      </c>
      <c r="M36">
        <v>1.4135278553650913E-4</v>
      </c>
      <c r="N36">
        <v>8.8966513756811139E-8</v>
      </c>
      <c r="O36">
        <v>-0.2223008034551664</v>
      </c>
    </row>
    <row r="37" spans="1:15">
      <c r="A37">
        <v>720</v>
      </c>
      <c r="B37">
        <v>728</v>
      </c>
      <c r="C37">
        <v>1.7227947484414714E-2</v>
      </c>
      <c r="D37">
        <v>47.908622891065242</v>
      </c>
      <c r="E37">
        <v>1.4379247287366765</v>
      </c>
      <c r="F37">
        <v>9.8205602794962919E-4</v>
      </c>
      <c r="G37">
        <v>1.5803127724476895</v>
      </c>
      <c r="H37">
        <v>1.1676999384064991E-3</v>
      </c>
      <c r="I37">
        <v>-697.49735206409764</v>
      </c>
      <c r="J37">
        <v>2.1818564325530305E-3</v>
      </c>
      <c r="K37">
        <v>1.0458768399579827E-4</v>
      </c>
      <c r="L37">
        <v>7.1232920358485242E-8</v>
      </c>
      <c r="M37">
        <v>1.156134239390043E-4</v>
      </c>
      <c r="N37">
        <v>7.2766328815535302E-8</v>
      </c>
      <c r="O37">
        <v>-0.18182136937941903</v>
      </c>
    </row>
    <row r="38" spans="1:15">
      <c r="A38">
        <v>740</v>
      </c>
      <c r="B38">
        <v>815</v>
      </c>
      <c r="C38">
        <v>1.7210145587551424E-2</v>
      </c>
      <c r="D38">
        <v>47.907606383824621</v>
      </c>
      <c r="E38">
        <v>1.4379180301480319</v>
      </c>
      <c r="F38">
        <v>9.8215142593550096E-4</v>
      </c>
      <c r="G38">
        <v>1.5803356400209019</v>
      </c>
      <c r="H38">
        <v>1.1670921187647676E-3</v>
      </c>
      <c r="I38">
        <v>-697.47997619405862</v>
      </c>
      <c r="J38">
        <v>1.784555513026269E-3</v>
      </c>
      <c r="K38">
        <v>8.5542992327390237E-5</v>
      </c>
      <c r="L38">
        <v>5.8261899746516077E-8</v>
      </c>
      <c r="M38">
        <v>9.4561021519081389E-5</v>
      </c>
      <c r="N38">
        <v>5.9516085161707582E-8</v>
      </c>
      <c r="O38">
        <v>-0.14871295941885551</v>
      </c>
    </row>
    <row r="39" spans="1:15">
      <c r="A39">
        <v>760</v>
      </c>
      <c r="B39">
        <v>903</v>
      </c>
      <c r="C39">
        <v>1.7195917241734127E-2</v>
      </c>
      <c r="D39">
        <v>47.907561021297582</v>
      </c>
      <c r="E39">
        <v>1.4379150606342463</v>
      </c>
      <c r="F39">
        <v>9.821543439724645E-4</v>
      </c>
      <c r="G39">
        <v>1.5803609321420076</v>
      </c>
      <c r="H39">
        <v>1.1666031569436553E-3</v>
      </c>
      <c r="I39">
        <v>-697.42395459906993</v>
      </c>
      <c r="J39">
        <v>1.4596003346315698E-3</v>
      </c>
      <c r="K39">
        <v>6.996620688739914E-5</v>
      </c>
      <c r="L39">
        <v>4.7652812000269842E-8</v>
      </c>
      <c r="M39">
        <v>7.7342115526737718E-5</v>
      </c>
      <c r="N39">
        <v>4.8678618952388235E-8</v>
      </c>
      <c r="O39">
        <v>-0.12163336121929737</v>
      </c>
    </row>
    <row r="40" spans="1:15">
      <c r="A40">
        <v>780</v>
      </c>
      <c r="B40">
        <v>984</v>
      </c>
      <c r="C40">
        <v>1.7184241218998274E-2</v>
      </c>
      <c r="D40">
        <v>47.908623995133361</v>
      </c>
      <c r="E40">
        <v>1.4379269928253893</v>
      </c>
      <c r="F40">
        <v>9.821670388277927E-4</v>
      </c>
      <c r="G40">
        <v>1.5803959518725064</v>
      </c>
      <c r="H40">
        <v>1.1661950594746573E-3</v>
      </c>
      <c r="I40">
        <v>-697.66636847103973</v>
      </c>
      <c r="J40">
        <v>1.1938172398144006E-3</v>
      </c>
      <c r="K40">
        <v>5.7225846010566888E-5</v>
      </c>
      <c r="L40">
        <v>3.8975565531037282E-8</v>
      </c>
      <c r="M40">
        <v>6.3258652857765268E-5</v>
      </c>
      <c r="N40">
        <v>3.9814580153810391E-8</v>
      </c>
      <c r="O40">
        <v>-9.9484769984533303E-2</v>
      </c>
    </row>
    <row r="41" spans="1:15">
      <c r="A41">
        <v>800</v>
      </c>
      <c r="B41">
        <v>1085</v>
      </c>
      <c r="C41">
        <v>1.7174494749488671E-2</v>
      </c>
      <c r="D41">
        <v>47.908579896417407</v>
      </c>
      <c r="E41">
        <v>1.4379162928601483</v>
      </c>
      <c r="F41">
        <v>9.8212693657370579E-4</v>
      </c>
      <c r="G41">
        <v>1.5804166643152611</v>
      </c>
      <c r="H41">
        <v>1.1658668367247804E-3</v>
      </c>
      <c r="I41">
        <v>-697.67963474276291</v>
      </c>
      <c r="J41">
        <v>9.7643140266737507E-4</v>
      </c>
      <c r="K41">
        <v>4.6805416461913461E-5</v>
      </c>
      <c r="L41">
        <v>3.1878385444610886E-8</v>
      </c>
      <c r="M41">
        <v>5.1739691035421099E-5</v>
      </c>
      <c r="N41">
        <v>3.256462132532254E-8</v>
      </c>
      <c r="O41">
        <v>-8.1369283555614527E-2</v>
      </c>
    </row>
    <row r="42" spans="1:15">
      <c r="A42">
        <v>820</v>
      </c>
      <c r="B42">
        <v>1192</v>
      </c>
      <c r="C42">
        <v>1.7166020291950228E-2</v>
      </c>
      <c r="D42">
        <v>47.908498819516097</v>
      </c>
      <c r="E42">
        <v>1.4379263682265644</v>
      </c>
      <c r="F42">
        <v>9.8203274933232414E-4</v>
      </c>
      <c r="G42">
        <v>1.5804285914088203</v>
      </c>
      <c r="H42">
        <v>1.1655906705144263E-3</v>
      </c>
      <c r="I42">
        <v>-697.46100741600378</v>
      </c>
      <c r="J42">
        <v>7.9863001832944109E-4</v>
      </c>
      <c r="K42">
        <v>3.8282474841326643E-5</v>
      </c>
      <c r="L42">
        <v>2.6073552614545824E-8</v>
      </c>
      <c r="M42">
        <v>4.2318252247008163E-5</v>
      </c>
      <c r="N42">
        <v>2.6634829702208023E-8</v>
      </c>
      <c r="O42">
        <v>-6.6552501527453373E-2</v>
      </c>
    </row>
    <row r="43" spans="1:15">
      <c r="A43">
        <v>840</v>
      </c>
      <c r="B43">
        <v>1306</v>
      </c>
      <c r="C43">
        <v>1.7159080718935637E-2</v>
      </c>
      <c r="D43">
        <v>47.908446134076208</v>
      </c>
      <c r="E43">
        <v>1.4379226419230848</v>
      </c>
      <c r="F43">
        <v>9.8197769389419664E-4</v>
      </c>
      <c r="G43">
        <v>1.5804440126357662</v>
      </c>
      <c r="H43">
        <v>1.1653624636964119E-3</v>
      </c>
      <c r="I43">
        <v>-697.19359184588779</v>
      </c>
      <c r="J43">
        <v>6.5320503256505343E-4</v>
      </c>
      <c r="K43">
        <v>3.131150176111251E-5</v>
      </c>
      <c r="L43">
        <v>2.1325739571243455E-8</v>
      </c>
      <c r="M43">
        <v>3.4612392099817573E-5</v>
      </c>
      <c r="N43">
        <v>2.1784811995156728E-8</v>
      </c>
      <c r="O43">
        <v>-5.4433752713754419E-2</v>
      </c>
    </row>
    <row r="44" spans="1:15">
      <c r="A44">
        <v>860</v>
      </c>
      <c r="B44">
        <v>1403</v>
      </c>
      <c r="C44">
        <v>1.7153471410066866E-2</v>
      </c>
      <c r="D44">
        <v>47.908503364833543</v>
      </c>
      <c r="E44">
        <v>1.4379250020414784</v>
      </c>
      <c r="F44">
        <v>9.8194906642620002E-4</v>
      </c>
      <c r="G44">
        <v>1.5804566423994428</v>
      </c>
      <c r="H44">
        <v>1.1651723800874026E-3</v>
      </c>
      <c r="I44">
        <v>-697.08531326923389</v>
      </c>
      <c r="J44">
        <v>5.3426092780838226E-4</v>
      </c>
      <c r="K44">
        <v>2.5609894517001834E-5</v>
      </c>
      <c r="L44">
        <v>1.7442470344711816E-8</v>
      </c>
      <c r="M44">
        <v>2.8309715625276366E-5</v>
      </c>
      <c r="N44">
        <v>1.781794886509006E-8</v>
      </c>
      <c r="O44">
        <v>-4.4521743984031838E-2</v>
      </c>
    </row>
    <row r="45" spans="1:15">
      <c r="A45">
        <v>880</v>
      </c>
      <c r="B45">
        <v>1530</v>
      </c>
      <c r="C45">
        <v>1.7148790364872678E-2</v>
      </c>
      <c r="D45">
        <v>47.908667229536448</v>
      </c>
      <c r="E45">
        <v>1.4379271243857579</v>
      </c>
      <c r="F45">
        <v>9.8189164701021768E-4</v>
      </c>
      <c r="G45">
        <v>1.5804660034851508</v>
      </c>
      <c r="H45">
        <v>1.1650159370332491E-3</v>
      </c>
      <c r="I45">
        <v>-696.99882279687904</v>
      </c>
      <c r="J45">
        <v>4.3697571934160916E-4</v>
      </c>
      <c r="K45">
        <v>2.094651039658908E-5</v>
      </c>
      <c r="L45">
        <v>1.4266317503773752E-8</v>
      </c>
      <c r="M45">
        <v>2.315471281131826E-5</v>
      </c>
      <c r="N45">
        <v>1.4573423990509866E-8</v>
      </c>
      <c r="O45">
        <v>-3.6414643278467405E-2</v>
      </c>
    </row>
    <row r="46" spans="1:15">
      <c r="A46">
        <v>900</v>
      </c>
      <c r="B46">
        <v>1647</v>
      </c>
      <c r="C46">
        <v>1.7145037050318428E-2</v>
      </c>
      <c r="D46">
        <v>47.908699336860202</v>
      </c>
      <c r="E46">
        <v>1.4379270826683594</v>
      </c>
      <c r="F46">
        <v>9.8185548863180148E-4</v>
      </c>
      <c r="G46">
        <v>1.5804769491023425</v>
      </c>
      <c r="H46">
        <v>1.1648905367988103E-3</v>
      </c>
      <c r="I46">
        <v>-696.95510744867511</v>
      </c>
      <c r="J46">
        <v>3.5740547241104251E-4</v>
      </c>
      <c r="K46">
        <v>1.7132296171822732E-5</v>
      </c>
      <c r="L46">
        <v>1.1668520060301362E-8</v>
      </c>
      <c r="M46">
        <v>1.893840024644869E-5</v>
      </c>
      <c r="N46">
        <v>1.1919704586383936E-8</v>
      </c>
      <c r="O46">
        <v>-2.9783789367586862E-2</v>
      </c>
    </row>
    <row r="47" spans="1:15">
      <c r="A47">
        <v>920</v>
      </c>
      <c r="B47">
        <v>1774</v>
      </c>
      <c r="C47">
        <v>1.7141897918325707E-2</v>
      </c>
      <c r="D47">
        <v>47.908393417999768</v>
      </c>
      <c r="E47">
        <v>1.4379262181624923</v>
      </c>
      <c r="F47">
        <v>9.8180429685842301E-4</v>
      </c>
      <c r="G47">
        <v>1.5804797621511086</v>
      </c>
      <c r="H47">
        <v>1.1647877504550065E-3</v>
      </c>
      <c r="I47">
        <v>-697.04540564744013</v>
      </c>
      <c r="J47">
        <v>2.923244154202073E-4</v>
      </c>
      <c r="K47">
        <v>1.4012623895904293E-5</v>
      </c>
      <c r="L47">
        <v>9.5437635088129394E-9</v>
      </c>
      <c r="M47">
        <v>1.548984894856349E-5</v>
      </c>
      <c r="N47">
        <v>9.7492090753129524E-9</v>
      </c>
      <c r="O47">
        <v>-2.4360367951683934E-2</v>
      </c>
    </row>
    <row r="48" spans="1:15">
      <c r="A48">
        <v>940</v>
      </c>
      <c r="B48">
        <v>1897</v>
      </c>
      <c r="C48">
        <v>1.7139314071859646E-2</v>
      </c>
      <c r="D48">
        <v>47.908442491466346</v>
      </c>
      <c r="E48">
        <v>1.4379270576359877</v>
      </c>
      <c r="F48">
        <v>9.8176916519032427E-4</v>
      </c>
      <c r="G48">
        <v>1.5804861348469894</v>
      </c>
      <c r="H48">
        <v>1.1647020114764171E-3</v>
      </c>
      <c r="I48">
        <v>-696.97111026289701</v>
      </c>
      <c r="J48">
        <v>2.3909416740124242E-4</v>
      </c>
      <c r="K48">
        <v>1.1461022298400859E-5</v>
      </c>
      <c r="L48">
        <v>7.8059103846453955E-9</v>
      </c>
      <c r="M48">
        <v>1.2669254917363248E-5</v>
      </c>
      <c r="N48">
        <v>7.973945738784345E-9</v>
      </c>
      <c r="O48">
        <v>-1.9924513950103532E-2</v>
      </c>
    </row>
    <row r="49" spans="1:15">
      <c r="A49">
        <v>960</v>
      </c>
      <c r="B49">
        <v>2025</v>
      </c>
      <c r="C49">
        <v>1.7137205321258946E-2</v>
      </c>
      <c r="D49">
        <v>47.908506667362644</v>
      </c>
      <c r="E49">
        <v>1.4379306467329604</v>
      </c>
      <c r="F49">
        <v>9.8173199732833364E-4</v>
      </c>
      <c r="G49">
        <v>1.5804922899018021</v>
      </c>
      <c r="H49">
        <v>1.1646324224348968E-3</v>
      </c>
      <c r="I49">
        <v>-696.96429217258662</v>
      </c>
      <c r="J49">
        <v>1.9555677825650985E-4</v>
      </c>
      <c r="K49">
        <v>9.3740496498186213E-6</v>
      </c>
      <c r="L49">
        <v>6.3845082578637366E-9</v>
      </c>
      <c r="M49">
        <v>1.0362271491099228E-5</v>
      </c>
      <c r="N49">
        <v>6.5219455397755915E-9</v>
      </c>
      <c r="O49">
        <v>-1.6296398188042481E-2</v>
      </c>
    </row>
    <row r="50" spans="1:15">
      <c r="A50">
        <v>980</v>
      </c>
      <c r="B50">
        <v>2153</v>
      </c>
      <c r="C50">
        <v>1.7135498503750873E-2</v>
      </c>
      <c r="D50">
        <v>47.908463386565629</v>
      </c>
      <c r="E50">
        <v>1.4379297626897205</v>
      </c>
      <c r="F50">
        <v>9.8170865560094503E-4</v>
      </c>
      <c r="G50">
        <v>1.5804948672184838</v>
      </c>
      <c r="H50">
        <v>1.1645760142886795E-3</v>
      </c>
      <c r="I50">
        <v>-696.96751644480821</v>
      </c>
      <c r="J50">
        <v>1.5994724563016271E-4</v>
      </c>
      <c r="K50">
        <v>7.6671002419675447E-6</v>
      </c>
      <c r="L50">
        <v>5.2219335972535576E-9</v>
      </c>
      <c r="M50">
        <v>8.475373741836061E-6</v>
      </c>
      <c r="N50">
        <v>5.3343445036137716E-9</v>
      </c>
      <c r="O50">
        <v>-1.3328937135846881E-2</v>
      </c>
    </row>
    <row r="51" spans="1:15">
      <c r="A51">
        <v>1000</v>
      </c>
      <c r="B51">
        <v>2281</v>
      </c>
      <c r="C51">
        <v>1.7134065271567803E-2</v>
      </c>
      <c r="D51">
        <v>47.908531328478816</v>
      </c>
      <c r="E51">
        <v>1.4379311887390025</v>
      </c>
      <c r="F51">
        <v>9.816827887206205E-4</v>
      </c>
      <c r="G51">
        <v>1.5804969750936353</v>
      </c>
      <c r="H51">
        <v>1.1645289553620707E-3</v>
      </c>
      <c r="I51">
        <v>-696.94419310070691</v>
      </c>
      <c r="J51">
        <v>1.308219618504784E-4</v>
      </c>
      <c r="K51">
        <v>6.2709744791586595E-6</v>
      </c>
      <c r="L51">
        <v>4.271055716865748E-9</v>
      </c>
      <c r="M51">
        <v>6.9320669821771162E-6</v>
      </c>
      <c r="N51">
        <v>4.3629973770393595E-9</v>
      </c>
      <c r="O51">
        <v>-1.0901830154206527E-2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8"/>
  <sheetViews>
    <sheetView workbookViewId="0"/>
  </sheetViews>
  <sheetFormatPr defaultRowHeight="12.75"/>
  <sheetData>
    <row r="1" spans="1:6">
      <c r="A1" s="26" t="s">
        <v>31</v>
      </c>
      <c r="B1" s="26" t="s">
        <v>32</v>
      </c>
      <c r="C1" s="26" t="s">
        <v>33</v>
      </c>
      <c r="D1" s="26" t="s">
        <v>32</v>
      </c>
      <c r="E1" s="26" t="s">
        <v>34</v>
      </c>
      <c r="F1" s="26" t="s">
        <v>32</v>
      </c>
    </row>
    <row r="2" spans="1:6">
      <c r="A2">
        <v>-9.4924068605450884E-15</v>
      </c>
      <c r="B2">
        <v>0</v>
      </c>
      <c r="C2">
        <v>0.50000000000000466</v>
      </c>
      <c r="D2">
        <v>120.05050036251542</v>
      </c>
      <c r="E2">
        <v>0.50000000000000466</v>
      </c>
      <c r="F2">
        <v>-120.05050036251542</v>
      </c>
    </row>
    <row r="3" spans="1:6">
      <c r="A3">
        <v>9.5694098233821023E-2</v>
      </c>
      <c r="B3">
        <v>0</v>
      </c>
      <c r="C3">
        <v>39.600688275300868</v>
      </c>
      <c r="D3">
        <v>120.19768679055724</v>
      </c>
      <c r="E3">
        <v>39.600688275300868</v>
      </c>
      <c r="F3">
        <v>-120.19768679055724</v>
      </c>
    </row>
    <row r="4" spans="1:6">
      <c r="A4">
        <v>0.29517965725173667</v>
      </c>
      <c r="B4">
        <v>0</v>
      </c>
      <c r="C4">
        <v>78.338773479718299</v>
      </c>
      <c r="D4">
        <v>120.27887084210141</v>
      </c>
      <c r="E4">
        <v>78.338773479718299</v>
      </c>
      <c r="F4">
        <v>-120.27887084210141</v>
      </c>
    </row>
    <row r="5" spans="1:6">
      <c r="A5">
        <v>0.48298860057829529</v>
      </c>
      <c r="B5">
        <v>0</v>
      </c>
      <c r="C5">
        <v>116.77572364229921</v>
      </c>
      <c r="D5">
        <v>120.30085964525135</v>
      </c>
      <c r="E5">
        <v>116.77572364229921</v>
      </c>
      <c r="F5">
        <v>-120.30085964525135</v>
      </c>
    </row>
    <row r="6" spans="1:6">
      <c r="A6">
        <v>0.62237768201843835</v>
      </c>
      <c r="B6">
        <v>0</v>
      </c>
      <c r="C6">
        <v>154.93364437695033</v>
      </c>
      <c r="D6">
        <v>120.29354540684668</v>
      </c>
      <c r="E6">
        <v>154.93364437695033</v>
      </c>
      <c r="F6">
        <v>-120.29354540684668</v>
      </c>
    </row>
    <row r="7" spans="1:6">
      <c r="A7">
        <v>0.7188297592884112</v>
      </c>
      <c r="B7">
        <v>0</v>
      </c>
      <c r="C7">
        <v>192.81293866812661</v>
      </c>
      <c r="D7">
        <v>120.27603456883695</v>
      </c>
      <c r="E7">
        <v>192.81293866812661</v>
      </c>
      <c r="F7">
        <v>-120.27603456883695</v>
      </c>
    </row>
    <row r="8" spans="1:6">
      <c r="A8">
        <v>0.78518213543412685</v>
      </c>
      <c r="B8">
        <v>0</v>
      </c>
      <c r="C8">
        <v>230.41111838094628</v>
      </c>
      <c r="D8">
        <v>120.25666626232417</v>
      </c>
      <c r="E8">
        <v>230.41111838094628</v>
      </c>
      <c r="F8">
        <v>-120.25666626232417</v>
      </c>
    </row>
    <row r="9" spans="1:6">
      <c r="A9">
        <v>0.83163170036633005</v>
      </c>
      <c r="B9">
        <v>0</v>
      </c>
      <c r="C9">
        <v>267.72642600959898</v>
      </c>
      <c r="D9">
        <v>120.23846306018753</v>
      </c>
      <c r="E9">
        <v>267.72642600959898</v>
      </c>
      <c r="F9">
        <v>-120.23846306018753</v>
      </c>
    </row>
    <row r="10" spans="1:6">
      <c r="A10">
        <v>0.86495509348742416</v>
      </c>
      <c r="B10">
        <v>0</v>
      </c>
      <c r="C10">
        <v>304.75881417352872</v>
      </c>
      <c r="D10">
        <v>120.22228694062703</v>
      </c>
      <c r="E10">
        <v>304.75881417352872</v>
      </c>
      <c r="F10">
        <v>-120.22228694062703</v>
      </c>
    </row>
    <row r="11" spans="1:6">
      <c r="A11">
        <v>0.88947287794277941</v>
      </c>
      <c r="B11">
        <v>0</v>
      </c>
      <c r="C11">
        <v>341.50946353030776</v>
      </c>
      <c r="D11">
        <v>120.20819948068747</v>
      </c>
      <c r="E11">
        <v>341.50946353030776</v>
      </c>
      <c r="F11">
        <v>-120.20819948068747</v>
      </c>
    </row>
    <row r="12" spans="1:6">
      <c r="A12">
        <v>0.90794419105978363</v>
      </c>
      <c r="B12">
        <v>0</v>
      </c>
      <c r="C12">
        <v>377.98033545041744</v>
      </c>
      <c r="D12">
        <v>120.19599820956101</v>
      </c>
      <c r="E12">
        <v>377.98033545041744</v>
      </c>
      <c r="F12">
        <v>-120.19599820956101</v>
      </c>
    </row>
    <row r="13" spans="1:6">
      <c r="A13">
        <v>0.92216141879777069</v>
      </c>
      <c r="B13">
        <v>0</v>
      </c>
      <c r="C13">
        <v>414.17387468002329</v>
      </c>
      <c r="D13">
        <v>120.18541933278146</v>
      </c>
      <c r="E13">
        <v>414.17387468002329</v>
      </c>
      <c r="F13">
        <v>-120.18541933278146</v>
      </c>
    </row>
    <row r="14" spans="1:6">
      <c r="A14">
        <v>0.93331505576549034</v>
      </c>
      <c r="B14">
        <v>0</v>
      </c>
      <c r="C14">
        <v>450.09243385930193</v>
      </c>
      <c r="D14">
        <v>120.17621001229342</v>
      </c>
      <c r="E14">
        <v>450.09243385930193</v>
      </c>
      <c r="F14">
        <v>-120.17621001229342</v>
      </c>
    </row>
    <row r="15" spans="1:6">
      <c r="A15">
        <v>0.94221469632861954</v>
      </c>
      <c r="B15">
        <v>0</v>
      </c>
      <c r="C15">
        <v>485.73914565604747</v>
      </c>
      <c r="D15">
        <v>120.16814998496406</v>
      </c>
      <c r="E15">
        <v>485.73914565604747</v>
      </c>
      <c r="F15">
        <v>-120.16814998496406</v>
      </c>
    </row>
    <row r="16" spans="1:6">
      <c r="A16">
        <v>0.94942314311646214</v>
      </c>
      <c r="B16">
        <v>0</v>
      </c>
      <c r="C16">
        <v>521.11648003059418</v>
      </c>
      <c r="D16">
        <v>120.16105497859265</v>
      </c>
      <c r="E16">
        <v>521.11648003059418</v>
      </c>
      <c r="F16">
        <v>-120.16105497859265</v>
      </c>
    </row>
    <row r="17" spans="1:6">
      <c r="A17">
        <v>0.95534022248176598</v>
      </c>
      <c r="B17">
        <v>0</v>
      </c>
      <c r="C17">
        <v>556.227578008911</v>
      </c>
      <c r="D17">
        <v>120.1547730055705</v>
      </c>
      <c r="E17">
        <v>556.227578008911</v>
      </c>
      <c r="F17">
        <v>-120.1547730055705</v>
      </c>
    </row>
    <row r="18" spans="1:6">
      <c r="A18">
        <v>0.96025536833138858</v>
      </c>
      <c r="B18">
        <v>0</v>
      </c>
      <c r="C18">
        <v>591.07504623569298</v>
      </c>
      <c r="D18">
        <v>120.14917955428923</v>
      </c>
      <c r="E18">
        <v>591.07504623569298</v>
      </c>
      <c r="F18">
        <v>-120.14917955428923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0A49E-6263-49AD-9F50-7BA5F8D7551B}">
  <sheetPr codeName="Sheet5"/>
  <dimension ref="A1"/>
  <sheetViews>
    <sheetView zoomScale="70" zoomScaleNormal="70" workbookViewId="0"/>
  </sheetViews>
  <sheetFormatPr defaultColWidth="8.7109375" defaultRowHeight="12.75"/>
  <cols>
    <col min="1" max="16384" width="8.7109375" style="40"/>
  </cols>
  <sheetData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78aac226-2f03-4b4d-9037-b46d56c55210}" enabled="0" method="" siteId="{78aac226-2f03-4b4d-9037-b46d56c552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Generate Curve</vt:lpstr>
      <vt:lpstr>Solver</vt:lpstr>
      <vt:lpstr>SIG</vt:lpstr>
      <vt:lpstr>DSO</vt:lpstr>
      <vt:lpstr>ROOTS</vt:lpstr>
      <vt:lpstr>Model</vt:lpstr>
      <vt:lpstr>Solver!Print_Area</vt:lpstr>
    </vt:vector>
  </TitlesOfParts>
  <Company>Allied Clinical Research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cp:lastPrinted>2005-08-06T15:17:38Z</cp:lastPrinted>
  <dcterms:created xsi:type="dcterms:W3CDTF">2005-07-28T19:34:02Z</dcterms:created>
  <dcterms:modified xsi:type="dcterms:W3CDTF">2026-01-24T02:44:18Z</dcterms:modified>
</cp:coreProperties>
</file>