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421 2026/Tm/"/>
    </mc:Choice>
  </mc:AlternateContent>
  <xr:revisionPtr revIDLastSave="142" documentId="8_{24E99E92-1777-4D2A-A4FE-B5AAE8EF599D}" xr6:coauthVersionLast="47" xr6:coauthVersionMax="47" xr10:uidLastSave="{94E9F513-421A-4915-AA3F-677F4A149A1F}"/>
  <bookViews>
    <workbookView xWindow="-120" yWindow="-120" windowWidth="29040" windowHeight="15720" xr2:uid="{37AC6A64-3DFA-4E6A-9691-E5565F26C98E}"/>
  </bookViews>
  <sheets>
    <sheet name="Example Curve 1" sheetId="1" r:id="rId1"/>
    <sheet name="Example Curve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3" l="1"/>
  <c r="I50" i="3"/>
  <c r="I51" i="3"/>
  <c r="I52" i="3"/>
  <c r="H49" i="3"/>
  <c r="H50" i="3"/>
  <c r="H51" i="3"/>
  <c r="H52" i="3"/>
  <c r="H48" i="3"/>
  <c r="F8" i="3"/>
  <c r="F7" i="3"/>
  <c r="F4" i="3"/>
  <c r="F3" i="3"/>
  <c r="D92" i="3" l="1"/>
  <c r="D10" i="3"/>
  <c r="D84" i="3"/>
  <c r="D5" i="3"/>
  <c r="D11" i="3"/>
  <c r="D19" i="3"/>
  <c r="D27" i="3"/>
  <c r="D35" i="3"/>
  <c r="D43" i="3"/>
  <c r="D51" i="3"/>
  <c r="D55" i="3"/>
  <c r="D61" i="3"/>
  <c r="D69" i="3"/>
  <c r="D77" i="3"/>
  <c r="D85" i="3"/>
  <c r="D93" i="3"/>
  <c r="D6" i="3"/>
  <c r="D12" i="3"/>
  <c r="D20" i="3"/>
  <c r="D28" i="3"/>
  <c r="D36" i="3"/>
  <c r="D44" i="3"/>
  <c r="D48" i="3"/>
  <c r="D52" i="3"/>
  <c r="D62" i="3"/>
  <c r="D70" i="3"/>
  <c r="D78" i="3"/>
  <c r="D86" i="3"/>
  <c r="D7" i="3"/>
  <c r="D13" i="3"/>
  <c r="D21" i="3"/>
  <c r="D29" i="3"/>
  <c r="D37" i="3"/>
  <c r="D45" i="3"/>
  <c r="D63" i="3"/>
  <c r="D71" i="3"/>
  <c r="D79" i="3"/>
  <c r="D87" i="3"/>
  <c r="D14" i="3"/>
  <c r="D22" i="3"/>
  <c r="D30" i="3"/>
  <c r="D38" i="3"/>
  <c r="D46" i="3"/>
  <c r="D50" i="3"/>
  <c r="D56" i="3"/>
  <c r="D64" i="3"/>
  <c r="D72" i="3"/>
  <c r="D80" i="3"/>
  <c r="D88" i="3"/>
  <c r="D3" i="3"/>
  <c r="D8" i="3"/>
  <c r="D15" i="3"/>
  <c r="D23" i="3"/>
  <c r="D31" i="3"/>
  <c r="D39" i="3"/>
  <c r="D47" i="3"/>
  <c r="D53" i="3"/>
  <c r="D57" i="3"/>
  <c r="D65" i="3"/>
  <c r="D73" i="3"/>
  <c r="D81" i="3"/>
  <c r="D89" i="3"/>
  <c r="D16" i="3"/>
  <c r="D24" i="3"/>
  <c r="D32" i="3"/>
  <c r="D40" i="3"/>
  <c r="D58" i="3"/>
  <c r="D66" i="3"/>
  <c r="D74" i="3"/>
  <c r="D82" i="3"/>
  <c r="D90" i="3"/>
  <c r="D4" i="3"/>
  <c r="D9" i="3"/>
  <c r="D17" i="3"/>
  <c r="D25" i="3"/>
  <c r="D33" i="3"/>
  <c r="D41" i="3"/>
  <c r="D49" i="3"/>
  <c r="D59" i="3"/>
  <c r="D67" i="3"/>
  <c r="D75" i="3"/>
  <c r="D83" i="3"/>
  <c r="D91" i="3"/>
  <c r="D18" i="3"/>
  <c r="D26" i="3"/>
  <c r="D34" i="3"/>
  <c r="D42" i="3"/>
  <c r="D54" i="3"/>
  <c r="D60" i="3"/>
  <c r="D68" i="3"/>
  <c r="D76" i="3"/>
  <c r="F55" i="3" l="1"/>
  <c r="F54" i="3"/>
  <c r="I48" i="3"/>
  <c r="I55" i="3" l="1"/>
  <c r="I54" i="3"/>
  <c r="I57" i="3" s="1"/>
  <c r="F57" i="3"/>
  <c r="I55" i="1" l="1"/>
  <c r="I53" i="1"/>
  <c r="I52" i="1"/>
  <c r="I50" i="1"/>
  <c r="I49" i="1"/>
  <c r="I48" i="1"/>
  <c r="I47" i="1"/>
  <c r="H50" i="1"/>
  <c r="H49" i="1"/>
  <c r="H48" i="1"/>
  <c r="H47" i="1"/>
  <c r="F55" i="1"/>
  <c r="F53" i="1"/>
  <c r="F52" i="1"/>
  <c r="F50" i="1"/>
  <c r="F49" i="1"/>
  <c r="F48" i="1"/>
  <c r="F47" i="1"/>
  <c r="E47" i="1"/>
  <c r="E50" i="1"/>
  <c r="E49" i="1"/>
  <c r="E4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3" i="1"/>
  <c r="F8" i="1"/>
  <c r="F7" i="1"/>
  <c r="F4" i="1"/>
  <c r="F3" i="1"/>
</calcChain>
</file>

<file path=xl/sharedStrings.xml><?xml version="1.0" encoding="utf-8"?>
<sst xmlns="http://schemas.openxmlformats.org/spreadsheetml/2006/main" count="46" uniqueCount="15">
  <si>
    <t>Lower Baseline:</t>
  </si>
  <si>
    <t>Intercept:</t>
  </si>
  <si>
    <t>Slope:</t>
  </si>
  <si>
    <t>Upper Baseline:</t>
  </si>
  <si>
    <t>Alpha</t>
  </si>
  <si>
    <t>Tm Region:</t>
  </si>
  <si>
    <t>T</t>
  </si>
  <si>
    <t>Tm:</t>
  </si>
  <si>
    <t>degC</t>
  </si>
  <si>
    <t>van't Hoff Plot</t>
  </si>
  <si>
    <t>1/T (1/K)</t>
  </si>
  <si>
    <t>DHvH:</t>
  </si>
  <si>
    <t>Abs</t>
  </si>
  <si>
    <t>Temperature</t>
  </si>
  <si>
    <t>J/mol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</si>
</sst>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'Example Curve 1'!$C$2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'Example Curve 1'!$B$3:$B$126</c:f>
              <c:numCache>
                <c:formatCode>General</c:formatCode>
                <c:ptCount val="124"/>
                <c:pt idx="0">
                  <c:v>25</c:v>
                </c:pt>
                <c:pt idx="1">
                  <c:v>25.5</c:v>
                </c:pt>
                <c:pt idx="2">
                  <c:v>26</c:v>
                </c:pt>
                <c:pt idx="3">
                  <c:v>26.5</c:v>
                </c:pt>
                <c:pt idx="4">
                  <c:v>27</c:v>
                </c:pt>
                <c:pt idx="5">
                  <c:v>27.5</c:v>
                </c:pt>
                <c:pt idx="6">
                  <c:v>28</c:v>
                </c:pt>
                <c:pt idx="7">
                  <c:v>28.5</c:v>
                </c:pt>
                <c:pt idx="8">
                  <c:v>29</c:v>
                </c:pt>
                <c:pt idx="9">
                  <c:v>29.5</c:v>
                </c:pt>
                <c:pt idx="10">
                  <c:v>30</c:v>
                </c:pt>
                <c:pt idx="11">
                  <c:v>30.5</c:v>
                </c:pt>
                <c:pt idx="12">
                  <c:v>31</c:v>
                </c:pt>
                <c:pt idx="13">
                  <c:v>31.5</c:v>
                </c:pt>
                <c:pt idx="14">
                  <c:v>32</c:v>
                </c:pt>
                <c:pt idx="15">
                  <c:v>32.5</c:v>
                </c:pt>
                <c:pt idx="16">
                  <c:v>33</c:v>
                </c:pt>
                <c:pt idx="17">
                  <c:v>33.5</c:v>
                </c:pt>
                <c:pt idx="18">
                  <c:v>34</c:v>
                </c:pt>
                <c:pt idx="19">
                  <c:v>34.5</c:v>
                </c:pt>
                <c:pt idx="20">
                  <c:v>35</c:v>
                </c:pt>
                <c:pt idx="21">
                  <c:v>35.5</c:v>
                </c:pt>
                <c:pt idx="22">
                  <c:v>36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38.5</c:v>
                </c:pt>
                <c:pt idx="28">
                  <c:v>39</c:v>
                </c:pt>
                <c:pt idx="29">
                  <c:v>39.5</c:v>
                </c:pt>
                <c:pt idx="30">
                  <c:v>40</c:v>
                </c:pt>
                <c:pt idx="31">
                  <c:v>40.5</c:v>
                </c:pt>
                <c:pt idx="32">
                  <c:v>41</c:v>
                </c:pt>
                <c:pt idx="33">
                  <c:v>41.5</c:v>
                </c:pt>
                <c:pt idx="34">
                  <c:v>42</c:v>
                </c:pt>
                <c:pt idx="35">
                  <c:v>42.5</c:v>
                </c:pt>
                <c:pt idx="36">
                  <c:v>43</c:v>
                </c:pt>
                <c:pt idx="37">
                  <c:v>43.5</c:v>
                </c:pt>
                <c:pt idx="38">
                  <c:v>44</c:v>
                </c:pt>
                <c:pt idx="39">
                  <c:v>44.5</c:v>
                </c:pt>
                <c:pt idx="40">
                  <c:v>45</c:v>
                </c:pt>
                <c:pt idx="41">
                  <c:v>45.5</c:v>
                </c:pt>
                <c:pt idx="42">
                  <c:v>46</c:v>
                </c:pt>
                <c:pt idx="43">
                  <c:v>46.5</c:v>
                </c:pt>
                <c:pt idx="44">
                  <c:v>47</c:v>
                </c:pt>
                <c:pt idx="45">
                  <c:v>47.5</c:v>
                </c:pt>
                <c:pt idx="46">
                  <c:v>48</c:v>
                </c:pt>
                <c:pt idx="47">
                  <c:v>48.5</c:v>
                </c:pt>
                <c:pt idx="48">
                  <c:v>49</c:v>
                </c:pt>
                <c:pt idx="49">
                  <c:v>49.5</c:v>
                </c:pt>
                <c:pt idx="50">
                  <c:v>50</c:v>
                </c:pt>
                <c:pt idx="51">
                  <c:v>50.5</c:v>
                </c:pt>
                <c:pt idx="52">
                  <c:v>51</c:v>
                </c:pt>
                <c:pt idx="53">
                  <c:v>51.5</c:v>
                </c:pt>
                <c:pt idx="54">
                  <c:v>52</c:v>
                </c:pt>
                <c:pt idx="55">
                  <c:v>52.5</c:v>
                </c:pt>
                <c:pt idx="56">
                  <c:v>53</c:v>
                </c:pt>
                <c:pt idx="57">
                  <c:v>53.5</c:v>
                </c:pt>
                <c:pt idx="58">
                  <c:v>54</c:v>
                </c:pt>
                <c:pt idx="59">
                  <c:v>54.5</c:v>
                </c:pt>
                <c:pt idx="60">
                  <c:v>55</c:v>
                </c:pt>
                <c:pt idx="61">
                  <c:v>55.5</c:v>
                </c:pt>
                <c:pt idx="62">
                  <c:v>56</c:v>
                </c:pt>
                <c:pt idx="63">
                  <c:v>56.5</c:v>
                </c:pt>
                <c:pt idx="64">
                  <c:v>57</c:v>
                </c:pt>
                <c:pt idx="65">
                  <c:v>57.5</c:v>
                </c:pt>
                <c:pt idx="66">
                  <c:v>58</c:v>
                </c:pt>
                <c:pt idx="67">
                  <c:v>58.5</c:v>
                </c:pt>
                <c:pt idx="68">
                  <c:v>59</c:v>
                </c:pt>
                <c:pt idx="69">
                  <c:v>59.5</c:v>
                </c:pt>
                <c:pt idx="70">
                  <c:v>60</c:v>
                </c:pt>
                <c:pt idx="71">
                  <c:v>60.5</c:v>
                </c:pt>
                <c:pt idx="72">
                  <c:v>61</c:v>
                </c:pt>
                <c:pt idx="73">
                  <c:v>61.5</c:v>
                </c:pt>
                <c:pt idx="74">
                  <c:v>62</c:v>
                </c:pt>
                <c:pt idx="75">
                  <c:v>62.5</c:v>
                </c:pt>
                <c:pt idx="76">
                  <c:v>63</c:v>
                </c:pt>
                <c:pt idx="77">
                  <c:v>63.5</c:v>
                </c:pt>
                <c:pt idx="78">
                  <c:v>64</c:v>
                </c:pt>
                <c:pt idx="79">
                  <c:v>64.5</c:v>
                </c:pt>
                <c:pt idx="80">
                  <c:v>65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</c:numCache>
            </c:numRef>
          </c:xVal>
          <c:yVal>
            <c:numRef>
              <c:f>'Example Curve 1'!$C$3:$C$126</c:f>
              <c:numCache>
                <c:formatCode>General</c:formatCode>
                <c:ptCount val="124"/>
                <c:pt idx="0">
                  <c:v>1.4634</c:v>
                </c:pt>
                <c:pt idx="1">
                  <c:v>1.4618</c:v>
                </c:pt>
                <c:pt idx="2">
                  <c:v>1.4612000000000001</c:v>
                </c:pt>
                <c:pt idx="3">
                  <c:v>1.4639</c:v>
                </c:pt>
                <c:pt idx="4">
                  <c:v>1.4658</c:v>
                </c:pt>
                <c:pt idx="5">
                  <c:v>1.4656</c:v>
                </c:pt>
                <c:pt idx="6">
                  <c:v>1.4655</c:v>
                </c:pt>
                <c:pt idx="7">
                  <c:v>1.4650000000000001</c:v>
                </c:pt>
                <c:pt idx="8">
                  <c:v>1.4659</c:v>
                </c:pt>
                <c:pt idx="9">
                  <c:v>1.4663999999999999</c:v>
                </c:pt>
                <c:pt idx="10">
                  <c:v>1.4703999999999999</c:v>
                </c:pt>
                <c:pt idx="11">
                  <c:v>1.47</c:v>
                </c:pt>
                <c:pt idx="12">
                  <c:v>1.4704999999999999</c:v>
                </c:pt>
                <c:pt idx="13">
                  <c:v>1.4665999999999999</c:v>
                </c:pt>
                <c:pt idx="14">
                  <c:v>1.4679</c:v>
                </c:pt>
                <c:pt idx="15">
                  <c:v>1.4710000000000001</c:v>
                </c:pt>
                <c:pt idx="16">
                  <c:v>1.4710000000000001</c:v>
                </c:pt>
                <c:pt idx="17">
                  <c:v>1.4681</c:v>
                </c:pt>
                <c:pt idx="18">
                  <c:v>1.4702</c:v>
                </c:pt>
                <c:pt idx="19">
                  <c:v>1.4741</c:v>
                </c:pt>
                <c:pt idx="20">
                  <c:v>1.4729000000000001</c:v>
                </c:pt>
                <c:pt idx="21">
                  <c:v>1.4743999999999999</c:v>
                </c:pt>
                <c:pt idx="22">
                  <c:v>1.4723999999999999</c:v>
                </c:pt>
                <c:pt idx="23">
                  <c:v>1.4736</c:v>
                </c:pt>
                <c:pt idx="24">
                  <c:v>1.4722</c:v>
                </c:pt>
                <c:pt idx="25">
                  <c:v>1.4742</c:v>
                </c:pt>
                <c:pt idx="26">
                  <c:v>1.478</c:v>
                </c:pt>
                <c:pt idx="27">
                  <c:v>1.4739</c:v>
                </c:pt>
                <c:pt idx="28">
                  <c:v>1.4758</c:v>
                </c:pt>
                <c:pt idx="29">
                  <c:v>1.478</c:v>
                </c:pt>
                <c:pt idx="30">
                  <c:v>1.4767999999999999</c:v>
                </c:pt>
                <c:pt idx="31">
                  <c:v>1.4766999999999999</c:v>
                </c:pt>
                <c:pt idx="32">
                  <c:v>1.4772000000000001</c:v>
                </c:pt>
                <c:pt idx="33">
                  <c:v>1.4784999999999999</c:v>
                </c:pt>
                <c:pt idx="34">
                  <c:v>1.4812000000000001</c:v>
                </c:pt>
                <c:pt idx="35">
                  <c:v>1.4842</c:v>
                </c:pt>
                <c:pt idx="36">
                  <c:v>1.4844999999999999</c:v>
                </c:pt>
                <c:pt idx="37">
                  <c:v>1.4822</c:v>
                </c:pt>
                <c:pt idx="38">
                  <c:v>1.4838</c:v>
                </c:pt>
                <c:pt idx="39">
                  <c:v>1.4947999999999999</c:v>
                </c:pt>
                <c:pt idx="40">
                  <c:v>1.4928999999999999</c:v>
                </c:pt>
                <c:pt idx="41">
                  <c:v>1.502</c:v>
                </c:pt>
                <c:pt idx="42">
                  <c:v>1.5126999999999999</c:v>
                </c:pt>
                <c:pt idx="43">
                  <c:v>1.518</c:v>
                </c:pt>
                <c:pt idx="44">
                  <c:v>1.5356000000000001</c:v>
                </c:pt>
                <c:pt idx="45">
                  <c:v>1.5481</c:v>
                </c:pt>
                <c:pt idx="46">
                  <c:v>1.5598000000000001</c:v>
                </c:pt>
                <c:pt idx="47">
                  <c:v>1.5785</c:v>
                </c:pt>
                <c:pt idx="48">
                  <c:v>1.5922000000000001</c:v>
                </c:pt>
                <c:pt idx="49">
                  <c:v>1.6041000000000001</c:v>
                </c:pt>
                <c:pt idx="50">
                  <c:v>1.6153</c:v>
                </c:pt>
                <c:pt idx="51">
                  <c:v>1.6263000000000001</c:v>
                </c:pt>
                <c:pt idx="52">
                  <c:v>1.6267</c:v>
                </c:pt>
                <c:pt idx="53">
                  <c:v>1.6342000000000001</c:v>
                </c:pt>
                <c:pt idx="54">
                  <c:v>1.6380999999999999</c:v>
                </c:pt>
                <c:pt idx="55">
                  <c:v>1.6397999999999999</c:v>
                </c:pt>
                <c:pt idx="56">
                  <c:v>1.6412</c:v>
                </c:pt>
                <c:pt idx="57">
                  <c:v>1.6418999999999999</c:v>
                </c:pt>
                <c:pt idx="58">
                  <c:v>1.6458999999999999</c:v>
                </c:pt>
                <c:pt idx="59">
                  <c:v>1.6436999999999999</c:v>
                </c:pt>
                <c:pt idx="60">
                  <c:v>1.6449</c:v>
                </c:pt>
                <c:pt idx="61">
                  <c:v>1.6485000000000001</c:v>
                </c:pt>
                <c:pt idx="62">
                  <c:v>1.6482000000000001</c:v>
                </c:pt>
                <c:pt idx="63">
                  <c:v>1.6456</c:v>
                </c:pt>
                <c:pt idx="64">
                  <c:v>1.6488</c:v>
                </c:pt>
                <c:pt idx="65">
                  <c:v>1.6505000000000001</c:v>
                </c:pt>
                <c:pt idx="66">
                  <c:v>1.6509</c:v>
                </c:pt>
                <c:pt idx="67">
                  <c:v>1.6509</c:v>
                </c:pt>
                <c:pt idx="68">
                  <c:v>1.6487000000000001</c:v>
                </c:pt>
                <c:pt idx="69">
                  <c:v>1.6494</c:v>
                </c:pt>
                <c:pt idx="70">
                  <c:v>1.6500999999999999</c:v>
                </c:pt>
                <c:pt idx="71">
                  <c:v>1.6485000000000001</c:v>
                </c:pt>
                <c:pt idx="72">
                  <c:v>1.6519999999999999</c:v>
                </c:pt>
                <c:pt idx="73">
                  <c:v>1.6536999999999999</c:v>
                </c:pt>
                <c:pt idx="74">
                  <c:v>1.6511</c:v>
                </c:pt>
                <c:pt idx="75">
                  <c:v>1.6529</c:v>
                </c:pt>
                <c:pt idx="76">
                  <c:v>1.6538999999999999</c:v>
                </c:pt>
                <c:pt idx="77">
                  <c:v>1.6546000000000001</c:v>
                </c:pt>
                <c:pt idx="78">
                  <c:v>1.6488</c:v>
                </c:pt>
                <c:pt idx="79">
                  <c:v>1.6547000000000001</c:v>
                </c:pt>
                <c:pt idx="80">
                  <c:v>1.6547000000000001</c:v>
                </c:pt>
                <c:pt idx="81">
                  <c:v>1.6540999999999999</c:v>
                </c:pt>
                <c:pt idx="82">
                  <c:v>1.6541999999999999</c:v>
                </c:pt>
                <c:pt idx="83">
                  <c:v>1.6558999999999999</c:v>
                </c:pt>
                <c:pt idx="84">
                  <c:v>1.6576</c:v>
                </c:pt>
                <c:pt idx="85">
                  <c:v>1.6527000000000001</c:v>
                </c:pt>
                <c:pt idx="86">
                  <c:v>1.6591</c:v>
                </c:pt>
                <c:pt idx="87">
                  <c:v>1.6598999999999999</c:v>
                </c:pt>
                <c:pt idx="88">
                  <c:v>1.6611</c:v>
                </c:pt>
                <c:pt idx="89">
                  <c:v>1.6584000000000001</c:v>
                </c:pt>
                <c:pt idx="90">
                  <c:v>1.6605000000000001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C-4E68-A72E-89088EE2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'Example Curve 1'!$D$2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'Example Curve 1'!$B$3:$B$93</c:f>
              <c:numCache>
                <c:formatCode>General</c:formatCode>
                <c:ptCount val="91"/>
                <c:pt idx="0">
                  <c:v>25</c:v>
                </c:pt>
                <c:pt idx="1">
                  <c:v>25.5</c:v>
                </c:pt>
                <c:pt idx="2">
                  <c:v>26</c:v>
                </c:pt>
                <c:pt idx="3">
                  <c:v>26.5</c:v>
                </c:pt>
                <c:pt idx="4">
                  <c:v>27</c:v>
                </c:pt>
                <c:pt idx="5">
                  <c:v>27.5</c:v>
                </c:pt>
                <c:pt idx="6">
                  <c:v>28</c:v>
                </c:pt>
                <c:pt idx="7">
                  <c:v>28.5</c:v>
                </c:pt>
                <c:pt idx="8">
                  <c:v>29</c:v>
                </c:pt>
                <c:pt idx="9">
                  <c:v>29.5</c:v>
                </c:pt>
                <c:pt idx="10">
                  <c:v>30</c:v>
                </c:pt>
                <c:pt idx="11">
                  <c:v>30.5</c:v>
                </c:pt>
                <c:pt idx="12">
                  <c:v>31</c:v>
                </c:pt>
                <c:pt idx="13">
                  <c:v>31.5</c:v>
                </c:pt>
                <c:pt idx="14">
                  <c:v>32</c:v>
                </c:pt>
                <c:pt idx="15">
                  <c:v>32.5</c:v>
                </c:pt>
                <c:pt idx="16">
                  <c:v>33</c:v>
                </c:pt>
                <c:pt idx="17">
                  <c:v>33.5</c:v>
                </c:pt>
                <c:pt idx="18">
                  <c:v>34</c:v>
                </c:pt>
                <c:pt idx="19">
                  <c:v>34.5</c:v>
                </c:pt>
                <c:pt idx="20">
                  <c:v>35</c:v>
                </c:pt>
                <c:pt idx="21">
                  <c:v>35.5</c:v>
                </c:pt>
                <c:pt idx="22">
                  <c:v>36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38.5</c:v>
                </c:pt>
                <c:pt idx="28">
                  <c:v>39</c:v>
                </c:pt>
                <c:pt idx="29">
                  <c:v>39.5</c:v>
                </c:pt>
                <c:pt idx="30">
                  <c:v>40</c:v>
                </c:pt>
                <c:pt idx="31">
                  <c:v>40.5</c:v>
                </c:pt>
                <c:pt idx="32">
                  <c:v>41</c:v>
                </c:pt>
                <c:pt idx="33">
                  <c:v>41.5</c:v>
                </c:pt>
                <c:pt idx="34">
                  <c:v>42</c:v>
                </c:pt>
                <c:pt idx="35">
                  <c:v>42.5</c:v>
                </c:pt>
                <c:pt idx="36">
                  <c:v>43</c:v>
                </c:pt>
                <c:pt idx="37">
                  <c:v>43.5</c:v>
                </c:pt>
                <c:pt idx="38">
                  <c:v>44</c:v>
                </c:pt>
                <c:pt idx="39">
                  <c:v>44.5</c:v>
                </c:pt>
                <c:pt idx="40">
                  <c:v>45</c:v>
                </c:pt>
                <c:pt idx="41">
                  <c:v>45.5</c:v>
                </c:pt>
                <c:pt idx="42">
                  <c:v>46</c:v>
                </c:pt>
                <c:pt idx="43">
                  <c:v>46.5</c:v>
                </c:pt>
                <c:pt idx="44">
                  <c:v>47</c:v>
                </c:pt>
                <c:pt idx="45">
                  <c:v>47.5</c:v>
                </c:pt>
                <c:pt idx="46">
                  <c:v>48</c:v>
                </c:pt>
                <c:pt idx="47">
                  <c:v>48.5</c:v>
                </c:pt>
                <c:pt idx="48">
                  <c:v>49</c:v>
                </c:pt>
                <c:pt idx="49">
                  <c:v>49.5</c:v>
                </c:pt>
                <c:pt idx="50">
                  <c:v>50</c:v>
                </c:pt>
                <c:pt idx="51">
                  <c:v>50.5</c:v>
                </c:pt>
                <c:pt idx="52">
                  <c:v>51</c:v>
                </c:pt>
                <c:pt idx="53">
                  <c:v>51.5</c:v>
                </c:pt>
                <c:pt idx="54">
                  <c:v>52</c:v>
                </c:pt>
                <c:pt idx="55">
                  <c:v>52.5</c:v>
                </c:pt>
                <c:pt idx="56">
                  <c:v>53</c:v>
                </c:pt>
                <c:pt idx="57">
                  <c:v>53.5</c:v>
                </c:pt>
                <c:pt idx="58">
                  <c:v>54</c:v>
                </c:pt>
                <c:pt idx="59">
                  <c:v>54.5</c:v>
                </c:pt>
                <c:pt idx="60">
                  <c:v>55</c:v>
                </c:pt>
                <c:pt idx="61">
                  <c:v>55.5</c:v>
                </c:pt>
                <c:pt idx="62">
                  <c:v>56</c:v>
                </c:pt>
                <c:pt idx="63">
                  <c:v>56.5</c:v>
                </c:pt>
                <c:pt idx="64">
                  <c:v>57</c:v>
                </c:pt>
                <c:pt idx="65">
                  <c:v>57.5</c:v>
                </c:pt>
                <c:pt idx="66">
                  <c:v>58</c:v>
                </c:pt>
                <c:pt idx="67">
                  <c:v>58.5</c:v>
                </c:pt>
                <c:pt idx="68">
                  <c:v>59</c:v>
                </c:pt>
                <c:pt idx="69">
                  <c:v>59.5</c:v>
                </c:pt>
                <c:pt idx="70">
                  <c:v>60</c:v>
                </c:pt>
                <c:pt idx="71">
                  <c:v>60.5</c:v>
                </c:pt>
                <c:pt idx="72">
                  <c:v>61</c:v>
                </c:pt>
                <c:pt idx="73">
                  <c:v>61.5</c:v>
                </c:pt>
                <c:pt idx="74">
                  <c:v>62</c:v>
                </c:pt>
                <c:pt idx="75">
                  <c:v>62.5</c:v>
                </c:pt>
                <c:pt idx="76">
                  <c:v>63</c:v>
                </c:pt>
                <c:pt idx="77">
                  <c:v>63.5</c:v>
                </c:pt>
                <c:pt idx="78">
                  <c:v>64</c:v>
                </c:pt>
                <c:pt idx="79">
                  <c:v>64.5</c:v>
                </c:pt>
                <c:pt idx="80">
                  <c:v>65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</c:numCache>
            </c:numRef>
          </c:xVal>
          <c:yVal>
            <c:numRef>
              <c:f>'Example Curve 1'!$D$3:$D$93</c:f>
              <c:numCache>
                <c:formatCode>General</c:formatCode>
                <c:ptCount val="91"/>
                <c:pt idx="0">
                  <c:v>0.99435562626757656</c:v>
                </c:pt>
                <c:pt idx="1">
                  <c:v>1.0080916078645989</c:v>
                </c:pt>
                <c:pt idx="2">
                  <c:v>1.015253200876725</c:v>
                </c:pt>
                <c:pt idx="3">
                  <c:v>1.000726103289594</c:v>
                </c:pt>
                <c:pt idx="4">
                  <c:v>0.99145827808962028</c:v>
                </c:pt>
                <c:pt idx="5">
                  <c:v>0.9959910873287966</c:v>
                </c:pt>
                <c:pt idx="6">
                  <c:v>0.99986620220317424</c:v>
                </c:pt>
                <c:pt idx="7">
                  <c:v>1.0063688638631496</c:v>
                </c:pt>
                <c:pt idx="8">
                  <c:v>1.0036729692867714</c:v>
                </c:pt>
                <c:pt idx="9">
                  <c:v>1.003605167693477</c:v>
                </c:pt>
                <c:pt idx="10">
                  <c:v>0.98054642134764813</c:v>
                </c:pt>
                <c:pt idx="11">
                  <c:v>0.9863917807868493</c:v>
                </c:pt>
                <c:pt idx="12">
                  <c:v>0.98632518981199169</c:v>
                </c:pt>
                <c:pt idx="13">
                  <c:v>1.0151555186133436</c:v>
                </c:pt>
                <c:pt idx="14">
                  <c:v>1.0098333255511736</c:v>
                </c:pt>
                <c:pt idx="15">
                  <c:v>0.99269204261145649</c:v>
                </c:pt>
                <c:pt idx="16">
                  <c:v>0.99590809190489504</c:v>
                </c:pt>
                <c:pt idx="17">
                  <c:v>1.0181641140426965</c:v>
                </c:pt>
                <c:pt idx="18">
                  <c:v>1.0075910205731489</c:v>
                </c:pt>
                <c:pt idx="19">
                  <c:v>0.98520283579895807</c:v>
                </c:pt>
                <c:pt idx="20">
                  <c:v>0.99629567115473139</c:v>
                </c:pt>
                <c:pt idx="21">
                  <c:v>0.98966459221709324</c:v>
                </c:pt>
                <c:pt idx="22">
                  <c:v>1.0060062957744056</c:v>
                </c:pt>
                <c:pt idx="23">
                  <c:v>1.0013443433142957</c:v>
                </c:pt>
                <c:pt idx="24">
                  <c:v>1.0137454886560149</c:v>
                </c:pt>
                <c:pt idx="25">
                  <c:v>1.0038340235348495</c:v>
                </c:pt>
                <c:pt idx="26">
                  <c:v>0.98211309649946354</c:v>
                </c:pt>
                <c:pt idx="27">
                  <c:v>1.0122280230295597</c:v>
                </c:pt>
                <c:pt idx="28">
                  <c:v>1.0029747859981433</c:v>
                </c:pt>
                <c:pt idx="29">
                  <c:v>0.99175476505349969</c:v>
                </c:pt>
                <c:pt idx="30">
                  <c:v>1.0028394762990676</c:v>
                </c:pt>
                <c:pt idx="31">
                  <c:v>1.0067074186906737</c:v>
                </c:pt>
                <c:pt idx="32">
                  <c:v>1.0066395151099738</c:v>
                </c:pt>
                <c:pt idx="33">
                  <c:v>1.0013249022456012</c:v>
                </c:pt>
                <c:pt idx="34">
                  <c:v>0.98682990131257808</c:v>
                </c:pt>
                <c:pt idx="35">
                  <c:v>0.97036965695441124</c:v>
                </c:pt>
                <c:pt idx="36">
                  <c:v>0.97161569163225892</c:v>
                </c:pt>
                <c:pt idx="37">
                  <c:v>0.9899086752893419</c:v>
                </c:pt>
                <c:pt idx="38">
                  <c:v>0.98263021578315579</c:v>
                </c:pt>
                <c:pt idx="39">
                  <c:v>0.9137293812296976</c:v>
                </c:pt>
                <c:pt idx="40">
                  <c:v>0.92940048238832029</c:v>
                </c:pt>
                <c:pt idx="41">
                  <c:v>0.87296691657359782</c:v>
                </c:pt>
                <c:pt idx="42">
                  <c:v>0.80605423749397265</c:v>
                </c:pt>
                <c:pt idx="43">
                  <c:v>0.77454168679781099</c:v>
                </c:pt>
                <c:pt idx="44">
                  <c:v>0.66242649428356082</c:v>
                </c:pt>
                <c:pt idx="45">
                  <c:v>0.58374689599942653</c:v>
                </c:pt>
                <c:pt idx="46">
                  <c:v>0.51032017468992275</c:v>
                </c:pt>
                <c:pt idx="47">
                  <c:v>0.39103920243257267</c:v>
                </c:pt>
                <c:pt idx="48">
                  <c:v>0.30453272597407216</c:v>
                </c:pt>
                <c:pt idx="49">
                  <c:v>0.22983027058736363</c:v>
                </c:pt>
                <c:pt idx="50">
                  <c:v>0.15972362197781081</c:v>
                </c:pt>
                <c:pt idx="51">
                  <c:v>9.0936704791565862E-2</c:v>
                </c:pt>
                <c:pt idx="52">
                  <c:v>9.1587106477456867E-2</c:v>
                </c:pt>
                <c:pt idx="53">
                  <c:v>4.5737089502508078E-2</c:v>
                </c:pt>
                <c:pt idx="54">
                  <c:v>2.346940711753184E-2</c:v>
                </c:pt>
                <c:pt idx="55">
                  <c:v>1.5611362422106525E-2</c:v>
                </c:pt>
                <c:pt idx="56">
                  <c:v>9.7187983335480146E-3</c:v>
                </c:pt>
                <c:pt idx="57">
                  <c:v>8.4103213920890263E-3</c:v>
                </c:pt>
                <c:pt idx="58">
                  <c:v>-1.4503345316246032E-2</c:v>
                </c:pt>
                <c:pt idx="59">
                  <c:v>3.1752572963426526E-3</c:v>
                </c:pt>
                <c:pt idx="60">
                  <c:v>-1.405586338404466E-3</c:v>
                </c:pt>
                <c:pt idx="61">
                  <c:v>-2.1695541588024489E-2</c:v>
                </c:pt>
                <c:pt idx="62">
                  <c:v>-1.6456124571299934E-2</c:v>
                </c:pt>
                <c:pt idx="63">
                  <c:v>3.8356631326311179E-3</c:v>
                </c:pt>
                <c:pt idx="64">
                  <c:v>-1.3832705533976801E-2</c:v>
                </c:pt>
                <c:pt idx="65">
                  <c:v>-2.168275595546543E-2</c:v>
                </c:pt>
                <c:pt idx="66">
                  <c:v>-2.1025213756889406E-2</c:v>
                </c:pt>
                <c:pt idx="67">
                  <c:v>-1.7750555234800038E-2</c:v>
                </c:pt>
                <c:pt idx="68">
                  <c:v>-8.2702569686135866E-5</c:v>
                </c:pt>
                <c:pt idx="69">
                  <c:v>-1.3894206311435668E-3</c:v>
                </c:pt>
                <c:pt idx="70">
                  <c:v>-2.6959584642714863E-3</c:v>
                </c:pt>
                <c:pt idx="71">
                  <c:v>1.1042473389223324E-2</c:v>
                </c:pt>
                <c:pt idx="72">
                  <c:v>-8.5788744896022114E-3</c:v>
                </c:pt>
                <c:pt idx="73">
                  <c:v>-1.6424957193147866E-2</c:v>
                </c:pt>
                <c:pt idx="74">
                  <c:v>3.8514395751881579E-3</c:v>
                </c:pt>
                <c:pt idx="75">
                  <c:v>-4.6483591674329411E-3</c:v>
                </c:pt>
                <c:pt idx="76">
                  <c:v>-7.9158194454608932E-3</c:v>
                </c:pt>
                <c:pt idx="77">
                  <c:v>-9.2212770130293883E-3</c:v>
                </c:pt>
                <c:pt idx="78">
                  <c:v>3.19708151585247E-2</c:v>
                </c:pt>
                <c:pt idx="79">
                  <c:v>-3.3327641419369411E-3</c:v>
                </c:pt>
                <c:pt idx="80">
                  <c:v>-6.225862622656759E-5</c:v>
                </c:pt>
                <c:pt idx="81">
                  <c:v>7.1298193159850956E-3</c:v>
                </c:pt>
                <c:pt idx="82">
                  <c:v>9.7455277092564907E-3</c:v>
                </c:pt>
                <c:pt idx="83">
                  <c:v>1.9035884318552685E-3</c:v>
                </c:pt>
                <c:pt idx="84">
                  <c:v>-5.9372702938593055E-3</c:v>
                </c:pt>
                <c:pt idx="85">
                  <c:v>2.935331770430041E-2</c:v>
                </c:pt>
                <c:pt idx="86">
                  <c:v>-9.2002846976955276E-3</c:v>
                </c:pt>
                <c:pt idx="87">
                  <c:v>-1.1158154944432543E-2</c:v>
                </c:pt>
                <c:pt idx="88">
                  <c:v>-1.5729176964326699E-2</c:v>
                </c:pt>
                <c:pt idx="89">
                  <c:v>5.1795351251474088E-3</c:v>
                </c:pt>
                <c:pt idx="90">
                  <c:v>-5.2713708551298238E-3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D-4997-9B7C-E1833AF74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358063"/>
        <c:axId val="604372463"/>
      </c:scatterChart>
      <c:valAx>
        <c:axId val="60435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2463"/>
        <c:crosses val="autoZero"/>
        <c:crossBetween val="midCat"/>
      </c:valAx>
      <c:valAx>
        <c:axId val="6043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5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Curve 1'!$I$46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Curve 1'!$H$47:$H$50</c:f>
              <c:numCache>
                <c:formatCode>General</c:formatCode>
                <c:ptCount val="4"/>
                <c:pt idx="0">
                  <c:v>3.1235358425737939E-3</c:v>
                </c:pt>
                <c:pt idx="1">
                  <c:v>3.1186652112895684E-3</c:v>
                </c:pt>
                <c:pt idx="2">
                  <c:v>3.1138097462245057E-3</c:v>
                </c:pt>
                <c:pt idx="3">
                  <c:v>3.1089693766516401E-3</c:v>
                </c:pt>
              </c:numCache>
            </c:numRef>
          </c:xVal>
          <c:yVal>
            <c:numRef>
              <c:f>'Example Curve 1'!$I$47:$I$50</c:f>
              <c:numCache>
                <c:formatCode>General</c:formatCode>
                <c:ptCount val="4"/>
                <c:pt idx="0">
                  <c:v>0.66242649428356082</c:v>
                </c:pt>
                <c:pt idx="1">
                  <c:v>0.58374689599942653</c:v>
                </c:pt>
                <c:pt idx="2">
                  <c:v>0.51032017468992275</c:v>
                </c:pt>
                <c:pt idx="3">
                  <c:v>0.39103920243257267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F-47C7-B194-7F1FB2825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0831"/>
        <c:axId val="588638271"/>
      </c:scatterChart>
      <c:valAx>
        <c:axId val="5886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38271"/>
        <c:crosses val="autoZero"/>
        <c:crossBetween val="midCat"/>
      </c:valAx>
      <c:valAx>
        <c:axId val="5886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'Example Curve 2'!$C$2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'Example Curve 2'!$B$3:$B$126</c:f>
              <c:numCache>
                <c:formatCode>General</c:formatCode>
                <c:ptCount val="124"/>
                <c:pt idx="0">
                  <c:v>30</c:v>
                </c:pt>
                <c:pt idx="1">
                  <c:v>30.5</c:v>
                </c:pt>
                <c:pt idx="2">
                  <c:v>31</c:v>
                </c:pt>
                <c:pt idx="3">
                  <c:v>31.5</c:v>
                </c:pt>
                <c:pt idx="4">
                  <c:v>32</c:v>
                </c:pt>
                <c:pt idx="5">
                  <c:v>32.5</c:v>
                </c:pt>
                <c:pt idx="6">
                  <c:v>33</c:v>
                </c:pt>
                <c:pt idx="7">
                  <c:v>33.5</c:v>
                </c:pt>
                <c:pt idx="8">
                  <c:v>34</c:v>
                </c:pt>
                <c:pt idx="9">
                  <c:v>34.5</c:v>
                </c:pt>
                <c:pt idx="10">
                  <c:v>35</c:v>
                </c:pt>
                <c:pt idx="11">
                  <c:v>35.5</c:v>
                </c:pt>
                <c:pt idx="12">
                  <c:v>36</c:v>
                </c:pt>
                <c:pt idx="13">
                  <c:v>36.5</c:v>
                </c:pt>
                <c:pt idx="14">
                  <c:v>37</c:v>
                </c:pt>
                <c:pt idx="15">
                  <c:v>37.5</c:v>
                </c:pt>
                <c:pt idx="16">
                  <c:v>38</c:v>
                </c:pt>
                <c:pt idx="17">
                  <c:v>38.5</c:v>
                </c:pt>
                <c:pt idx="18">
                  <c:v>39</c:v>
                </c:pt>
                <c:pt idx="19">
                  <c:v>39.5</c:v>
                </c:pt>
                <c:pt idx="20">
                  <c:v>40</c:v>
                </c:pt>
                <c:pt idx="21">
                  <c:v>40.5</c:v>
                </c:pt>
                <c:pt idx="22">
                  <c:v>41</c:v>
                </c:pt>
                <c:pt idx="23">
                  <c:v>41.5</c:v>
                </c:pt>
                <c:pt idx="24">
                  <c:v>42</c:v>
                </c:pt>
                <c:pt idx="25">
                  <c:v>42.5</c:v>
                </c:pt>
                <c:pt idx="26">
                  <c:v>43</c:v>
                </c:pt>
                <c:pt idx="27">
                  <c:v>43.5</c:v>
                </c:pt>
                <c:pt idx="28">
                  <c:v>44</c:v>
                </c:pt>
                <c:pt idx="29">
                  <c:v>44.5</c:v>
                </c:pt>
                <c:pt idx="30">
                  <c:v>45</c:v>
                </c:pt>
                <c:pt idx="31">
                  <c:v>45.5</c:v>
                </c:pt>
                <c:pt idx="32">
                  <c:v>46</c:v>
                </c:pt>
                <c:pt idx="33">
                  <c:v>46.5</c:v>
                </c:pt>
                <c:pt idx="34">
                  <c:v>47</c:v>
                </c:pt>
                <c:pt idx="35">
                  <c:v>47.5</c:v>
                </c:pt>
                <c:pt idx="36">
                  <c:v>48</c:v>
                </c:pt>
                <c:pt idx="37">
                  <c:v>48.5</c:v>
                </c:pt>
                <c:pt idx="38">
                  <c:v>49</c:v>
                </c:pt>
                <c:pt idx="39">
                  <c:v>49.5</c:v>
                </c:pt>
                <c:pt idx="40">
                  <c:v>50</c:v>
                </c:pt>
                <c:pt idx="41">
                  <c:v>50.5</c:v>
                </c:pt>
                <c:pt idx="42">
                  <c:v>51</c:v>
                </c:pt>
                <c:pt idx="43">
                  <c:v>51.5</c:v>
                </c:pt>
                <c:pt idx="44">
                  <c:v>52</c:v>
                </c:pt>
                <c:pt idx="45">
                  <c:v>52.5</c:v>
                </c:pt>
                <c:pt idx="46">
                  <c:v>53</c:v>
                </c:pt>
                <c:pt idx="47">
                  <c:v>53.5</c:v>
                </c:pt>
                <c:pt idx="48">
                  <c:v>54</c:v>
                </c:pt>
                <c:pt idx="49">
                  <c:v>54.5</c:v>
                </c:pt>
                <c:pt idx="50">
                  <c:v>55</c:v>
                </c:pt>
                <c:pt idx="51">
                  <c:v>55.5</c:v>
                </c:pt>
                <c:pt idx="52">
                  <c:v>56</c:v>
                </c:pt>
                <c:pt idx="53">
                  <c:v>56.5</c:v>
                </c:pt>
                <c:pt idx="54">
                  <c:v>57</c:v>
                </c:pt>
                <c:pt idx="55">
                  <c:v>57.5</c:v>
                </c:pt>
                <c:pt idx="56">
                  <c:v>58</c:v>
                </c:pt>
                <c:pt idx="57">
                  <c:v>58.5</c:v>
                </c:pt>
                <c:pt idx="58">
                  <c:v>59</c:v>
                </c:pt>
                <c:pt idx="59">
                  <c:v>59.5</c:v>
                </c:pt>
                <c:pt idx="60">
                  <c:v>60</c:v>
                </c:pt>
                <c:pt idx="61">
                  <c:v>60.5</c:v>
                </c:pt>
                <c:pt idx="62">
                  <c:v>61</c:v>
                </c:pt>
                <c:pt idx="63">
                  <c:v>61.5</c:v>
                </c:pt>
                <c:pt idx="64">
                  <c:v>62</c:v>
                </c:pt>
                <c:pt idx="65">
                  <c:v>62.5</c:v>
                </c:pt>
                <c:pt idx="66">
                  <c:v>63</c:v>
                </c:pt>
                <c:pt idx="67">
                  <c:v>63.5</c:v>
                </c:pt>
                <c:pt idx="68">
                  <c:v>64</c:v>
                </c:pt>
                <c:pt idx="69">
                  <c:v>64.5</c:v>
                </c:pt>
                <c:pt idx="70">
                  <c:v>65</c:v>
                </c:pt>
                <c:pt idx="71">
                  <c:v>65.5</c:v>
                </c:pt>
                <c:pt idx="72">
                  <c:v>66</c:v>
                </c:pt>
                <c:pt idx="73">
                  <c:v>66.5</c:v>
                </c:pt>
                <c:pt idx="74">
                  <c:v>67</c:v>
                </c:pt>
                <c:pt idx="75">
                  <c:v>67.5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'Example Curve 2'!$C$3:$C$126</c:f>
              <c:numCache>
                <c:formatCode>General</c:formatCode>
                <c:ptCount val="124"/>
                <c:pt idx="0">
                  <c:v>1.4657</c:v>
                </c:pt>
                <c:pt idx="1">
                  <c:v>1.47</c:v>
                </c:pt>
                <c:pt idx="2">
                  <c:v>1.4665999999999999</c:v>
                </c:pt>
                <c:pt idx="3">
                  <c:v>1.4661</c:v>
                </c:pt>
                <c:pt idx="4">
                  <c:v>1.4674</c:v>
                </c:pt>
                <c:pt idx="5">
                  <c:v>1.4721</c:v>
                </c:pt>
                <c:pt idx="6">
                  <c:v>1.4762999999999999</c:v>
                </c:pt>
                <c:pt idx="7">
                  <c:v>1.4722999999999999</c:v>
                </c:pt>
                <c:pt idx="8">
                  <c:v>1.4716</c:v>
                </c:pt>
                <c:pt idx="9">
                  <c:v>1.4742999999999999</c:v>
                </c:pt>
                <c:pt idx="10">
                  <c:v>1.4714</c:v>
                </c:pt>
                <c:pt idx="11">
                  <c:v>1.4690000000000001</c:v>
                </c:pt>
                <c:pt idx="12">
                  <c:v>1.4735</c:v>
                </c:pt>
                <c:pt idx="13">
                  <c:v>1.474</c:v>
                </c:pt>
                <c:pt idx="14">
                  <c:v>1.4749000000000001</c:v>
                </c:pt>
                <c:pt idx="15">
                  <c:v>1.474</c:v>
                </c:pt>
                <c:pt idx="16">
                  <c:v>1.4721</c:v>
                </c:pt>
                <c:pt idx="17">
                  <c:v>1.4749000000000001</c:v>
                </c:pt>
                <c:pt idx="18">
                  <c:v>1.4805999999999999</c:v>
                </c:pt>
                <c:pt idx="19">
                  <c:v>1.4778</c:v>
                </c:pt>
                <c:pt idx="20">
                  <c:v>1.4758</c:v>
                </c:pt>
                <c:pt idx="21">
                  <c:v>1.4762</c:v>
                </c:pt>
                <c:pt idx="22">
                  <c:v>1.4789000000000001</c:v>
                </c:pt>
                <c:pt idx="23">
                  <c:v>1.4802999999999999</c:v>
                </c:pt>
                <c:pt idx="24">
                  <c:v>1.4795</c:v>
                </c:pt>
                <c:pt idx="25">
                  <c:v>1.4807999999999999</c:v>
                </c:pt>
                <c:pt idx="26">
                  <c:v>1.4865999999999999</c:v>
                </c:pt>
                <c:pt idx="27">
                  <c:v>1.4861</c:v>
                </c:pt>
                <c:pt idx="28">
                  <c:v>1.4818</c:v>
                </c:pt>
                <c:pt idx="29">
                  <c:v>1.4829000000000001</c:v>
                </c:pt>
                <c:pt idx="30">
                  <c:v>1.4852000000000001</c:v>
                </c:pt>
                <c:pt idx="31">
                  <c:v>1.4823999999999999</c:v>
                </c:pt>
                <c:pt idx="32">
                  <c:v>1.4881</c:v>
                </c:pt>
                <c:pt idx="33">
                  <c:v>1.4877</c:v>
                </c:pt>
                <c:pt idx="34">
                  <c:v>1.4932000000000001</c:v>
                </c:pt>
                <c:pt idx="35">
                  <c:v>1.4947999999999999</c:v>
                </c:pt>
                <c:pt idx="36">
                  <c:v>1.4971000000000001</c:v>
                </c:pt>
                <c:pt idx="37">
                  <c:v>1.4990000000000001</c:v>
                </c:pt>
                <c:pt idx="38">
                  <c:v>1.5042</c:v>
                </c:pt>
                <c:pt idx="39">
                  <c:v>1.5053000000000001</c:v>
                </c:pt>
                <c:pt idx="40">
                  <c:v>1.5073000000000001</c:v>
                </c:pt>
                <c:pt idx="41">
                  <c:v>1.5128999999999999</c:v>
                </c:pt>
                <c:pt idx="42">
                  <c:v>1.5158</c:v>
                </c:pt>
                <c:pt idx="43">
                  <c:v>1.5264</c:v>
                </c:pt>
                <c:pt idx="44">
                  <c:v>1.5317000000000001</c:v>
                </c:pt>
                <c:pt idx="45">
                  <c:v>1.5411999999999999</c:v>
                </c:pt>
                <c:pt idx="46">
                  <c:v>1.5523</c:v>
                </c:pt>
                <c:pt idx="47">
                  <c:v>1.5645</c:v>
                </c:pt>
                <c:pt idx="48">
                  <c:v>1.5709</c:v>
                </c:pt>
                <c:pt idx="49">
                  <c:v>1.5803</c:v>
                </c:pt>
                <c:pt idx="50">
                  <c:v>1.59</c:v>
                </c:pt>
                <c:pt idx="51">
                  <c:v>1.599</c:v>
                </c:pt>
                <c:pt idx="52">
                  <c:v>1.6112</c:v>
                </c:pt>
                <c:pt idx="53">
                  <c:v>1.6205000000000001</c:v>
                </c:pt>
                <c:pt idx="54">
                  <c:v>1.6254999999999999</c:v>
                </c:pt>
                <c:pt idx="55">
                  <c:v>1.6315</c:v>
                </c:pt>
                <c:pt idx="56">
                  <c:v>1.6333</c:v>
                </c:pt>
                <c:pt idx="57">
                  <c:v>1.6349</c:v>
                </c:pt>
                <c:pt idx="58">
                  <c:v>1.6412</c:v>
                </c:pt>
                <c:pt idx="59">
                  <c:v>1.6429</c:v>
                </c:pt>
                <c:pt idx="60">
                  <c:v>1.6459999999999999</c:v>
                </c:pt>
                <c:pt idx="61">
                  <c:v>1.6467000000000001</c:v>
                </c:pt>
                <c:pt idx="62">
                  <c:v>1.6414</c:v>
                </c:pt>
                <c:pt idx="63">
                  <c:v>1.6456999999999999</c:v>
                </c:pt>
                <c:pt idx="64">
                  <c:v>1.6472</c:v>
                </c:pt>
                <c:pt idx="65">
                  <c:v>1.6521999999999999</c:v>
                </c:pt>
                <c:pt idx="66">
                  <c:v>1.6503000000000001</c:v>
                </c:pt>
                <c:pt idx="67">
                  <c:v>1.6567000000000001</c:v>
                </c:pt>
                <c:pt idx="68">
                  <c:v>1.6539999999999999</c:v>
                </c:pt>
                <c:pt idx="69">
                  <c:v>1.6497999999999999</c:v>
                </c:pt>
                <c:pt idx="70">
                  <c:v>1.6528</c:v>
                </c:pt>
                <c:pt idx="71">
                  <c:v>1.6576</c:v>
                </c:pt>
                <c:pt idx="72">
                  <c:v>1.6559999999999999</c:v>
                </c:pt>
                <c:pt idx="73">
                  <c:v>1.6552</c:v>
                </c:pt>
                <c:pt idx="74">
                  <c:v>1.6549</c:v>
                </c:pt>
                <c:pt idx="75">
                  <c:v>1.6556</c:v>
                </c:pt>
                <c:pt idx="76">
                  <c:v>1.6554</c:v>
                </c:pt>
                <c:pt idx="77">
                  <c:v>1.6576</c:v>
                </c:pt>
                <c:pt idx="78">
                  <c:v>1.6593</c:v>
                </c:pt>
                <c:pt idx="79">
                  <c:v>1.6614</c:v>
                </c:pt>
                <c:pt idx="80">
                  <c:v>1.6608000000000001</c:v>
                </c:pt>
                <c:pt idx="81">
                  <c:v>1.661</c:v>
                </c:pt>
                <c:pt idx="82">
                  <c:v>1.6646000000000001</c:v>
                </c:pt>
                <c:pt idx="83">
                  <c:v>1.6641999999999999</c:v>
                </c:pt>
                <c:pt idx="84">
                  <c:v>1.6626000000000001</c:v>
                </c:pt>
                <c:pt idx="85">
                  <c:v>1.6632</c:v>
                </c:pt>
                <c:pt idx="86">
                  <c:v>1.6672</c:v>
                </c:pt>
                <c:pt idx="87">
                  <c:v>1.6649</c:v>
                </c:pt>
                <c:pt idx="88">
                  <c:v>1.6637</c:v>
                </c:pt>
                <c:pt idx="89">
                  <c:v>1.6654</c:v>
                </c:pt>
                <c:pt idx="90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C-490A-A098-4BDAFCC3C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'Example Curve 2'!$D$2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'Example Curve 2'!$B$3:$B$93</c:f>
              <c:numCache>
                <c:formatCode>General</c:formatCode>
                <c:ptCount val="91"/>
                <c:pt idx="0">
                  <c:v>30</c:v>
                </c:pt>
                <c:pt idx="1">
                  <c:v>30.5</c:v>
                </c:pt>
                <c:pt idx="2">
                  <c:v>31</c:v>
                </c:pt>
                <c:pt idx="3">
                  <c:v>31.5</c:v>
                </c:pt>
                <c:pt idx="4">
                  <c:v>32</c:v>
                </c:pt>
                <c:pt idx="5">
                  <c:v>32.5</c:v>
                </c:pt>
                <c:pt idx="6">
                  <c:v>33</c:v>
                </c:pt>
                <c:pt idx="7">
                  <c:v>33.5</c:v>
                </c:pt>
                <c:pt idx="8">
                  <c:v>34</c:v>
                </c:pt>
                <c:pt idx="9">
                  <c:v>34.5</c:v>
                </c:pt>
                <c:pt idx="10">
                  <c:v>35</c:v>
                </c:pt>
                <c:pt idx="11">
                  <c:v>35.5</c:v>
                </c:pt>
                <c:pt idx="12">
                  <c:v>36</c:v>
                </c:pt>
                <c:pt idx="13">
                  <c:v>36.5</c:v>
                </c:pt>
                <c:pt idx="14">
                  <c:v>37</c:v>
                </c:pt>
                <c:pt idx="15">
                  <c:v>37.5</c:v>
                </c:pt>
                <c:pt idx="16">
                  <c:v>38</c:v>
                </c:pt>
                <c:pt idx="17">
                  <c:v>38.5</c:v>
                </c:pt>
                <c:pt idx="18">
                  <c:v>39</c:v>
                </c:pt>
                <c:pt idx="19">
                  <c:v>39.5</c:v>
                </c:pt>
                <c:pt idx="20">
                  <c:v>40</c:v>
                </c:pt>
                <c:pt idx="21">
                  <c:v>40.5</c:v>
                </c:pt>
                <c:pt idx="22">
                  <c:v>41</c:v>
                </c:pt>
                <c:pt idx="23">
                  <c:v>41.5</c:v>
                </c:pt>
                <c:pt idx="24">
                  <c:v>42</c:v>
                </c:pt>
                <c:pt idx="25">
                  <c:v>42.5</c:v>
                </c:pt>
                <c:pt idx="26">
                  <c:v>43</c:v>
                </c:pt>
                <c:pt idx="27">
                  <c:v>43.5</c:v>
                </c:pt>
                <c:pt idx="28">
                  <c:v>44</c:v>
                </c:pt>
                <c:pt idx="29">
                  <c:v>44.5</c:v>
                </c:pt>
                <c:pt idx="30">
                  <c:v>45</c:v>
                </c:pt>
                <c:pt idx="31">
                  <c:v>45.5</c:v>
                </c:pt>
                <c:pt idx="32">
                  <c:v>46</c:v>
                </c:pt>
                <c:pt idx="33">
                  <c:v>46.5</c:v>
                </c:pt>
                <c:pt idx="34">
                  <c:v>47</c:v>
                </c:pt>
                <c:pt idx="35">
                  <c:v>47.5</c:v>
                </c:pt>
                <c:pt idx="36">
                  <c:v>48</c:v>
                </c:pt>
                <c:pt idx="37">
                  <c:v>48.5</c:v>
                </c:pt>
                <c:pt idx="38">
                  <c:v>49</c:v>
                </c:pt>
                <c:pt idx="39">
                  <c:v>49.5</c:v>
                </c:pt>
                <c:pt idx="40">
                  <c:v>50</c:v>
                </c:pt>
                <c:pt idx="41">
                  <c:v>50.5</c:v>
                </c:pt>
                <c:pt idx="42">
                  <c:v>51</c:v>
                </c:pt>
                <c:pt idx="43">
                  <c:v>51.5</c:v>
                </c:pt>
                <c:pt idx="44">
                  <c:v>52</c:v>
                </c:pt>
                <c:pt idx="45">
                  <c:v>52.5</c:v>
                </c:pt>
                <c:pt idx="46">
                  <c:v>53</c:v>
                </c:pt>
                <c:pt idx="47">
                  <c:v>53.5</c:v>
                </c:pt>
                <c:pt idx="48">
                  <c:v>54</c:v>
                </c:pt>
                <c:pt idx="49">
                  <c:v>54.5</c:v>
                </c:pt>
                <c:pt idx="50">
                  <c:v>55</c:v>
                </c:pt>
                <c:pt idx="51">
                  <c:v>55.5</c:v>
                </c:pt>
                <c:pt idx="52">
                  <c:v>56</c:v>
                </c:pt>
                <c:pt idx="53">
                  <c:v>56.5</c:v>
                </c:pt>
                <c:pt idx="54">
                  <c:v>57</c:v>
                </c:pt>
                <c:pt idx="55">
                  <c:v>57.5</c:v>
                </c:pt>
                <c:pt idx="56">
                  <c:v>58</c:v>
                </c:pt>
                <c:pt idx="57">
                  <c:v>58.5</c:v>
                </c:pt>
                <c:pt idx="58">
                  <c:v>59</c:v>
                </c:pt>
                <c:pt idx="59">
                  <c:v>59.5</c:v>
                </c:pt>
                <c:pt idx="60">
                  <c:v>60</c:v>
                </c:pt>
                <c:pt idx="61">
                  <c:v>60.5</c:v>
                </c:pt>
                <c:pt idx="62">
                  <c:v>61</c:v>
                </c:pt>
                <c:pt idx="63">
                  <c:v>61.5</c:v>
                </c:pt>
                <c:pt idx="64">
                  <c:v>62</c:v>
                </c:pt>
                <c:pt idx="65">
                  <c:v>62.5</c:v>
                </c:pt>
                <c:pt idx="66">
                  <c:v>63</c:v>
                </c:pt>
                <c:pt idx="67">
                  <c:v>63.5</c:v>
                </c:pt>
                <c:pt idx="68">
                  <c:v>64</c:v>
                </c:pt>
                <c:pt idx="69">
                  <c:v>64.5</c:v>
                </c:pt>
                <c:pt idx="70">
                  <c:v>65</c:v>
                </c:pt>
                <c:pt idx="71">
                  <c:v>65.5</c:v>
                </c:pt>
                <c:pt idx="72">
                  <c:v>66</c:v>
                </c:pt>
                <c:pt idx="73">
                  <c:v>66.5</c:v>
                </c:pt>
                <c:pt idx="74">
                  <c:v>67</c:v>
                </c:pt>
                <c:pt idx="75">
                  <c:v>67.5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'Example Curve 2'!$D$3:$D$93</c:f>
              <c:numCache>
                <c:formatCode>General</c:formatCode>
                <c:ptCount val="91"/>
                <c:pt idx="0">
                  <c:v>1.0072714018113338</c:v>
                </c:pt>
                <c:pt idx="1">
                  <c:v>0.98082436919853622</c:v>
                </c:pt>
                <c:pt idx="2">
                  <c:v>1.0091293364184901</c:v>
                </c:pt>
                <c:pt idx="3">
                  <c:v>1.016803835247152</c:v>
                </c:pt>
                <c:pt idx="4">
                  <c:v>1.0116926477698123</c:v>
                </c:pt>
                <c:pt idx="5">
                  <c:v>0.9824684753356715</c:v>
                </c:pt>
                <c:pt idx="6">
                  <c:v>0.95682391884462759</c:v>
                </c:pt>
                <c:pt idx="7">
                  <c:v>0.98931018498134637</c:v>
                </c:pt>
                <c:pt idx="8">
                  <c:v>0.9983898863112004</c:v>
                </c:pt>
                <c:pt idx="9">
                  <c:v>0.9833970652205638</c:v>
                </c:pt>
                <c:pt idx="10">
                  <c:v>1.0080295955270639</c:v>
                </c:pt>
                <c:pt idx="11">
                  <c:v>1.0290985885873234</c:v>
                </c:pt>
                <c:pt idx="12">
                  <c:v>1.0013983486663889</c:v>
                </c:pt>
                <c:pt idx="13">
                  <c:v>1.0019717293838164</c:v>
                </c:pt>
                <c:pt idx="14">
                  <c:v>0.99972202744513616</c:v>
                </c:pt>
                <c:pt idx="15">
                  <c:v>1.010168281278631</c:v>
                </c:pt>
                <c:pt idx="16">
                  <c:v>1.0276498213393122</c:v>
                </c:pt>
                <c:pt idx="17">
                  <c:v>1.0120063006283508</c:v>
                </c:pt>
                <c:pt idx="18">
                  <c:v>0.97596725138579599</c:v>
                </c:pt>
                <c:pt idx="19">
                  <c:v>0.99976965524006978</c:v>
                </c:pt>
                <c:pt idx="20">
                  <c:v>1.0179191411176696</c:v>
                </c:pt>
                <c:pt idx="21">
                  <c:v>1.0191827492607146</c:v>
                </c:pt>
                <c:pt idx="22">
                  <c:v>1.0042926319489665</c:v>
                </c:pt>
                <c:pt idx="23">
                  <c:v>0.99854421258517145</c:v>
                </c:pt>
                <c:pt idx="24">
                  <c:v>1.0082343251506714</c:v>
                </c:pt>
                <c:pt idx="25">
                  <c:v>1.0031913849700884</c:v>
                </c:pt>
                <c:pt idx="26">
                  <c:v>0.9666265704078475</c:v>
                </c:pt>
                <c:pt idx="27">
                  <c:v>0.97421773974824211</c:v>
                </c:pt>
                <c:pt idx="28">
                  <c:v>1.0083921710761756</c:v>
                </c:pt>
                <c:pt idx="29">
                  <c:v>1.0047597544330651</c:v>
                </c:pt>
                <c:pt idx="30">
                  <c:v>0.99274393083953205</c:v>
                </c:pt>
                <c:pt idx="31">
                  <c:v>1.0163688979973362</c:v>
                </c:pt>
                <c:pt idx="32">
                  <c:v>0.98062316009066031</c:v>
                </c:pt>
                <c:pt idx="33">
                  <c:v>0.9874816893724716</c:v>
                </c:pt>
                <c:pt idx="34">
                  <c:v>0.9531894153841578</c:v>
                </c:pt>
                <c:pt idx="35">
                  <c:v>0.94611743684782001</c:v>
                </c:pt>
                <c:pt idx="36">
                  <c:v>0.93417809906045868</c:v>
                </c:pt>
                <c:pt idx="37">
                  <c:v>0.92503717050105894</c:v>
                </c:pt>
                <c:pt idx="38">
                  <c:v>0.89294865622064534</c:v>
                </c:pt>
                <c:pt idx="39">
                  <c:v>0.88940487334463925</c:v>
                </c:pt>
                <c:pt idx="40">
                  <c:v>0.87961119034139756</c:v>
                </c:pt>
                <c:pt idx="41">
                  <c:v>0.84482737815556785</c:v>
                </c:pt>
                <c:pt idx="42">
                  <c:v>0.82882435764284146</c:v>
                </c:pt>
                <c:pt idx="43">
                  <c:v>0.75942675199495258</c:v>
                </c:pt>
                <c:pt idx="44">
                  <c:v>0.72685351236016849</c:v>
                </c:pt>
                <c:pt idx="45">
                  <c:v>0.66521760590323342</c:v>
                </c:pt>
                <c:pt idx="46">
                  <c:v>0.59257391088886002</c:v>
                </c:pt>
                <c:pt idx="47">
                  <c:v>0.51240195075279549</c:v>
                </c:pt>
                <c:pt idx="48">
                  <c:v>0.47243961900876102</c:v>
                </c:pt>
                <c:pt idx="49">
                  <c:v>0.41178583959992604</c:v>
                </c:pt>
                <c:pt idx="50">
                  <c:v>0.3491298707866401</c:v>
                </c:pt>
                <c:pt idx="51">
                  <c:v>0.2913797959749071</c:v>
                </c:pt>
                <c:pt idx="52">
                  <c:v>0.21161475262995183</c:v>
                </c:pt>
                <c:pt idx="53">
                  <c:v>0.15194226261493893</c:v>
                </c:pt>
                <c:pt idx="54">
                  <c:v>0.12197707999721188</c:v>
                </c:pt>
                <c:pt idx="55">
                  <c:v>8.5157953426735253E-2</c:v>
                </c:pt>
                <c:pt idx="56">
                  <c:v>7.7296882271487025E-2</c:v>
                </c:pt>
                <c:pt idx="57">
                  <c:v>7.082102897946202E-2</c:v>
                </c:pt>
                <c:pt idx="58">
                  <c:v>3.2032245412029058E-2</c:v>
                </c:pt>
                <c:pt idx="59">
                  <c:v>2.4902727133717821E-2</c:v>
                </c:pt>
                <c:pt idx="60">
                  <c:v>8.165187549127614E-3</c:v>
                </c:pt>
                <c:pt idx="61">
                  <c:v>7.9224407422238321E-3</c:v>
                </c:pt>
                <c:pt idx="62">
                  <c:v>4.8844965443296758E-2</c:v>
                </c:pt>
                <c:pt idx="63">
                  <c:v>2.38942992856487E-2</c:v>
                </c:pt>
                <c:pt idx="64">
                  <c:v>1.8160570942395447E-2</c:v>
                </c:pt>
                <c:pt idx="65">
                  <c:v>-1.1538030271542094E-2</c:v>
                </c:pt>
                <c:pt idx="66">
                  <c:v>6.028388320792946E-3</c:v>
                </c:pt>
                <c:pt idx="67">
                  <c:v>-3.320667962174146E-2</c:v>
                </c:pt>
                <c:pt idx="68">
                  <c:v>-1.0178240015965435E-2</c:v>
                </c:pt>
                <c:pt idx="69">
                  <c:v>2.30736661122301E-2</c:v>
                </c:pt>
                <c:pt idx="70">
                  <c:v>7.1161211007805805E-3</c:v>
                </c:pt>
                <c:pt idx="71">
                  <c:v>-2.1108905440262917E-2</c:v>
                </c:pt>
                <c:pt idx="72">
                  <c:v>-5.6438494241485004E-3</c:v>
                </c:pt>
                <c:pt idx="73">
                  <c:v>4.349402502441228E-3</c:v>
                </c:pt>
                <c:pt idx="74">
                  <c:v>1.0924359138440127E-2</c:v>
                </c:pt>
                <c:pt idx="75">
                  <c:v>1.068197799153303E-2</c:v>
                </c:pt>
                <c:pt idx="76">
                  <c:v>1.6565204991227014E-2</c:v>
                </c:pt>
                <c:pt idx="77">
                  <c:v>6.1168256149200977E-3</c:v>
                </c:pt>
                <c:pt idx="78">
                  <c:v>-9.2054615396328489E-4</c:v>
                </c:pt>
                <c:pt idx="79">
                  <c:v>-1.0667594328391124E-2</c:v>
                </c:pt>
                <c:pt idx="80">
                  <c:v>-2.0694540973835137E-3</c:v>
                </c:pt>
                <c:pt idx="81">
                  <c:v>1.0896633437670481E-3</c:v>
                </c:pt>
                <c:pt idx="82">
                  <c:v>-1.8815860148973206E-2</c:v>
                </c:pt>
                <c:pt idx="83">
                  <c:v>-1.1583526727295091E-2</c:v>
                </c:pt>
                <c:pt idx="84">
                  <c:v>3.77050331240655E-3</c:v>
                </c:pt>
                <c:pt idx="85">
                  <c:v>4.2106779522218599E-3</c:v>
                </c:pt>
                <c:pt idx="86">
                  <c:v>-1.8358256938434573E-2</c:v>
                </c:pt>
                <c:pt idx="87">
                  <c:v>1.7078300849654433E-3</c:v>
                </c:pt>
                <c:pt idx="88">
                  <c:v>1.431562260001599E-2</c:v>
                </c:pt>
                <c:pt idx="89">
                  <c:v>7.3175246529523881E-3</c:v>
                </c:pt>
                <c:pt idx="90">
                  <c:v>1.0025528715263911E-3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1-470E-AE8C-C12E971A7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358063"/>
        <c:axId val="604372463"/>
      </c:scatterChart>
      <c:valAx>
        <c:axId val="60435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2463"/>
        <c:crosses val="autoZero"/>
        <c:crossBetween val="midCat"/>
      </c:valAx>
      <c:valAx>
        <c:axId val="6043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5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Curve 2'!$I$47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Curve 2'!$H$48:$H$52</c:f>
              <c:numCache>
                <c:formatCode>General</c:formatCode>
                <c:ptCount val="5"/>
                <c:pt idx="0">
                  <c:v>3.0707815138952864E-3</c:v>
                </c:pt>
                <c:pt idx="1">
                  <c:v>3.0660738923808067E-3</c:v>
                </c:pt>
                <c:pt idx="2">
                  <c:v>3.0613806826878926E-3</c:v>
                </c:pt>
                <c:pt idx="3">
                  <c:v>3.0567018187375823E-3</c:v>
                </c:pt>
                <c:pt idx="4">
                  <c:v>3.0520372348542654E-3</c:v>
                </c:pt>
              </c:numCache>
            </c:numRef>
          </c:xVal>
          <c:yVal>
            <c:numRef>
              <c:f>'Example Curve 2'!$I$48:$I$52</c:f>
              <c:numCache>
                <c:formatCode>General</c:formatCode>
                <c:ptCount val="5"/>
                <c:pt idx="0">
                  <c:v>0.66521760590323342</c:v>
                </c:pt>
                <c:pt idx="1">
                  <c:v>0.59257391088886002</c:v>
                </c:pt>
                <c:pt idx="2">
                  <c:v>0.51240195075279549</c:v>
                </c:pt>
                <c:pt idx="3">
                  <c:v>0.47243961900876102</c:v>
                </c:pt>
                <c:pt idx="4">
                  <c:v>0.41178583959992604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C0-4D32-B17B-2E6D1BBEF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0831"/>
        <c:axId val="588638271"/>
      </c:scatterChart>
      <c:valAx>
        <c:axId val="5886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38271"/>
        <c:crosses val="autoZero"/>
        <c:crossBetween val="midCat"/>
      </c:valAx>
      <c:valAx>
        <c:axId val="5886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36805-3802-4130-87BE-909456AFB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549275</xdr:colOff>
      <xdr:row>36</xdr:row>
      <xdr:rowOff>95250</xdr:rowOff>
    </xdr:from>
    <xdr:to>
      <xdr:col>19</xdr:col>
      <xdr:colOff>244475</xdr:colOff>
      <xdr:row>53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2BBCBF-D456-4A94-8C2F-533E8B8CB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568325</xdr:colOff>
      <xdr:row>56</xdr:row>
      <xdr:rowOff>152400</xdr:rowOff>
    </xdr:from>
    <xdr:to>
      <xdr:col>19</xdr:col>
      <xdr:colOff>292100</xdr:colOff>
      <xdr:row>74</xdr:row>
      <xdr:rowOff>34925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C16CF6-9FBC-BB93-D19D-03683AB98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57</xdr:row>
      <xdr:rowOff>0</xdr:rowOff>
    </xdr:from>
    <xdr:to>
      <xdr:col>11</xdr:col>
      <xdr:colOff>389916</xdr:colOff>
      <xdr:row>59</xdr:row>
      <xdr:rowOff>140382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383D1E08-A919-4680-8800-4468A01099DB}"/>
                </a:ext>
              </a:extLst>
            </xdr:cNvPr>
            <xdr:cNvSpPr txBox="1"/>
          </xdr:nvSpPr>
          <xdr:spPr>
            <a:xfrm>
              <a:off x="4514850" y="9074150"/>
              <a:ext cx="2828316" cy="45788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/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383D1E08-A919-4680-8800-4468A01099DB}"/>
                </a:ext>
              </a:extLst>
            </xdr:cNvPr>
            <xdr:cNvSpPr txBox="1"/>
          </xdr:nvSpPr>
          <xdr:spPr>
            <a:xfrm>
              <a:off x="4514850" y="9074150"/>
              <a:ext cx="2828316" cy="45788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〗_𝑉𝐻=−(2+2𝑛)𝑅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[𝜕𝛼/𝜕(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1/𝑇) ]_(𝑇=𝑇_𝑀 )</a:t>
              </a:r>
              <a:endParaRPr lang="en-CA" sz="1200"/>
            </a:p>
          </xdr:txBody>
        </xdr:sp>
      </mc:Fallback>
    </mc:AlternateContent>
    <xdr:clientData/>
  </xdr:twoCellAnchor>
  <xdr:twoCellAnchor>
    <xdr:from>
      <xdr:col>12</xdr:col>
      <xdr:colOff>66675</xdr:colOff>
      <xdr:row>32</xdr:row>
      <xdr:rowOff>50951</xdr:rowOff>
    </xdr:from>
    <xdr:to>
      <xdr:col>16</xdr:col>
      <xdr:colOff>428016</xdr:colOff>
      <xdr:row>35</xdr:row>
      <xdr:rowOff>32583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5">
              <a:extLst>
                <a:ext uri="{FF2B5EF4-FFF2-40B4-BE49-F238E27FC236}">
                  <a16:creationId xmlns:a16="http://schemas.microsoft.com/office/drawing/2014/main" id="{0A18AD06-6E3C-413B-BC4F-EBCB76BF1098}"/>
                </a:ext>
              </a:extLst>
            </xdr:cNvPr>
            <xdr:cNvSpPr txBox="1"/>
          </xdr:nvSpPr>
          <xdr:spPr>
            <a:xfrm>
              <a:off x="7277100" y="5232551"/>
              <a:ext cx="2685441" cy="46740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/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4" name="TextBox 5">
              <a:extLst>
                <a:ext uri="{FF2B5EF4-FFF2-40B4-BE49-F238E27FC236}">
                  <a16:creationId xmlns:a16="http://schemas.microsoft.com/office/drawing/2014/main" id="{0A18AD06-6E3C-413B-BC4F-EBCB76BF1098}"/>
                </a:ext>
              </a:extLst>
            </xdr:cNvPr>
            <xdr:cNvSpPr txBox="1"/>
          </xdr:nvSpPr>
          <xdr:spPr>
            <a:xfrm>
              <a:off x="7277100" y="5232551"/>
              <a:ext cx="2685441" cy="46740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〗_𝑉𝐻=−(2+2𝑛)𝑅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[𝜕𝛼/𝜕(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1/𝑇) ]_(𝑇=𝑇_𝑀 )</a:t>
              </a:r>
              <a:endParaRPr lang="en-CA" sz="1200"/>
            </a:p>
          </xdr:txBody>
        </xdr:sp>
      </mc:Fallback>
    </mc:AlternateContent>
    <xdr:clientData/>
  </xdr:twoCellAnchor>
  <xdr:twoCellAnchor>
    <xdr:from>
      <xdr:col>12</xdr:col>
      <xdr:colOff>167666</xdr:colOff>
      <xdr:row>21</xdr:row>
      <xdr:rowOff>38100</xdr:rowOff>
    </xdr:from>
    <xdr:to>
      <xdr:col>18</xdr:col>
      <xdr:colOff>33664</xdr:colOff>
      <xdr:row>31</xdr:row>
      <xdr:rowOff>148939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7BBE461-9E37-498B-B2F6-04FC6EC72E2B}"/>
                </a:ext>
              </a:extLst>
            </xdr:cNvPr>
            <xdr:cNvSpPr txBox="1"/>
          </xdr:nvSpPr>
          <xdr:spPr>
            <a:xfrm>
              <a:off x="7378091" y="3438525"/>
              <a:ext cx="3352148" cy="17300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2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2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2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2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200"/>
            </a:p>
            <a:p>
              <a:endParaRPr lang="en-CA" sz="12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</m:t>
                        </m:r>
                      </m:sub>
                    </m:sSub>
                    <m:r>
                      <a:rPr lang="en-CA" sz="12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  <m: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CA" sz="12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𝑖𝑛𝑡𝑒𝑟𝑐𝑒𝑝𝑡</m:t>
                        </m:r>
                      </m:num>
                      <m:den>
                        <m:r>
                          <a:rPr lang="en-US" sz="12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𝑠𝑙𝑜𝑝𝑒</m:t>
                        </m:r>
                      </m:den>
                    </m:f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7BBE461-9E37-498B-B2F6-04FC6EC72E2B}"/>
                </a:ext>
              </a:extLst>
            </xdr:cNvPr>
            <xdr:cNvSpPr txBox="1"/>
          </xdr:nvSpPr>
          <xdr:spPr>
            <a:xfrm>
              <a:off x="7378091" y="3438525"/>
              <a:ext cx="3352148" cy="17300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𝛼(𝑇)=(𝑌_𝑜𝑏𝑠</a:t>
              </a:r>
              <a:r>
                <a:rPr lang="en-CA" sz="1400" b="0" i="0">
                  <a:latin typeface="Cambria Math" panose="02040503050406030204" pitchFamily="18" charset="0"/>
                </a:rPr>
                <a:t>−</a:t>
              </a:r>
              <a:r>
                <a:rPr lang="en-CA" sz="1400" i="0">
                  <a:latin typeface="Cambria Math" panose="02040503050406030204" pitchFamily="18" charset="0"/>
                </a:rPr>
                <a:t>𝑌_𝑙𝑜𝑤𝑒𝑟)/(𝑌_𝑢𝑝𝑝𝑒𝑟−𝑌_𝑙𝑜𝑤𝑒𝑟 )</a:t>
              </a:r>
              <a:endParaRPr lang="en-CA" sz="1200" i="1">
                <a:latin typeface="Cambria Math" panose="02040503050406030204" pitchFamily="18" charset="0"/>
              </a:endParaRPr>
            </a:p>
            <a:p>
              <a:pPr/>
              <a:r>
                <a:rPr lang="en-CA" sz="12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200"/>
            </a:p>
            <a:p>
              <a:endParaRPr lang="en-CA" sz="1200"/>
            </a:p>
            <a:p>
              <a:pPr/>
              <a:r>
                <a:rPr lang="en-CA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𝑇_𝑀</a:t>
              </a:r>
              <a:r>
                <a:rPr lang="en-CA" sz="12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=(0.5</a:t>
              </a:r>
              <a:r>
                <a:rPr lang="en-US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−𝑖𝑛𝑡𝑒𝑟𝑐𝑒𝑝𝑡</a:t>
              </a:r>
              <a:r>
                <a:rPr lang="en-CA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𝑠𝑙𝑜𝑝𝑒</a:t>
              </a:r>
              <a:endParaRPr lang="en-CA" sz="12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617B6-9237-40EF-928B-487F42651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425450</xdr:colOff>
      <xdr:row>44</xdr:row>
      <xdr:rowOff>38100</xdr:rowOff>
    </xdr:from>
    <xdr:to>
      <xdr:col>19</xdr:col>
      <xdr:colOff>120650</xdr:colOff>
      <xdr:row>61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295D46-BD2B-4EB6-ACD8-F7C7DDEE1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434975</xdr:colOff>
      <xdr:row>63</xdr:row>
      <xdr:rowOff>85725</xdr:rowOff>
    </xdr:from>
    <xdr:to>
      <xdr:col>19</xdr:col>
      <xdr:colOff>158750</xdr:colOff>
      <xdr:row>80</xdr:row>
      <xdr:rowOff>130175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338832-2F84-4455-9C51-382B5EDB6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59</xdr:row>
      <xdr:rowOff>0</xdr:rowOff>
    </xdr:from>
    <xdr:to>
      <xdr:col>11</xdr:col>
      <xdr:colOff>389916</xdr:colOff>
      <xdr:row>61</xdr:row>
      <xdr:rowOff>140382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5">
              <a:extLst>
                <a:ext uri="{FF2B5EF4-FFF2-40B4-BE49-F238E27FC236}">
                  <a16:creationId xmlns:a16="http://schemas.microsoft.com/office/drawing/2014/main" id="{D9A472EA-E238-4A4D-AD20-D8C30AC9A9CB}"/>
                </a:ext>
              </a:extLst>
            </xdr:cNvPr>
            <xdr:cNvSpPr txBox="1"/>
          </xdr:nvSpPr>
          <xdr:spPr>
            <a:xfrm>
              <a:off x="4305300" y="9229725"/>
              <a:ext cx="2714016" cy="46423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/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7" name="TextBox 5">
              <a:extLst>
                <a:ext uri="{FF2B5EF4-FFF2-40B4-BE49-F238E27FC236}">
                  <a16:creationId xmlns:a16="http://schemas.microsoft.com/office/drawing/2014/main" id="{D9A472EA-E238-4A4D-AD20-D8C30AC9A9CB}"/>
                </a:ext>
              </a:extLst>
            </xdr:cNvPr>
            <xdr:cNvSpPr txBox="1"/>
          </xdr:nvSpPr>
          <xdr:spPr>
            <a:xfrm>
              <a:off x="4305300" y="9229725"/>
              <a:ext cx="2714016" cy="46423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〗_𝑉𝐻=−(2+2𝑛)𝑅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[𝜕𝛼/𝜕(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1/𝑇) ]_(𝑇=𝑇_𝑀 )</a:t>
              </a:r>
              <a:endParaRPr lang="en-CA" sz="1200"/>
            </a:p>
          </xdr:txBody>
        </xdr:sp>
      </mc:Fallback>
    </mc:AlternateContent>
    <xdr:clientData/>
  </xdr:twoCellAnchor>
  <xdr:twoCellAnchor>
    <xdr:from>
      <xdr:col>12</xdr:col>
      <xdr:colOff>266700</xdr:colOff>
      <xdr:row>21</xdr:row>
      <xdr:rowOff>142875</xdr:rowOff>
    </xdr:from>
    <xdr:to>
      <xdr:col>18</xdr:col>
      <xdr:colOff>361950</xdr:colOff>
      <xdr:row>40</xdr:row>
      <xdr:rowOff>93860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11">
              <a:extLst>
                <a:ext uri="{FF2B5EF4-FFF2-40B4-BE49-F238E27FC236}">
                  <a16:creationId xmlns:a16="http://schemas.microsoft.com/office/drawing/2014/main" id="{1598A555-13FC-4396-9A2A-FCAFF592C34A}"/>
                </a:ext>
              </a:extLst>
            </xdr:cNvPr>
            <xdr:cNvSpPr txBox="1"/>
          </xdr:nvSpPr>
          <xdr:spPr>
            <a:xfrm>
              <a:off x="7477125" y="3543300"/>
              <a:ext cx="3581400" cy="302756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𝐾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−∆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𝑇𝑚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𝑅𝑇</m:t>
                            </m:r>
                          </m:den>
                        </m:f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4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en-CA" sz="1400"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𝑎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𝑏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=−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2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2</m:t>
                        </m:r>
                      </m:num>
                      <m:den>
                        <m: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𝐾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𝑇</m:t>
                            </m:r>
                          </m:sub>
                        </m:sSub>
                      </m:den>
                    </m:f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2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−∆</m:t>
                                </m:r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𝐻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𝑇𝑚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𝑅𝑇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CA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CA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e>
                                      <m:sub>
                                        <m:r>
                                          <a:rPr lang="en-CA" sz="14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sup>
                        </m:sSup>
                      </m:den>
                    </m:f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1</m:t>
                    </m:r>
                  </m:oMath>
                </m:oMathPara>
              </a14:m>
              <a:endParaRPr lang="en-CA" sz="1400"/>
            </a:p>
            <a:p>
              <a:pPr>
                <a:spcBef>
                  <a:spcPts val="600"/>
                </a:spcBef>
              </a:pPr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14:m>
                <m:oMath xmlns:m="http://schemas.openxmlformats.org/officeDocument/2006/math">
                  <m:r>
                    <a:rPr lang="en-CA" sz="140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𝛼</m:t>
                  </m:r>
                  <m:r>
                    <a:rPr lang="en-CA" sz="1400" b="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=</m:t>
                  </m:r>
                  <m:f>
                    <m:fPr>
                      <m:ctrlP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fPr>
                    <m:num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−</m:t>
                      </m:r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𝑏</m:t>
                      </m:r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±</m:t>
                      </m:r>
                      <m:rad>
                        <m:radPr>
                          <m:degHide m:val="on"/>
                          <m:ctrlP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</m:ctrlPr>
                        </m:radPr>
                        <m:deg/>
                        <m:e>
                          <m:sSup>
                            <m:sSupPr>
                              <m:ctrlPr>
                                <a:rPr lang="en-CA" sz="14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</m:ctrlPr>
                            </m:sSupPr>
                            <m:e>
                              <m:r>
                                <a:rPr lang="en-CA" sz="14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𝑏</m:t>
                              </m:r>
                            </m:e>
                            <m:sup>
                              <m:r>
                                <a:rPr lang="en-CA" sz="14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2</m:t>
                              </m:r>
                            </m:sup>
                          </m:sSup>
                          <m: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−</m:t>
                          </m:r>
                          <m: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4</m:t>
                          </m:r>
                          <m:r>
                            <a:rPr lang="en-CA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𝑎𝑐</m:t>
                          </m:r>
                        </m:e>
                      </m:rad>
                    </m:num>
                    <m:den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2</m:t>
                      </m:r>
                      <m:r>
                        <a:rPr lang="en-CA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𝑎</m:t>
                      </m:r>
                    </m:den>
                  </m:f>
                </m:oMath>
              </a14:m>
              <a:endParaRPr lang="en-CA" sz="1400">
                <a:sym typeface="Symbol" panose="05050102010706020507" pitchFamily="18" charset="2"/>
              </a:endParaRPr>
            </a:p>
            <a:p>
              <a:pPr>
                <a:spcAft>
                  <a:spcPts val="600"/>
                </a:spcAft>
              </a:pPr>
              <a:endParaRPr lang="en-CA" sz="1400"/>
            </a:p>
          </xdr:txBody>
        </xdr:sp>
      </mc:Choice>
      <mc:Fallback xmlns="">
        <xdr:sp macro="" textlink="">
          <xdr:nvSpPr>
            <xdr:cNvPr id="10" name="TextBox 11">
              <a:extLst>
                <a:ext uri="{FF2B5EF4-FFF2-40B4-BE49-F238E27FC236}">
                  <a16:creationId xmlns:a16="http://schemas.microsoft.com/office/drawing/2014/main" id="{1598A555-13FC-4396-9A2A-FCAFF592C34A}"/>
                </a:ext>
              </a:extLst>
            </xdr:cNvPr>
            <xdr:cNvSpPr txBox="1"/>
          </xdr:nvSpPr>
          <xdr:spPr>
            <a:xfrm>
              <a:off x="7477125" y="3543300"/>
              <a:ext cx="3581400" cy="302756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𝐾(𝑇)=〖4/𝐶_𝑇  𝑒〗^(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(−∆𝐻_𝑇𝑚)/𝑅𝑇 (1−𝑇/𝑇_𝑀 ) )</a:t>
              </a:r>
              <a:endParaRPr lang="en-CA" sz="1400" i="1">
                <a:latin typeface="Cambria Math" panose="02040503050406030204" pitchFamily="18" charset="0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400" i="0">
                  <a:latin typeface="Cambria Math" panose="02040503050406030204" pitchFamily="18" charset="0"/>
                </a:rPr>
                <a:t>2+(−2−2/(𝐾𝐶_𝑇 ))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𝛼+1=0</a:t>
              </a:r>
              <a:endParaRPr lang="en-CA" sz="1400"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𝑎=1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𝑏=−2−2/(𝐾𝐶_𝑇 )</a:t>
              </a:r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=</a:t>
              </a:r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−2−</a:t>
              </a:r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1/〖</a:t>
              </a:r>
              <a:r>
                <a:rPr lang="en-CA" sz="1400" b="0" i="0">
                  <a:latin typeface="Cambria Math" panose="02040503050406030204" pitchFamily="18" charset="0"/>
                </a:rPr>
                <a:t>2</a:t>
              </a:r>
              <a:r>
                <a:rPr lang="en-CA" sz="1400" i="0">
                  <a:latin typeface="Cambria Math" panose="02040503050406030204" pitchFamily="18" charset="0"/>
                </a:rPr>
                <a:t>𝑒〗^(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(−∆𝐻_𝑇𝑚)/𝑅𝑇 (1−𝑇/𝑇_𝑀 ) ) 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𝑐=1</a:t>
              </a:r>
              <a:endParaRPr lang="en-CA" sz="1400"/>
            </a:p>
            <a:p>
              <a:pPr>
                <a:spcBef>
                  <a:spcPts val="600"/>
                </a:spcBef>
              </a:pPr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=(−𝑏±√(𝑏^2−4𝑎𝑐))/2𝑎</a:t>
              </a:r>
              <a:endParaRPr lang="en-CA" sz="1400">
                <a:sym typeface="Symbol" panose="05050102010706020507" pitchFamily="18" charset="2"/>
              </a:endParaRPr>
            </a:p>
            <a:p>
              <a:pPr>
                <a:spcAft>
                  <a:spcPts val="600"/>
                </a:spcAft>
              </a:pPr>
              <a:endParaRPr lang="en-CA" sz="1400"/>
            </a:p>
          </xdr:txBody>
        </xdr:sp>
      </mc:Fallback>
    </mc:AlternateContent>
    <xdr:clientData/>
  </xdr:twoCellAnchor>
  <xdr:twoCellAnchor>
    <xdr:from>
      <xdr:col>12</xdr:col>
      <xdr:colOff>57150</xdr:colOff>
      <xdr:row>39</xdr:row>
      <xdr:rowOff>152400</xdr:rowOff>
    </xdr:from>
    <xdr:to>
      <xdr:col>16</xdr:col>
      <xdr:colOff>447066</xdr:colOff>
      <xdr:row>42</xdr:row>
      <xdr:rowOff>130857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5">
              <a:extLst>
                <a:ext uri="{FF2B5EF4-FFF2-40B4-BE49-F238E27FC236}">
                  <a16:creationId xmlns:a16="http://schemas.microsoft.com/office/drawing/2014/main" id="{C8C3CFE7-3D32-482A-B167-E22FD29790AA}"/>
                </a:ext>
              </a:extLst>
            </xdr:cNvPr>
            <xdr:cNvSpPr txBox="1"/>
          </xdr:nvSpPr>
          <xdr:spPr>
            <a:xfrm>
              <a:off x="7267575" y="6467475"/>
              <a:ext cx="2714016" cy="46423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/</m:t>
                                    </m:r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11" name="TextBox 5">
              <a:extLst>
                <a:ext uri="{FF2B5EF4-FFF2-40B4-BE49-F238E27FC236}">
                  <a16:creationId xmlns:a16="http://schemas.microsoft.com/office/drawing/2014/main" id="{C8C3CFE7-3D32-482A-B167-E22FD29790AA}"/>
                </a:ext>
              </a:extLst>
            </xdr:cNvPr>
            <xdr:cNvSpPr txBox="1"/>
          </xdr:nvSpPr>
          <xdr:spPr>
            <a:xfrm>
              <a:off x="7267575" y="6467475"/>
              <a:ext cx="2714016" cy="46423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〗_𝑉𝐻=−(2+2𝑛)𝑅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[𝜕𝛼/𝜕(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1/𝑇) ]_(𝑇=𝑇_𝑀 )</a:t>
              </a:r>
              <a:endParaRPr lang="en-CA" sz="12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297B-E57E-4FF8-9C16-63ED22949202}">
  <sheetPr codeName="Sheet1"/>
  <dimension ref="B2:P93"/>
  <sheetViews>
    <sheetView tabSelected="1" workbookViewId="0">
      <selection activeCell="F8" sqref="F7:F8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6" x14ac:dyDescent="0.2">
      <c r="B2" s="2" t="s">
        <v>13</v>
      </c>
      <c r="C2" s="2" t="s">
        <v>12</v>
      </c>
      <c r="D2" s="2" t="s">
        <v>4</v>
      </c>
      <c r="E2" s="2" t="s">
        <v>0</v>
      </c>
    </row>
    <row r="3" spans="2:6" x14ac:dyDescent="0.2">
      <c r="B3" s="1">
        <v>25</v>
      </c>
      <c r="C3" s="1">
        <v>1.4634</v>
      </c>
      <c r="D3" s="1">
        <f>(($F$7+$F$8*B3)-C3)/(($F$7+$F$8*B3)-($F$3+$F$4*B3))</f>
        <v>0.99435562626757656</v>
      </c>
      <c r="E3" s="1" t="s">
        <v>1</v>
      </c>
      <c r="F3" s="1">
        <f>INTERCEPT($C$3:$C$33,$B$3:$B$33)</f>
        <v>1.4380554435483872</v>
      </c>
    </row>
    <row r="4" spans="2:6" x14ac:dyDescent="0.2">
      <c r="B4" s="1">
        <v>25.5</v>
      </c>
      <c r="C4" s="1">
        <v>1.4618</v>
      </c>
      <c r="D4" s="1">
        <f t="shared" ref="D4:D67" si="0">(($F$7+$F$8*B4)-C4)/(($F$7+$F$8*B4)-($F$3+$F$4*B4))</f>
        <v>1.0080916078645989</v>
      </c>
      <c r="E4" s="1" t="s">
        <v>2</v>
      </c>
      <c r="F4" s="1">
        <f>SLOPE($C$3:$C$33,$B$3:$B$33)</f>
        <v>9.7943548387096463E-4</v>
      </c>
    </row>
    <row r="5" spans="2:6" x14ac:dyDescent="0.2">
      <c r="B5" s="1">
        <v>26</v>
      </c>
      <c r="C5" s="1">
        <v>1.4612000000000001</v>
      </c>
      <c r="D5" s="1">
        <f t="shared" si="0"/>
        <v>1.015253200876725</v>
      </c>
    </row>
    <row r="6" spans="2:6" x14ac:dyDescent="0.2">
      <c r="B6" s="1">
        <v>26.5</v>
      </c>
      <c r="C6" s="1">
        <v>1.4639</v>
      </c>
      <c r="D6" s="1">
        <f t="shared" si="0"/>
        <v>1.000726103289594</v>
      </c>
      <c r="E6" s="2" t="s">
        <v>3</v>
      </c>
    </row>
    <row r="7" spans="2:6" x14ac:dyDescent="0.2">
      <c r="B7" s="1">
        <v>27</v>
      </c>
      <c r="C7" s="1">
        <v>1.4658</v>
      </c>
      <c r="D7" s="1">
        <f t="shared" si="0"/>
        <v>0.99145827808962028</v>
      </c>
      <c r="E7" s="1" t="s">
        <v>1</v>
      </c>
      <c r="F7" s="1">
        <f>INTERCEPT($C$73:$C$93,$B$73:$B$93)</f>
        <v>1.5896567099567094</v>
      </c>
    </row>
    <row r="8" spans="2:6" x14ac:dyDescent="0.2">
      <c r="B8" s="1">
        <v>27.5</v>
      </c>
      <c r="C8" s="1">
        <v>1.4656</v>
      </c>
      <c r="D8" s="1">
        <f t="shared" si="0"/>
        <v>0.9959910873287966</v>
      </c>
      <c r="E8" s="1" t="s">
        <v>2</v>
      </c>
      <c r="F8" s="1">
        <f>SLOPE($C$73:$C$93,$B$73:$B$93)</f>
        <v>1.0005194805194862E-3</v>
      </c>
    </row>
    <row r="9" spans="2:6" x14ac:dyDescent="0.2">
      <c r="B9" s="1">
        <v>28</v>
      </c>
      <c r="C9" s="1">
        <v>1.4655</v>
      </c>
      <c r="D9" s="1">
        <f t="shared" si="0"/>
        <v>0.99986620220317424</v>
      </c>
    </row>
    <row r="10" spans="2:6" x14ac:dyDescent="0.2">
      <c r="B10" s="1">
        <v>28.5</v>
      </c>
      <c r="C10" s="1">
        <v>1.4650000000000001</v>
      </c>
      <c r="D10" s="1">
        <f t="shared" si="0"/>
        <v>1.0063688638631496</v>
      </c>
    </row>
    <row r="11" spans="2:6" x14ac:dyDescent="0.2">
      <c r="B11" s="1">
        <v>29</v>
      </c>
      <c r="C11" s="1">
        <v>1.4659</v>
      </c>
      <c r="D11" s="1">
        <f t="shared" si="0"/>
        <v>1.0036729692867714</v>
      </c>
    </row>
    <row r="12" spans="2:6" x14ac:dyDescent="0.2">
      <c r="B12" s="1">
        <v>29.5</v>
      </c>
      <c r="C12" s="1">
        <v>1.4663999999999999</v>
      </c>
      <c r="D12" s="1">
        <f t="shared" si="0"/>
        <v>1.003605167693477</v>
      </c>
    </row>
    <row r="13" spans="2:6" x14ac:dyDescent="0.2">
      <c r="B13" s="1">
        <v>30</v>
      </c>
      <c r="C13" s="1">
        <v>1.4703999999999999</v>
      </c>
      <c r="D13" s="1">
        <f t="shared" si="0"/>
        <v>0.98054642134764813</v>
      </c>
    </row>
    <row r="14" spans="2:6" x14ac:dyDescent="0.2">
      <c r="B14" s="1">
        <v>30.5</v>
      </c>
      <c r="C14" s="1">
        <v>1.47</v>
      </c>
      <c r="D14" s="1">
        <f t="shared" si="0"/>
        <v>0.9863917807868493</v>
      </c>
    </row>
    <row r="15" spans="2:6" x14ac:dyDescent="0.2">
      <c r="B15" s="1">
        <v>31</v>
      </c>
      <c r="C15" s="1">
        <v>1.4704999999999999</v>
      </c>
      <c r="D15" s="1">
        <f t="shared" si="0"/>
        <v>0.98632518981199169</v>
      </c>
    </row>
    <row r="16" spans="2:6" x14ac:dyDescent="0.2">
      <c r="B16" s="1">
        <v>31.5</v>
      </c>
      <c r="C16" s="1">
        <v>1.4665999999999999</v>
      </c>
      <c r="D16" s="1">
        <f t="shared" si="0"/>
        <v>1.0151555186133436</v>
      </c>
    </row>
    <row r="17" spans="2:4" x14ac:dyDescent="0.2">
      <c r="B17" s="1">
        <v>32</v>
      </c>
      <c r="C17" s="1">
        <v>1.4679</v>
      </c>
      <c r="D17" s="1">
        <f t="shared" si="0"/>
        <v>1.0098333255511736</v>
      </c>
    </row>
    <row r="18" spans="2:4" x14ac:dyDescent="0.2">
      <c r="B18" s="1">
        <v>32.5</v>
      </c>
      <c r="C18" s="1">
        <v>1.4710000000000001</v>
      </c>
      <c r="D18" s="1">
        <f t="shared" si="0"/>
        <v>0.99269204261145649</v>
      </c>
    </row>
    <row r="19" spans="2:4" x14ac:dyDescent="0.2">
      <c r="B19" s="1">
        <v>33</v>
      </c>
      <c r="C19" s="1">
        <v>1.4710000000000001</v>
      </c>
      <c r="D19" s="1">
        <f t="shared" si="0"/>
        <v>0.99590809190489504</v>
      </c>
    </row>
    <row r="20" spans="2:4" x14ac:dyDescent="0.2">
      <c r="B20" s="1">
        <v>33.5</v>
      </c>
      <c r="C20" s="1">
        <v>1.4681</v>
      </c>
      <c r="D20" s="1">
        <f t="shared" si="0"/>
        <v>1.0181641140426965</v>
      </c>
    </row>
    <row r="21" spans="2:4" x14ac:dyDescent="0.2">
      <c r="B21" s="1">
        <v>34</v>
      </c>
      <c r="C21" s="1">
        <v>1.4702</v>
      </c>
      <c r="D21" s="1">
        <f t="shared" si="0"/>
        <v>1.0075910205731489</v>
      </c>
    </row>
    <row r="22" spans="2:4" x14ac:dyDescent="0.2">
      <c r="B22" s="1">
        <v>34.5</v>
      </c>
      <c r="C22" s="1">
        <v>1.4741</v>
      </c>
      <c r="D22" s="1">
        <f t="shared" si="0"/>
        <v>0.98520283579895807</v>
      </c>
    </row>
    <row r="23" spans="2:4" x14ac:dyDescent="0.2">
      <c r="B23" s="1">
        <v>35</v>
      </c>
      <c r="C23" s="1">
        <v>1.4729000000000001</v>
      </c>
      <c r="D23" s="1">
        <f t="shared" si="0"/>
        <v>0.99629567115473139</v>
      </c>
    </row>
    <row r="24" spans="2:4" x14ac:dyDescent="0.2">
      <c r="B24" s="1">
        <v>35.5</v>
      </c>
      <c r="C24" s="1">
        <v>1.4743999999999999</v>
      </c>
      <c r="D24" s="1">
        <f t="shared" si="0"/>
        <v>0.98966459221709324</v>
      </c>
    </row>
    <row r="25" spans="2:4" x14ac:dyDescent="0.2">
      <c r="B25" s="1">
        <v>36</v>
      </c>
      <c r="C25" s="1">
        <v>1.4723999999999999</v>
      </c>
      <c r="D25" s="1">
        <f t="shared" si="0"/>
        <v>1.0060062957744056</v>
      </c>
    </row>
    <row r="26" spans="2:4" x14ac:dyDescent="0.2">
      <c r="B26" s="1">
        <v>36.5</v>
      </c>
      <c r="C26" s="1">
        <v>1.4736</v>
      </c>
      <c r="D26" s="1">
        <f t="shared" si="0"/>
        <v>1.0013443433142957</v>
      </c>
    </row>
    <row r="27" spans="2:4" x14ac:dyDescent="0.2">
      <c r="B27" s="1">
        <v>37</v>
      </c>
      <c r="C27" s="1">
        <v>1.4722</v>
      </c>
      <c r="D27" s="1">
        <f t="shared" si="0"/>
        <v>1.0137454886560149</v>
      </c>
    </row>
    <row r="28" spans="2:4" x14ac:dyDescent="0.2">
      <c r="B28" s="1">
        <v>37.5</v>
      </c>
      <c r="C28" s="1">
        <v>1.4742</v>
      </c>
      <c r="D28" s="1">
        <f t="shared" si="0"/>
        <v>1.0038340235348495</v>
      </c>
    </row>
    <row r="29" spans="2:4" x14ac:dyDescent="0.2">
      <c r="B29" s="1">
        <v>38</v>
      </c>
      <c r="C29" s="1">
        <v>1.478</v>
      </c>
      <c r="D29" s="1">
        <f t="shared" si="0"/>
        <v>0.98211309649946354</v>
      </c>
    </row>
    <row r="30" spans="2:4" x14ac:dyDescent="0.2">
      <c r="B30" s="1">
        <v>38.5</v>
      </c>
      <c r="C30" s="1">
        <v>1.4739</v>
      </c>
      <c r="D30" s="1">
        <f t="shared" si="0"/>
        <v>1.0122280230295597</v>
      </c>
    </row>
    <row r="31" spans="2:4" x14ac:dyDescent="0.2">
      <c r="B31" s="1">
        <v>39</v>
      </c>
      <c r="C31" s="1">
        <v>1.4758</v>
      </c>
      <c r="D31" s="1">
        <f t="shared" si="0"/>
        <v>1.0029747859981433</v>
      </c>
    </row>
    <row r="32" spans="2:4" x14ac:dyDescent="0.2">
      <c r="B32" s="1">
        <v>39.5</v>
      </c>
      <c r="C32" s="1">
        <v>1.478</v>
      </c>
      <c r="D32" s="1">
        <f t="shared" si="0"/>
        <v>0.99175476505349969</v>
      </c>
    </row>
    <row r="33" spans="2:9" x14ac:dyDescent="0.2">
      <c r="B33" s="1">
        <v>40</v>
      </c>
      <c r="C33" s="1">
        <v>1.4767999999999999</v>
      </c>
      <c r="D33" s="1">
        <f t="shared" si="0"/>
        <v>1.0028394762990676</v>
      </c>
    </row>
    <row r="34" spans="2:9" x14ac:dyDescent="0.2">
      <c r="B34" s="1">
        <v>40.5</v>
      </c>
      <c r="C34" s="1">
        <v>1.4766999999999999</v>
      </c>
      <c r="D34" s="1">
        <f t="shared" si="0"/>
        <v>1.0067074186906737</v>
      </c>
    </row>
    <row r="35" spans="2:9" x14ac:dyDescent="0.2">
      <c r="B35" s="1">
        <v>41</v>
      </c>
      <c r="C35" s="1">
        <v>1.4772000000000001</v>
      </c>
      <c r="D35" s="1">
        <f t="shared" si="0"/>
        <v>1.0066395151099738</v>
      </c>
    </row>
    <row r="36" spans="2:9" x14ac:dyDescent="0.2">
      <c r="B36" s="1">
        <v>41.5</v>
      </c>
      <c r="C36" s="1">
        <v>1.4784999999999999</v>
      </c>
      <c r="D36" s="1">
        <f t="shared" si="0"/>
        <v>1.0013249022456012</v>
      </c>
      <c r="E36" s="3"/>
    </row>
    <row r="37" spans="2:9" x14ac:dyDescent="0.2">
      <c r="B37" s="1">
        <v>42</v>
      </c>
      <c r="C37" s="1">
        <v>1.4812000000000001</v>
      </c>
      <c r="D37" s="1">
        <f t="shared" si="0"/>
        <v>0.98682990131257808</v>
      </c>
    </row>
    <row r="38" spans="2:9" x14ac:dyDescent="0.2">
      <c r="B38" s="1">
        <v>42.5</v>
      </c>
      <c r="C38" s="1">
        <v>1.4842</v>
      </c>
      <c r="D38" s="1">
        <f t="shared" si="0"/>
        <v>0.97036965695441124</v>
      </c>
    </row>
    <row r="39" spans="2:9" x14ac:dyDescent="0.2">
      <c r="B39" s="1">
        <v>43</v>
      </c>
      <c r="C39" s="1">
        <v>1.4844999999999999</v>
      </c>
      <c r="D39" s="1">
        <f t="shared" si="0"/>
        <v>0.97161569163225892</v>
      </c>
    </row>
    <row r="40" spans="2:9" x14ac:dyDescent="0.2">
      <c r="B40" s="1">
        <v>43.5</v>
      </c>
      <c r="C40" s="1">
        <v>1.4822</v>
      </c>
      <c r="D40" s="1">
        <f t="shared" si="0"/>
        <v>0.9899086752893419</v>
      </c>
    </row>
    <row r="41" spans="2:9" x14ac:dyDescent="0.2">
      <c r="B41" s="1">
        <v>44</v>
      </c>
      <c r="C41" s="1">
        <v>1.4838</v>
      </c>
      <c r="D41" s="1">
        <f t="shared" si="0"/>
        <v>0.98263021578315579</v>
      </c>
    </row>
    <row r="42" spans="2:9" x14ac:dyDescent="0.2">
      <c r="B42" s="1">
        <v>44.5</v>
      </c>
      <c r="C42" s="1">
        <v>1.4947999999999999</v>
      </c>
      <c r="D42" s="1">
        <f t="shared" si="0"/>
        <v>0.9137293812296976</v>
      </c>
    </row>
    <row r="43" spans="2:9" x14ac:dyDescent="0.2">
      <c r="B43" s="1">
        <v>45</v>
      </c>
      <c r="C43" s="1">
        <v>1.4928999999999999</v>
      </c>
      <c r="D43" s="1">
        <f t="shared" si="0"/>
        <v>0.92940048238832029</v>
      </c>
    </row>
    <row r="44" spans="2:9" x14ac:dyDescent="0.2">
      <c r="B44" s="1">
        <v>45.5</v>
      </c>
      <c r="C44" s="1">
        <v>1.502</v>
      </c>
      <c r="D44" s="1">
        <f t="shared" si="0"/>
        <v>0.87296691657359782</v>
      </c>
    </row>
    <row r="45" spans="2:9" x14ac:dyDescent="0.2">
      <c r="B45" s="1">
        <v>46</v>
      </c>
      <c r="C45" s="1">
        <v>1.5126999999999999</v>
      </c>
      <c r="D45" s="1">
        <f t="shared" si="0"/>
        <v>0.80605423749397265</v>
      </c>
      <c r="E45" s="2" t="s">
        <v>5</v>
      </c>
    </row>
    <row r="46" spans="2:9" x14ac:dyDescent="0.2">
      <c r="B46" s="1">
        <v>46.5</v>
      </c>
      <c r="C46" s="1">
        <v>1.518</v>
      </c>
      <c r="D46" s="1">
        <f t="shared" si="0"/>
        <v>0.77454168679781099</v>
      </c>
      <c r="E46" s="1" t="s">
        <v>6</v>
      </c>
      <c r="F46" s="1" t="s">
        <v>4</v>
      </c>
      <c r="H46" s="1" t="s">
        <v>10</v>
      </c>
      <c r="I46" s="1" t="s">
        <v>4</v>
      </c>
    </row>
    <row r="47" spans="2:9" x14ac:dyDescent="0.2">
      <c r="B47" s="1">
        <v>47</v>
      </c>
      <c r="C47" s="1">
        <v>1.5356000000000001</v>
      </c>
      <c r="D47" s="1">
        <f t="shared" si="0"/>
        <v>0.66242649428356082</v>
      </c>
      <c r="E47" s="1">
        <f>B47</f>
        <v>47</v>
      </c>
      <c r="F47" s="1">
        <f>D47</f>
        <v>0.66242649428356082</v>
      </c>
      <c r="H47" s="1">
        <f>1/(E47+273.15)</f>
        <v>3.1235358425737939E-3</v>
      </c>
      <c r="I47" s="1">
        <f>F47</f>
        <v>0.66242649428356082</v>
      </c>
    </row>
    <row r="48" spans="2:9" x14ac:dyDescent="0.2">
      <c r="B48" s="1">
        <v>47.5</v>
      </c>
      <c r="C48" s="1">
        <v>1.5481</v>
      </c>
      <c r="D48" s="1">
        <f t="shared" si="0"/>
        <v>0.58374689599942653</v>
      </c>
      <c r="E48" s="1">
        <f>B48</f>
        <v>47.5</v>
      </c>
      <c r="F48" s="1">
        <f>D48</f>
        <v>0.58374689599942653</v>
      </c>
      <c r="H48" s="1">
        <f>1/(E48+273.15)</f>
        <v>3.1186652112895684E-3</v>
      </c>
      <c r="I48" s="1">
        <f>F48</f>
        <v>0.58374689599942653</v>
      </c>
    </row>
    <row r="49" spans="2:16" x14ac:dyDescent="0.2">
      <c r="B49" s="1">
        <v>48</v>
      </c>
      <c r="C49" s="1">
        <v>1.5598000000000001</v>
      </c>
      <c r="D49" s="1">
        <f t="shared" si="0"/>
        <v>0.51032017468992275</v>
      </c>
      <c r="E49" s="1">
        <f>B49</f>
        <v>48</v>
      </c>
      <c r="F49" s="1">
        <f>D49</f>
        <v>0.51032017468992275</v>
      </c>
      <c r="H49" s="1">
        <f>1/(E49+273.15)</f>
        <v>3.1138097462245057E-3</v>
      </c>
      <c r="I49" s="1">
        <f>F49</f>
        <v>0.51032017468992275</v>
      </c>
    </row>
    <row r="50" spans="2:16" x14ac:dyDescent="0.2">
      <c r="B50" s="1">
        <v>48.5</v>
      </c>
      <c r="C50" s="1">
        <v>1.5785</v>
      </c>
      <c r="D50" s="1">
        <f t="shared" si="0"/>
        <v>0.39103920243257267</v>
      </c>
      <c r="E50" s="1">
        <f>B50</f>
        <v>48.5</v>
      </c>
      <c r="F50" s="1">
        <f>D50</f>
        <v>0.39103920243257267</v>
      </c>
      <c r="H50" s="1">
        <f>1/(E50+273.15)</f>
        <v>3.1089693766516401E-3</v>
      </c>
      <c r="I50" s="1">
        <f>F50</f>
        <v>0.39103920243257267</v>
      </c>
    </row>
    <row r="51" spans="2:16" x14ac:dyDescent="0.2">
      <c r="B51" s="1">
        <v>49</v>
      </c>
      <c r="C51" s="1">
        <v>1.5922000000000001</v>
      </c>
      <c r="D51" s="1">
        <f t="shared" si="0"/>
        <v>0.30453272597407216</v>
      </c>
    </row>
    <row r="52" spans="2:16" x14ac:dyDescent="0.2">
      <c r="B52" s="1">
        <v>49.5</v>
      </c>
      <c r="C52" s="1">
        <v>1.6041000000000001</v>
      </c>
      <c r="D52" s="1">
        <f t="shared" si="0"/>
        <v>0.22983027058736363</v>
      </c>
      <c r="E52" s="1" t="s">
        <v>2</v>
      </c>
      <c r="F52" s="1">
        <f>SLOPE(F47:F50,E47:E50)</f>
        <v>-0.17751771937249364</v>
      </c>
      <c r="H52" s="1" t="s">
        <v>2</v>
      </c>
      <c r="I52" s="1">
        <f>SLOPE(I47:I50,H47:H50)</f>
        <v>18277.4777303757</v>
      </c>
    </row>
    <row r="53" spans="2:16" x14ac:dyDescent="0.2">
      <c r="B53" s="1">
        <v>50</v>
      </c>
      <c r="C53" s="1">
        <v>1.6153</v>
      </c>
      <c r="D53" s="1">
        <f t="shared" si="0"/>
        <v>0.15972362197781081</v>
      </c>
      <c r="E53" s="1" t="s">
        <v>1</v>
      </c>
      <c r="F53" s="1">
        <f>INTERCEPT(F47:F50,E47:E50)</f>
        <v>9.013354291887941</v>
      </c>
      <c r="H53" s="1" t="s">
        <v>1</v>
      </c>
      <c r="I53" s="1">
        <f>INTERCEPT(I47:I50,H47:H50)</f>
        <v>-56.420216205631363</v>
      </c>
    </row>
    <row r="54" spans="2:16" x14ac:dyDescent="0.2">
      <c r="B54" s="1">
        <v>50.5</v>
      </c>
      <c r="C54" s="1">
        <v>1.6263000000000001</v>
      </c>
      <c r="D54" s="1">
        <f t="shared" si="0"/>
        <v>9.0936704791565862E-2</v>
      </c>
    </row>
    <row r="55" spans="2:16" x14ac:dyDescent="0.2">
      <c r="B55" s="1">
        <v>51</v>
      </c>
      <c r="C55" s="1">
        <v>1.6267</v>
      </c>
      <c r="D55" s="1">
        <f t="shared" si="0"/>
        <v>9.1587106477456867E-2</v>
      </c>
      <c r="E55" s="1" t="s">
        <v>7</v>
      </c>
      <c r="F55" s="2">
        <f>(0.5-F53)/F52</f>
        <v>47.957771888810584</v>
      </c>
      <c r="G55" s="1" t="s">
        <v>8</v>
      </c>
      <c r="H55" s="1" t="s">
        <v>11</v>
      </c>
      <c r="I55" s="1">
        <f>-(2+2*1)*8.314*I52</f>
        <v>-607835.7994013743</v>
      </c>
      <c r="J55" s="1" t="s">
        <v>14</v>
      </c>
    </row>
    <row r="56" spans="2:16" x14ac:dyDescent="0.2">
      <c r="B56" s="1">
        <v>51.5</v>
      </c>
      <c r="C56" s="1">
        <v>1.6342000000000001</v>
      </c>
      <c r="D56" s="1">
        <f t="shared" si="0"/>
        <v>4.5737089502508078E-2</v>
      </c>
      <c r="P56" s="1" t="s">
        <v>9</v>
      </c>
    </row>
    <row r="57" spans="2:16" x14ac:dyDescent="0.2">
      <c r="B57" s="1">
        <v>52</v>
      </c>
      <c r="C57" s="1">
        <v>1.6380999999999999</v>
      </c>
      <c r="D57" s="1">
        <f t="shared" si="0"/>
        <v>2.346940711753184E-2</v>
      </c>
    </row>
    <row r="58" spans="2:16" x14ac:dyDescent="0.2">
      <c r="B58" s="1">
        <v>52.5</v>
      </c>
      <c r="C58" s="1">
        <v>1.6397999999999999</v>
      </c>
      <c r="D58" s="1">
        <f t="shared" si="0"/>
        <v>1.5611362422106525E-2</v>
      </c>
    </row>
    <row r="59" spans="2:16" x14ac:dyDescent="0.2">
      <c r="B59" s="1">
        <v>53</v>
      </c>
      <c r="C59" s="1">
        <v>1.6412</v>
      </c>
      <c r="D59" s="1">
        <f t="shared" si="0"/>
        <v>9.7187983335480146E-3</v>
      </c>
    </row>
    <row r="60" spans="2:16" x14ac:dyDescent="0.2">
      <c r="B60" s="1">
        <v>53.5</v>
      </c>
      <c r="C60" s="1">
        <v>1.6418999999999999</v>
      </c>
      <c r="D60" s="1">
        <f t="shared" si="0"/>
        <v>8.4103213920890263E-3</v>
      </c>
    </row>
    <row r="61" spans="2:16" x14ac:dyDescent="0.2">
      <c r="B61" s="1">
        <v>54</v>
      </c>
      <c r="C61" s="1">
        <v>1.6458999999999999</v>
      </c>
      <c r="D61" s="1">
        <f t="shared" si="0"/>
        <v>-1.4503345316246032E-2</v>
      </c>
    </row>
    <row r="62" spans="2:16" x14ac:dyDescent="0.2">
      <c r="B62" s="1">
        <v>54.5</v>
      </c>
      <c r="C62" s="1">
        <v>1.6436999999999999</v>
      </c>
      <c r="D62" s="1">
        <f t="shared" si="0"/>
        <v>3.1752572963426526E-3</v>
      </c>
    </row>
    <row r="63" spans="2:16" x14ac:dyDescent="0.2">
      <c r="B63" s="1">
        <v>55</v>
      </c>
      <c r="C63" s="1">
        <v>1.6449</v>
      </c>
      <c r="D63" s="1">
        <f t="shared" si="0"/>
        <v>-1.405586338404466E-3</v>
      </c>
    </row>
    <row r="64" spans="2:16" x14ac:dyDescent="0.2">
      <c r="B64" s="1">
        <v>55.5</v>
      </c>
      <c r="C64" s="1">
        <v>1.6485000000000001</v>
      </c>
      <c r="D64" s="1">
        <f t="shared" si="0"/>
        <v>-2.1695541588024489E-2</v>
      </c>
    </row>
    <row r="65" spans="2:4" x14ac:dyDescent="0.2">
      <c r="B65" s="1">
        <v>56</v>
      </c>
      <c r="C65" s="1">
        <v>1.6482000000000001</v>
      </c>
      <c r="D65" s="1">
        <f t="shared" si="0"/>
        <v>-1.6456124571299934E-2</v>
      </c>
    </row>
    <row r="66" spans="2:4" x14ac:dyDescent="0.2">
      <c r="B66" s="1">
        <v>56.5</v>
      </c>
      <c r="C66" s="1">
        <v>1.6456</v>
      </c>
      <c r="D66" s="1">
        <f t="shared" si="0"/>
        <v>3.8356631326311179E-3</v>
      </c>
    </row>
    <row r="67" spans="2:4" x14ac:dyDescent="0.2">
      <c r="B67" s="1">
        <v>57</v>
      </c>
      <c r="C67" s="1">
        <v>1.6488</v>
      </c>
      <c r="D67" s="1">
        <f t="shared" si="0"/>
        <v>-1.3832705533976801E-2</v>
      </c>
    </row>
    <row r="68" spans="2:4" x14ac:dyDescent="0.2">
      <c r="B68" s="1">
        <v>57.5</v>
      </c>
      <c r="C68" s="1">
        <v>1.6505000000000001</v>
      </c>
      <c r="D68" s="1">
        <f t="shared" ref="D68:D93" si="1">(($F$7+$F$8*B68)-C68)/(($F$7+$F$8*B68)-($F$3+$F$4*B68))</f>
        <v>-2.168275595546543E-2</v>
      </c>
    </row>
    <row r="69" spans="2:4" x14ac:dyDescent="0.2">
      <c r="B69" s="1">
        <v>58</v>
      </c>
      <c r="C69" s="1">
        <v>1.6509</v>
      </c>
      <c r="D69" s="1">
        <f t="shared" si="1"/>
        <v>-2.1025213756889406E-2</v>
      </c>
    </row>
    <row r="70" spans="2:4" x14ac:dyDescent="0.2">
      <c r="B70" s="1">
        <v>58.5</v>
      </c>
      <c r="C70" s="1">
        <v>1.6509</v>
      </c>
      <c r="D70" s="1">
        <f t="shared" si="1"/>
        <v>-1.7750555234800038E-2</v>
      </c>
    </row>
    <row r="71" spans="2:4" x14ac:dyDescent="0.2">
      <c r="B71" s="1">
        <v>59</v>
      </c>
      <c r="C71" s="1">
        <v>1.6487000000000001</v>
      </c>
      <c r="D71" s="1">
        <f t="shared" si="1"/>
        <v>-8.2702569686135866E-5</v>
      </c>
    </row>
    <row r="72" spans="2:4" x14ac:dyDescent="0.2">
      <c r="B72" s="1">
        <v>59.5</v>
      </c>
      <c r="C72" s="1">
        <v>1.6494</v>
      </c>
      <c r="D72" s="1">
        <f t="shared" si="1"/>
        <v>-1.3894206311435668E-3</v>
      </c>
    </row>
    <row r="73" spans="2:4" x14ac:dyDescent="0.2">
      <c r="B73" s="1">
        <v>60</v>
      </c>
      <c r="C73" s="1">
        <v>1.6500999999999999</v>
      </c>
      <c r="D73" s="1">
        <f t="shared" si="1"/>
        <v>-2.6959584642714863E-3</v>
      </c>
    </row>
    <row r="74" spans="2:4" x14ac:dyDescent="0.2">
      <c r="B74" s="1">
        <v>60.5</v>
      </c>
      <c r="C74" s="1">
        <v>1.6485000000000001</v>
      </c>
      <c r="D74" s="1">
        <f t="shared" si="1"/>
        <v>1.1042473389223324E-2</v>
      </c>
    </row>
    <row r="75" spans="2:4" x14ac:dyDescent="0.2">
      <c r="B75" s="1">
        <v>61</v>
      </c>
      <c r="C75" s="1">
        <v>1.6519999999999999</v>
      </c>
      <c r="D75" s="1">
        <f t="shared" si="1"/>
        <v>-8.5788744896022114E-3</v>
      </c>
    </row>
    <row r="76" spans="2:4" x14ac:dyDescent="0.2">
      <c r="B76" s="1">
        <v>61.5</v>
      </c>
      <c r="C76" s="1">
        <v>1.6536999999999999</v>
      </c>
      <c r="D76" s="1">
        <f t="shared" si="1"/>
        <v>-1.6424957193147866E-2</v>
      </c>
    </row>
    <row r="77" spans="2:4" x14ac:dyDescent="0.2">
      <c r="B77" s="1">
        <v>62</v>
      </c>
      <c r="C77" s="1">
        <v>1.6511</v>
      </c>
      <c r="D77" s="1">
        <f t="shared" si="1"/>
        <v>3.8514395751881579E-3</v>
      </c>
    </row>
    <row r="78" spans="2:4" x14ac:dyDescent="0.2">
      <c r="B78" s="1">
        <v>62.5</v>
      </c>
      <c r="C78" s="1">
        <v>1.6529</v>
      </c>
      <c r="D78" s="1">
        <f t="shared" si="1"/>
        <v>-4.6483591674329411E-3</v>
      </c>
    </row>
    <row r="79" spans="2:4" x14ac:dyDescent="0.2">
      <c r="B79" s="1">
        <v>63</v>
      </c>
      <c r="C79" s="1">
        <v>1.6538999999999999</v>
      </c>
      <c r="D79" s="1">
        <f t="shared" si="1"/>
        <v>-7.9158194454608932E-3</v>
      </c>
    </row>
    <row r="80" spans="2:4" x14ac:dyDescent="0.2">
      <c r="B80" s="1">
        <v>63.5</v>
      </c>
      <c r="C80" s="1">
        <v>1.6546000000000001</v>
      </c>
      <c r="D80" s="1">
        <f t="shared" si="1"/>
        <v>-9.2212770130293883E-3</v>
      </c>
    </row>
    <row r="81" spans="2:4" x14ac:dyDescent="0.2">
      <c r="B81" s="1">
        <v>64</v>
      </c>
      <c r="C81" s="1">
        <v>1.6488</v>
      </c>
      <c r="D81" s="1">
        <f t="shared" si="1"/>
        <v>3.19708151585247E-2</v>
      </c>
    </row>
    <row r="82" spans="2:4" x14ac:dyDescent="0.2">
      <c r="B82" s="1">
        <v>64.5</v>
      </c>
      <c r="C82" s="1">
        <v>1.6547000000000001</v>
      </c>
      <c r="D82" s="1">
        <f t="shared" si="1"/>
        <v>-3.3327641419369411E-3</v>
      </c>
    </row>
    <row r="83" spans="2:4" x14ac:dyDescent="0.2">
      <c r="B83" s="1">
        <v>65</v>
      </c>
      <c r="C83" s="1">
        <v>1.6547000000000001</v>
      </c>
      <c r="D83" s="1">
        <f t="shared" si="1"/>
        <v>-6.225862622656759E-5</v>
      </c>
    </row>
    <row r="84" spans="2:4" x14ac:dyDescent="0.2">
      <c r="B84" s="1">
        <v>65.5</v>
      </c>
      <c r="C84" s="1">
        <v>1.6540999999999999</v>
      </c>
      <c r="D84" s="1">
        <f t="shared" si="1"/>
        <v>7.1298193159850956E-3</v>
      </c>
    </row>
    <row r="85" spans="2:4" x14ac:dyDescent="0.2">
      <c r="B85" s="1">
        <v>66</v>
      </c>
      <c r="C85" s="1">
        <v>1.6541999999999999</v>
      </c>
      <c r="D85" s="1">
        <f t="shared" si="1"/>
        <v>9.7455277092564907E-3</v>
      </c>
    </row>
    <row r="86" spans="2:4" x14ac:dyDescent="0.2">
      <c r="B86" s="1">
        <v>66.5</v>
      </c>
      <c r="C86" s="1">
        <v>1.6558999999999999</v>
      </c>
      <c r="D86" s="1">
        <f t="shared" si="1"/>
        <v>1.9035884318552685E-3</v>
      </c>
    </row>
    <row r="87" spans="2:4" x14ac:dyDescent="0.2">
      <c r="B87" s="1">
        <v>67</v>
      </c>
      <c r="C87" s="1">
        <v>1.6576</v>
      </c>
      <c r="D87" s="1">
        <f t="shared" si="1"/>
        <v>-5.9372702938593055E-3</v>
      </c>
    </row>
    <row r="88" spans="2:4" x14ac:dyDescent="0.2">
      <c r="B88" s="1">
        <v>67.5</v>
      </c>
      <c r="C88" s="1">
        <v>1.6527000000000001</v>
      </c>
      <c r="D88" s="1">
        <f t="shared" si="1"/>
        <v>2.935331770430041E-2</v>
      </c>
    </row>
    <row r="89" spans="2:4" x14ac:dyDescent="0.2">
      <c r="B89" s="1">
        <v>68</v>
      </c>
      <c r="C89" s="1">
        <v>1.6591</v>
      </c>
      <c r="D89" s="1">
        <f t="shared" si="1"/>
        <v>-9.2002846976955276E-3</v>
      </c>
    </row>
    <row r="90" spans="2:4" x14ac:dyDescent="0.2">
      <c r="B90" s="1">
        <v>68.5</v>
      </c>
      <c r="C90" s="1">
        <v>1.6598999999999999</v>
      </c>
      <c r="D90" s="1">
        <f t="shared" si="1"/>
        <v>-1.1158154944432543E-2</v>
      </c>
    </row>
    <row r="91" spans="2:4" x14ac:dyDescent="0.2">
      <c r="B91" s="1">
        <v>69</v>
      </c>
      <c r="C91" s="1">
        <v>1.6611</v>
      </c>
      <c r="D91" s="1">
        <f t="shared" si="1"/>
        <v>-1.5729176964326699E-2</v>
      </c>
    </row>
    <row r="92" spans="2:4" x14ac:dyDescent="0.2">
      <c r="B92" s="1">
        <v>69.5</v>
      </c>
      <c r="C92" s="1">
        <v>1.6584000000000001</v>
      </c>
      <c r="D92" s="1">
        <f t="shared" si="1"/>
        <v>5.1795351251474088E-3</v>
      </c>
    </row>
    <row r="93" spans="2:4" x14ac:dyDescent="0.2">
      <c r="B93" s="1">
        <v>70</v>
      </c>
      <c r="C93" s="1">
        <v>1.6605000000000001</v>
      </c>
      <c r="D93" s="1">
        <f t="shared" si="1"/>
        <v>-5.2713708551298238E-3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8DEF-DC2A-4F3C-BA11-D9C1599EC963}">
  <sheetPr codeName="Sheet2"/>
  <dimension ref="B2:P93"/>
  <sheetViews>
    <sheetView workbookViewId="0">
      <selection activeCell="B3" sqref="B3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6" x14ac:dyDescent="0.2">
      <c r="B2" s="2" t="s">
        <v>13</v>
      </c>
      <c r="C2" s="2" t="s">
        <v>12</v>
      </c>
      <c r="D2" s="2" t="s">
        <v>4</v>
      </c>
      <c r="E2" s="2" t="s">
        <v>0</v>
      </c>
    </row>
    <row r="3" spans="2:6" x14ac:dyDescent="0.2">
      <c r="B3" s="1">
        <v>30</v>
      </c>
      <c r="C3" s="1">
        <v>1.4657</v>
      </c>
      <c r="D3" s="1">
        <f>(($F$7+$F$8*B3)-C3)/(($F$7+$F$8*B3)-($F$3+$F$4*B3))</f>
        <v>1.0072714018113338</v>
      </c>
      <c r="E3" s="1" t="s">
        <v>1</v>
      </c>
      <c r="F3" s="1">
        <f>INTERCEPT($C$3:$C$33,$B$3:$B$33)</f>
        <v>1.4318421370967747</v>
      </c>
    </row>
    <row r="4" spans="2:6" x14ac:dyDescent="0.2">
      <c r="B4" s="1">
        <v>30.5</v>
      </c>
      <c r="C4" s="1">
        <v>1.47</v>
      </c>
      <c r="D4" s="1">
        <f t="shared" ref="D4:D67" si="0">(($F$7+$F$8*B4)-C4)/(($F$7+$F$8*B4)-($F$3+$F$4*B4))</f>
        <v>0.98082436919853622</v>
      </c>
      <c r="E4" s="1" t="s">
        <v>2</v>
      </c>
      <c r="F4" s="1">
        <f>SLOPE($C$3:$C$33,$B$3:$B$33)</f>
        <v>1.1626612903225834E-3</v>
      </c>
    </row>
    <row r="5" spans="2:6" x14ac:dyDescent="0.2">
      <c r="B5" s="1">
        <v>31</v>
      </c>
      <c r="C5" s="1">
        <v>1.4665999999999999</v>
      </c>
      <c r="D5" s="1">
        <f t="shared" si="0"/>
        <v>1.0091293364184901</v>
      </c>
    </row>
    <row r="6" spans="2:6" x14ac:dyDescent="0.2">
      <c r="B6" s="1">
        <v>31.5</v>
      </c>
      <c r="C6" s="1">
        <v>1.4661</v>
      </c>
      <c r="D6" s="1">
        <f t="shared" si="0"/>
        <v>1.016803835247152</v>
      </c>
      <c r="E6" s="2" t="s">
        <v>3</v>
      </c>
    </row>
    <row r="7" spans="2:6" x14ac:dyDescent="0.2">
      <c r="B7" s="1">
        <v>32</v>
      </c>
      <c r="C7" s="1">
        <v>1.4674</v>
      </c>
      <c r="D7" s="1">
        <f t="shared" si="0"/>
        <v>1.0116926477698123</v>
      </c>
      <c r="E7" s="1" t="s">
        <v>1</v>
      </c>
      <c r="F7" s="1">
        <f>INTERCEPT($C$73:$C$93,$B$73:$B$93)</f>
        <v>1.5673497835497834</v>
      </c>
    </row>
    <row r="8" spans="2:6" x14ac:dyDescent="0.2">
      <c r="B8" s="1">
        <v>32.5</v>
      </c>
      <c r="C8" s="1">
        <v>1.4721</v>
      </c>
      <c r="D8" s="1">
        <f t="shared" si="0"/>
        <v>0.9824684753356715</v>
      </c>
      <c r="E8" s="1" t="s">
        <v>2</v>
      </c>
      <c r="F8" s="1">
        <f>SLOPE($C$73:$C$93,$B$73:$B$93)</f>
        <v>1.3306493506493541E-3</v>
      </c>
    </row>
    <row r="9" spans="2:6" x14ac:dyDescent="0.2">
      <c r="B9" s="1">
        <v>33</v>
      </c>
      <c r="C9" s="1">
        <v>1.4762999999999999</v>
      </c>
      <c r="D9" s="1">
        <f t="shared" si="0"/>
        <v>0.95682391884462759</v>
      </c>
    </row>
    <row r="10" spans="2:6" x14ac:dyDescent="0.2">
      <c r="B10" s="1">
        <v>33.5</v>
      </c>
      <c r="C10" s="1">
        <v>1.4722999999999999</v>
      </c>
      <c r="D10" s="1">
        <f t="shared" si="0"/>
        <v>0.98931018498134637</v>
      </c>
    </row>
    <row r="11" spans="2:6" x14ac:dyDescent="0.2">
      <c r="B11" s="1">
        <v>34</v>
      </c>
      <c r="C11" s="1">
        <v>1.4716</v>
      </c>
      <c r="D11" s="1">
        <f t="shared" si="0"/>
        <v>0.9983898863112004</v>
      </c>
    </row>
    <row r="12" spans="2:6" x14ac:dyDescent="0.2">
      <c r="B12" s="1">
        <v>34.5</v>
      </c>
      <c r="C12" s="1">
        <v>1.4742999999999999</v>
      </c>
      <c r="D12" s="1">
        <f t="shared" si="0"/>
        <v>0.9833970652205638</v>
      </c>
    </row>
    <row r="13" spans="2:6" x14ac:dyDescent="0.2">
      <c r="B13" s="1">
        <v>35</v>
      </c>
      <c r="C13" s="1">
        <v>1.4714</v>
      </c>
      <c r="D13" s="1">
        <f t="shared" si="0"/>
        <v>1.0080295955270639</v>
      </c>
    </row>
    <row r="14" spans="2:6" x14ac:dyDescent="0.2">
      <c r="B14" s="1">
        <v>35.5</v>
      </c>
      <c r="C14" s="1">
        <v>1.4690000000000001</v>
      </c>
      <c r="D14" s="1">
        <f t="shared" si="0"/>
        <v>1.0290985885873234</v>
      </c>
    </row>
    <row r="15" spans="2:6" x14ac:dyDescent="0.2">
      <c r="B15" s="1">
        <v>36</v>
      </c>
      <c r="C15" s="1">
        <v>1.4735</v>
      </c>
      <c r="D15" s="1">
        <f t="shared" si="0"/>
        <v>1.0013983486663889</v>
      </c>
    </row>
    <row r="16" spans="2:6" x14ac:dyDescent="0.2">
      <c r="B16" s="1">
        <v>36.5</v>
      </c>
      <c r="C16" s="1">
        <v>1.474</v>
      </c>
      <c r="D16" s="1">
        <f t="shared" si="0"/>
        <v>1.0019717293838164</v>
      </c>
    </row>
    <row r="17" spans="2:4" x14ac:dyDescent="0.2">
      <c r="B17" s="1">
        <v>37</v>
      </c>
      <c r="C17" s="1">
        <v>1.4749000000000001</v>
      </c>
      <c r="D17" s="1">
        <f t="shared" si="0"/>
        <v>0.99972202744513616</v>
      </c>
    </row>
    <row r="18" spans="2:4" x14ac:dyDescent="0.2">
      <c r="B18" s="1">
        <v>37.5</v>
      </c>
      <c r="C18" s="1">
        <v>1.474</v>
      </c>
      <c r="D18" s="1">
        <f t="shared" si="0"/>
        <v>1.010168281278631</v>
      </c>
    </row>
    <row r="19" spans="2:4" x14ac:dyDescent="0.2">
      <c r="B19" s="1">
        <v>38</v>
      </c>
      <c r="C19" s="1">
        <v>1.4721</v>
      </c>
      <c r="D19" s="1">
        <f t="shared" si="0"/>
        <v>1.0276498213393122</v>
      </c>
    </row>
    <row r="20" spans="2:4" x14ac:dyDescent="0.2">
      <c r="B20" s="1">
        <v>38.5</v>
      </c>
      <c r="C20" s="1">
        <v>1.4749000000000001</v>
      </c>
      <c r="D20" s="1">
        <f t="shared" si="0"/>
        <v>1.0120063006283508</v>
      </c>
    </row>
    <row r="21" spans="2:4" x14ac:dyDescent="0.2">
      <c r="B21" s="1">
        <v>39</v>
      </c>
      <c r="C21" s="1">
        <v>1.4805999999999999</v>
      </c>
      <c r="D21" s="1">
        <f t="shared" si="0"/>
        <v>0.97596725138579599</v>
      </c>
    </row>
    <row r="22" spans="2:4" x14ac:dyDescent="0.2">
      <c r="B22" s="1">
        <v>39.5</v>
      </c>
      <c r="C22" s="1">
        <v>1.4778</v>
      </c>
      <c r="D22" s="1">
        <f t="shared" si="0"/>
        <v>0.99976965524006978</v>
      </c>
    </row>
    <row r="23" spans="2:4" x14ac:dyDescent="0.2">
      <c r="B23" s="1">
        <v>40</v>
      </c>
      <c r="C23" s="1">
        <v>1.4758</v>
      </c>
      <c r="D23" s="1">
        <f t="shared" si="0"/>
        <v>1.0179191411176696</v>
      </c>
    </row>
    <row r="24" spans="2:4" x14ac:dyDescent="0.2">
      <c r="B24" s="1">
        <v>40.5</v>
      </c>
      <c r="C24" s="1">
        <v>1.4762</v>
      </c>
      <c r="D24" s="1">
        <f t="shared" si="0"/>
        <v>1.0191827492607146</v>
      </c>
    </row>
    <row r="25" spans="2:4" x14ac:dyDescent="0.2">
      <c r="B25" s="1">
        <v>41</v>
      </c>
      <c r="C25" s="1">
        <v>1.4789000000000001</v>
      </c>
      <c r="D25" s="1">
        <f t="shared" si="0"/>
        <v>1.0042926319489665</v>
      </c>
    </row>
    <row r="26" spans="2:4" x14ac:dyDescent="0.2">
      <c r="B26" s="1">
        <v>41.5</v>
      </c>
      <c r="C26" s="1">
        <v>1.4802999999999999</v>
      </c>
      <c r="D26" s="1">
        <f t="shared" si="0"/>
        <v>0.99854421258517145</v>
      </c>
    </row>
    <row r="27" spans="2:4" x14ac:dyDescent="0.2">
      <c r="B27" s="1">
        <v>42</v>
      </c>
      <c r="C27" s="1">
        <v>1.4795</v>
      </c>
      <c r="D27" s="1">
        <f t="shared" si="0"/>
        <v>1.0082343251506714</v>
      </c>
    </row>
    <row r="28" spans="2:4" x14ac:dyDescent="0.2">
      <c r="B28" s="1">
        <v>42.5</v>
      </c>
      <c r="C28" s="1">
        <v>1.4807999999999999</v>
      </c>
      <c r="D28" s="1">
        <f t="shared" si="0"/>
        <v>1.0031913849700884</v>
      </c>
    </row>
    <row r="29" spans="2:4" x14ac:dyDescent="0.2">
      <c r="B29" s="1">
        <v>43</v>
      </c>
      <c r="C29" s="1">
        <v>1.4865999999999999</v>
      </c>
      <c r="D29" s="1">
        <f t="shared" si="0"/>
        <v>0.9666265704078475</v>
      </c>
    </row>
    <row r="30" spans="2:4" x14ac:dyDescent="0.2">
      <c r="B30" s="1">
        <v>43.5</v>
      </c>
      <c r="C30" s="1">
        <v>1.4861</v>
      </c>
      <c r="D30" s="1">
        <f t="shared" si="0"/>
        <v>0.97421773974824211</v>
      </c>
    </row>
    <row r="31" spans="2:4" x14ac:dyDescent="0.2">
      <c r="B31" s="1">
        <v>44</v>
      </c>
      <c r="C31" s="1">
        <v>1.4818</v>
      </c>
      <c r="D31" s="1">
        <f t="shared" si="0"/>
        <v>1.0083921710761756</v>
      </c>
    </row>
    <row r="32" spans="2:4" x14ac:dyDescent="0.2">
      <c r="B32" s="1">
        <v>44.5</v>
      </c>
      <c r="C32" s="1">
        <v>1.4829000000000001</v>
      </c>
      <c r="D32" s="1">
        <f t="shared" si="0"/>
        <v>1.0047597544330651</v>
      </c>
    </row>
    <row r="33" spans="2:9" x14ac:dyDescent="0.2">
      <c r="B33" s="1">
        <v>45</v>
      </c>
      <c r="C33" s="1">
        <v>1.4852000000000001</v>
      </c>
      <c r="D33" s="1">
        <f t="shared" si="0"/>
        <v>0.99274393083953205</v>
      </c>
    </row>
    <row r="34" spans="2:9" x14ac:dyDescent="0.2">
      <c r="B34" s="1">
        <v>45.5</v>
      </c>
      <c r="C34" s="1">
        <v>1.4823999999999999</v>
      </c>
      <c r="D34" s="1">
        <f t="shared" si="0"/>
        <v>1.0163688979973362</v>
      </c>
    </row>
    <row r="35" spans="2:9" x14ac:dyDescent="0.2">
      <c r="B35" s="1">
        <v>46</v>
      </c>
      <c r="C35" s="1">
        <v>1.4881</v>
      </c>
      <c r="D35" s="1">
        <f t="shared" si="0"/>
        <v>0.98062316009066031</v>
      </c>
    </row>
    <row r="36" spans="2:9" x14ac:dyDescent="0.2">
      <c r="B36" s="1">
        <v>46.5</v>
      </c>
      <c r="C36" s="1">
        <v>1.4877</v>
      </c>
      <c r="D36" s="1">
        <f t="shared" si="0"/>
        <v>0.9874816893724716</v>
      </c>
      <c r="E36" s="3"/>
    </row>
    <row r="37" spans="2:9" x14ac:dyDescent="0.2">
      <c r="B37" s="1">
        <v>47</v>
      </c>
      <c r="C37" s="1">
        <v>1.4932000000000001</v>
      </c>
      <c r="D37" s="1">
        <f t="shared" si="0"/>
        <v>0.9531894153841578</v>
      </c>
    </row>
    <row r="38" spans="2:9" x14ac:dyDescent="0.2">
      <c r="B38" s="1">
        <v>47.5</v>
      </c>
      <c r="C38" s="1">
        <v>1.4947999999999999</v>
      </c>
      <c r="D38" s="1">
        <f t="shared" si="0"/>
        <v>0.94611743684782001</v>
      </c>
    </row>
    <row r="39" spans="2:9" x14ac:dyDescent="0.2">
      <c r="B39" s="1">
        <v>48</v>
      </c>
      <c r="C39" s="1">
        <v>1.4971000000000001</v>
      </c>
      <c r="D39" s="1">
        <f t="shared" si="0"/>
        <v>0.93417809906045868</v>
      </c>
    </row>
    <row r="40" spans="2:9" x14ac:dyDescent="0.2">
      <c r="B40" s="1">
        <v>48.5</v>
      </c>
      <c r="C40" s="1">
        <v>1.4990000000000001</v>
      </c>
      <c r="D40" s="1">
        <f t="shared" si="0"/>
        <v>0.92503717050105894</v>
      </c>
    </row>
    <row r="41" spans="2:9" x14ac:dyDescent="0.2">
      <c r="B41" s="1">
        <v>49</v>
      </c>
      <c r="C41" s="1">
        <v>1.5042</v>
      </c>
      <c r="D41" s="1">
        <f t="shared" si="0"/>
        <v>0.89294865622064534</v>
      </c>
    </row>
    <row r="42" spans="2:9" x14ac:dyDescent="0.2">
      <c r="B42" s="1">
        <v>49.5</v>
      </c>
      <c r="C42" s="1">
        <v>1.5053000000000001</v>
      </c>
      <c r="D42" s="1">
        <f t="shared" si="0"/>
        <v>0.88940487334463925</v>
      </c>
    </row>
    <row r="43" spans="2:9" x14ac:dyDescent="0.2">
      <c r="B43" s="1">
        <v>50</v>
      </c>
      <c r="C43" s="1">
        <v>1.5073000000000001</v>
      </c>
      <c r="D43" s="1">
        <f t="shared" si="0"/>
        <v>0.87961119034139756</v>
      </c>
    </row>
    <row r="44" spans="2:9" x14ac:dyDescent="0.2">
      <c r="B44" s="1">
        <v>50.5</v>
      </c>
      <c r="C44" s="1">
        <v>1.5128999999999999</v>
      </c>
      <c r="D44" s="1">
        <f t="shared" si="0"/>
        <v>0.84482737815556785</v>
      </c>
    </row>
    <row r="45" spans="2:9" x14ac:dyDescent="0.2">
      <c r="B45" s="1">
        <v>51</v>
      </c>
      <c r="C45" s="1">
        <v>1.5158</v>
      </c>
      <c r="D45" s="1">
        <f t="shared" si="0"/>
        <v>0.82882435764284146</v>
      </c>
    </row>
    <row r="46" spans="2:9" x14ac:dyDescent="0.2">
      <c r="B46" s="1">
        <v>51.5</v>
      </c>
      <c r="C46" s="1">
        <v>1.5264</v>
      </c>
      <c r="D46" s="1">
        <f t="shared" si="0"/>
        <v>0.75942675199495258</v>
      </c>
      <c r="E46" s="2" t="s">
        <v>5</v>
      </c>
    </row>
    <row r="47" spans="2:9" x14ac:dyDescent="0.2">
      <c r="B47" s="1">
        <v>52</v>
      </c>
      <c r="C47" s="1">
        <v>1.5317000000000001</v>
      </c>
      <c r="D47" s="1">
        <f t="shared" si="0"/>
        <v>0.72685351236016849</v>
      </c>
      <c r="E47" s="1" t="s">
        <v>6</v>
      </c>
      <c r="F47" s="1" t="s">
        <v>4</v>
      </c>
      <c r="H47" s="1" t="s">
        <v>10</v>
      </c>
      <c r="I47" s="1" t="s">
        <v>4</v>
      </c>
    </row>
    <row r="48" spans="2:9" x14ac:dyDescent="0.2">
      <c r="B48" s="1">
        <v>52.5</v>
      </c>
      <c r="C48" s="1">
        <v>1.5411999999999999</v>
      </c>
      <c r="D48" s="1">
        <f t="shared" si="0"/>
        <v>0.66521760590323342</v>
      </c>
      <c r="E48" s="1">
        <v>52.5</v>
      </c>
      <c r="F48" s="1">
        <v>0.66521760590323342</v>
      </c>
      <c r="H48" s="1">
        <f>1/(E48+273.15)</f>
        <v>3.0707815138952864E-3</v>
      </c>
      <c r="I48" s="1">
        <f>F48</f>
        <v>0.66521760590323342</v>
      </c>
    </row>
    <row r="49" spans="2:16" x14ac:dyDescent="0.2">
      <c r="B49" s="1">
        <v>53</v>
      </c>
      <c r="C49" s="1">
        <v>1.5523</v>
      </c>
      <c r="D49" s="1">
        <f t="shared" si="0"/>
        <v>0.59257391088886002</v>
      </c>
      <c r="E49" s="1">
        <v>53</v>
      </c>
      <c r="F49" s="1">
        <v>0.59257391088886002</v>
      </c>
      <c r="H49" s="1">
        <f t="shared" ref="H49:H52" si="1">1/(E49+273.15)</f>
        <v>3.0660738923808067E-3</v>
      </c>
      <c r="I49" s="1">
        <f t="shared" ref="I49:I52" si="2">F49</f>
        <v>0.59257391088886002</v>
      </c>
    </row>
    <row r="50" spans="2:16" x14ac:dyDescent="0.2">
      <c r="B50" s="1">
        <v>53.5</v>
      </c>
      <c r="C50" s="1">
        <v>1.5645</v>
      </c>
      <c r="D50" s="1">
        <f t="shared" si="0"/>
        <v>0.51240195075279549</v>
      </c>
      <c r="E50" s="1">
        <v>53.5</v>
      </c>
      <c r="F50" s="1">
        <v>0.51240195075279549</v>
      </c>
      <c r="H50" s="1">
        <f t="shared" si="1"/>
        <v>3.0613806826878926E-3</v>
      </c>
      <c r="I50" s="1">
        <f t="shared" si="2"/>
        <v>0.51240195075279549</v>
      </c>
    </row>
    <row r="51" spans="2:16" x14ac:dyDescent="0.2">
      <c r="B51" s="1">
        <v>54</v>
      </c>
      <c r="C51" s="1">
        <v>1.5709</v>
      </c>
      <c r="D51" s="1">
        <f t="shared" si="0"/>
        <v>0.47243961900876102</v>
      </c>
      <c r="E51" s="1">
        <v>54</v>
      </c>
      <c r="F51" s="1">
        <v>0.47243961900876102</v>
      </c>
      <c r="H51" s="1">
        <f t="shared" si="1"/>
        <v>3.0567018187375823E-3</v>
      </c>
      <c r="I51" s="1">
        <f t="shared" si="2"/>
        <v>0.47243961900876102</v>
      </c>
    </row>
    <row r="52" spans="2:16" x14ac:dyDescent="0.2">
      <c r="B52" s="1">
        <v>54.5</v>
      </c>
      <c r="C52" s="1">
        <v>1.5803</v>
      </c>
      <c r="D52" s="1">
        <f t="shared" si="0"/>
        <v>0.41178583959992604</v>
      </c>
      <c r="E52" s="1">
        <v>54.5</v>
      </c>
      <c r="F52" s="1">
        <v>0.41178583959992604</v>
      </c>
      <c r="H52" s="1">
        <f t="shared" si="1"/>
        <v>3.0520372348542654E-3</v>
      </c>
      <c r="I52" s="1">
        <f t="shared" si="2"/>
        <v>0.41178583959992604</v>
      </c>
    </row>
    <row r="53" spans="2:16" x14ac:dyDescent="0.2">
      <c r="B53" s="1">
        <v>55</v>
      </c>
      <c r="C53" s="1">
        <v>1.59</v>
      </c>
      <c r="D53" s="1">
        <f t="shared" si="0"/>
        <v>0.3491298707866401</v>
      </c>
    </row>
    <row r="54" spans="2:16" x14ac:dyDescent="0.2">
      <c r="B54" s="1">
        <v>55.5</v>
      </c>
      <c r="C54" s="1">
        <v>1.599</v>
      </c>
      <c r="D54" s="1">
        <f t="shared" si="0"/>
        <v>0.2913797959749071</v>
      </c>
      <c r="E54" s="1" t="s">
        <v>2</v>
      </c>
      <c r="F54" s="1">
        <f>SLOPE(F48:F52,E48:E52)</f>
        <v>-0.12539956489734277</v>
      </c>
      <c r="H54" s="1" t="s">
        <v>2</v>
      </c>
      <c r="I54" s="1">
        <f>SLOPE(I48:I52,H48:H52)</f>
        <v>13382.108513646604</v>
      </c>
    </row>
    <row r="55" spans="2:16" x14ac:dyDescent="0.2">
      <c r="B55" s="1">
        <v>56</v>
      </c>
      <c r="C55" s="1">
        <v>1.6112</v>
      </c>
      <c r="D55" s="1">
        <f t="shared" si="0"/>
        <v>0.21161475262995183</v>
      </c>
      <c r="E55" s="1" t="s">
        <v>1</v>
      </c>
      <c r="F55" s="1">
        <f>INTERCEPT(F48:F52,E48:E52)</f>
        <v>7.2397605072385538</v>
      </c>
      <c r="H55" s="1" t="s">
        <v>1</v>
      </c>
      <c r="I55" s="1">
        <f>INTERCEPT(I48:I52,H48:H52)</f>
        <v>-40.437036689443957</v>
      </c>
    </row>
    <row r="56" spans="2:16" x14ac:dyDescent="0.2">
      <c r="B56" s="1">
        <v>56.5</v>
      </c>
      <c r="C56" s="1">
        <v>1.6205000000000001</v>
      </c>
      <c r="D56" s="1">
        <f t="shared" si="0"/>
        <v>0.15194226261493893</v>
      </c>
    </row>
    <row r="57" spans="2:16" x14ac:dyDescent="0.2">
      <c r="B57" s="1">
        <v>57</v>
      </c>
      <c r="C57" s="1">
        <v>1.6254999999999999</v>
      </c>
      <c r="D57" s="1">
        <f t="shared" si="0"/>
        <v>0.12197707999721188</v>
      </c>
      <c r="E57" s="1" t="s">
        <v>7</v>
      </c>
      <c r="F57" s="2">
        <f>(0.5-F55)/F54</f>
        <v>53.746283033406044</v>
      </c>
      <c r="G57" s="1" t="s">
        <v>8</v>
      </c>
      <c r="H57" s="1" t="s">
        <v>11</v>
      </c>
      <c r="I57" s="1">
        <f>-(2+2*2)*8.314*I54</f>
        <v>-667553.1010947472</v>
      </c>
      <c r="J57" s="1" t="s">
        <v>14</v>
      </c>
    </row>
    <row r="58" spans="2:16" x14ac:dyDescent="0.2">
      <c r="B58" s="1">
        <v>57.5</v>
      </c>
      <c r="C58" s="1">
        <v>1.6315</v>
      </c>
      <c r="D58" s="1">
        <f t="shared" si="0"/>
        <v>8.5157953426735253E-2</v>
      </c>
    </row>
    <row r="59" spans="2:16" x14ac:dyDescent="0.2">
      <c r="B59" s="1">
        <v>58</v>
      </c>
      <c r="C59" s="1">
        <v>1.6333</v>
      </c>
      <c r="D59" s="1">
        <f t="shared" si="0"/>
        <v>7.7296882271487025E-2</v>
      </c>
    </row>
    <row r="60" spans="2:16" x14ac:dyDescent="0.2">
      <c r="B60" s="1">
        <v>58.5</v>
      </c>
      <c r="C60" s="1">
        <v>1.6349</v>
      </c>
      <c r="D60" s="1">
        <f t="shared" si="0"/>
        <v>7.082102897946202E-2</v>
      </c>
    </row>
    <row r="61" spans="2:16" x14ac:dyDescent="0.2">
      <c r="B61" s="1">
        <v>59</v>
      </c>
      <c r="C61" s="1">
        <v>1.6412</v>
      </c>
      <c r="D61" s="1">
        <f t="shared" si="0"/>
        <v>3.2032245412029058E-2</v>
      </c>
    </row>
    <row r="62" spans="2:16" x14ac:dyDescent="0.2">
      <c r="B62" s="1">
        <v>59.5</v>
      </c>
      <c r="C62" s="1">
        <v>1.6429</v>
      </c>
      <c r="D62" s="1">
        <f t="shared" si="0"/>
        <v>2.4902727133717821E-2</v>
      </c>
    </row>
    <row r="63" spans="2:16" x14ac:dyDescent="0.2">
      <c r="B63" s="1">
        <v>60</v>
      </c>
      <c r="C63" s="1">
        <v>1.6459999999999999</v>
      </c>
      <c r="D63" s="1">
        <f t="shared" si="0"/>
        <v>8.165187549127614E-3</v>
      </c>
      <c r="P63" s="1" t="s">
        <v>9</v>
      </c>
    </row>
    <row r="64" spans="2:16" x14ac:dyDescent="0.2">
      <c r="B64" s="1">
        <v>60.5</v>
      </c>
      <c r="C64" s="1">
        <v>1.6467000000000001</v>
      </c>
      <c r="D64" s="1">
        <f t="shared" si="0"/>
        <v>7.9224407422238321E-3</v>
      </c>
    </row>
    <row r="65" spans="2:4" x14ac:dyDescent="0.2">
      <c r="B65" s="1">
        <v>61</v>
      </c>
      <c r="C65" s="1">
        <v>1.6414</v>
      </c>
      <c r="D65" s="1">
        <f t="shared" si="0"/>
        <v>4.8844965443296758E-2</v>
      </c>
    </row>
    <row r="66" spans="2:4" x14ac:dyDescent="0.2">
      <c r="B66" s="1">
        <v>61.5</v>
      </c>
      <c r="C66" s="1">
        <v>1.6456999999999999</v>
      </c>
      <c r="D66" s="1">
        <f t="shared" si="0"/>
        <v>2.38942992856487E-2</v>
      </c>
    </row>
    <row r="67" spans="2:4" x14ac:dyDescent="0.2">
      <c r="B67" s="1">
        <v>62</v>
      </c>
      <c r="C67" s="1">
        <v>1.6472</v>
      </c>
      <c r="D67" s="1">
        <f t="shared" si="0"/>
        <v>1.8160570942395447E-2</v>
      </c>
    </row>
    <row r="68" spans="2:4" x14ac:dyDescent="0.2">
      <c r="B68" s="1">
        <v>62.5</v>
      </c>
      <c r="C68" s="1">
        <v>1.6521999999999999</v>
      </c>
      <c r="D68" s="1">
        <f t="shared" ref="D68:D93" si="3">(($F$7+$F$8*B68)-C68)/(($F$7+$F$8*B68)-($F$3+$F$4*B68))</f>
        <v>-1.1538030271542094E-2</v>
      </c>
    </row>
    <row r="69" spans="2:4" x14ac:dyDescent="0.2">
      <c r="B69" s="1">
        <v>63</v>
      </c>
      <c r="C69" s="1">
        <v>1.6503000000000001</v>
      </c>
      <c r="D69" s="1">
        <f t="shared" si="3"/>
        <v>6.028388320792946E-3</v>
      </c>
    </row>
    <row r="70" spans="2:4" x14ac:dyDescent="0.2">
      <c r="B70" s="1">
        <v>63.5</v>
      </c>
      <c r="C70" s="1">
        <v>1.6567000000000001</v>
      </c>
      <c r="D70" s="1">
        <f t="shared" si="3"/>
        <v>-3.320667962174146E-2</v>
      </c>
    </row>
    <row r="71" spans="2:4" x14ac:dyDescent="0.2">
      <c r="B71" s="1">
        <v>64</v>
      </c>
      <c r="C71" s="1">
        <v>1.6539999999999999</v>
      </c>
      <c r="D71" s="1">
        <f t="shared" si="3"/>
        <v>-1.0178240015965435E-2</v>
      </c>
    </row>
    <row r="72" spans="2:4" x14ac:dyDescent="0.2">
      <c r="B72" s="1">
        <v>64.5</v>
      </c>
      <c r="C72" s="1">
        <v>1.6497999999999999</v>
      </c>
      <c r="D72" s="1">
        <f t="shared" si="3"/>
        <v>2.30736661122301E-2</v>
      </c>
    </row>
    <row r="73" spans="2:4" x14ac:dyDescent="0.2">
      <c r="B73" s="1">
        <v>65</v>
      </c>
      <c r="C73" s="1">
        <v>1.6528</v>
      </c>
      <c r="D73" s="1">
        <f t="shared" si="3"/>
        <v>7.1161211007805805E-3</v>
      </c>
    </row>
    <row r="74" spans="2:4" x14ac:dyDescent="0.2">
      <c r="B74" s="1">
        <v>65.5</v>
      </c>
      <c r="C74" s="1">
        <v>1.6576</v>
      </c>
      <c r="D74" s="1">
        <f t="shared" si="3"/>
        <v>-2.1108905440262917E-2</v>
      </c>
    </row>
    <row r="75" spans="2:4" x14ac:dyDescent="0.2">
      <c r="B75" s="1">
        <v>66</v>
      </c>
      <c r="C75" s="1">
        <v>1.6559999999999999</v>
      </c>
      <c r="D75" s="1">
        <f t="shared" si="3"/>
        <v>-5.6438494241485004E-3</v>
      </c>
    </row>
    <row r="76" spans="2:4" x14ac:dyDescent="0.2">
      <c r="B76" s="1">
        <v>66.5</v>
      </c>
      <c r="C76" s="1">
        <v>1.6552</v>
      </c>
      <c r="D76" s="1">
        <f t="shared" si="3"/>
        <v>4.349402502441228E-3</v>
      </c>
    </row>
    <row r="77" spans="2:4" x14ac:dyDescent="0.2">
      <c r="B77" s="1">
        <v>67</v>
      </c>
      <c r="C77" s="1">
        <v>1.6549</v>
      </c>
      <c r="D77" s="1">
        <f t="shared" si="3"/>
        <v>1.0924359138440127E-2</v>
      </c>
    </row>
    <row r="78" spans="2:4" x14ac:dyDescent="0.2">
      <c r="B78" s="1">
        <v>67.5</v>
      </c>
      <c r="C78" s="1">
        <v>1.6556</v>
      </c>
      <c r="D78" s="1">
        <f t="shared" si="3"/>
        <v>1.068197799153303E-2</v>
      </c>
    </row>
    <row r="79" spans="2:4" x14ac:dyDescent="0.2">
      <c r="B79" s="1">
        <v>68</v>
      </c>
      <c r="C79" s="1">
        <v>1.6554</v>
      </c>
      <c r="D79" s="1">
        <f t="shared" si="3"/>
        <v>1.6565204991227014E-2</v>
      </c>
    </row>
    <row r="80" spans="2:4" x14ac:dyDescent="0.2">
      <c r="B80" s="1">
        <v>68.5</v>
      </c>
      <c r="C80" s="1">
        <v>1.6576</v>
      </c>
      <c r="D80" s="1">
        <f t="shared" si="3"/>
        <v>6.1168256149200977E-3</v>
      </c>
    </row>
    <row r="81" spans="2:4" x14ac:dyDescent="0.2">
      <c r="B81" s="1">
        <v>69</v>
      </c>
      <c r="C81" s="1">
        <v>1.6593</v>
      </c>
      <c r="D81" s="1">
        <f t="shared" si="3"/>
        <v>-9.2054615396328489E-4</v>
      </c>
    </row>
    <row r="82" spans="2:4" x14ac:dyDescent="0.2">
      <c r="B82" s="1">
        <v>69.5</v>
      </c>
      <c r="C82" s="1">
        <v>1.6614</v>
      </c>
      <c r="D82" s="1">
        <f t="shared" si="3"/>
        <v>-1.0667594328391124E-2</v>
      </c>
    </row>
    <row r="83" spans="2:4" x14ac:dyDescent="0.2">
      <c r="B83" s="1">
        <v>70</v>
      </c>
      <c r="C83" s="1">
        <v>1.6608000000000001</v>
      </c>
      <c r="D83" s="1">
        <f t="shared" si="3"/>
        <v>-2.0694540973835137E-3</v>
      </c>
    </row>
    <row r="84" spans="2:4" x14ac:dyDescent="0.2">
      <c r="B84" s="1">
        <v>70.5</v>
      </c>
      <c r="C84" s="1">
        <v>1.661</v>
      </c>
      <c r="D84" s="1">
        <f t="shared" si="3"/>
        <v>1.0896633437670481E-3</v>
      </c>
    </row>
    <row r="85" spans="2:4" x14ac:dyDescent="0.2">
      <c r="B85" s="1">
        <v>71</v>
      </c>
      <c r="C85" s="1">
        <v>1.6646000000000001</v>
      </c>
      <c r="D85" s="1">
        <f t="shared" si="3"/>
        <v>-1.8815860148973206E-2</v>
      </c>
    </row>
    <row r="86" spans="2:4" x14ac:dyDescent="0.2">
      <c r="B86" s="1">
        <v>71.5</v>
      </c>
      <c r="C86" s="1">
        <v>1.6641999999999999</v>
      </c>
      <c r="D86" s="1">
        <f t="shared" si="3"/>
        <v>-1.1583526727295091E-2</v>
      </c>
    </row>
    <row r="87" spans="2:4" x14ac:dyDescent="0.2">
      <c r="B87" s="1">
        <v>72</v>
      </c>
      <c r="C87" s="1">
        <v>1.6626000000000001</v>
      </c>
      <c r="D87" s="1">
        <f t="shared" si="3"/>
        <v>3.77050331240655E-3</v>
      </c>
    </row>
    <row r="88" spans="2:4" x14ac:dyDescent="0.2">
      <c r="B88" s="1">
        <v>72.5</v>
      </c>
      <c r="C88" s="1">
        <v>1.6632</v>
      </c>
      <c r="D88" s="1">
        <f t="shared" si="3"/>
        <v>4.2106779522218599E-3</v>
      </c>
    </row>
    <row r="89" spans="2:4" x14ac:dyDescent="0.2">
      <c r="B89" s="1">
        <v>73</v>
      </c>
      <c r="C89" s="1">
        <v>1.6672</v>
      </c>
      <c r="D89" s="1">
        <f t="shared" si="3"/>
        <v>-1.8358256938434573E-2</v>
      </c>
    </row>
    <row r="90" spans="2:4" x14ac:dyDescent="0.2">
      <c r="B90" s="1">
        <v>73.5</v>
      </c>
      <c r="C90" s="1">
        <v>1.6649</v>
      </c>
      <c r="D90" s="1">
        <f t="shared" si="3"/>
        <v>1.7078300849654433E-3</v>
      </c>
    </row>
    <row r="91" spans="2:4" x14ac:dyDescent="0.2">
      <c r="B91" s="1">
        <v>74</v>
      </c>
      <c r="C91" s="1">
        <v>1.6637</v>
      </c>
      <c r="D91" s="1">
        <f t="shared" si="3"/>
        <v>1.431562260001599E-2</v>
      </c>
    </row>
    <row r="92" spans="2:4" x14ac:dyDescent="0.2">
      <c r="B92" s="1">
        <v>74.5</v>
      </c>
      <c r="C92" s="1">
        <v>1.6654</v>
      </c>
      <c r="D92" s="1">
        <f t="shared" si="3"/>
        <v>7.3175246529523881E-3</v>
      </c>
    </row>
    <row r="93" spans="2:4" x14ac:dyDescent="0.2">
      <c r="B93" s="1">
        <v>75</v>
      </c>
      <c r="C93" s="1">
        <v>1.667</v>
      </c>
      <c r="D93" s="1">
        <f t="shared" si="3"/>
        <v>1.0025528715263911E-3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Curve 1</vt:lpstr>
      <vt:lpstr>Example Curve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2026-01-15T20:07:41Z</dcterms:created>
  <dcterms:modified xsi:type="dcterms:W3CDTF">2026-01-17T22:37:49Z</dcterms:modified>
</cp:coreProperties>
</file>