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toronto-my.sharepoint.com/personal/d_dubins_utoronto_ca/Documents/Lectures/PHC421 2026/outgoing/"/>
    </mc:Choice>
  </mc:AlternateContent>
  <xr:revisionPtr revIDLastSave="0" documentId="8_{92BF7AA5-202F-4D88-9B15-2E34AB1D2607}" xr6:coauthVersionLast="47" xr6:coauthVersionMax="47" xr10:uidLastSave="{00000000-0000-0000-0000-000000000000}"/>
  <bookViews>
    <workbookView xWindow="11520" yWindow="-15930" windowWidth="28770" windowHeight="15450" xr2:uid="{37AC6A64-3DFA-4E6A-9691-E5565F26C98E}"/>
  </bookViews>
  <sheets>
    <sheet name="Worked Example - BF3 NSC (n=2)" sheetId="8" r:id="rId1"/>
    <sheet name="Ex1-NSC (n=2)" sheetId="2" r:id="rId2"/>
    <sheet name="Ex2-SC (n=1)" sheetId="1" r:id="rId3"/>
    <sheet name="Ex3-SC (n=2)" sheetId="7" r:id="rId4"/>
    <sheet name="Ex4-SC (n=4)" sheetId="4" r:id="rId5"/>
    <sheet name="Ex5-SC Titration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J57" i="2"/>
  <c r="J56" i="2"/>
  <c r="J54" i="2"/>
  <c r="J52" i="2"/>
  <c r="J51" i="2"/>
  <c r="J50" i="2"/>
  <c r="J49" i="2"/>
  <c r="G54" i="2"/>
  <c r="K46" i="2"/>
  <c r="K4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F7" i="2"/>
  <c r="F6" i="2"/>
  <c r="F4" i="2"/>
  <c r="F3" i="2"/>
  <c r="F7" i="1" l="1"/>
  <c r="F6" i="1"/>
  <c r="F4" i="1"/>
  <c r="F3" i="1"/>
  <c r="E34" i="8"/>
  <c r="H34" i="8" s="1"/>
  <c r="G7" i="8"/>
  <c r="G6" i="8"/>
  <c r="G4" i="8"/>
  <c r="G3" i="8"/>
  <c r="E35" i="8"/>
  <c r="E33" i="8"/>
  <c r="H35" i="8"/>
  <c r="H33" i="8"/>
  <c r="G6" i="7"/>
  <c r="G3" i="7"/>
  <c r="D8" i="8" l="1"/>
  <c r="D4" i="8"/>
  <c r="D5" i="8"/>
  <c r="D6" i="8"/>
  <c r="D7" i="8"/>
  <c r="D9" i="8"/>
  <c r="D11" i="8"/>
  <c r="D12" i="8"/>
  <c r="D13" i="8"/>
  <c r="D14" i="8"/>
  <c r="D15" i="8"/>
  <c r="D17" i="8"/>
  <c r="D19" i="8"/>
  <c r="D20" i="8"/>
  <c r="D21" i="8"/>
  <c r="D22" i="8"/>
  <c r="D23" i="8"/>
  <c r="D25" i="8"/>
  <c r="D27" i="8"/>
  <c r="D28" i="8"/>
  <c r="D29" i="8"/>
  <c r="D30" i="8"/>
  <c r="D31" i="8"/>
  <c r="D33" i="8"/>
  <c r="F33" i="8" s="1"/>
  <c r="D35" i="8"/>
  <c r="F35" i="8" s="1"/>
  <c r="I35" i="8" s="1"/>
  <c r="D36" i="8"/>
  <c r="D37" i="8"/>
  <c r="D38" i="8"/>
  <c r="D39" i="8"/>
  <c r="D41" i="8"/>
  <c r="D43" i="8"/>
  <c r="D44" i="8"/>
  <c r="D45" i="8"/>
  <c r="D46" i="8"/>
  <c r="D47" i="8"/>
  <c r="D49" i="8"/>
  <c r="D51" i="8"/>
  <c r="D52" i="8"/>
  <c r="D53" i="8"/>
  <c r="D54" i="8"/>
  <c r="D55" i="8"/>
  <c r="D57" i="8"/>
  <c r="D59" i="8"/>
  <c r="D60" i="8"/>
  <c r="D61" i="8"/>
  <c r="D62" i="8"/>
  <c r="D63" i="8"/>
  <c r="D65" i="8"/>
  <c r="D67" i="8"/>
  <c r="D68" i="8"/>
  <c r="D69" i="8"/>
  <c r="D70" i="8"/>
  <c r="D71" i="8"/>
  <c r="D73" i="8"/>
  <c r="D75" i="8"/>
  <c r="D76" i="8"/>
  <c r="D77" i="8"/>
  <c r="D78" i="8"/>
  <c r="D79" i="8"/>
  <c r="D81" i="8"/>
  <c r="D83" i="8"/>
  <c r="D84" i="8"/>
  <c r="D85" i="8"/>
  <c r="D86" i="8"/>
  <c r="D87" i="8"/>
  <c r="D89" i="8"/>
  <c r="D91" i="8"/>
  <c r="D92" i="8"/>
  <c r="D93" i="8"/>
  <c r="D3" i="8"/>
  <c r="I33" i="8" l="1"/>
  <c r="D90" i="8"/>
  <c r="D82" i="8"/>
  <c r="D74" i="8"/>
  <c r="D66" i="8"/>
  <c r="D58" i="8"/>
  <c r="D50" i="8"/>
  <c r="D42" i="8"/>
  <c r="D34" i="8"/>
  <c r="F34" i="8" s="1"/>
  <c r="I34" i="8" s="1"/>
  <c r="D26" i="8"/>
  <c r="D18" i="8"/>
  <c r="D10" i="8"/>
  <c r="D88" i="8"/>
  <c r="D80" i="8"/>
  <c r="D72" i="8"/>
  <c r="D64" i="8"/>
  <c r="D56" i="8"/>
  <c r="D48" i="8"/>
  <c r="D40" i="8"/>
  <c r="D32" i="8"/>
  <c r="D24" i="8"/>
  <c r="D16" i="8"/>
  <c r="F40" i="8" l="1"/>
  <c r="I40" i="8"/>
  <c r="I39" i="8"/>
  <c r="I42" i="8" s="1"/>
  <c r="F39" i="8"/>
  <c r="F42" i="8" l="1"/>
  <c r="G7" i="7" l="1"/>
  <c r="G4" i="7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4" l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3" i="4"/>
  <c r="G3" i="4"/>
  <c r="G7" i="4"/>
  <c r="G6" i="4"/>
  <c r="G4" i="4"/>
</calcChain>
</file>

<file path=xl/sharedStrings.xml><?xml version="1.0" encoding="utf-8"?>
<sst xmlns="http://schemas.openxmlformats.org/spreadsheetml/2006/main" count="75" uniqueCount="39">
  <si>
    <t>Temperature</t>
  </si>
  <si>
    <t>Abs</t>
  </si>
  <si>
    <t>Lint:</t>
  </si>
  <si>
    <t>Lslope:</t>
  </si>
  <si>
    <t>Uint:</t>
  </si>
  <si>
    <t>Uslope:</t>
  </si>
  <si>
    <t>Alpha</t>
  </si>
  <si>
    <t>[K+] (M)</t>
  </si>
  <si>
    <t>Ktot</t>
  </si>
  <si>
    <t>Molar Elipticity at 268 nm</t>
  </si>
  <si>
    <t>M</t>
  </si>
  <si>
    <t>Au</t>
  </si>
  <si>
    <t>Af</t>
  </si>
  <si>
    <r>
      <t>C</t>
    </r>
    <r>
      <rPr>
        <b/>
        <vertAlign val="subscript"/>
        <sz val="10"/>
        <rFont val="Arial"/>
        <family val="2"/>
      </rPr>
      <t>T</t>
    </r>
    <r>
      <rPr>
        <b/>
        <sz val="10"/>
        <rFont val="Arial"/>
        <family val="2"/>
      </rPr>
      <t>:</t>
    </r>
  </si>
  <si>
    <t>Tm Region:</t>
  </si>
  <si>
    <t>1/T (1/K)</t>
  </si>
  <si>
    <t>Slope:</t>
  </si>
  <si>
    <t>Intercept:</t>
  </si>
  <si>
    <t>Tm:</t>
  </si>
  <si>
    <t>degC</t>
  </si>
  <si>
    <t>DHvH:</t>
  </si>
  <si>
    <t>J/mol</t>
  </si>
  <si>
    <r>
      <t>T (</t>
    </r>
    <r>
      <rPr>
        <sz val="10"/>
        <rFont val="Symbol"/>
        <family val="1"/>
        <charset val="2"/>
      </rPr>
      <t>°</t>
    </r>
    <r>
      <rPr>
        <sz val="10"/>
        <rFont val="Arial"/>
        <family val="2"/>
      </rPr>
      <t>C)</t>
    </r>
  </si>
  <si>
    <t>Lint</t>
  </si>
  <si>
    <t>Lslope</t>
  </si>
  <si>
    <t>Uint</t>
  </si>
  <si>
    <t>Uslope</t>
  </si>
  <si>
    <r>
      <t>C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>:</t>
    </r>
  </si>
  <si>
    <t>Lower Int</t>
  </si>
  <si>
    <t>Lower Slope</t>
  </si>
  <si>
    <t>Higher Int</t>
  </si>
  <si>
    <t>Higher Slope</t>
  </si>
  <si>
    <t>T</t>
  </si>
  <si>
    <t>Tm</t>
  </si>
  <si>
    <t>degrees C</t>
  </si>
  <si>
    <t>1/T</t>
  </si>
  <si>
    <t>`</t>
  </si>
  <si>
    <t>DH:</t>
  </si>
  <si>
    <t>kJ/mol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</si>
</sst>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0"/>
      <color rgb="FF0070C0"/>
      <name val="Arial"/>
      <family val="2"/>
    </font>
    <font>
      <sz val="10"/>
      <name val="Symbol"/>
      <family val="1"/>
      <charset val="2"/>
    </font>
    <font>
      <vertAlign val="sub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11" fontId="0" fillId="2" borderId="0" xfId="0" applyNumberForma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4" fillId="2" borderId="0" xfId="0" applyFont="1" applyFill="1"/>
    <xf numFmtId="164" fontId="4" fillId="2" borderId="0" xfId="0" applyNumberFormat="1" applyFont="1" applyFill="1" applyAlignment="1">
      <alignment horizontal="center"/>
    </xf>
    <xf numFmtId="165" fontId="4" fillId="2" borderId="0" xfId="0" applyNumberFormat="1" applyFont="1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Duplex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UV</a:t>
            </a:r>
            <a:r>
              <a:rPr lang="en-US" baseline="0"/>
              <a:t> Absorbance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21379629629629629"/>
          <c:w val="0.81232174103237098"/>
          <c:h val="0.578156167979002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'Worked Example - BF3 NSC (n=2)'!$C$2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'Worked Example - BF3 NSC (n=2)'!$B$3:$B$93</c:f>
              <c:numCache>
                <c:formatCode>General</c:formatCode>
                <c:ptCount val="91"/>
                <c:pt idx="0">
                  <c:v>29.950000762939453</c:v>
                </c:pt>
                <c:pt idx="1">
                  <c:v>30.689998626708984</c:v>
                </c:pt>
                <c:pt idx="2">
                  <c:v>32.090003967285156</c:v>
                </c:pt>
                <c:pt idx="3">
                  <c:v>32.739997863769531</c:v>
                </c:pt>
                <c:pt idx="4">
                  <c:v>33.349998474121094</c:v>
                </c:pt>
                <c:pt idx="5">
                  <c:v>34.030002593994141</c:v>
                </c:pt>
                <c:pt idx="6">
                  <c:v>35.399997711181641</c:v>
                </c:pt>
                <c:pt idx="7">
                  <c:v>36.170001983642578</c:v>
                </c:pt>
                <c:pt idx="8">
                  <c:v>36.799995422363281</c:v>
                </c:pt>
                <c:pt idx="9">
                  <c:v>37.399997711181641</c:v>
                </c:pt>
                <c:pt idx="10">
                  <c:v>38.8699951171875</c:v>
                </c:pt>
                <c:pt idx="11">
                  <c:v>39.489997863769531</c:v>
                </c:pt>
                <c:pt idx="12">
                  <c:v>40.150001525878906</c:v>
                </c:pt>
                <c:pt idx="13">
                  <c:v>40.840000152587891</c:v>
                </c:pt>
                <c:pt idx="14">
                  <c:v>41.510002136230469</c:v>
                </c:pt>
                <c:pt idx="15">
                  <c:v>42.170005798339844</c:v>
                </c:pt>
                <c:pt idx="16">
                  <c:v>43.530002593994141</c:v>
                </c:pt>
                <c:pt idx="17">
                  <c:v>44.299995422363281</c:v>
                </c:pt>
                <c:pt idx="18">
                  <c:v>44.899997711181641</c:v>
                </c:pt>
                <c:pt idx="19">
                  <c:v>45.620002746582031</c:v>
                </c:pt>
                <c:pt idx="20">
                  <c:v>46.359996795654297</c:v>
                </c:pt>
                <c:pt idx="21">
                  <c:v>47.000003814697266</c:v>
                </c:pt>
                <c:pt idx="22">
                  <c:v>47.640007019042969</c:v>
                </c:pt>
                <c:pt idx="23">
                  <c:v>48.299995422363281</c:v>
                </c:pt>
                <c:pt idx="24">
                  <c:v>49.100002288818359</c:v>
                </c:pt>
                <c:pt idx="25">
                  <c:v>49.739997863769531</c:v>
                </c:pt>
                <c:pt idx="26">
                  <c:v>50.349998474121094</c:v>
                </c:pt>
                <c:pt idx="27">
                  <c:v>51.100002288818359</c:v>
                </c:pt>
                <c:pt idx="28">
                  <c:v>51.769996643066406</c:v>
                </c:pt>
                <c:pt idx="29">
                  <c:v>52.409996032714844</c:v>
                </c:pt>
                <c:pt idx="30">
                  <c:v>53.099998474121094</c:v>
                </c:pt>
                <c:pt idx="31">
                  <c:v>53.700004577636719</c:v>
                </c:pt>
                <c:pt idx="32">
                  <c:v>54.419994354248047</c:v>
                </c:pt>
                <c:pt idx="33">
                  <c:v>55.200004577636719</c:v>
                </c:pt>
                <c:pt idx="34">
                  <c:v>55.799995422363281</c:v>
                </c:pt>
                <c:pt idx="35">
                  <c:v>56.529998779296875</c:v>
                </c:pt>
                <c:pt idx="36">
                  <c:v>57.099998474121094</c:v>
                </c:pt>
                <c:pt idx="37">
                  <c:v>58.640003204345703</c:v>
                </c:pt>
                <c:pt idx="38">
                  <c:v>59.259998321533203</c:v>
                </c:pt>
                <c:pt idx="39">
                  <c:v>59.900001525878906</c:v>
                </c:pt>
                <c:pt idx="40">
                  <c:v>60.599998474121094</c:v>
                </c:pt>
                <c:pt idx="41">
                  <c:v>61.259998321533203</c:v>
                </c:pt>
                <c:pt idx="42">
                  <c:v>62.700004577636719</c:v>
                </c:pt>
                <c:pt idx="43">
                  <c:v>63.370002746582031</c:v>
                </c:pt>
                <c:pt idx="44">
                  <c:v>64.170005798339844</c:v>
                </c:pt>
                <c:pt idx="45">
                  <c:v>64.799995422363281</c:v>
                </c:pt>
                <c:pt idx="46">
                  <c:v>65.400009155273438</c:v>
                </c:pt>
                <c:pt idx="47">
                  <c:v>66.099990844726563</c:v>
                </c:pt>
                <c:pt idx="48">
                  <c:v>66.759994506835938</c:v>
                </c:pt>
                <c:pt idx="49">
                  <c:v>67.509994506835938</c:v>
                </c:pt>
                <c:pt idx="50">
                  <c:v>68.200004577636719</c:v>
                </c:pt>
                <c:pt idx="51">
                  <c:v>68.860000610351563</c:v>
                </c:pt>
                <c:pt idx="52">
                  <c:v>69.479995727539063</c:v>
                </c:pt>
                <c:pt idx="53">
                  <c:v>70.099990844726563</c:v>
                </c:pt>
                <c:pt idx="54">
                  <c:v>70.800003051757813</c:v>
                </c:pt>
                <c:pt idx="55">
                  <c:v>71.340003967285156</c:v>
                </c:pt>
                <c:pt idx="56">
                  <c:v>71.720001220703125</c:v>
                </c:pt>
                <c:pt idx="57">
                  <c:v>72.789993286132813</c:v>
                </c:pt>
                <c:pt idx="58">
                  <c:v>73.249992370605469</c:v>
                </c:pt>
                <c:pt idx="59">
                  <c:v>73.539993286132813</c:v>
                </c:pt>
                <c:pt idx="60">
                  <c:v>73.970001220703125</c:v>
                </c:pt>
                <c:pt idx="61">
                  <c:v>74.19000244140625</c:v>
                </c:pt>
                <c:pt idx="62">
                  <c:v>74.610000610351563</c:v>
                </c:pt>
                <c:pt idx="63">
                  <c:v>74.819999694824219</c:v>
                </c:pt>
                <c:pt idx="64">
                  <c:v>75.099990844726563</c:v>
                </c:pt>
                <c:pt idx="65">
                  <c:v>75.200004577636719</c:v>
                </c:pt>
                <c:pt idx="66">
                  <c:v>75.360000610351563</c:v>
                </c:pt>
                <c:pt idx="67">
                  <c:v>75.599990844726563</c:v>
                </c:pt>
                <c:pt idx="68">
                  <c:v>75.700004577636719</c:v>
                </c:pt>
                <c:pt idx="69">
                  <c:v>75.799995422363281</c:v>
                </c:pt>
                <c:pt idx="70">
                  <c:v>75.700004577636719</c:v>
                </c:pt>
                <c:pt idx="71">
                  <c:v>75.680007934570313</c:v>
                </c:pt>
                <c:pt idx="72">
                  <c:v>75.5</c:v>
                </c:pt>
                <c:pt idx="73">
                  <c:v>75.200004577636719</c:v>
                </c:pt>
                <c:pt idx="74">
                  <c:v>75.099990844726563</c:v>
                </c:pt>
                <c:pt idx="75">
                  <c:v>74.700004577636719</c:v>
                </c:pt>
                <c:pt idx="76">
                  <c:v>68</c:v>
                </c:pt>
                <c:pt idx="77">
                  <c:v>68.5</c:v>
                </c:pt>
                <c:pt idx="78">
                  <c:v>69</c:v>
                </c:pt>
                <c:pt idx="79">
                  <c:v>69.5</c:v>
                </c:pt>
                <c:pt idx="80">
                  <c:v>70</c:v>
                </c:pt>
                <c:pt idx="81">
                  <c:v>70.5</c:v>
                </c:pt>
                <c:pt idx="82">
                  <c:v>71</c:v>
                </c:pt>
                <c:pt idx="83">
                  <c:v>71.5</c:v>
                </c:pt>
                <c:pt idx="84">
                  <c:v>72</c:v>
                </c:pt>
                <c:pt idx="85">
                  <c:v>72.5</c:v>
                </c:pt>
                <c:pt idx="86">
                  <c:v>73</c:v>
                </c:pt>
                <c:pt idx="87">
                  <c:v>73.5</c:v>
                </c:pt>
                <c:pt idx="88">
                  <c:v>74</c:v>
                </c:pt>
                <c:pt idx="89">
                  <c:v>74.5</c:v>
                </c:pt>
                <c:pt idx="90">
                  <c:v>75</c:v>
                </c:pt>
              </c:numCache>
            </c:numRef>
          </c:xVal>
          <c:yVal>
            <c:numRef>
              <c:f>'Worked Example - BF3 NSC (n=2)'!$C$3:$C$93</c:f>
              <c:numCache>
                <c:formatCode>General</c:formatCode>
                <c:ptCount val="91"/>
                <c:pt idx="0">
                  <c:v>1.4686559438705444</c:v>
                </c:pt>
                <c:pt idx="1">
                  <c:v>1.4689888954162598</c:v>
                </c:pt>
                <c:pt idx="2">
                  <c:v>1.4698195457458496</c:v>
                </c:pt>
                <c:pt idx="3">
                  <c:v>1.4704116582870483</c:v>
                </c:pt>
                <c:pt idx="4">
                  <c:v>1.4707798957824707</c:v>
                </c:pt>
                <c:pt idx="5">
                  <c:v>1.4713722467422485</c:v>
                </c:pt>
                <c:pt idx="6">
                  <c:v>1.472547173500061</c:v>
                </c:pt>
                <c:pt idx="7">
                  <c:v>1.4734299182891846</c:v>
                </c:pt>
                <c:pt idx="8">
                  <c:v>1.4740196466445923</c:v>
                </c:pt>
                <c:pt idx="9">
                  <c:v>1.4746360778808594</c:v>
                </c:pt>
                <c:pt idx="10">
                  <c:v>1.4759232997894287</c:v>
                </c:pt>
                <c:pt idx="11">
                  <c:v>1.4767177104949951</c:v>
                </c:pt>
                <c:pt idx="12">
                  <c:v>1.477866530418396</c:v>
                </c:pt>
                <c:pt idx="13">
                  <c:v>1.4785377979278564</c:v>
                </c:pt>
                <c:pt idx="14">
                  <c:v>1.4795435667037964</c:v>
                </c:pt>
                <c:pt idx="15">
                  <c:v>1.4804240465164185</c:v>
                </c:pt>
                <c:pt idx="16">
                  <c:v>1.4740570783615112</c:v>
                </c:pt>
                <c:pt idx="17">
                  <c:v>1.4834516048431396</c:v>
                </c:pt>
                <c:pt idx="18">
                  <c:v>1.4846687316894531</c:v>
                </c:pt>
                <c:pt idx="19">
                  <c:v>1.4862792491912842</c:v>
                </c:pt>
                <c:pt idx="20">
                  <c:v>1.4876868724822998</c:v>
                </c:pt>
                <c:pt idx="21">
                  <c:v>1.4896694421768188</c:v>
                </c:pt>
                <c:pt idx="22">
                  <c:v>1.4916332960128784</c:v>
                </c:pt>
                <c:pt idx="23">
                  <c:v>1.487445592880249</c:v>
                </c:pt>
                <c:pt idx="24">
                  <c:v>1.49826979637146</c:v>
                </c:pt>
                <c:pt idx="25">
                  <c:v>1.5027670860290527</c:v>
                </c:pt>
                <c:pt idx="26">
                  <c:v>1.5084432363510132</c:v>
                </c:pt>
                <c:pt idx="27">
                  <c:v>1.5158517360687256</c:v>
                </c:pt>
                <c:pt idx="28">
                  <c:v>1.5266169309616089</c:v>
                </c:pt>
                <c:pt idx="29">
                  <c:v>1.5375053882598877</c:v>
                </c:pt>
                <c:pt idx="30">
                  <c:v>1.5498692989349365</c:v>
                </c:pt>
                <c:pt idx="31">
                  <c:v>1.5632619857788086</c:v>
                </c:pt>
                <c:pt idx="32">
                  <c:v>1.5782878398895264</c:v>
                </c:pt>
                <c:pt idx="33">
                  <c:v>1.5934518575668335</c:v>
                </c:pt>
                <c:pt idx="34">
                  <c:v>1.605704665184021</c:v>
                </c:pt>
                <c:pt idx="35">
                  <c:v>1.6165859699249268</c:v>
                </c:pt>
                <c:pt idx="36">
                  <c:v>1.6250371932983398</c:v>
                </c:pt>
                <c:pt idx="37">
                  <c:v>1.6389869451522827</c:v>
                </c:pt>
                <c:pt idx="38">
                  <c:v>1.618234395980835</c:v>
                </c:pt>
                <c:pt idx="39">
                  <c:v>1.6459001302719116</c:v>
                </c:pt>
                <c:pt idx="40">
                  <c:v>1.6479284763336182</c:v>
                </c:pt>
                <c:pt idx="41">
                  <c:v>1.6496899127960205</c:v>
                </c:pt>
                <c:pt idx="42">
                  <c:v>1.6525243520736694</c:v>
                </c:pt>
                <c:pt idx="43">
                  <c:v>1.6535017490386963</c:v>
                </c:pt>
                <c:pt idx="44">
                  <c:v>1.6545381546020508</c:v>
                </c:pt>
                <c:pt idx="45">
                  <c:v>1.6551145315170288</c:v>
                </c:pt>
                <c:pt idx="46">
                  <c:v>1.6559721231460571</c:v>
                </c:pt>
                <c:pt idx="47">
                  <c:v>1.6562703847885132</c:v>
                </c:pt>
                <c:pt idx="48">
                  <c:v>1.6571578979492188</c:v>
                </c:pt>
                <c:pt idx="49">
                  <c:v>1.6577621698379517</c:v>
                </c:pt>
                <c:pt idx="50">
                  <c:v>1.6584163904190063</c:v>
                </c:pt>
                <c:pt idx="51">
                  <c:v>1.6588691473007202</c:v>
                </c:pt>
                <c:pt idx="52">
                  <c:v>1.6594480276107788</c:v>
                </c:pt>
                <c:pt idx="53">
                  <c:v>1.6601402759552002</c:v>
                </c:pt>
                <c:pt idx="54">
                  <c:v>1.6608860492706299</c:v>
                </c:pt>
                <c:pt idx="55">
                  <c:v>1.6614091396331787</c:v>
                </c:pt>
                <c:pt idx="56">
                  <c:v>1.6619892120361328</c:v>
                </c:pt>
                <c:pt idx="57">
                  <c:v>1.6633421182632446</c:v>
                </c:pt>
                <c:pt idx="58">
                  <c:v>1.6636871099472046</c:v>
                </c:pt>
                <c:pt idx="59">
                  <c:v>1.6638771295547485</c:v>
                </c:pt>
                <c:pt idx="60">
                  <c:v>1.6642653942108154</c:v>
                </c:pt>
                <c:pt idx="61">
                  <c:v>1.6646051406860352</c:v>
                </c:pt>
                <c:pt idx="62">
                  <c:v>1.6650968790054321</c:v>
                </c:pt>
                <c:pt idx="63">
                  <c:v>1.665452241897583</c:v>
                </c:pt>
                <c:pt idx="64">
                  <c:v>1.6661735773086548</c:v>
                </c:pt>
                <c:pt idx="65">
                  <c:v>1.6662647724151611</c:v>
                </c:pt>
                <c:pt idx="66">
                  <c:v>1.6666231155395508</c:v>
                </c:pt>
                <c:pt idx="67">
                  <c:v>1.6669867038726807</c:v>
                </c:pt>
                <c:pt idx="68">
                  <c:v>1.6674244403839111</c:v>
                </c:pt>
                <c:pt idx="69">
                  <c:v>1.6677656173706055</c:v>
                </c:pt>
                <c:pt idx="70">
                  <c:v>1.6681572198867798</c:v>
                </c:pt>
                <c:pt idx="71">
                  <c:v>1.6680501699447632</c:v>
                </c:pt>
                <c:pt idx="72">
                  <c:v>1.6681125164031982</c:v>
                </c:pt>
                <c:pt idx="73">
                  <c:v>1.6681134700775146</c:v>
                </c:pt>
                <c:pt idx="74">
                  <c:v>1.6680018901824951</c:v>
                </c:pt>
                <c:pt idx="75">
                  <c:v>1.667841911315918</c:v>
                </c:pt>
                <c:pt idx="76">
                  <c:v>1.6554</c:v>
                </c:pt>
                <c:pt idx="77">
                  <c:v>1.6576</c:v>
                </c:pt>
                <c:pt idx="78">
                  <c:v>1.6593</c:v>
                </c:pt>
                <c:pt idx="79">
                  <c:v>1.6614</c:v>
                </c:pt>
                <c:pt idx="80">
                  <c:v>1.6608000000000001</c:v>
                </c:pt>
                <c:pt idx="81">
                  <c:v>1.661</c:v>
                </c:pt>
                <c:pt idx="82">
                  <c:v>1.6646000000000001</c:v>
                </c:pt>
                <c:pt idx="83">
                  <c:v>1.6641999999999999</c:v>
                </c:pt>
                <c:pt idx="84">
                  <c:v>1.6626000000000001</c:v>
                </c:pt>
                <c:pt idx="85">
                  <c:v>1.6632</c:v>
                </c:pt>
                <c:pt idx="86">
                  <c:v>1.6672</c:v>
                </c:pt>
                <c:pt idx="87">
                  <c:v>1.6649</c:v>
                </c:pt>
                <c:pt idx="88">
                  <c:v>1.6637</c:v>
                </c:pt>
                <c:pt idx="89">
                  <c:v>1.6654</c:v>
                </c:pt>
                <c:pt idx="90">
                  <c:v>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0-4CAF-BB38-5B7472C64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ax val="7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Melting Curve</a:t>
            </a:r>
          </a:p>
          <a:p>
            <a:pPr>
              <a:defRPr/>
            </a:pPr>
            <a:r>
              <a:rPr lang="en-US"/>
              <a:t>Fraction of Duplex vs.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94857963181504"/>
          <c:y val="0.1710617618185255"/>
          <c:w val="0.80536939281961895"/>
          <c:h val="0.7254028938847934"/>
        </c:manualLayout>
      </c:layout>
      <c:scatterChart>
        <c:scatterStyle val="lineMarker"/>
        <c:varyColors val="0"/>
        <c:ser>
          <c:idx val="1"/>
          <c:order val="0"/>
          <c:tx>
            <c:strRef>
              <c:f>'Worked Example - BF3 NSC (n=2)'!$D$2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'Worked Example - BF3 NSC (n=2)'!$B$3:$B$93</c:f>
              <c:numCache>
                <c:formatCode>General</c:formatCode>
                <c:ptCount val="91"/>
                <c:pt idx="0">
                  <c:v>29.950000762939453</c:v>
                </c:pt>
                <c:pt idx="1">
                  <c:v>30.689998626708984</c:v>
                </c:pt>
                <c:pt idx="2">
                  <c:v>32.090003967285156</c:v>
                </c:pt>
                <c:pt idx="3">
                  <c:v>32.739997863769531</c:v>
                </c:pt>
                <c:pt idx="4">
                  <c:v>33.349998474121094</c:v>
                </c:pt>
                <c:pt idx="5">
                  <c:v>34.030002593994141</c:v>
                </c:pt>
                <c:pt idx="6">
                  <c:v>35.399997711181641</c:v>
                </c:pt>
                <c:pt idx="7">
                  <c:v>36.170001983642578</c:v>
                </c:pt>
                <c:pt idx="8">
                  <c:v>36.799995422363281</c:v>
                </c:pt>
                <c:pt idx="9">
                  <c:v>37.399997711181641</c:v>
                </c:pt>
                <c:pt idx="10">
                  <c:v>38.8699951171875</c:v>
                </c:pt>
                <c:pt idx="11">
                  <c:v>39.489997863769531</c:v>
                </c:pt>
                <c:pt idx="12">
                  <c:v>40.150001525878906</c:v>
                </c:pt>
                <c:pt idx="13">
                  <c:v>40.840000152587891</c:v>
                </c:pt>
                <c:pt idx="14">
                  <c:v>41.510002136230469</c:v>
                </c:pt>
                <c:pt idx="15">
                  <c:v>42.170005798339844</c:v>
                </c:pt>
                <c:pt idx="16">
                  <c:v>43.530002593994141</c:v>
                </c:pt>
                <c:pt idx="17">
                  <c:v>44.299995422363281</c:v>
                </c:pt>
                <c:pt idx="18">
                  <c:v>44.899997711181641</c:v>
                </c:pt>
                <c:pt idx="19">
                  <c:v>45.620002746582031</c:v>
                </c:pt>
                <c:pt idx="20">
                  <c:v>46.359996795654297</c:v>
                </c:pt>
                <c:pt idx="21">
                  <c:v>47.000003814697266</c:v>
                </c:pt>
                <c:pt idx="22">
                  <c:v>47.640007019042969</c:v>
                </c:pt>
                <c:pt idx="23">
                  <c:v>48.299995422363281</c:v>
                </c:pt>
                <c:pt idx="24">
                  <c:v>49.100002288818359</c:v>
                </c:pt>
                <c:pt idx="25">
                  <c:v>49.739997863769531</c:v>
                </c:pt>
                <c:pt idx="26">
                  <c:v>50.349998474121094</c:v>
                </c:pt>
                <c:pt idx="27">
                  <c:v>51.100002288818359</c:v>
                </c:pt>
                <c:pt idx="28">
                  <c:v>51.769996643066406</c:v>
                </c:pt>
                <c:pt idx="29">
                  <c:v>52.409996032714844</c:v>
                </c:pt>
                <c:pt idx="30">
                  <c:v>53.099998474121094</c:v>
                </c:pt>
                <c:pt idx="31">
                  <c:v>53.700004577636719</c:v>
                </c:pt>
                <c:pt idx="32">
                  <c:v>54.419994354248047</c:v>
                </c:pt>
                <c:pt idx="33">
                  <c:v>55.200004577636719</c:v>
                </c:pt>
                <c:pt idx="34">
                  <c:v>55.799995422363281</c:v>
                </c:pt>
                <c:pt idx="35">
                  <c:v>56.529998779296875</c:v>
                </c:pt>
                <c:pt idx="36">
                  <c:v>57.099998474121094</c:v>
                </c:pt>
                <c:pt idx="37">
                  <c:v>58.640003204345703</c:v>
                </c:pt>
                <c:pt idx="38">
                  <c:v>59.259998321533203</c:v>
                </c:pt>
                <c:pt idx="39">
                  <c:v>59.900001525878906</c:v>
                </c:pt>
                <c:pt idx="40">
                  <c:v>60.599998474121094</c:v>
                </c:pt>
                <c:pt idx="41">
                  <c:v>61.259998321533203</c:v>
                </c:pt>
                <c:pt idx="42">
                  <c:v>62.700004577636719</c:v>
                </c:pt>
                <c:pt idx="43">
                  <c:v>63.370002746582031</c:v>
                </c:pt>
                <c:pt idx="44">
                  <c:v>64.170005798339844</c:v>
                </c:pt>
                <c:pt idx="45">
                  <c:v>64.799995422363281</c:v>
                </c:pt>
                <c:pt idx="46">
                  <c:v>65.400009155273438</c:v>
                </c:pt>
                <c:pt idx="47">
                  <c:v>66.099990844726563</c:v>
                </c:pt>
                <c:pt idx="48">
                  <c:v>66.759994506835938</c:v>
                </c:pt>
                <c:pt idx="49">
                  <c:v>67.509994506835938</c:v>
                </c:pt>
                <c:pt idx="50">
                  <c:v>68.200004577636719</c:v>
                </c:pt>
                <c:pt idx="51">
                  <c:v>68.860000610351563</c:v>
                </c:pt>
                <c:pt idx="52">
                  <c:v>69.479995727539063</c:v>
                </c:pt>
                <c:pt idx="53">
                  <c:v>70.099990844726563</c:v>
                </c:pt>
                <c:pt idx="54">
                  <c:v>70.800003051757813</c:v>
                </c:pt>
                <c:pt idx="55">
                  <c:v>71.340003967285156</c:v>
                </c:pt>
                <c:pt idx="56">
                  <c:v>71.720001220703125</c:v>
                </c:pt>
                <c:pt idx="57">
                  <c:v>72.789993286132813</c:v>
                </c:pt>
                <c:pt idx="58">
                  <c:v>73.249992370605469</c:v>
                </c:pt>
                <c:pt idx="59">
                  <c:v>73.539993286132813</c:v>
                </c:pt>
                <c:pt idx="60">
                  <c:v>73.970001220703125</c:v>
                </c:pt>
                <c:pt idx="61">
                  <c:v>74.19000244140625</c:v>
                </c:pt>
                <c:pt idx="62">
                  <c:v>74.610000610351563</c:v>
                </c:pt>
                <c:pt idx="63">
                  <c:v>74.819999694824219</c:v>
                </c:pt>
                <c:pt idx="64">
                  <c:v>75.099990844726563</c:v>
                </c:pt>
                <c:pt idx="65">
                  <c:v>75.200004577636719</c:v>
                </c:pt>
                <c:pt idx="66">
                  <c:v>75.360000610351563</c:v>
                </c:pt>
                <c:pt idx="67">
                  <c:v>75.599990844726563</c:v>
                </c:pt>
                <c:pt idx="68">
                  <c:v>75.700004577636719</c:v>
                </c:pt>
                <c:pt idx="69">
                  <c:v>75.799995422363281</c:v>
                </c:pt>
                <c:pt idx="70">
                  <c:v>75.700004577636719</c:v>
                </c:pt>
                <c:pt idx="71">
                  <c:v>75.680007934570313</c:v>
                </c:pt>
                <c:pt idx="72">
                  <c:v>75.5</c:v>
                </c:pt>
                <c:pt idx="73">
                  <c:v>75.200004577636719</c:v>
                </c:pt>
                <c:pt idx="74">
                  <c:v>75.099990844726563</c:v>
                </c:pt>
                <c:pt idx="75">
                  <c:v>74.700004577636719</c:v>
                </c:pt>
                <c:pt idx="76">
                  <c:v>68</c:v>
                </c:pt>
                <c:pt idx="77">
                  <c:v>68.5</c:v>
                </c:pt>
                <c:pt idx="78">
                  <c:v>69</c:v>
                </c:pt>
                <c:pt idx="79">
                  <c:v>69.5</c:v>
                </c:pt>
                <c:pt idx="80">
                  <c:v>70</c:v>
                </c:pt>
                <c:pt idx="81">
                  <c:v>70.5</c:v>
                </c:pt>
                <c:pt idx="82">
                  <c:v>71</c:v>
                </c:pt>
                <c:pt idx="83">
                  <c:v>71.5</c:v>
                </c:pt>
                <c:pt idx="84">
                  <c:v>72</c:v>
                </c:pt>
                <c:pt idx="85">
                  <c:v>72.5</c:v>
                </c:pt>
                <c:pt idx="86">
                  <c:v>73</c:v>
                </c:pt>
                <c:pt idx="87">
                  <c:v>73.5</c:v>
                </c:pt>
                <c:pt idx="88">
                  <c:v>74</c:v>
                </c:pt>
                <c:pt idx="89">
                  <c:v>74.5</c:v>
                </c:pt>
                <c:pt idx="90">
                  <c:v>75</c:v>
                </c:pt>
              </c:numCache>
            </c:numRef>
          </c:xVal>
          <c:yVal>
            <c:numRef>
              <c:f>'Worked Example - BF3 NSC (n=2)'!$D$3:$D$93</c:f>
              <c:numCache>
                <c:formatCode>General</c:formatCode>
                <c:ptCount val="91"/>
                <c:pt idx="0">
                  <c:v>0.9944143101873737</c:v>
                </c:pt>
                <c:pt idx="1">
                  <c:v>0.9969103324290719</c:v>
                </c:pt>
                <c:pt idx="2">
                  <c:v>1.0002472416827102</c:v>
                </c:pt>
                <c:pt idx="3">
                  <c:v>1.0003842479046539</c:v>
                </c:pt>
                <c:pt idx="4">
                  <c:v>1.001789109451303</c:v>
                </c:pt>
                <c:pt idx="5">
                  <c:v>1.0021149044766327</c:v>
                </c:pt>
                <c:pt idx="6">
                  <c:v>1.0028946350046912</c:v>
                </c:pt>
                <c:pt idx="7">
                  <c:v>1.001823539430033</c:v>
                </c:pt>
                <c:pt idx="8">
                  <c:v>1.0018467106286613</c:v>
                </c:pt>
                <c:pt idx="9">
                  <c:v>1.0014980032455516</c:v>
                </c:pt>
                <c:pt idx="10">
                  <c:v>1.0021524361933163</c:v>
                </c:pt>
                <c:pt idx="11">
                  <c:v>1.0007308612973087</c:v>
                </c:pt>
                <c:pt idx="12">
                  <c:v>0.9971773520976277</c:v>
                </c:pt>
                <c:pt idx="13">
                  <c:v>0.99703665555391063</c:v>
                </c:pt>
                <c:pt idx="14">
                  <c:v>0.99451971426871288</c:v>
                </c:pt>
                <c:pt idx="15">
                  <c:v>0.99278631305479903</c:v>
                </c:pt>
                <c:pt idx="16">
                  <c:v>1.0440819028367909</c:v>
                </c:pt>
                <c:pt idx="17">
                  <c:v>0.98596988855083323</c:v>
                </c:pt>
                <c:pt idx="18">
                  <c:v>0.98162016414668496</c:v>
                </c:pt>
                <c:pt idx="19">
                  <c:v>0.9754085645487337</c:v>
                </c:pt>
                <c:pt idx="20">
                  <c:v>0.97069172416432969</c:v>
                </c:pt>
                <c:pt idx="21">
                  <c:v>0.96151718521610852</c:v>
                </c:pt>
                <c:pt idx="22">
                  <c:v>0.95248503389918304</c:v>
                </c:pt>
                <c:pt idx="23">
                  <c:v>0.98454806856251509</c:v>
                </c:pt>
                <c:pt idx="24">
                  <c:v>0.91760719937338253</c:v>
                </c:pt>
                <c:pt idx="25">
                  <c:v>0.8918171690240132</c:v>
                </c:pt>
                <c:pt idx="26">
                  <c:v>0.8580596476949085</c:v>
                </c:pt>
                <c:pt idx="27">
                  <c:v>0.81379113301143824</c:v>
                </c:pt>
                <c:pt idx="28">
                  <c:v>0.74686605132953565</c:v>
                </c:pt>
                <c:pt idx="29">
                  <c:v>0.67905835037115714</c:v>
                </c:pt>
                <c:pt idx="30">
                  <c:v>0.60196912883062714</c:v>
                </c:pt>
                <c:pt idx="31">
                  <c:v>0.51762184461523353</c:v>
                </c:pt>
                <c:pt idx="32">
                  <c:v>0.42349975541698709</c:v>
                </c:pt>
                <c:pt idx="33">
                  <c:v>0.32910176831674542</c:v>
                </c:pt>
                <c:pt idx="34">
                  <c:v>0.25276520735276814</c:v>
                </c:pt>
                <c:pt idx="35">
                  <c:v>0.1865476626783977</c:v>
                </c:pt>
                <c:pt idx="36">
                  <c:v>0.13523995042919912</c:v>
                </c:pt>
                <c:pt idx="37">
                  <c:v>5.5282736241815775E-2</c:v>
                </c:pt>
                <c:pt idx="38">
                  <c:v>0.19588149115996992</c:v>
                </c:pt>
                <c:pt idx="39">
                  <c:v>1.9578040490285688E-2</c:v>
                </c:pt>
                <c:pt idx="40">
                  <c:v>1.1644728722589065E-2</c:v>
                </c:pt>
                <c:pt idx="41">
                  <c:v>5.1657845915325301E-3</c:v>
                </c:pt>
                <c:pt idx="42">
                  <c:v>-2.3539242978530628E-3</c:v>
                </c:pt>
                <c:pt idx="43">
                  <c:v>-3.619541961335081E-3</c:v>
                </c:pt>
                <c:pt idx="44">
                  <c:v>-4.27807543165247E-3</c:v>
                </c:pt>
                <c:pt idx="45">
                  <c:v>-3.2380763883865685E-3</c:v>
                </c:pt>
                <c:pt idx="46">
                  <c:v>-4.2523919089124127E-3</c:v>
                </c:pt>
                <c:pt idx="47">
                  <c:v>-8.8082941961107599E-4</c:v>
                </c:pt>
                <c:pt idx="48">
                  <c:v>-1.6350603512055859E-3</c:v>
                </c:pt>
                <c:pt idx="49">
                  <c:v>1.251423793142857E-4</c:v>
                </c:pt>
                <c:pt idx="50">
                  <c:v>1.105911527440336E-3</c:v>
                </c:pt>
                <c:pt idx="51">
                  <c:v>3.1592921725683608E-3</c:v>
                </c:pt>
                <c:pt idx="52">
                  <c:v>4.0939361873601563E-3</c:v>
                </c:pt>
                <c:pt idx="53">
                  <c:v>4.2961836344532385E-3</c:v>
                </c:pt>
                <c:pt idx="54">
                  <c:v>4.7547166981922956E-3</c:v>
                </c:pt>
                <c:pt idx="55">
                  <c:v>5.4437170779813903E-3</c:v>
                </c:pt>
                <c:pt idx="56">
                  <c:v>4.5648615748703084E-3</c:v>
                </c:pt>
                <c:pt idx="57">
                  <c:v>3.8959980653616635E-3</c:v>
                </c:pt>
                <c:pt idx="58">
                  <c:v>5.1273307083673798E-3</c:v>
                </c:pt>
                <c:pt idx="59">
                  <c:v>6.0789784025754631E-3</c:v>
                </c:pt>
                <c:pt idx="60">
                  <c:v>6.8059561926717034E-3</c:v>
                </c:pt>
                <c:pt idx="61">
                  <c:v>6.2734679927934217E-3</c:v>
                </c:pt>
                <c:pt idx="62">
                  <c:v>6.2622949481939867E-3</c:v>
                </c:pt>
                <c:pt idx="63">
                  <c:v>5.5558001031402312E-3</c:v>
                </c:pt>
                <c:pt idx="64">
                  <c:v>3.0305962214733592E-3</c:v>
                </c:pt>
                <c:pt idx="65">
                  <c:v>3.1941253072879016E-3</c:v>
                </c:pt>
                <c:pt idx="66">
                  <c:v>2.0966859914477681E-3</c:v>
                </c:pt>
                <c:pt idx="67">
                  <c:v>1.5635674406975794E-3</c:v>
                </c:pt>
                <c:pt idx="68">
                  <c:v>-4.8833800127372098E-4</c:v>
                </c:pt>
                <c:pt idx="69">
                  <c:v>-1.9225804227327897E-3</c:v>
                </c:pt>
                <c:pt idx="70">
                  <c:v>-5.1731860767007453E-3</c:v>
                </c:pt>
                <c:pt idx="71">
                  <c:v>-4.6382533270672805E-3</c:v>
                </c:pt>
                <c:pt idx="72">
                  <c:v>-6.3828257841034332E-3</c:v>
                </c:pt>
                <c:pt idx="73">
                  <c:v>-8.6336253055247433E-3</c:v>
                </c:pt>
                <c:pt idx="74">
                  <c:v>-8.6684278241964969E-3</c:v>
                </c:pt>
                <c:pt idx="75">
                  <c:v>-1.0640524836375412E-2</c:v>
                </c:pt>
                <c:pt idx="76">
                  <c:v>1.9097493349309363E-2</c:v>
                </c:pt>
                <c:pt idx="77">
                  <c:v>8.6435991902370189E-3</c:v>
                </c:pt>
                <c:pt idx="78">
                  <c:v>1.4328645209818762E-3</c:v>
                </c:pt>
                <c:pt idx="79">
                  <c:v>-8.3477846248691326E-3</c:v>
                </c:pt>
                <c:pt idx="80">
                  <c:v>-7.0894091334854276E-4</c:v>
                </c:pt>
                <c:pt idx="81">
                  <c:v>1.7654246642975881E-3</c:v>
                </c:pt>
                <c:pt idx="82">
                  <c:v>-1.7649608512303967E-2</c:v>
                </c:pt>
                <c:pt idx="83">
                  <c:v>-1.1307130550941898E-2</c:v>
                </c:pt>
                <c:pt idx="84">
                  <c:v>2.7392988206755404E-3</c:v>
                </c:pt>
                <c:pt idx="85">
                  <c:v>2.634782207861949E-3</c:v>
                </c:pt>
                <c:pt idx="86">
                  <c:v>-1.9291845936261352E-2</c:v>
                </c:pt>
                <c:pt idx="87">
                  <c:v>-7.8062527139831426E-4</c:v>
                </c:pt>
                <c:pt idx="88">
                  <c:v>1.065385449239898E-2</c:v>
                </c:pt>
                <c:pt idx="89">
                  <c:v>3.4991032981897571E-3</c:v>
                </c:pt>
                <c:pt idx="90">
                  <c:v>-3.005319526159231E-3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94-4EF4-8D57-2012526FB870}"/>
            </c:ext>
          </c:extLst>
        </c:ser>
        <c:ser>
          <c:idx val="0"/>
          <c:order val="1"/>
          <c:tx>
            <c:v>Fit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303109356271593"/>
                  <c:y val="-0.193218334034548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'Worked Example - BF3 NSC (n=2)'!$E$33:$E$35</c:f>
              <c:numCache>
                <c:formatCode>0.0</c:formatCode>
                <c:ptCount val="3"/>
                <c:pt idx="0">
                  <c:v>53.099998474121094</c:v>
                </c:pt>
                <c:pt idx="1">
                  <c:v>53.700004577636719</c:v>
                </c:pt>
                <c:pt idx="2">
                  <c:v>54.419994354248047</c:v>
                </c:pt>
              </c:numCache>
            </c:numRef>
          </c:xVal>
          <c:yVal>
            <c:numRef>
              <c:f>'Worked Example - BF3 NSC (n=2)'!$F$33:$F$35</c:f>
              <c:numCache>
                <c:formatCode>General</c:formatCode>
                <c:ptCount val="3"/>
                <c:pt idx="0">
                  <c:v>0.60196912883062714</c:v>
                </c:pt>
                <c:pt idx="1">
                  <c:v>0.51762184461523353</c:v>
                </c:pt>
                <c:pt idx="2" formatCode="0.000000">
                  <c:v>0.42349975541698709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94-4EF4-8D57-2012526FB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358063"/>
        <c:axId val="604372463"/>
      </c:scatterChart>
      <c:valAx>
        <c:axId val="604358063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Temperature</a:t>
                </a:r>
                <a:r>
                  <a:rPr lang="en-CA" baseline="0"/>
                  <a:t> (</a:t>
                </a:r>
                <a:r>
                  <a:rPr lang="en-CA" baseline="0">
                    <a:sym typeface="Symbol" panose="05050102010706020507" pitchFamily="18" charset="2"/>
                  </a:rPr>
                  <a:t>C)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72463"/>
        <c:crosses val="autoZero"/>
        <c:crossBetween val="midCat"/>
      </c:valAx>
      <c:valAx>
        <c:axId val="60437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ym typeface="Symbol" panose="05050102010706020507" pitchFamily="18" charset="2"/>
                  </a:rPr>
                  <a:t></a:t>
                </a:r>
                <a:r>
                  <a:rPr lang="en-CA" baseline="0">
                    <a:sym typeface="Symbol" panose="05050102010706020507" pitchFamily="18" charset="2"/>
                  </a:rPr>
                  <a:t> (Fraction of Duplex)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5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van't Hoff Plot: Alpha vs. 1/Temperature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van't Hoff Plot: Alpha vs. 1/T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93089732430949E-2"/>
                  <c:y val="0.23661920646212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'Worked Example - BF3 NSC (n=2)'!$H$33:$H$37</c:f>
              <c:numCache>
                <c:formatCode>General</c:formatCode>
                <c:ptCount val="5"/>
                <c:pt idx="0">
                  <c:v>3.0651341139525628E-3</c:v>
                </c:pt>
                <c:pt idx="1">
                  <c:v>3.0595073764561323E-3</c:v>
                </c:pt>
                <c:pt idx="2">
                  <c:v>3.0527826639657287E-3</c:v>
                </c:pt>
              </c:numCache>
            </c:numRef>
          </c:xVal>
          <c:yVal>
            <c:numRef>
              <c:f>'Worked Example - BF3 NSC (n=2)'!$I$33:$I$37</c:f>
              <c:numCache>
                <c:formatCode>General</c:formatCode>
                <c:ptCount val="5"/>
                <c:pt idx="0">
                  <c:v>0.60196912883062714</c:v>
                </c:pt>
                <c:pt idx="1">
                  <c:v>0.51762184461523353</c:v>
                </c:pt>
                <c:pt idx="2">
                  <c:v>0.42349975541698709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03-45B8-A4E2-D67D81A8E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0831"/>
        <c:axId val="588638271"/>
      </c:scatterChart>
      <c:valAx>
        <c:axId val="5886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1/Temperature</a:t>
                </a:r>
                <a:r>
                  <a:rPr lang="en-CA" baseline="0"/>
                  <a:t> (1/K)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38271"/>
        <c:crosses val="autoZero"/>
        <c:crossBetween val="midCat"/>
      </c:valAx>
      <c:valAx>
        <c:axId val="5886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ym typeface="Symbol" panose="05050102010706020507" pitchFamily="18" charset="2"/>
                  </a:rPr>
                  <a:t> (Fraction of Duplex)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Duplex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UV</a:t>
            </a:r>
            <a:r>
              <a:rPr lang="en-US" baseline="0"/>
              <a:t> Absorbance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21379629629629629"/>
          <c:w val="0.81232174103237098"/>
          <c:h val="0.578156167979002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'Ex1-NSC (n=2)'!$C$2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'Ex1-NSC (n=2)'!$B$3:$B$126</c:f>
              <c:numCache>
                <c:formatCode>General</c:formatCode>
                <c:ptCount val="124"/>
                <c:pt idx="0">
                  <c:v>30</c:v>
                </c:pt>
                <c:pt idx="1">
                  <c:v>30.5</c:v>
                </c:pt>
                <c:pt idx="2">
                  <c:v>31</c:v>
                </c:pt>
                <c:pt idx="3">
                  <c:v>31.5</c:v>
                </c:pt>
                <c:pt idx="4">
                  <c:v>32</c:v>
                </c:pt>
                <c:pt idx="5">
                  <c:v>32.5</c:v>
                </c:pt>
                <c:pt idx="6">
                  <c:v>33</c:v>
                </c:pt>
                <c:pt idx="7">
                  <c:v>33.5</c:v>
                </c:pt>
                <c:pt idx="8">
                  <c:v>34</c:v>
                </c:pt>
                <c:pt idx="9">
                  <c:v>34.5</c:v>
                </c:pt>
                <c:pt idx="10">
                  <c:v>35</c:v>
                </c:pt>
                <c:pt idx="11">
                  <c:v>35.5</c:v>
                </c:pt>
                <c:pt idx="12">
                  <c:v>36</c:v>
                </c:pt>
                <c:pt idx="13">
                  <c:v>36.5</c:v>
                </c:pt>
                <c:pt idx="14">
                  <c:v>37</c:v>
                </c:pt>
                <c:pt idx="15">
                  <c:v>37.5</c:v>
                </c:pt>
                <c:pt idx="16">
                  <c:v>38</c:v>
                </c:pt>
                <c:pt idx="17">
                  <c:v>38.5</c:v>
                </c:pt>
                <c:pt idx="18">
                  <c:v>39</c:v>
                </c:pt>
                <c:pt idx="19">
                  <c:v>39.5</c:v>
                </c:pt>
                <c:pt idx="20">
                  <c:v>40</c:v>
                </c:pt>
                <c:pt idx="21">
                  <c:v>40.5</c:v>
                </c:pt>
                <c:pt idx="22">
                  <c:v>41</c:v>
                </c:pt>
                <c:pt idx="23">
                  <c:v>41.5</c:v>
                </c:pt>
                <c:pt idx="24">
                  <c:v>42</c:v>
                </c:pt>
                <c:pt idx="25">
                  <c:v>42.5</c:v>
                </c:pt>
                <c:pt idx="26">
                  <c:v>43</c:v>
                </c:pt>
                <c:pt idx="27">
                  <c:v>43.5</c:v>
                </c:pt>
                <c:pt idx="28">
                  <c:v>44</c:v>
                </c:pt>
                <c:pt idx="29">
                  <c:v>44.5</c:v>
                </c:pt>
                <c:pt idx="30">
                  <c:v>45</c:v>
                </c:pt>
                <c:pt idx="31">
                  <c:v>45.5</c:v>
                </c:pt>
                <c:pt idx="32">
                  <c:v>46</c:v>
                </c:pt>
                <c:pt idx="33">
                  <c:v>46.5</c:v>
                </c:pt>
                <c:pt idx="34">
                  <c:v>47</c:v>
                </c:pt>
                <c:pt idx="35">
                  <c:v>47.5</c:v>
                </c:pt>
                <c:pt idx="36">
                  <c:v>48</c:v>
                </c:pt>
                <c:pt idx="37">
                  <c:v>48.5</c:v>
                </c:pt>
                <c:pt idx="38">
                  <c:v>49</c:v>
                </c:pt>
                <c:pt idx="39">
                  <c:v>49.5</c:v>
                </c:pt>
                <c:pt idx="40">
                  <c:v>50</c:v>
                </c:pt>
                <c:pt idx="41">
                  <c:v>50.5</c:v>
                </c:pt>
                <c:pt idx="42">
                  <c:v>51</c:v>
                </c:pt>
                <c:pt idx="43">
                  <c:v>51.5</c:v>
                </c:pt>
                <c:pt idx="44">
                  <c:v>52</c:v>
                </c:pt>
                <c:pt idx="45">
                  <c:v>52.5</c:v>
                </c:pt>
                <c:pt idx="46">
                  <c:v>53</c:v>
                </c:pt>
                <c:pt idx="47">
                  <c:v>53.5</c:v>
                </c:pt>
                <c:pt idx="48">
                  <c:v>54</c:v>
                </c:pt>
                <c:pt idx="49">
                  <c:v>54.5</c:v>
                </c:pt>
                <c:pt idx="50">
                  <c:v>55</c:v>
                </c:pt>
                <c:pt idx="51">
                  <c:v>55.5</c:v>
                </c:pt>
                <c:pt idx="52">
                  <c:v>56</c:v>
                </c:pt>
                <c:pt idx="53">
                  <c:v>56.5</c:v>
                </c:pt>
                <c:pt idx="54">
                  <c:v>57</c:v>
                </c:pt>
                <c:pt idx="55">
                  <c:v>57.5</c:v>
                </c:pt>
                <c:pt idx="56">
                  <c:v>58</c:v>
                </c:pt>
                <c:pt idx="57">
                  <c:v>58.5</c:v>
                </c:pt>
                <c:pt idx="58">
                  <c:v>59</c:v>
                </c:pt>
                <c:pt idx="59">
                  <c:v>59.5</c:v>
                </c:pt>
                <c:pt idx="60">
                  <c:v>60</c:v>
                </c:pt>
                <c:pt idx="61">
                  <c:v>60.5</c:v>
                </c:pt>
                <c:pt idx="62">
                  <c:v>61</c:v>
                </c:pt>
                <c:pt idx="63">
                  <c:v>61.5</c:v>
                </c:pt>
                <c:pt idx="64">
                  <c:v>62</c:v>
                </c:pt>
                <c:pt idx="65">
                  <c:v>62.5</c:v>
                </c:pt>
                <c:pt idx="66">
                  <c:v>63</c:v>
                </c:pt>
                <c:pt idx="67">
                  <c:v>63.5</c:v>
                </c:pt>
                <c:pt idx="68">
                  <c:v>64</c:v>
                </c:pt>
                <c:pt idx="69">
                  <c:v>64.5</c:v>
                </c:pt>
                <c:pt idx="70">
                  <c:v>65</c:v>
                </c:pt>
                <c:pt idx="71">
                  <c:v>65.5</c:v>
                </c:pt>
                <c:pt idx="72">
                  <c:v>66</c:v>
                </c:pt>
                <c:pt idx="73">
                  <c:v>66.5</c:v>
                </c:pt>
                <c:pt idx="74">
                  <c:v>67</c:v>
                </c:pt>
                <c:pt idx="75">
                  <c:v>67.5</c:v>
                </c:pt>
                <c:pt idx="76">
                  <c:v>68</c:v>
                </c:pt>
                <c:pt idx="77">
                  <c:v>68.5</c:v>
                </c:pt>
                <c:pt idx="78">
                  <c:v>69</c:v>
                </c:pt>
                <c:pt idx="79">
                  <c:v>69.5</c:v>
                </c:pt>
                <c:pt idx="80">
                  <c:v>70</c:v>
                </c:pt>
                <c:pt idx="81">
                  <c:v>70.5</c:v>
                </c:pt>
                <c:pt idx="82">
                  <c:v>71</c:v>
                </c:pt>
                <c:pt idx="83">
                  <c:v>71.5</c:v>
                </c:pt>
                <c:pt idx="84">
                  <c:v>72</c:v>
                </c:pt>
                <c:pt idx="85">
                  <c:v>72.5</c:v>
                </c:pt>
                <c:pt idx="86">
                  <c:v>73</c:v>
                </c:pt>
                <c:pt idx="87">
                  <c:v>73.5</c:v>
                </c:pt>
                <c:pt idx="88">
                  <c:v>74</c:v>
                </c:pt>
                <c:pt idx="89">
                  <c:v>74.5</c:v>
                </c:pt>
                <c:pt idx="90">
                  <c:v>75</c:v>
                </c:pt>
              </c:numCache>
            </c:numRef>
          </c:xVal>
          <c:yVal>
            <c:numRef>
              <c:f>'Ex1-NSC (n=2)'!$C$3:$C$126</c:f>
              <c:numCache>
                <c:formatCode>General</c:formatCode>
                <c:ptCount val="124"/>
                <c:pt idx="0">
                  <c:v>1.4657</c:v>
                </c:pt>
                <c:pt idx="1">
                  <c:v>1.47</c:v>
                </c:pt>
                <c:pt idx="2">
                  <c:v>1.4665999999999999</c:v>
                </c:pt>
                <c:pt idx="3">
                  <c:v>1.4661</c:v>
                </c:pt>
                <c:pt idx="4">
                  <c:v>1.4674</c:v>
                </c:pt>
                <c:pt idx="5">
                  <c:v>1.4721</c:v>
                </c:pt>
                <c:pt idx="6">
                  <c:v>1.4762999999999999</c:v>
                </c:pt>
                <c:pt idx="7">
                  <c:v>1.4722999999999999</c:v>
                </c:pt>
                <c:pt idx="8">
                  <c:v>1.4716</c:v>
                </c:pt>
                <c:pt idx="9">
                  <c:v>1.4742999999999999</c:v>
                </c:pt>
                <c:pt idx="10">
                  <c:v>1.4714</c:v>
                </c:pt>
                <c:pt idx="11">
                  <c:v>1.4690000000000001</c:v>
                </c:pt>
                <c:pt idx="12">
                  <c:v>1.4735</c:v>
                </c:pt>
                <c:pt idx="13">
                  <c:v>1.474</c:v>
                </c:pt>
                <c:pt idx="14">
                  <c:v>1.4749000000000001</c:v>
                </c:pt>
                <c:pt idx="15">
                  <c:v>1.474</c:v>
                </c:pt>
                <c:pt idx="16">
                  <c:v>1.4721</c:v>
                </c:pt>
                <c:pt idx="17">
                  <c:v>1.4749000000000001</c:v>
                </c:pt>
                <c:pt idx="18">
                  <c:v>1.4805999999999999</c:v>
                </c:pt>
                <c:pt idx="19">
                  <c:v>1.4778</c:v>
                </c:pt>
                <c:pt idx="20">
                  <c:v>1.4758</c:v>
                </c:pt>
                <c:pt idx="21">
                  <c:v>1.4762</c:v>
                </c:pt>
                <c:pt idx="22">
                  <c:v>1.4789000000000001</c:v>
                </c:pt>
                <c:pt idx="23">
                  <c:v>1.4802999999999999</c:v>
                </c:pt>
                <c:pt idx="24">
                  <c:v>1.4795</c:v>
                </c:pt>
                <c:pt idx="25">
                  <c:v>1.4807999999999999</c:v>
                </c:pt>
                <c:pt idx="26">
                  <c:v>1.4865999999999999</c:v>
                </c:pt>
                <c:pt idx="27">
                  <c:v>1.4861</c:v>
                </c:pt>
                <c:pt idx="28">
                  <c:v>1.4818</c:v>
                </c:pt>
                <c:pt idx="29">
                  <c:v>1.4829000000000001</c:v>
                </c:pt>
                <c:pt idx="30">
                  <c:v>1.4852000000000001</c:v>
                </c:pt>
                <c:pt idx="31">
                  <c:v>1.4823999999999999</c:v>
                </c:pt>
                <c:pt idx="32">
                  <c:v>1.4881</c:v>
                </c:pt>
                <c:pt idx="33">
                  <c:v>1.4877</c:v>
                </c:pt>
                <c:pt idx="34">
                  <c:v>1.4932000000000001</c:v>
                </c:pt>
                <c:pt idx="35">
                  <c:v>1.4947999999999999</c:v>
                </c:pt>
                <c:pt idx="36">
                  <c:v>1.4971000000000001</c:v>
                </c:pt>
                <c:pt idx="37">
                  <c:v>1.4990000000000001</c:v>
                </c:pt>
                <c:pt idx="38">
                  <c:v>1.5042</c:v>
                </c:pt>
                <c:pt idx="39">
                  <c:v>1.5053000000000001</c:v>
                </c:pt>
                <c:pt idx="40">
                  <c:v>1.5073000000000001</c:v>
                </c:pt>
                <c:pt idx="41">
                  <c:v>1.5128999999999999</c:v>
                </c:pt>
                <c:pt idx="42">
                  <c:v>1.5158</c:v>
                </c:pt>
                <c:pt idx="43">
                  <c:v>1.5264</c:v>
                </c:pt>
                <c:pt idx="44">
                  <c:v>1.5317000000000001</c:v>
                </c:pt>
                <c:pt idx="45">
                  <c:v>1.5411999999999999</c:v>
                </c:pt>
                <c:pt idx="46">
                  <c:v>1.5523</c:v>
                </c:pt>
                <c:pt idx="47">
                  <c:v>1.5645</c:v>
                </c:pt>
                <c:pt idx="48">
                  <c:v>1.5709</c:v>
                </c:pt>
                <c:pt idx="49">
                  <c:v>1.5803</c:v>
                </c:pt>
                <c:pt idx="50">
                  <c:v>1.59</c:v>
                </c:pt>
                <c:pt idx="51">
                  <c:v>1.599</c:v>
                </c:pt>
                <c:pt idx="52">
                  <c:v>1.6112</c:v>
                </c:pt>
                <c:pt idx="53">
                  <c:v>1.6205000000000001</c:v>
                </c:pt>
                <c:pt idx="54">
                  <c:v>1.6254999999999999</c:v>
                </c:pt>
                <c:pt idx="55">
                  <c:v>1.6315</c:v>
                </c:pt>
                <c:pt idx="56">
                  <c:v>1.6333</c:v>
                </c:pt>
                <c:pt idx="57">
                  <c:v>1.6349</c:v>
                </c:pt>
                <c:pt idx="58">
                  <c:v>1.6412</c:v>
                </c:pt>
                <c:pt idx="59">
                  <c:v>1.6429</c:v>
                </c:pt>
                <c:pt idx="60">
                  <c:v>1.6459999999999999</c:v>
                </c:pt>
                <c:pt idx="61">
                  <c:v>1.6467000000000001</c:v>
                </c:pt>
                <c:pt idx="62">
                  <c:v>1.6414</c:v>
                </c:pt>
                <c:pt idx="63">
                  <c:v>1.6456999999999999</c:v>
                </c:pt>
                <c:pt idx="64">
                  <c:v>1.6472</c:v>
                </c:pt>
                <c:pt idx="65">
                  <c:v>1.6521999999999999</c:v>
                </c:pt>
                <c:pt idx="66">
                  <c:v>1.6503000000000001</c:v>
                </c:pt>
                <c:pt idx="67">
                  <c:v>1.6567000000000001</c:v>
                </c:pt>
                <c:pt idx="68">
                  <c:v>1.6539999999999999</c:v>
                </c:pt>
                <c:pt idx="69">
                  <c:v>1.6497999999999999</c:v>
                </c:pt>
                <c:pt idx="70">
                  <c:v>1.6528</c:v>
                </c:pt>
                <c:pt idx="71">
                  <c:v>1.6576</c:v>
                </c:pt>
                <c:pt idx="72">
                  <c:v>1.6559999999999999</c:v>
                </c:pt>
                <c:pt idx="73">
                  <c:v>1.6552</c:v>
                </c:pt>
                <c:pt idx="74">
                  <c:v>1.6549</c:v>
                </c:pt>
                <c:pt idx="75">
                  <c:v>1.6556</c:v>
                </c:pt>
                <c:pt idx="76">
                  <c:v>1.6554</c:v>
                </c:pt>
                <c:pt idx="77">
                  <c:v>1.6576</c:v>
                </c:pt>
                <c:pt idx="78">
                  <c:v>1.6593</c:v>
                </c:pt>
                <c:pt idx="79">
                  <c:v>1.6614</c:v>
                </c:pt>
                <c:pt idx="80">
                  <c:v>1.6608000000000001</c:v>
                </c:pt>
                <c:pt idx="81">
                  <c:v>1.661</c:v>
                </c:pt>
                <c:pt idx="82">
                  <c:v>1.6646000000000001</c:v>
                </c:pt>
                <c:pt idx="83">
                  <c:v>1.6641999999999999</c:v>
                </c:pt>
                <c:pt idx="84">
                  <c:v>1.6626000000000001</c:v>
                </c:pt>
                <c:pt idx="85">
                  <c:v>1.6632</c:v>
                </c:pt>
                <c:pt idx="86">
                  <c:v>1.6672</c:v>
                </c:pt>
                <c:pt idx="87">
                  <c:v>1.6649</c:v>
                </c:pt>
                <c:pt idx="88">
                  <c:v>1.6637</c:v>
                </c:pt>
                <c:pt idx="89">
                  <c:v>1.6654</c:v>
                </c:pt>
                <c:pt idx="90">
                  <c:v>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9-40BE-8FB8-03318ED17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ax val="7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'Ex1-NSC (n=2)'!$D$2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'Ex1-NSC (n=2)'!$B$3:$B$93</c:f>
              <c:numCache>
                <c:formatCode>General</c:formatCode>
                <c:ptCount val="91"/>
                <c:pt idx="0">
                  <c:v>30</c:v>
                </c:pt>
                <c:pt idx="1">
                  <c:v>30.5</c:v>
                </c:pt>
                <c:pt idx="2">
                  <c:v>31</c:v>
                </c:pt>
                <c:pt idx="3">
                  <c:v>31.5</c:v>
                </c:pt>
                <c:pt idx="4">
                  <c:v>32</c:v>
                </c:pt>
                <c:pt idx="5">
                  <c:v>32.5</c:v>
                </c:pt>
                <c:pt idx="6">
                  <c:v>33</c:v>
                </c:pt>
                <c:pt idx="7">
                  <c:v>33.5</c:v>
                </c:pt>
                <c:pt idx="8">
                  <c:v>34</c:v>
                </c:pt>
                <c:pt idx="9">
                  <c:v>34.5</c:v>
                </c:pt>
                <c:pt idx="10">
                  <c:v>35</c:v>
                </c:pt>
                <c:pt idx="11">
                  <c:v>35.5</c:v>
                </c:pt>
                <c:pt idx="12">
                  <c:v>36</c:v>
                </c:pt>
                <c:pt idx="13">
                  <c:v>36.5</c:v>
                </c:pt>
                <c:pt idx="14">
                  <c:v>37</c:v>
                </c:pt>
                <c:pt idx="15">
                  <c:v>37.5</c:v>
                </c:pt>
                <c:pt idx="16">
                  <c:v>38</c:v>
                </c:pt>
                <c:pt idx="17">
                  <c:v>38.5</c:v>
                </c:pt>
                <c:pt idx="18">
                  <c:v>39</c:v>
                </c:pt>
                <c:pt idx="19">
                  <c:v>39.5</c:v>
                </c:pt>
                <c:pt idx="20">
                  <c:v>40</c:v>
                </c:pt>
                <c:pt idx="21">
                  <c:v>40.5</c:v>
                </c:pt>
                <c:pt idx="22">
                  <c:v>41</c:v>
                </c:pt>
                <c:pt idx="23">
                  <c:v>41.5</c:v>
                </c:pt>
                <c:pt idx="24">
                  <c:v>42</c:v>
                </c:pt>
                <c:pt idx="25">
                  <c:v>42.5</c:v>
                </c:pt>
                <c:pt idx="26">
                  <c:v>43</c:v>
                </c:pt>
                <c:pt idx="27">
                  <c:v>43.5</c:v>
                </c:pt>
                <c:pt idx="28">
                  <c:v>44</c:v>
                </c:pt>
                <c:pt idx="29">
                  <c:v>44.5</c:v>
                </c:pt>
                <c:pt idx="30">
                  <c:v>45</c:v>
                </c:pt>
                <c:pt idx="31">
                  <c:v>45.5</c:v>
                </c:pt>
                <c:pt idx="32">
                  <c:v>46</c:v>
                </c:pt>
                <c:pt idx="33">
                  <c:v>46.5</c:v>
                </c:pt>
                <c:pt idx="34">
                  <c:v>47</c:v>
                </c:pt>
                <c:pt idx="35">
                  <c:v>47.5</c:v>
                </c:pt>
                <c:pt idx="36">
                  <c:v>48</c:v>
                </c:pt>
                <c:pt idx="37">
                  <c:v>48.5</c:v>
                </c:pt>
                <c:pt idx="38">
                  <c:v>49</c:v>
                </c:pt>
                <c:pt idx="39">
                  <c:v>49.5</c:v>
                </c:pt>
                <c:pt idx="40">
                  <c:v>50</c:v>
                </c:pt>
                <c:pt idx="41">
                  <c:v>50.5</c:v>
                </c:pt>
                <c:pt idx="42">
                  <c:v>51</c:v>
                </c:pt>
                <c:pt idx="43">
                  <c:v>51.5</c:v>
                </c:pt>
                <c:pt idx="44">
                  <c:v>52</c:v>
                </c:pt>
                <c:pt idx="45">
                  <c:v>52.5</c:v>
                </c:pt>
                <c:pt idx="46">
                  <c:v>53</c:v>
                </c:pt>
                <c:pt idx="47">
                  <c:v>53.5</c:v>
                </c:pt>
                <c:pt idx="48">
                  <c:v>54</c:v>
                </c:pt>
                <c:pt idx="49">
                  <c:v>54.5</c:v>
                </c:pt>
                <c:pt idx="50">
                  <c:v>55</c:v>
                </c:pt>
                <c:pt idx="51">
                  <c:v>55.5</c:v>
                </c:pt>
                <c:pt idx="52">
                  <c:v>56</c:v>
                </c:pt>
                <c:pt idx="53">
                  <c:v>56.5</c:v>
                </c:pt>
                <c:pt idx="54">
                  <c:v>57</c:v>
                </c:pt>
                <c:pt idx="55">
                  <c:v>57.5</c:v>
                </c:pt>
                <c:pt idx="56">
                  <c:v>58</c:v>
                </c:pt>
                <c:pt idx="57">
                  <c:v>58.5</c:v>
                </c:pt>
                <c:pt idx="58">
                  <c:v>59</c:v>
                </c:pt>
                <c:pt idx="59">
                  <c:v>59.5</c:v>
                </c:pt>
                <c:pt idx="60">
                  <c:v>60</c:v>
                </c:pt>
                <c:pt idx="61">
                  <c:v>60.5</c:v>
                </c:pt>
                <c:pt idx="62">
                  <c:v>61</c:v>
                </c:pt>
                <c:pt idx="63">
                  <c:v>61.5</c:v>
                </c:pt>
                <c:pt idx="64">
                  <c:v>62</c:v>
                </c:pt>
                <c:pt idx="65">
                  <c:v>62.5</c:v>
                </c:pt>
                <c:pt idx="66">
                  <c:v>63</c:v>
                </c:pt>
                <c:pt idx="67">
                  <c:v>63.5</c:v>
                </c:pt>
                <c:pt idx="68">
                  <c:v>64</c:v>
                </c:pt>
                <c:pt idx="69">
                  <c:v>64.5</c:v>
                </c:pt>
                <c:pt idx="70">
                  <c:v>65</c:v>
                </c:pt>
                <c:pt idx="71">
                  <c:v>65.5</c:v>
                </c:pt>
                <c:pt idx="72">
                  <c:v>66</c:v>
                </c:pt>
                <c:pt idx="73">
                  <c:v>66.5</c:v>
                </c:pt>
                <c:pt idx="74">
                  <c:v>67</c:v>
                </c:pt>
                <c:pt idx="75">
                  <c:v>67.5</c:v>
                </c:pt>
                <c:pt idx="76">
                  <c:v>68</c:v>
                </c:pt>
                <c:pt idx="77">
                  <c:v>68.5</c:v>
                </c:pt>
                <c:pt idx="78">
                  <c:v>69</c:v>
                </c:pt>
                <c:pt idx="79">
                  <c:v>69.5</c:v>
                </c:pt>
                <c:pt idx="80">
                  <c:v>70</c:v>
                </c:pt>
                <c:pt idx="81">
                  <c:v>70.5</c:v>
                </c:pt>
                <c:pt idx="82">
                  <c:v>71</c:v>
                </c:pt>
                <c:pt idx="83">
                  <c:v>71.5</c:v>
                </c:pt>
                <c:pt idx="84">
                  <c:v>72</c:v>
                </c:pt>
                <c:pt idx="85">
                  <c:v>72.5</c:v>
                </c:pt>
                <c:pt idx="86">
                  <c:v>73</c:v>
                </c:pt>
                <c:pt idx="87">
                  <c:v>73.5</c:v>
                </c:pt>
                <c:pt idx="88">
                  <c:v>74</c:v>
                </c:pt>
                <c:pt idx="89">
                  <c:v>74.5</c:v>
                </c:pt>
                <c:pt idx="90">
                  <c:v>75</c:v>
                </c:pt>
              </c:numCache>
            </c:numRef>
          </c:xVal>
          <c:yVal>
            <c:numRef>
              <c:f>'Ex1-NSC (n=2)'!$D$3:$D$93</c:f>
              <c:numCache>
                <c:formatCode>General</c:formatCode>
                <c:ptCount val="91"/>
                <c:pt idx="0">
                  <c:v>1.0072714018113338</c:v>
                </c:pt>
                <c:pt idx="1">
                  <c:v>0.98082436919853622</c:v>
                </c:pt>
                <c:pt idx="2">
                  <c:v>1.0091293364184901</c:v>
                </c:pt>
                <c:pt idx="3">
                  <c:v>1.016803835247152</c:v>
                </c:pt>
                <c:pt idx="4">
                  <c:v>1.0116926477698123</c:v>
                </c:pt>
                <c:pt idx="5">
                  <c:v>0.9824684753356715</c:v>
                </c:pt>
                <c:pt idx="6">
                  <c:v>0.95682391884462759</c:v>
                </c:pt>
                <c:pt idx="7">
                  <c:v>0.98931018498134637</c:v>
                </c:pt>
                <c:pt idx="8">
                  <c:v>0.9983898863112004</c:v>
                </c:pt>
                <c:pt idx="9">
                  <c:v>0.9833970652205638</c:v>
                </c:pt>
                <c:pt idx="10">
                  <c:v>1.0080295955270639</c:v>
                </c:pt>
                <c:pt idx="11">
                  <c:v>1.0290985885873234</c:v>
                </c:pt>
                <c:pt idx="12">
                  <c:v>1.0013983486663889</c:v>
                </c:pt>
                <c:pt idx="13">
                  <c:v>1.0019717293838164</c:v>
                </c:pt>
                <c:pt idx="14">
                  <c:v>0.99972202744513616</c:v>
                </c:pt>
                <c:pt idx="15">
                  <c:v>1.010168281278631</c:v>
                </c:pt>
                <c:pt idx="16">
                  <c:v>1.0276498213393122</c:v>
                </c:pt>
                <c:pt idx="17">
                  <c:v>1.0120063006283508</c:v>
                </c:pt>
                <c:pt idx="18">
                  <c:v>0.97596725138579599</c:v>
                </c:pt>
                <c:pt idx="19">
                  <c:v>0.99976965524006978</c:v>
                </c:pt>
                <c:pt idx="20">
                  <c:v>1.0179191411176696</c:v>
                </c:pt>
                <c:pt idx="21">
                  <c:v>1.0191827492607146</c:v>
                </c:pt>
                <c:pt idx="22">
                  <c:v>1.0042926319489665</c:v>
                </c:pt>
                <c:pt idx="23">
                  <c:v>0.99854421258517145</c:v>
                </c:pt>
                <c:pt idx="24">
                  <c:v>1.0082343251506714</c:v>
                </c:pt>
                <c:pt idx="25">
                  <c:v>1.0031913849700884</c:v>
                </c:pt>
                <c:pt idx="26">
                  <c:v>0.9666265704078475</c:v>
                </c:pt>
                <c:pt idx="27">
                  <c:v>0.97421773974824211</c:v>
                </c:pt>
                <c:pt idx="28">
                  <c:v>1.0083921710761756</c:v>
                </c:pt>
                <c:pt idx="29">
                  <c:v>1.0047597544330651</c:v>
                </c:pt>
                <c:pt idx="30">
                  <c:v>0.99274393083953205</c:v>
                </c:pt>
                <c:pt idx="31">
                  <c:v>1.0163688979973362</c:v>
                </c:pt>
                <c:pt idx="32">
                  <c:v>0.98062316009066031</c:v>
                </c:pt>
                <c:pt idx="33">
                  <c:v>0.9874816893724716</c:v>
                </c:pt>
                <c:pt idx="34">
                  <c:v>0.9531894153841578</c:v>
                </c:pt>
                <c:pt idx="35">
                  <c:v>0.94611743684782001</c:v>
                </c:pt>
                <c:pt idx="36">
                  <c:v>0.93417809906045868</c:v>
                </c:pt>
                <c:pt idx="37">
                  <c:v>0.92503717050105894</c:v>
                </c:pt>
                <c:pt idx="38">
                  <c:v>0.89294865622064534</c:v>
                </c:pt>
                <c:pt idx="39">
                  <c:v>0.88940487334463925</c:v>
                </c:pt>
                <c:pt idx="40">
                  <c:v>0.87961119034139756</c:v>
                </c:pt>
                <c:pt idx="41">
                  <c:v>0.84482737815556785</c:v>
                </c:pt>
                <c:pt idx="42">
                  <c:v>0.82882435764284146</c:v>
                </c:pt>
                <c:pt idx="43">
                  <c:v>0.75942675199495258</c:v>
                </c:pt>
                <c:pt idx="44">
                  <c:v>0.72685351236016849</c:v>
                </c:pt>
                <c:pt idx="45">
                  <c:v>0.66521760590323342</c:v>
                </c:pt>
                <c:pt idx="46">
                  <c:v>0.59257391088886002</c:v>
                </c:pt>
                <c:pt idx="47">
                  <c:v>0.51240195075279549</c:v>
                </c:pt>
                <c:pt idx="48">
                  <c:v>0.47243961900876102</c:v>
                </c:pt>
                <c:pt idx="49">
                  <c:v>0.41178583959992604</c:v>
                </c:pt>
                <c:pt idx="50">
                  <c:v>0.3491298707866401</c:v>
                </c:pt>
                <c:pt idx="51">
                  <c:v>0.2913797959749071</c:v>
                </c:pt>
                <c:pt idx="52">
                  <c:v>0.21161475262995183</c:v>
                </c:pt>
                <c:pt idx="53">
                  <c:v>0.15194226261493893</c:v>
                </c:pt>
                <c:pt idx="54">
                  <c:v>0.12197707999721188</c:v>
                </c:pt>
                <c:pt idx="55">
                  <c:v>8.5157953426735253E-2</c:v>
                </c:pt>
                <c:pt idx="56">
                  <c:v>7.7296882271487025E-2</c:v>
                </c:pt>
                <c:pt idx="57">
                  <c:v>7.082102897946202E-2</c:v>
                </c:pt>
                <c:pt idx="58">
                  <c:v>3.2032245412029058E-2</c:v>
                </c:pt>
                <c:pt idx="59">
                  <c:v>2.4902727133717821E-2</c:v>
                </c:pt>
                <c:pt idx="60">
                  <c:v>8.165187549127614E-3</c:v>
                </c:pt>
                <c:pt idx="61">
                  <c:v>7.9224407422238321E-3</c:v>
                </c:pt>
                <c:pt idx="62">
                  <c:v>4.8844965443296758E-2</c:v>
                </c:pt>
                <c:pt idx="63">
                  <c:v>2.38942992856487E-2</c:v>
                </c:pt>
                <c:pt idx="64">
                  <c:v>1.8160570942395447E-2</c:v>
                </c:pt>
                <c:pt idx="65">
                  <c:v>-1.1538030271542094E-2</c:v>
                </c:pt>
                <c:pt idx="66">
                  <c:v>6.028388320792946E-3</c:v>
                </c:pt>
                <c:pt idx="67">
                  <c:v>-3.320667962174146E-2</c:v>
                </c:pt>
                <c:pt idx="68">
                  <c:v>-1.0178240015965435E-2</c:v>
                </c:pt>
                <c:pt idx="69">
                  <c:v>2.30736661122301E-2</c:v>
                </c:pt>
                <c:pt idx="70">
                  <c:v>7.1161211007805805E-3</c:v>
                </c:pt>
                <c:pt idx="71">
                  <c:v>-2.1108905440262917E-2</c:v>
                </c:pt>
                <c:pt idx="72">
                  <c:v>-5.6438494241485004E-3</c:v>
                </c:pt>
                <c:pt idx="73">
                  <c:v>4.349402502441228E-3</c:v>
                </c:pt>
                <c:pt idx="74">
                  <c:v>1.0924359138440127E-2</c:v>
                </c:pt>
                <c:pt idx="75">
                  <c:v>1.068197799153303E-2</c:v>
                </c:pt>
                <c:pt idx="76">
                  <c:v>1.6565204991227014E-2</c:v>
                </c:pt>
                <c:pt idx="77">
                  <c:v>6.1168256149200977E-3</c:v>
                </c:pt>
                <c:pt idx="78">
                  <c:v>-9.2054615396328489E-4</c:v>
                </c:pt>
                <c:pt idx="79">
                  <c:v>-1.0667594328391124E-2</c:v>
                </c:pt>
                <c:pt idx="80">
                  <c:v>-2.0694540973835137E-3</c:v>
                </c:pt>
                <c:pt idx="81">
                  <c:v>1.0896633437670481E-3</c:v>
                </c:pt>
                <c:pt idx="82">
                  <c:v>-1.8815860148973206E-2</c:v>
                </c:pt>
                <c:pt idx="83">
                  <c:v>-1.1583526727295091E-2</c:v>
                </c:pt>
                <c:pt idx="84">
                  <c:v>3.77050331240655E-3</c:v>
                </c:pt>
                <c:pt idx="85">
                  <c:v>4.2106779522218599E-3</c:v>
                </c:pt>
                <c:pt idx="86">
                  <c:v>-1.8358256938434573E-2</c:v>
                </c:pt>
                <c:pt idx="87">
                  <c:v>1.7078300849654433E-3</c:v>
                </c:pt>
                <c:pt idx="88">
                  <c:v>1.431562260001599E-2</c:v>
                </c:pt>
                <c:pt idx="89">
                  <c:v>7.3175246529523881E-3</c:v>
                </c:pt>
                <c:pt idx="90">
                  <c:v>1.0025528715263911E-3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D4-4C2E-A9D1-61014B356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765983"/>
        <c:axId val="293762623"/>
      </c:scatterChart>
      <c:valAx>
        <c:axId val="29376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62623"/>
        <c:crosses val="autoZero"/>
        <c:crossBetween val="midCat"/>
      </c:valAx>
      <c:valAx>
        <c:axId val="29376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765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'Ex1-NSC (n=2)'!$K$48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493591426071742"/>
                  <c:y val="-2.42705599300087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'Ex1-NSC (n=2)'!$J$49:$J$52</c:f>
              <c:numCache>
                <c:formatCode>General</c:formatCode>
                <c:ptCount val="4"/>
                <c:pt idx="0">
                  <c:v>3.0660738923808067E-3</c:v>
                </c:pt>
                <c:pt idx="1">
                  <c:v>3.0613806826878926E-3</c:v>
                </c:pt>
                <c:pt idx="2">
                  <c:v>3.0567018187375823E-3</c:v>
                </c:pt>
                <c:pt idx="3">
                  <c:v>3.0520372348542654E-3</c:v>
                </c:pt>
              </c:numCache>
            </c:numRef>
          </c:xVal>
          <c:yVal>
            <c:numRef>
              <c:f>'Ex1-NSC (n=2)'!$K$49:$K$52</c:f>
              <c:numCache>
                <c:formatCode>General</c:formatCode>
                <c:ptCount val="4"/>
                <c:pt idx="0">
                  <c:v>0.59257391088886002</c:v>
                </c:pt>
                <c:pt idx="1">
                  <c:v>0.51240195075279549</c:v>
                </c:pt>
                <c:pt idx="2">
                  <c:v>0.47243961900876102</c:v>
                </c:pt>
                <c:pt idx="3">
                  <c:v>0.41178583959992604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1-4E5D-888B-B1BC9DAD7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112544"/>
        <c:axId val="1274109664"/>
      </c:scatterChart>
      <c:valAx>
        <c:axId val="127411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109664"/>
        <c:crosses val="autoZero"/>
        <c:crossBetween val="midCat"/>
      </c:valAx>
      <c:valAx>
        <c:axId val="127410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11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DNA Quadruplex</a:t>
            </a:r>
            <a:r>
              <a:rPr lang="en-US" sz="1200" baseline="0"/>
              <a:t> Melting Curve</a:t>
            </a:r>
          </a:p>
          <a:p>
            <a:pPr>
              <a:defRPr/>
            </a:pPr>
            <a:r>
              <a:rPr lang="en-US" sz="1200"/>
              <a:t>UV</a:t>
            </a:r>
            <a:r>
              <a:rPr lang="en-US" sz="1200" baseline="0"/>
              <a:t> Absorbance vs. Temperature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16436273993042319"/>
          <c:w val="0.81232174103237098"/>
          <c:h val="0.62758970782617152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'Ex2-SC (n=1)'!$C$2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'Ex2-SC (n=1)'!$B$3:$B$126</c:f>
              <c:numCache>
                <c:formatCode>General</c:formatCode>
                <c:ptCount val="124"/>
                <c:pt idx="0">
                  <c:v>25</c:v>
                </c:pt>
                <c:pt idx="1">
                  <c:v>25.5</c:v>
                </c:pt>
                <c:pt idx="2">
                  <c:v>26</c:v>
                </c:pt>
                <c:pt idx="3">
                  <c:v>26.5</c:v>
                </c:pt>
                <c:pt idx="4">
                  <c:v>27</c:v>
                </c:pt>
                <c:pt idx="5">
                  <c:v>27.5</c:v>
                </c:pt>
                <c:pt idx="6">
                  <c:v>28</c:v>
                </c:pt>
                <c:pt idx="7">
                  <c:v>28.5</c:v>
                </c:pt>
                <c:pt idx="8">
                  <c:v>29</c:v>
                </c:pt>
                <c:pt idx="9">
                  <c:v>29.5</c:v>
                </c:pt>
                <c:pt idx="10">
                  <c:v>30</c:v>
                </c:pt>
                <c:pt idx="11">
                  <c:v>30.5</c:v>
                </c:pt>
                <c:pt idx="12">
                  <c:v>31</c:v>
                </c:pt>
                <c:pt idx="13">
                  <c:v>31.5</c:v>
                </c:pt>
                <c:pt idx="14">
                  <c:v>32</c:v>
                </c:pt>
                <c:pt idx="15">
                  <c:v>32.5</c:v>
                </c:pt>
                <c:pt idx="16">
                  <c:v>33</c:v>
                </c:pt>
                <c:pt idx="17">
                  <c:v>33.5</c:v>
                </c:pt>
                <c:pt idx="18">
                  <c:v>34</c:v>
                </c:pt>
                <c:pt idx="19">
                  <c:v>34.5</c:v>
                </c:pt>
                <c:pt idx="20">
                  <c:v>35</c:v>
                </c:pt>
                <c:pt idx="21">
                  <c:v>35.5</c:v>
                </c:pt>
                <c:pt idx="22">
                  <c:v>36</c:v>
                </c:pt>
                <c:pt idx="23">
                  <c:v>36.5</c:v>
                </c:pt>
                <c:pt idx="24">
                  <c:v>37</c:v>
                </c:pt>
                <c:pt idx="25">
                  <c:v>37.5</c:v>
                </c:pt>
                <c:pt idx="26">
                  <c:v>38</c:v>
                </c:pt>
                <c:pt idx="27">
                  <c:v>38.5</c:v>
                </c:pt>
                <c:pt idx="28">
                  <c:v>39</c:v>
                </c:pt>
                <c:pt idx="29">
                  <c:v>39.5</c:v>
                </c:pt>
                <c:pt idx="30">
                  <c:v>40</c:v>
                </c:pt>
                <c:pt idx="31">
                  <c:v>40.5</c:v>
                </c:pt>
                <c:pt idx="32">
                  <c:v>41</c:v>
                </c:pt>
                <c:pt idx="33">
                  <c:v>41.5</c:v>
                </c:pt>
                <c:pt idx="34">
                  <c:v>42</c:v>
                </c:pt>
                <c:pt idx="35">
                  <c:v>42.5</c:v>
                </c:pt>
                <c:pt idx="36">
                  <c:v>43</c:v>
                </c:pt>
                <c:pt idx="37">
                  <c:v>43.5</c:v>
                </c:pt>
                <c:pt idx="38">
                  <c:v>44</c:v>
                </c:pt>
                <c:pt idx="39">
                  <c:v>44.5</c:v>
                </c:pt>
                <c:pt idx="40">
                  <c:v>45</c:v>
                </c:pt>
                <c:pt idx="41">
                  <c:v>45.5</c:v>
                </c:pt>
                <c:pt idx="42">
                  <c:v>46</c:v>
                </c:pt>
                <c:pt idx="43">
                  <c:v>46.5</c:v>
                </c:pt>
                <c:pt idx="44">
                  <c:v>47</c:v>
                </c:pt>
                <c:pt idx="45">
                  <c:v>47.5</c:v>
                </c:pt>
                <c:pt idx="46">
                  <c:v>48</c:v>
                </c:pt>
                <c:pt idx="47">
                  <c:v>48.5</c:v>
                </c:pt>
                <c:pt idx="48">
                  <c:v>49</c:v>
                </c:pt>
                <c:pt idx="49">
                  <c:v>49.5</c:v>
                </c:pt>
                <c:pt idx="50">
                  <c:v>50</c:v>
                </c:pt>
                <c:pt idx="51">
                  <c:v>50.5</c:v>
                </c:pt>
                <c:pt idx="52">
                  <c:v>51</c:v>
                </c:pt>
                <c:pt idx="53">
                  <c:v>51.5</c:v>
                </c:pt>
                <c:pt idx="54">
                  <c:v>52</c:v>
                </c:pt>
                <c:pt idx="55">
                  <c:v>52.5</c:v>
                </c:pt>
                <c:pt idx="56">
                  <c:v>53</c:v>
                </c:pt>
                <c:pt idx="57">
                  <c:v>53.5</c:v>
                </c:pt>
                <c:pt idx="58">
                  <c:v>54</c:v>
                </c:pt>
                <c:pt idx="59">
                  <c:v>54.5</c:v>
                </c:pt>
                <c:pt idx="60">
                  <c:v>55</c:v>
                </c:pt>
                <c:pt idx="61">
                  <c:v>55.5</c:v>
                </c:pt>
                <c:pt idx="62">
                  <c:v>56</c:v>
                </c:pt>
                <c:pt idx="63">
                  <c:v>56.5</c:v>
                </c:pt>
                <c:pt idx="64">
                  <c:v>57</c:v>
                </c:pt>
                <c:pt idx="65">
                  <c:v>57.5</c:v>
                </c:pt>
                <c:pt idx="66">
                  <c:v>58</c:v>
                </c:pt>
                <c:pt idx="67">
                  <c:v>58.5</c:v>
                </c:pt>
                <c:pt idx="68">
                  <c:v>59</c:v>
                </c:pt>
                <c:pt idx="69">
                  <c:v>59.5</c:v>
                </c:pt>
                <c:pt idx="70">
                  <c:v>60</c:v>
                </c:pt>
                <c:pt idx="71">
                  <c:v>60.5</c:v>
                </c:pt>
                <c:pt idx="72">
                  <c:v>61</c:v>
                </c:pt>
                <c:pt idx="73">
                  <c:v>61.5</c:v>
                </c:pt>
                <c:pt idx="74">
                  <c:v>62</c:v>
                </c:pt>
                <c:pt idx="75">
                  <c:v>62.5</c:v>
                </c:pt>
                <c:pt idx="76">
                  <c:v>63</c:v>
                </c:pt>
                <c:pt idx="77">
                  <c:v>63.5</c:v>
                </c:pt>
                <c:pt idx="78">
                  <c:v>64</c:v>
                </c:pt>
                <c:pt idx="79">
                  <c:v>64.5</c:v>
                </c:pt>
                <c:pt idx="80">
                  <c:v>65</c:v>
                </c:pt>
                <c:pt idx="81">
                  <c:v>65.5</c:v>
                </c:pt>
                <c:pt idx="82">
                  <c:v>66</c:v>
                </c:pt>
                <c:pt idx="83">
                  <c:v>66.5</c:v>
                </c:pt>
                <c:pt idx="84">
                  <c:v>67</c:v>
                </c:pt>
                <c:pt idx="85">
                  <c:v>67.5</c:v>
                </c:pt>
                <c:pt idx="86">
                  <c:v>68</c:v>
                </c:pt>
                <c:pt idx="87">
                  <c:v>68.5</c:v>
                </c:pt>
                <c:pt idx="88">
                  <c:v>69</c:v>
                </c:pt>
                <c:pt idx="89">
                  <c:v>69.5</c:v>
                </c:pt>
                <c:pt idx="90">
                  <c:v>70</c:v>
                </c:pt>
              </c:numCache>
            </c:numRef>
          </c:xVal>
          <c:yVal>
            <c:numRef>
              <c:f>'Ex2-SC (n=1)'!$C$3:$C$126</c:f>
              <c:numCache>
                <c:formatCode>General</c:formatCode>
                <c:ptCount val="124"/>
                <c:pt idx="0">
                  <c:v>1.4634</c:v>
                </c:pt>
                <c:pt idx="1">
                  <c:v>1.4618</c:v>
                </c:pt>
                <c:pt idx="2">
                  <c:v>1.4612000000000001</c:v>
                </c:pt>
                <c:pt idx="3">
                  <c:v>1.4639</c:v>
                </c:pt>
                <c:pt idx="4">
                  <c:v>1.4658</c:v>
                </c:pt>
                <c:pt idx="5">
                  <c:v>1.4656</c:v>
                </c:pt>
                <c:pt idx="6">
                  <c:v>1.4655</c:v>
                </c:pt>
                <c:pt idx="7">
                  <c:v>1.4650000000000001</c:v>
                </c:pt>
                <c:pt idx="8">
                  <c:v>1.4659</c:v>
                </c:pt>
                <c:pt idx="9">
                  <c:v>1.4663999999999999</c:v>
                </c:pt>
                <c:pt idx="10">
                  <c:v>1.4703999999999999</c:v>
                </c:pt>
                <c:pt idx="11">
                  <c:v>1.47</c:v>
                </c:pt>
                <c:pt idx="12">
                  <c:v>1.4704999999999999</c:v>
                </c:pt>
                <c:pt idx="13">
                  <c:v>1.4665999999999999</c:v>
                </c:pt>
                <c:pt idx="14">
                  <c:v>1.4679</c:v>
                </c:pt>
                <c:pt idx="15">
                  <c:v>1.4710000000000001</c:v>
                </c:pt>
                <c:pt idx="16">
                  <c:v>1.4710000000000001</c:v>
                </c:pt>
                <c:pt idx="17">
                  <c:v>1.4681</c:v>
                </c:pt>
                <c:pt idx="18">
                  <c:v>1.4702</c:v>
                </c:pt>
                <c:pt idx="19">
                  <c:v>1.4741</c:v>
                </c:pt>
                <c:pt idx="20">
                  <c:v>1.4729000000000001</c:v>
                </c:pt>
                <c:pt idx="21">
                  <c:v>1.4743999999999999</c:v>
                </c:pt>
                <c:pt idx="22">
                  <c:v>1.4723999999999999</c:v>
                </c:pt>
                <c:pt idx="23">
                  <c:v>1.4736</c:v>
                </c:pt>
                <c:pt idx="24">
                  <c:v>1.4722</c:v>
                </c:pt>
                <c:pt idx="25">
                  <c:v>1.4742</c:v>
                </c:pt>
                <c:pt idx="26">
                  <c:v>1.478</c:v>
                </c:pt>
                <c:pt idx="27">
                  <c:v>1.4739</c:v>
                </c:pt>
                <c:pt idx="28">
                  <c:v>1.4758</c:v>
                </c:pt>
                <c:pt idx="29">
                  <c:v>1.478</c:v>
                </c:pt>
                <c:pt idx="30">
                  <c:v>1.4767999999999999</c:v>
                </c:pt>
                <c:pt idx="31">
                  <c:v>1.4766999999999999</c:v>
                </c:pt>
                <c:pt idx="32">
                  <c:v>1.4772000000000001</c:v>
                </c:pt>
                <c:pt idx="33">
                  <c:v>1.4784999999999999</c:v>
                </c:pt>
                <c:pt idx="34">
                  <c:v>1.4812000000000001</c:v>
                </c:pt>
                <c:pt idx="35">
                  <c:v>1.4842</c:v>
                </c:pt>
                <c:pt idx="36">
                  <c:v>1.4844999999999999</c:v>
                </c:pt>
                <c:pt idx="37">
                  <c:v>1.4822</c:v>
                </c:pt>
                <c:pt idx="38">
                  <c:v>1.4838</c:v>
                </c:pt>
                <c:pt idx="39">
                  <c:v>1.4947999999999999</c:v>
                </c:pt>
                <c:pt idx="40">
                  <c:v>1.4928999999999999</c:v>
                </c:pt>
                <c:pt idx="41">
                  <c:v>1.502</c:v>
                </c:pt>
                <c:pt idx="42">
                  <c:v>1.5126999999999999</c:v>
                </c:pt>
                <c:pt idx="43">
                  <c:v>1.518</c:v>
                </c:pt>
                <c:pt idx="44">
                  <c:v>1.5356000000000001</c:v>
                </c:pt>
                <c:pt idx="45">
                  <c:v>1.5481</c:v>
                </c:pt>
                <c:pt idx="46">
                  <c:v>1.5598000000000001</c:v>
                </c:pt>
                <c:pt idx="47">
                  <c:v>1.5785</c:v>
                </c:pt>
                <c:pt idx="48">
                  <c:v>1.5922000000000001</c:v>
                </c:pt>
                <c:pt idx="49">
                  <c:v>1.6041000000000001</c:v>
                </c:pt>
                <c:pt idx="50">
                  <c:v>1.6153</c:v>
                </c:pt>
                <c:pt idx="51">
                  <c:v>1.6263000000000001</c:v>
                </c:pt>
                <c:pt idx="52">
                  <c:v>1.6267</c:v>
                </c:pt>
                <c:pt idx="53">
                  <c:v>1.6342000000000001</c:v>
                </c:pt>
                <c:pt idx="54">
                  <c:v>1.6380999999999999</c:v>
                </c:pt>
                <c:pt idx="55">
                  <c:v>1.6397999999999999</c:v>
                </c:pt>
                <c:pt idx="56">
                  <c:v>1.6412</c:v>
                </c:pt>
                <c:pt idx="57">
                  <c:v>1.6418999999999999</c:v>
                </c:pt>
                <c:pt idx="58">
                  <c:v>1.6458999999999999</c:v>
                </c:pt>
                <c:pt idx="59">
                  <c:v>1.6436999999999999</c:v>
                </c:pt>
                <c:pt idx="60">
                  <c:v>1.6449</c:v>
                </c:pt>
                <c:pt idx="61">
                  <c:v>1.6485000000000001</c:v>
                </c:pt>
                <c:pt idx="62">
                  <c:v>1.6482000000000001</c:v>
                </c:pt>
                <c:pt idx="63">
                  <c:v>1.6456</c:v>
                </c:pt>
                <c:pt idx="64">
                  <c:v>1.6488</c:v>
                </c:pt>
                <c:pt idx="65">
                  <c:v>1.6505000000000001</c:v>
                </c:pt>
                <c:pt idx="66">
                  <c:v>1.6509</c:v>
                </c:pt>
                <c:pt idx="67">
                  <c:v>1.6509</c:v>
                </c:pt>
                <c:pt idx="68">
                  <c:v>1.6487000000000001</c:v>
                </c:pt>
                <c:pt idx="69">
                  <c:v>1.6494</c:v>
                </c:pt>
                <c:pt idx="70">
                  <c:v>1.6500999999999999</c:v>
                </c:pt>
                <c:pt idx="71">
                  <c:v>1.6485000000000001</c:v>
                </c:pt>
                <c:pt idx="72">
                  <c:v>1.6519999999999999</c:v>
                </c:pt>
                <c:pt idx="73">
                  <c:v>1.6536999999999999</c:v>
                </c:pt>
                <c:pt idx="74">
                  <c:v>1.6511</c:v>
                </c:pt>
                <c:pt idx="75">
                  <c:v>1.6529</c:v>
                </c:pt>
                <c:pt idx="76">
                  <c:v>1.6538999999999999</c:v>
                </c:pt>
                <c:pt idx="77">
                  <c:v>1.6546000000000001</c:v>
                </c:pt>
                <c:pt idx="78">
                  <c:v>1.6488</c:v>
                </c:pt>
                <c:pt idx="79">
                  <c:v>1.6547000000000001</c:v>
                </c:pt>
                <c:pt idx="80">
                  <c:v>1.6547000000000001</c:v>
                </c:pt>
                <c:pt idx="81">
                  <c:v>1.6540999999999999</c:v>
                </c:pt>
                <c:pt idx="82">
                  <c:v>1.6541999999999999</c:v>
                </c:pt>
                <c:pt idx="83">
                  <c:v>1.6558999999999999</c:v>
                </c:pt>
                <c:pt idx="84">
                  <c:v>1.6576</c:v>
                </c:pt>
                <c:pt idx="85">
                  <c:v>1.6527000000000001</c:v>
                </c:pt>
                <c:pt idx="86">
                  <c:v>1.6591</c:v>
                </c:pt>
                <c:pt idx="87">
                  <c:v>1.6598999999999999</c:v>
                </c:pt>
                <c:pt idx="88">
                  <c:v>1.6611</c:v>
                </c:pt>
                <c:pt idx="89">
                  <c:v>1.6584000000000001</c:v>
                </c:pt>
                <c:pt idx="90">
                  <c:v>1.6605000000000001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1C-4E68-A72E-89088EE2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ax val="7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Duplex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UV</a:t>
            </a:r>
            <a:r>
              <a:rPr lang="en-US" baseline="0"/>
              <a:t> Absorbance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595616337431"/>
          <c:y val="0.18188143795204054"/>
          <c:w val="0.81232174103237098"/>
          <c:h val="0.65262429570120506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'Ex3-SC (n=2)'!$C$2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'Ex3-SC (n=2)'!$B$3:$B$139</c:f>
              <c:numCache>
                <c:formatCode>General</c:formatCode>
                <c:ptCount val="137"/>
                <c:pt idx="0">
                  <c:v>25</c:v>
                </c:pt>
                <c:pt idx="1">
                  <c:v>25.5</c:v>
                </c:pt>
                <c:pt idx="2">
                  <c:v>26</c:v>
                </c:pt>
                <c:pt idx="3">
                  <c:v>26.5</c:v>
                </c:pt>
                <c:pt idx="4">
                  <c:v>27</c:v>
                </c:pt>
                <c:pt idx="5">
                  <c:v>27.5</c:v>
                </c:pt>
                <c:pt idx="6">
                  <c:v>28</c:v>
                </c:pt>
                <c:pt idx="7">
                  <c:v>28.5</c:v>
                </c:pt>
                <c:pt idx="8">
                  <c:v>29</c:v>
                </c:pt>
                <c:pt idx="9">
                  <c:v>29.5</c:v>
                </c:pt>
                <c:pt idx="10">
                  <c:v>30</c:v>
                </c:pt>
                <c:pt idx="11">
                  <c:v>30.5</c:v>
                </c:pt>
                <c:pt idx="12">
                  <c:v>31</c:v>
                </c:pt>
                <c:pt idx="13">
                  <c:v>31.5</c:v>
                </c:pt>
                <c:pt idx="14">
                  <c:v>32</c:v>
                </c:pt>
                <c:pt idx="15">
                  <c:v>32.5</c:v>
                </c:pt>
                <c:pt idx="16">
                  <c:v>33</c:v>
                </c:pt>
                <c:pt idx="17">
                  <c:v>33.5</c:v>
                </c:pt>
                <c:pt idx="18">
                  <c:v>34</c:v>
                </c:pt>
                <c:pt idx="19">
                  <c:v>34.5</c:v>
                </c:pt>
                <c:pt idx="20">
                  <c:v>35</c:v>
                </c:pt>
                <c:pt idx="21">
                  <c:v>35.5</c:v>
                </c:pt>
                <c:pt idx="22">
                  <c:v>36</c:v>
                </c:pt>
                <c:pt idx="23">
                  <c:v>36.5</c:v>
                </c:pt>
                <c:pt idx="24">
                  <c:v>37</c:v>
                </c:pt>
                <c:pt idx="25">
                  <c:v>37.5</c:v>
                </c:pt>
                <c:pt idx="26">
                  <c:v>38</c:v>
                </c:pt>
                <c:pt idx="27">
                  <c:v>38.5</c:v>
                </c:pt>
                <c:pt idx="28">
                  <c:v>39</c:v>
                </c:pt>
                <c:pt idx="29">
                  <c:v>39.5</c:v>
                </c:pt>
                <c:pt idx="30">
                  <c:v>40</c:v>
                </c:pt>
                <c:pt idx="31">
                  <c:v>40.5</c:v>
                </c:pt>
                <c:pt idx="32">
                  <c:v>41</c:v>
                </c:pt>
                <c:pt idx="33">
                  <c:v>41.5</c:v>
                </c:pt>
                <c:pt idx="34">
                  <c:v>42</c:v>
                </c:pt>
                <c:pt idx="35">
                  <c:v>42.5</c:v>
                </c:pt>
                <c:pt idx="36">
                  <c:v>43</c:v>
                </c:pt>
                <c:pt idx="37">
                  <c:v>43.5</c:v>
                </c:pt>
                <c:pt idx="38">
                  <c:v>44</c:v>
                </c:pt>
                <c:pt idx="39">
                  <c:v>44.5</c:v>
                </c:pt>
                <c:pt idx="40">
                  <c:v>45</c:v>
                </c:pt>
                <c:pt idx="41">
                  <c:v>45.5</c:v>
                </c:pt>
                <c:pt idx="42">
                  <c:v>46</c:v>
                </c:pt>
                <c:pt idx="43">
                  <c:v>46.5</c:v>
                </c:pt>
                <c:pt idx="44">
                  <c:v>47</c:v>
                </c:pt>
                <c:pt idx="45">
                  <c:v>47.5</c:v>
                </c:pt>
                <c:pt idx="46">
                  <c:v>48</c:v>
                </c:pt>
                <c:pt idx="47">
                  <c:v>48.5</c:v>
                </c:pt>
                <c:pt idx="48">
                  <c:v>49</c:v>
                </c:pt>
                <c:pt idx="49">
                  <c:v>49.5</c:v>
                </c:pt>
                <c:pt idx="50">
                  <c:v>50</c:v>
                </c:pt>
                <c:pt idx="51">
                  <c:v>50.5</c:v>
                </c:pt>
                <c:pt idx="52">
                  <c:v>51</c:v>
                </c:pt>
                <c:pt idx="53">
                  <c:v>51.5</c:v>
                </c:pt>
                <c:pt idx="54">
                  <c:v>52</c:v>
                </c:pt>
                <c:pt idx="55">
                  <c:v>52.5</c:v>
                </c:pt>
                <c:pt idx="56">
                  <c:v>53</c:v>
                </c:pt>
                <c:pt idx="57">
                  <c:v>53.5</c:v>
                </c:pt>
                <c:pt idx="58">
                  <c:v>54</c:v>
                </c:pt>
                <c:pt idx="59">
                  <c:v>54.5</c:v>
                </c:pt>
                <c:pt idx="60">
                  <c:v>55</c:v>
                </c:pt>
                <c:pt idx="61">
                  <c:v>55.5</c:v>
                </c:pt>
                <c:pt idx="62">
                  <c:v>56</c:v>
                </c:pt>
                <c:pt idx="63">
                  <c:v>56.5</c:v>
                </c:pt>
                <c:pt idx="64">
                  <c:v>57</c:v>
                </c:pt>
                <c:pt idx="65">
                  <c:v>57.5</c:v>
                </c:pt>
                <c:pt idx="66">
                  <c:v>58</c:v>
                </c:pt>
                <c:pt idx="67">
                  <c:v>58.5</c:v>
                </c:pt>
                <c:pt idx="68">
                  <c:v>59</c:v>
                </c:pt>
                <c:pt idx="69">
                  <c:v>59.5</c:v>
                </c:pt>
                <c:pt idx="70">
                  <c:v>60</c:v>
                </c:pt>
                <c:pt idx="71">
                  <c:v>60.5</c:v>
                </c:pt>
                <c:pt idx="72">
                  <c:v>61</c:v>
                </c:pt>
                <c:pt idx="73">
                  <c:v>61.5</c:v>
                </c:pt>
                <c:pt idx="74">
                  <c:v>62</c:v>
                </c:pt>
                <c:pt idx="75">
                  <c:v>62.5</c:v>
                </c:pt>
                <c:pt idx="76">
                  <c:v>63</c:v>
                </c:pt>
                <c:pt idx="77">
                  <c:v>63.5</c:v>
                </c:pt>
                <c:pt idx="78">
                  <c:v>64</c:v>
                </c:pt>
                <c:pt idx="79">
                  <c:v>64.5</c:v>
                </c:pt>
                <c:pt idx="80">
                  <c:v>65</c:v>
                </c:pt>
                <c:pt idx="81">
                  <c:v>65.5</c:v>
                </c:pt>
                <c:pt idx="82">
                  <c:v>66</c:v>
                </c:pt>
                <c:pt idx="83">
                  <c:v>66.5</c:v>
                </c:pt>
                <c:pt idx="84">
                  <c:v>67</c:v>
                </c:pt>
                <c:pt idx="85">
                  <c:v>67.5</c:v>
                </c:pt>
                <c:pt idx="86">
                  <c:v>68</c:v>
                </c:pt>
                <c:pt idx="87">
                  <c:v>68.5</c:v>
                </c:pt>
                <c:pt idx="88">
                  <c:v>69</c:v>
                </c:pt>
                <c:pt idx="89">
                  <c:v>69.5</c:v>
                </c:pt>
                <c:pt idx="90">
                  <c:v>70</c:v>
                </c:pt>
              </c:numCache>
            </c:numRef>
          </c:xVal>
          <c:yVal>
            <c:numRef>
              <c:f>'Ex3-SC (n=2)'!$C$3:$C$139</c:f>
              <c:numCache>
                <c:formatCode>General</c:formatCode>
                <c:ptCount val="137"/>
                <c:pt idx="0">
                  <c:v>1.4626999999999999</c:v>
                </c:pt>
                <c:pt idx="1">
                  <c:v>1.4633</c:v>
                </c:pt>
                <c:pt idx="2">
                  <c:v>1.4635</c:v>
                </c:pt>
                <c:pt idx="3">
                  <c:v>1.4664999999999999</c:v>
                </c:pt>
                <c:pt idx="4">
                  <c:v>1.4641999999999999</c:v>
                </c:pt>
                <c:pt idx="5">
                  <c:v>1.4648000000000001</c:v>
                </c:pt>
                <c:pt idx="6">
                  <c:v>1.4642999999999999</c:v>
                </c:pt>
                <c:pt idx="7">
                  <c:v>1.4659</c:v>
                </c:pt>
                <c:pt idx="8">
                  <c:v>1.4677</c:v>
                </c:pt>
                <c:pt idx="9">
                  <c:v>1.4623999999999999</c:v>
                </c:pt>
                <c:pt idx="10">
                  <c:v>1.4661999999999999</c:v>
                </c:pt>
                <c:pt idx="11">
                  <c:v>1.4694</c:v>
                </c:pt>
                <c:pt idx="12">
                  <c:v>1.4688000000000001</c:v>
                </c:pt>
                <c:pt idx="13">
                  <c:v>1.4729000000000001</c:v>
                </c:pt>
                <c:pt idx="14">
                  <c:v>1.4689000000000001</c:v>
                </c:pt>
                <c:pt idx="15">
                  <c:v>1.4713000000000001</c:v>
                </c:pt>
                <c:pt idx="16">
                  <c:v>1.4717</c:v>
                </c:pt>
                <c:pt idx="17">
                  <c:v>1.4726999999999999</c:v>
                </c:pt>
                <c:pt idx="18">
                  <c:v>1.4702</c:v>
                </c:pt>
                <c:pt idx="19">
                  <c:v>1.4728000000000001</c:v>
                </c:pt>
                <c:pt idx="20">
                  <c:v>1.4718</c:v>
                </c:pt>
                <c:pt idx="21">
                  <c:v>1.4723999999999999</c:v>
                </c:pt>
                <c:pt idx="22">
                  <c:v>1.4735</c:v>
                </c:pt>
                <c:pt idx="23">
                  <c:v>1.4732000000000001</c:v>
                </c:pt>
                <c:pt idx="24">
                  <c:v>1.4769000000000001</c:v>
                </c:pt>
                <c:pt idx="25">
                  <c:v>1.4745999999999999</c:v>
                </c:pt>
                <c:pt idx="26">
                  <c:v>1.4756</c:v>
                </c:pt>
                <c:pt idx="27">
                  <c:v>1.4775</c:v>
                </c:pt>
                <c:pt idx="28">
                  <c:v>1.4779</c:v>
                </c:pt>
                <c:pt idx="29">
                  <c:v>1.4777</c:v>
                </c:pt>
                <c:pt idx="30">
                  <c:v>1.4801</c:v>
                </c:pt>
                <c:pt idx="31">
                  <c:v>1.4802999999999999</c:v>
                </c:pt>
                <c:pt idx="32">
                  <c:v>1.4787999999999999</c:v>
                </c:pt>
                <c:pt idx="33">
                  <c:v>1.4823</c:v>
                </c:pt>
                <c:pt idx="34">
                  <c:v>1.4833000000000001</c:v>
                </c:pt>
                <c:pt idx="35">
                  <c:v>1.4855</c:v>
                </c:pt>
                <c:pt idx="36">
                  <c:v>1.4850000000000001</c:v>
                </c:pt>
                <c:pt idx="37">
                  <c:v>1.4885999999999999</c:v>
                </c:pt>
                <c:pt idx="38">
                  <c:v>1.488</c:v>
                </c:pt>
                <c:pt idx="39">
                  <c:v>1.4964999999999999</c:v>
                </c:pt>
                <c:pt idx="40">
                  <c:v>1.4923999999999999</c:v>
                </c:pt>
                <c:pt idx="41">
                  <c:v>1.4992000000000001</c:v>
                </c:pt>
                <c:pt idx="42">
                  <c:v>1.5002</c:v>
                </c:pt>
                <c:pt idx="43">
                  <c:v>1.5016</c:v>
                </c:pt>
                <c:pt idx="44">
                  <c:v>1.5085</c:v>
                </c:pt>
                <c:pt idx="45">
                  <c:v>1.5135000000000001</c:v>
                </c:pt>
                <c:pt idx="46">
                  <c:v>1.5195000000000001</c:v>
                </c:pt>
                <c:pt idx="47">
                  <c:v>1.5269999999999999</c:v>
                </c:pt>
                <c:pt idx="48">
                  <c:v>1.5303</c:v>
                </c:pt>
                <c:pt idx="49">
                  <c:v>1.5376000000000001</c:v>
                </c:pt>
                <c:pt idx="50">
                  <c:v>1.5432999999999999</c:v>
                </c:pt>
                <c:pt idx="51">
                  <c:v>1.5573999999999999</c:v>
                </c:pt>
                <c:pt idx="52">
                  <c:v>1.5639000000000001</c:v>
                </c:pt>
                <c:pt idx="53">
                  <c:v>1.5749</c:v>
                </c:pt>
                <c:pt idx="54">
                  <c:v>1.587</c:v>
                </c:pt>
                <c:pt idx="55">
                  <c:v>1.5935999999999999</c:v>
                </c:pt>
                <c:pt idx="56">
                  <c:v>1.5991</c:v>
                </c:pt>
                <c:pt idx="57">
                  <c:v>1.6106</c:v>
                </c:pt>
                <c:pt idx="58">
                  <c:v>1.6194</c:v>
                </c:pt>
                <c:pt idx="59">
                  <c:v>1.6231</c:v>
                </c:pt>
                <c:pt idx="60">
                  <c:v>1.6272</c:v>
                </c:pt>
                <c:pt idx="61">
                  <c:v>1.6355999999999999</c:v>
                </c:pt>
                <c:pt idx="62">
                  <c:v>1.6359999999999999</c:v>
                </c:pt>
                <c:pt idx="63">
                  <c:v>1.6418999999999999</c:v>
                </c:pt>
                <c:pt idx="64">
                  <c:v>1.6407</c:v>
                </c:pt>
                <c:pt idx="65">
                  <c:v>1.6454</c:v>
                </c:pt>
                <c:pt idx="66">
                  <c:v>1.6459999999999999</c:v>
                </c:pt>
                <c:pt idx="67">
                  <c:v>1.6485000000000001</c:v>
                </c:pt>
                <c:pt idx="68">
                  <c:v>1.6483000000000001</c:v>
                </c:pt>
                <c:pt idx="69">
                  <c:v>1.6519999999999999</c:v>
                </c:pt>
                <c:pt idx="70">
                  <c:v>1.6482000000000001</c:v>
                </c:pt>
                <c:pt idx="71">
                  <c:v>1.6495</c:v>
                </c:pt>
                <c:pt idx="72">
                  <c:v>1.6529</c:v>
                </c:pt>
                <c:pt idx="73">
                  <c:v>1.6485000000000001</c:v>
                </c:pt>
                <c:pt idx="74">
                  <c:v>1.6493</c:v>
                </c:pt>
                <c:pt idx="75">
                  <c:v>1.6539999999999999</c:v>
                </c:pt>
                <c:pt idx="76">
                  <c:v>1.6556</c:v>
                </c:pt>
                <c:pt idx="77">
                  <c:v>1.6531</c:v>
                </c:pt>
                <c:pt idx="78">
                  <c:v>1.6552</c:v>
                </c:pt>
                <c:pt idx="79">
                  <c:v>1.6533</c:v>
                </c:pt>
                <c:pt idx="80">
                  <c:v>1.6564000000000001</c:v>
                </c:pt>
                <c:pt idx="81">
                  <c:v>1.6584000000000001</c:v>
                </c:pt>
                <c:pt idx="82">
                  <c:v>1.6548</c:v>
                </c:pt>
                <c:pt idx="83">
                  <c:v>1.6581999999999999</c:v>
                </c:pt>
                <c:pt idx="84">
                  <c:v>1.6592</c:v>
                </c:pt>
                <c:pt idx="85">
                  <c:v>1.6566000000000001</c:v>
                </c:pt>
                <c:pt idx="86">
                  <c:v>1.6592</c:v>
                </c:pt>
                <c:pt idx="87">
                  <c:v>1.6617</c:v>
                </c:pt>
                <c:pt idx="88">
                  <c:v>1.6552</c:v>
                </c:pt>
                <c:pt idx="89">
                  <c:v>1.6613</c:v>
                </c:pt>
                <c:pt idx="90">
                  <c:v>1.6624000000000001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D-4394-A389-9D0DE3200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  <c:min val="1.4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Quadruplex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UV</a:t>
            </a:r>
            <a:r>
              <a:rPr lang="en-US" baseline="0"/>
              <a:t> Absorbance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21379629629629629"/>
          <c:w val="0.81232174103237098"/>
          <c:h val="0.578156167979002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'Ex4-SC (n=4)'!$C$2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'Ex4-SC (n=4)'!$B$3:$B$139</c:f>
              <c:numCache>
                <c:formatCode>General</c:formatCode>
                <c:ptCount val="137"/>
                <c:pt idx="0">
                  <c:v>40.369998930000001</c:v>
                </c:pt>
                <c:pt idx="1">
                  <c:v>40.819999690000003</c:v>
                </c:pt>
                <c:pt idx="2">
                  <c:v>41.16999817</c:v>
                </c:pt>
                <c:pt idx="3">
                  <c:v>41.569999690000003</c:v>
                </c:pt>
                <c:pt idx="4">
                  <c:v>41.97000122</c:v>
                </c:pt>
                <c:pt idx="5">
                  <c:v>42.41999817</c:v>
                </c:pt>
                <c:pt idx="6">
                  <c:v>42.770000459999999</c:v>
                </c:pt>
                <c:pt idx="7">
                  <c:v>43.16999817</c:v>
                </c:pt>
                <c:pt idx="8">
                  <c:v>43.619998930000001</c:v>
                </c:pt>
                <c:pt idx="9">
                  <c:v>43.97000122</c:v>
                </c:pt>
                <c:pt idx="10">
                  <c:v>44.369998930000001</c:v>
                </c:pt>
                <c:pt idx="11">
                  <c:v>44.770000459999999</c:v>
                </c:pt>
                <c:pt idx="12">
                  <c:v>45.16999817</c:v>
                </c:pt>
                <c:pt idx="13">
                  <c:v>45.569999690000003</c:v>
                </c:pt>
                <c:pt idx="14">
                  <c:v>46.020000459999999</c:v>
                </c:pt>
                <c:pt idx="15">
                  <c:v>46.41999817</c:v>
                </c:pt>
                <c:pt idx="16">
                  <c:v>46.770000459999999</c:v>
                </c:pt>
                <c:pt idx="17">
                  <c:v>47.16999817</c:v>
                </c:pt>
                <c:pt idx="18">
                  <c:v>47.619998930000001</c:v>
                </c:pt>
                <c:pt idx="19">
                  <c:v>47.97000122</c:v>
                </c:pt>
                <c:pt idx="20">
                  <c:v>48.369998930000001</c:v>
                </c:pt>
                <c:pt idx="21">
                  <c:v>48.819999690000003</c:v>
                </c:pt>
                <c:pt idx="22">
                  <c:v>49.22000122</c:v>
                </c:pt>
                <c:pt idx="23">
                  <c:v>49.619998930000001</c:v>
                </c:pt>
                <c:pt idx="24">
                  <c:v>49.97000122</c:v>
                </c:pt>
                <c:pt idx="25">
                  <c:v>50.41999817</c:v>
                </c:pt>
                <c:pt idx="26">
                  <c:v>50.770000459999999</c:v>
                </c:pt>
                <c:pt idx="27">
                  <c:v>51.16999817</c:v>
                </c:pt>
                <c:pt idx="28">
                  <c:v>51.619998930000001</c:v>
                </c:pt>
                <c:pt idx="29">
                  <c:v>52.020000459999999</c:v>
                </c:pt>
                <c:pt idx="30">
                  <c:v>52.41999817</c:v>
                </c:pt>
                <c:pt idx="31">
                  <c:v>52.819999690000003</c:v>
                </c:pt>
                <c:pt idx="32">
                  <c:v>53.16999817</c:v>
                </c:pt>
                <c:pt idx="33">
                  <c:v>53.569999690000003</c:v>
                </c:pt>
                <c:pt idx="34">
                  <c:v>54.020000459999999</c:v>
                </c:pt>
                <c:pt idx="35">
                  <c:v>54.369998930000001</c:v>
                </c:pt>
                <c:pt idx="36">
                  <c:v>54.770000459999999</c:v>
                </c:pt>
                <c:pt idx="37">
                  <c:v>55.22000122</c:v>
                </c:pt>
                <c:pt idx="38">
                  <c:v>55.569999690000003</c:v>
                </c:pt>
                <c:pt idx="39">
                  <c:v>56.020000459999999</c:v>
                </c:pt>
                <c:pt idx="40">
                  <c:v>56.369998930000001</c:v>
                </c:pt>
                <c:pt idx="41">
                  <c:v>56.819999690000003</c:v>
                </c:pt>
                <c:pt idx="42">
                  <c:v>57.16999817</c:v>
                </c:pt>
                <c:pt idx="43">
                  <c:v>57.520000459999999</c:v>
                </c:pt>
                <c:pt idx="44">
                  <c:v>57.97000122</c:v>
                </c:pt>
                <c:pt idx="45">
                  <c:v>58.41999817</c:v>
                </c:pt>
                <c:pt idx="46">
                  <c:v>58.770000459999999</c:v>
                </c:pt>
                <c:pt idx="47">
                  <c:v>59.22000122</c:v>
                </c:pt>
                <c:pt idx="48">
                  <c:v>59.569999690000003</c:v>
                </c:pt>
                <c:pt idx="49">
                  <c:v>59.97000122</c:v>
                </c:pt>
                <c:pt idx="50">
                  <c:v>60.369998930000001</c:v>
                </c:pt>
                <c:pt idx="51">
                  <c:v>60.819999690000003</c:v>
                </c:pt>
                <c:pt idx="52">
                  <c:v>61.22000122</c:v>
                </c:pt>
                <c:pt idx="53">
                  <c:v>61.619998930000001</c:v>
                </c:pt>
                <c:pt idx="54">
                  <c:v>61.97000122</c:v>
                </c:pt>
                <c:pt idx="55">
                  <c:v>62.369998930000001</c:v>
                </c:pt>
                <c:pt idx="56">
                  <c:v>62.819999690000003</c:v>
                </c:pt>
                <c:pt idx="57">
                  <c:v>63.16999817</c:v>
                </c:pt>
                <c:pt idx="58">
                  <c:v>63.569999690000003</c:v>
                </c:pt>
                <c:pt idx="59">
                  <c:v>64.019996640000002</c:v>
                </c:pt>
                <c:pt idx="60">
                  <c:v>64.370002749999998</c:v>
                </c:pt>
                <c:pt idx="61">
                  <c:v>64.819999690000003</c:v>
                </c:pt>
                <c:pt idx="62">
                  <c:v>65.22000122</c:v>
                </c:pt>
                <c:pt idx="63">
                  <c:v>65.569999690000003</c:v>
                </c:pt>
                <c:pt idx="64">
                  <c:v>66.019996640000002</c:v>
                </c:pt>
                <c:pt idx="65">
                  <c:v>66.47000122</c:v>
                </c:pt>
                <c:pt idx="66">
                  <c:v>66.769996640000002</c:v>
                </c:pt>
                <c:pt idx="67">
                  <c:v>67.120002749999998</c:v>
                </c:pt>
                <c:pt idx="68">
                  <c:v>67.569999690000003</c:v>
                </c:pt>
                <c:pt idx="69">
                  <c:v>67.959999080000003</c:v>
                </c:pt>
                <c:pt idx="70">
                  <c:v>68.41999817</c:v>
                </c:pt>
                <c:pt idx="71">
                  <c:v>68.819999690000003</c:v>
                </c:pt>
                <c:pt idx="72">
                  <c:v>69.22000122</c:v>
                </c:pt>
                <c:pt idx="73">
                  <c:v>69.569999690000003</c:v>
                </c:pt>
                <c:pt idx="74">
                  <c:v>69.97000122</c:v>
                </c:pt>
                <c:pt idx="75">
                  <c:v>70.36000061</c:v>
                </c:pt>
                <c:pt idx="76">
                  <c:v>70.769996640000002</c:v>
                </c:pt>
                <c:pt idx="77">
                  <c:v>71.16999817</c:v>
                </c:pt>
                <c:pt idx="78">
                  <c:v>71.569999690000003</c:v>
                </c:pt>
                <c:pt idx="79">
                  <c:v>71.97000122</c:v>
                </c:pt>
                <c:pt idx="80">
                  <c:v>72.41999817</c:v>
                </c:pt>
                <c:pt idx="81">
                  <c:v>72.819999690000003</c:v>
                </c:pt>
                <c:pt idx="82">
                  <c:v>73.120002749999998</c:v>
                </c:pt>
                <c:pt idx="83">
                  <c:v>73.559997559999999</c:v>
                </c:pt>
                <c:pt idx="84">
                  <c:v>73.97000122</c:v>
                </c:pt>
                <c:pt idx="85">
                  <c:v>74.41999817</c:v>
                </c:pt>
                <c:pt idx="86">
                  <c:v>74.769996640000002</c:v>
                </c:pt>
                <c:pt idx="87">
                  <c:v>75.22000122</c:v>
                </c:pt>
                <c:pt idx="88">
                  <c:v>75.620002749999998</c:v>
                </c:pt>
                <c:pt idx="89">
                  <c:v>76.019996640000002</c:v>
                </c:pt>
                <c:pt idx="90">
                  <c:v>76.370002749999998</c:v>
                </c:pt>
                <c:pt idx="91">
                  <c:v>76.819999690000003</c:v>
                </c:pt>
                <c:pt idx="92">
                  <c:v>77.22000122</c:v>
                </c:pt>
                <c:pt idx="93">
                  <c:v>77.569999690000003</c:v>
                </c:pt>
                <c:pt idx="94">
                  <c:v>77.97000122</c:v>
                </c:pt>
                <c:pt idx="95">
                  <c:v>78.370002749999998</c:v>
                </c:pt>
                <c:pt idx="96">
                  <c:v>78.769996640000002</c:v>
                </c:pt>
                <c:pt idx="97">
                  <c:v>79.16999817</c:v>
                </c:pt>
                <c:pt idx="98">
                  <c:v>79.620002749999998</c:v>
                </c:pt>
                <c:pt idx="99">
                  <c:v>80.019996640000002</c:v>
                </c:pt>
                <c:pt idx="100">
                  <c:v>80.370002749999998</c:v>
                </c:pt>
                <c:pt idx="101">
                  <c:v>80.769996640000002</c:v>
                </c:pt>
                <c:pt idx="102">
                  <c:v>81.22000122</c:v>
                </c:pt>
                <c:pt idx="103">
                  <c:v>81.620002749999998</c:v>
                </c:pt>
                <c:pt idx="104">
                  <c:v>81.97000122</c:v>
                </c:pt>
                <c:pt idx="105">
                  <c:v>82.370002749999998</c:v>
                </c:pt>
                <c:pt idx="106">
                  <c:v>82.769996640000002</c:v>
                </c:pt>
                <c:pt idx="107">
                  <c:v>83.16999817</c:v>
                </c:pt>
                <c:pt idx="108">
                  <c:v>83.569999690000003</c:v>
                </c:pt>
                <c:pt idx="109">
                  <c:v>83.97000122</c:v>
                </c:pt>
                <c:pt idx="110">
                  <c:v>84.370002749999998</c:v>
                </c:pt>
                <c:pt idx="111">
                  <c:v>84.819999690000003</c:v>
                </c:pt>
                <c:pt idx="112">
                  <c:v>85.160003660000001</c:v>
                </c:pt>
                <c:pt idx="113">
                  <c:v>85.569999690000003</c:v>
                </c:pt>
                <c:pt idx="114">
                  <c:v>85.97000122</c:v>
                </c:pt>
                <c:pt idx="115">
                  <c:v>86.41999817</c:v>
                </c:pt>
                <c:pt idx="116">
                  <c:v>86.819999690000003</c:v>
                </c:pt>
                <c:pt idx="117">
                  <c:v>87.16999817</c:v>
                </c:pt>
                <c:pt idx="118">
                  <c:v>87.569999690000003</c:v>
                </c:pt>
                <c:pt idx="119">
                  <c:v>87.97000122</c:v>
                </c:pt>
                <c:pt idx="120">
                  <c:v>88.370002749999998</c:v>
                </c:pt>
                <c:pt idx="121">
                  <c:v>88.819999690000003</c:v>
                </c:pt>
                <c:pt idx="122">
                  <c:v>89.16999817</c:v>
                </c:pt>
                <c:pt idx="123">
                  <c:v>89.569999690000003</c:v>
                </c:pt>
                <c:pt idx="124">
                  <c:v>89.980003359999998</c:v>
                </c:pt>
                <c:pt idx="125">
                  <c:v>90.370002749999998</c:v>
                </c:pt>
                <c:pt idx="126">
                  <c:v>90.769996640000002</c:v>
                </c:pt>
                <c:pt idx="127">
                  <c:v>91.22000122</c:v>
                </c:pt>
                <c:pt idx="128">
                  <c:v>91.620002749999998</c:v>
                </c:pt>
                <c:pt idx="129">
                  <c:v>92.019996640000002</c:v>
                </c:pt>
                <c:pt idx="130">
                  <c:v>92.41999817</c:v>
                </c:pt>
                <c:pt idx="131">
                  <c:v>92.819999690000003</c:v>
                </c:pt>
                <c:pt idx="132">
                  <c:v>93.16999817</c:v>
                </c:pt>
                <c:pt idx="133">
                  <c:v>93.569999690000003</c:v>
                </c:pt>
                <c:pt idx="134">
                  <c:v>93.97000122</c:v>
                </c:pt>
                <c:pt idx="135">
                  <c:v>94.41999817</c:v>
                </c:pt>
                <c:pt idx="136">
                  <c:v>94.769996640000002</c:v>
                </c:pt>
              </c:numCache>
            </c:numRef>
          </c:xVal>
          <c:yVal>
            <c:numRef>
              <c:f>'Ex4-SC (n=4)'!$C$3:$C$139</c:f>
              <c:numCache>
                <c:formatCode>General</c:formatCode>
                <c:ptCount val="137"/>
                <c:pt idx="0">
                  <c:v>0.14030228559999999</c:v>
                </c:pt>
                <c:pt idx="1">
                  <c:v>0.1404239833</c:v>
                </c:pt>
                <c:pt idx="2">
                  <c:v>0.140423879</c:v>
                </c:pt>
                <c:pt idx="3">
                  <c:v>0.14047105609999999</c:v>
                </c:pt>
                <c:pt idx="4">
                  <c:v>0.14045090969999999</c:v>
                </c:pt>
                <c:pt idx="5">
                  <c:v>0.14066955449999999</c:v>
                </c:pt>
                <c:pt idx="6">
                  <c:v>0.14067138730000001</c:v>
                </c:pt>
                <c:pt idx="7">
                  <c:v>0.14064744109999999</c:v>
                </c:pt>
                <c:pt idx="8">
                  <c:v>0.14056575299999999</c:v>
                </c:pt>
                <c:pt idx="9">
                  <c:v>0.14076691869999999</c:v>
                </c:pt>
                <c:pt idx="10">
                  <c:v>0.140723139</c:v>
                </c:pt>
                <c:pt idx="11">
                  <c:v>0.14088003339999999</c:v>
                </c:pt>
                <c:pt idx="12">
                  <c:v>0.14076447489999999</c:v>
                </c:pt>
                <c:pt idx="13">
                  <c:v>0.1408211738</c:v>
                </c:pt>
                <c:pt idx="14">
                  <c:v>0.14094416800000001</c:v>
                </c:pt>
                <c:pt idx="15">
                  <c:v>0.1408709437</c:v>
                </c:pt>
                <c:pt idx="16">
                  <c:v>0.14091397820000001</c:v>
                </c:pt>
                <c:pt idx="17">
                  <c:v>0.14079290629999999</c:v>
                </c:pt>
                <c:pt idx="18">
                  <c:v>0.14077810939999999</c:v>
                </c:pt>
                <c:pt idx="19">
                  <c:v>0.14078900220000001</c:v>
                </c:pt>
                <c:pt idx="20">
                  <c:v>0.14078556</c:v>
                </c:pt>
                <c:pt idx="21">
                  <c:v>0.1409188509</c:v>
                </c:pt>
                <c:pt idx="22">
                  <c:v>0.14101487400000001</c:v>
                </c:pt>
                <c:pt idx="23">
                  <c:v>0.14084424079999999</c:v>
                </c:pt>
                <c:pt idx="24">
                  <c:v>0.1408681571</c:v>
                </c:pt>
                <c:pt idx="25">
                  <c:v>0.1408225447</c:v>
                </c:pt>
                <c:pt idx="26">
                  <c:v>0.14087753</c:v>
                </c:pt>
                <c:pt idx="27">
                  <c:v>0.14067649839999999</c:v>
                </c:pt>
                <c:pt idx="28">
                  <c:v>0.1408614218</c:v>
                </c:pt>
                <c:pt idx="29">
                  <c:v>0.14096029099999999</c:v>
                </c:pt>
                <c:pt idx="30">
                  <c:v>0.1407463253</c:v>
                </c:pt>
                <c:pt idx="31">
                  <c:v>0.14080542330000001</c:v>
                </c:pt>
                <c:pt idx="32">
                  <c:v>0.1407037079</c:v>
                </c:pt>
                <c:pt idx="33">
                  <c:v>0.14061312379999999</c:v>
                </c:pt>
                <c:pt idx="34">
                  <c:v>0.140596956</c:v>
                </c:pt>
                <c:pt idx="35">
                  <c:v>0.14063595240000001</c:v>
                </c:pt>
                <c:pt idx="36">
                  <c:v>0.14063444729999999</c:v>
                </c:pt>
                <c:pt idx="37">
                  <c:v>0.1405031085</c:v>
                </c:pt>
                <c:pt idx="38">
                  <c:v>0.14049784840000001</c:v>
                </c:pt>
                <c:pt idx="39">
                  <c:v>0.14045560360000001</c:v>
                </c:pt>
                <c:pt idx="40">
                  <c:v>0.14033021030000001</c:v>
                </c:pt>
                <c:pt idx="41">
                  <c:v>0.1404620707</c:v>
                </c:pt>
                <c:pt idx="42">
                  <c:v>0.1402824372</c:v>
                </c:pt>
                <c:pt idx="43">
                  <c:v>0.14014182980000001</c:v>
                </c:pt>
                <c:pt idx="44">
                  <c:v>0.13996711370000001</c:v>
                </c:pt>
                <c:pt idx="45">
                  <c:v>0.13998273019999999</c:v>
                </c:pt>
                <c:pt idx="46">
                  <c:v>0.1399232</c:v>
                </c:pt>
                <c:pt idx="47">
                  <c:v>0.1397456825</c:v>
                </c:pt>
                <c:pt idx="48">
                  <c:v>0.13973300159999999</c:v>
                </c:pt>
                <c:pt idx="49">
                  <c:v>0.1394914538</c:v>
                </c:pt>
                <c:pt idx="50">
                  <c:v>0.13940951230000001</c:v>
                </c:pt>
                <c:pt idx="51">
                  <c:v>0.13906073569999999</c:v>
                </c:pt>
                <c:pt idx="52">
                  <c:v>0.13896889979999999</c:v>
                </c:pt>
                <c:pt idx="53">
                  <c:v>0.13893781599999999</c:v>
                </c:pt>
                <c:pt idx="54">
                  <c:v>0.13870948550000001</c:v>
                </c:pt>
                <c:pt idx="55">
                  <c:v>0.1385307163</c:v>
                </c:pt>
                <c:pt idx="56">
                  <c:v>0.13819830120000001</c:v>
                </c:pt>
                <c:pt idx="57">
                  <c:v>0.13791464270000001</c:v>
                </c:pt>
                <c:pt idx="58">
                  <c:v>0.1377713233</c:v>
                </c:pt>
                <c:pt idx="59">
                  <c:v>0.1375204474</c:v>
                </c:pt>
                <c:pt idx="60">
                  <c:v>0.1373072863</c:v>
                </c:pt>
                <c:pt idx="61">
                  <c:v>0.1369181126</c:v>
                </c:pt>
                <c:pt idx="62">
                  <c:v>0.13678152860000001</c:v>
                </c:pt>
                <c:pt idx="63">
                  <c:v>0.1364508867</c:v>
                </c:pt>
                <c:pt idx="64">
                  <c:v>0.13597944379999999</c:v>
                </c:pt>
                <c:pt idx="65">
                  <c:v>0.13554802539999999</c:v>
                </c:pt>
                <c:pt idx="66">
                  <c:v>0.13532035049999999</c:v>
                </c:pt>
                <c:pt idx="67">
                  <c:v>0.13496311010000001</c:v>
                </c:pt>
                <c:pt idx="68">
                  <c:v>0.1344573647</c:v>
                </c:pt>
                <c:pt idx="69">
                  <c:v>0.13412459190000001</c:v>
                </c:pt>
                <c:pt idx="70">
                  <c:v>0.13368071619999999</c:v>
                </c:pt>
                <c:pt idx="71">
                  <c:v>0.13318669799999999</c:v>
                </c:pt>
                <c:pt idx="72">
                  <c:v>0.13264229890000001</c:v>
                </c:pt>
                <c:pt idx="73">
                  <c:v>0.13215401769999999</c:v>
                </c:pt>
                <c:pt idx="74">
                  <c:v>0.13151969020000001</c:v>
                </c:pt>
                <c:pt idx="75">
                  <c:v>0.13111858069999999</c:v>
                </c:pt>
                <c:pt idx="76">
                  <c:v>0.13064567739999999</c:v>
                </c:pt>
                <c:pt idx="77">
                  <c:v>0.13007424770000001</c:v>
                </c:pt>
                <c:pt idx="78">
                  <c:v>0.12940946219999999</c:v>
                </c:pt>
                <c:pt idx="79">
                  <c:v>0.12894411389999999</c:v>
                </c:pt>
                <c:pt idx="80">
                  <c:v>0.12829652429999999</c:v>
                </c:pt>
                <c:pt idx="81">
                  <c:v>0.12775300440000001</c:v>
                </c:pt>
                <c:pt idx="82">
                  <c:v>0.1274420768</c:v>
                </c:pt>
                <c:pt idx="83">
                  <c:v>0.12676168979999999</c:v>
                </c:pt>
                <c:pt idx="84">
                  <c:v>0.12631715830000001</c:v>
                </c:pt>
                <c:pt idx="85">
                  <c:v>0.12573423980000001</c:v>
                </c:pt>
                <c:pt idx="86">
                  <c:v>0.12524719540000001</c:v>
                </c:pt>
                <c:pt idx="87">
                  <c:v>0.1246893033</c:v>
                </c:pt>
                <c:pt idx="88">
                  <c:v>0.1244743168</c:v>
                </c:pt>
                <c:pt idx="89">
                  <c:v>0.12412774560000001</c:v>
                </c:pt>
                <c:pt idx="90">
                  <c:v>0.1238102615</c:v>
                </c:pt>
                <c:pt idx="91">
                  <c:v>0.12353243680000001</c:v>
                </c:pt>
                <c:pt idx="92">
                  <c:v>0.1233263463</c:v>
                </c:pt>
                <c:pt idx="93">
                  <c:v>0.12312781070000001</c:v>
                </c:pt>
                <c:pt idx="94">
                  <c:v>0.1232576817</c:v>
                </c:pt>
                <c:pt idx="95">
                  <c:v>0.1228578761</c:v>
                </c:pt>
                <c:pt idx="96">
                  <c:v>0.12279594689999999</c:v>
                </c:pt>
                <c:pt idx="97">
                  <c:v>0.1226789504</c:v>
                </c:pt>
                <c:pt idx="98">
                  <c:v>0.1226977333</c:v>
                </c:pt>
                <c:pt idx="99">
                  <c:v>0.1226126179</c:v>
                </c:pt>
                <c:pt idx="100">
                  <c:v>0.1227212176</c:v>
                </c:pt>
                <c:pt idx="101">
                  <c:v>0.1227011606</c:v>
                </c:pt>
                <c:pt idx="102">
                  <c:v>0.12266713379999999</c:v>
                </c:pt>
                <c:pt idx="103">
                  <c:v>0.12285237760000001</c:v>
                </c:pt>
                <c:pt idx="104">
                  <c:v>0.122770533</c:v>
                </c:pt>
                <c:pt idx="105">
                  <c:v>0.1229342073</c:v>
                </c:pt>
                <c:pt idx="106">
                  <c:v>0.1229612455</c:v>
                </c:pt>
                <c:pt idx="107">
                  <c:v>0.12289968129999999</c:v>
                </c:pt>
                <c:pt idx="108">
                  <c:v>0.12307814509999999</c:v>
                </c:pt>
                <c:pt idx="109">
                  <c:v>0.1231466085</c:v>
                </c:pt>
                <c:pt idx="110">
                  <c:v>0.12309037890000001</c:v>
                </c:pt>
                <c:pt idx="111">
                  <c:v>0.12305419149999999</c:v>
                </c:pt>
                <c:pt idx="112">
                  <c:v>0.1232179701</c:v>
                </c:pt>
                <c:pt idx="113">
                  <c:v>0.1232261509</c:v>
                </c:pt>
                <c:pt idx="114">
                  <c:v>0.12331410499999999</c:v>
                </c:pt>
                <c:pt idx="115">
                  <c:v>0.1231513545</c:v>
                </c:pt>
                <c:pt idx="116">
                  <c:v>0.12352139500000001</c:v>
                </c:pt>
                <c:pt idx="117">
                  <c:v>0.1234470233</c:v>
                </c:pt>
                <c:pt idx="118">
                  <c:v>0.1234993786</c:v>
                </c:pt>
                <c:pt idx="119">
                  <c:v>0.12351489810000001</c:v>
                </c:pt>
                <c:pt idx="120">
                  <c:v>0.1236752346</c:v>
                </c:pt>
                <c:pt idx="121">
                  <c:v>0.1237707436</c:v>
                </c:pt>
                <c:pt idx="122">
                  <c:v>0.1239595562</c:v>
                </c:pt>
                <c:pt idx="123">
                  <c:v>0.1238515452</c:v>
                </c:pt>
                <c:pt idx="124">
                  <c:v>0.1239991263</c:v>
                </c:pt>
                <c:pt idx="125">
                  <c:v>0.1240042895</c:v>
                </c:pt>
                <c:pt idx="126">
                  <c:v>0.1239238158</c:v>
                </c:pt>
                <c:pt idx="127">
                  <c:v>0.1241275743</c:v>
                </c:pt>
                <c:pt idx="128">
                  <c:v>0.1241030097</c:v>
                </c:pt>
                <c:pt idx="129">
                  <c:v>0.12430050970000001</c:v>
                </c:pt>
                <c:pt idx="130">
                  <c:v>0.1243636236</c:v>
                </c:pt>
                <c:pt idx="131">
                  <c:v>0.12439009550000001</c:v>
                </c:pt>
                <c:pt idx="132">
                  <c:v>0.1244421825</c:v>
                </c:pt>
                <c:pt idx="133">
                  <c:v>0.1245391369</c:v>
                </c:pt>
                <c:pt idx="134">
                  <c:v>0.1245532036</c:v>
                </c:pt>
                <c:pt idx="135">
                  <c:v>0.1246709153</c:v>
                </c:pt>
                <c:pt idx="136">
                  <c:v>0.1246996522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3-4918-BBD0-A963A6A4A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  <c:min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Quadruplex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Ellipticity @268nm vs</a:t>
            </a:r>
            <a:r>
              <a:rPr lang="en-US" baseline="0"/>
              <a:t>. [K</a:t>
            </a:r>
            <a:r>
              <a:rPr lang="en-US" baseline="30000"/>
              <a:t>+</a:t>
            </a:r>
            <a:r>
              <a:rPr lang="en-US" baseline="0"/>
              <a:t>]</a:t>
            </a:r>
            <a:endParaRPr lang="en-US"/>
          </a:p>
        </c:rich>
      </c:tx>
      <c:layout>
        <c:manualLayout>
          <c:xMode val="edge"/>
          <c:yMode val="edge"/>
          <c:x val="0.26799696090620256"/>
          <c:y val="2.4716786817713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21379629629629629"/>
          <c:w val="0.81232174103237098"/>
          <c:h val="0.578156167979002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'Ex5-SC Titration'!$C$4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'Ex5-SC Titration'!$B$5:$B$139</c:f>
              <c:numCache>
                <c:formatCode>General</c:formatCode>
                <c:ptCount val="135"/>
                <c:pt idx="0">
                  <c:v>0</c:v>
                </c:pt>
                <c:pt idx="1">
                  <c:v>9.9000000000000008E-3</c:v>
                </c:pt>
                <c:pt idx="2">
                  <c:v>1.9600000000000003E-2</c:v>
                </c:pt>
                <c:pt idx="3">
                  <c:v>2.9100000000000001E-2</c:v>
                </c:pt>
                <c:pt idx="4">
                  <c:v>3.8460000000000001E-2</c:v>
                </c:pt>
                <c:pt idx="5">
                  <c:v>4.7619999999999996E-2</c:v>
                </c:pt>
                <c:pt idx="6">
                  <c:v>5.6599999999999998E-2</c:v>
                </c:pt>
                <c:pt idx="7">
                  <c:v>6.5420000000000006E-2</c:v>
                </c:pt>
                <c:pt idx="8">
                  <c:v>7.4069999999999983E-2</c:v>
                </c:pt>
                <c:pt idx="9">
                  <c:v>8.2559999999999995E-2</c:v>
                </c:pt>
                <c:pt idx="10">
                  <c:v>9.0899999999999995E-2</c:v>
                </c:pt>
                <c:pt idx="11">
                  <c:v>0.1077</c:v>
                </c:pt>
                <c:pt idx="12">
                  <c:v>0.12280000000000001</c:v>
                </c:pt>
              </c:numCache>
            </c:numRef>
          </c:xVal>
          <c:yVal>
            <c:numRef>
              <c:f>'Ex5-SC Titration'!$C$5:$C$139</c:f>
              <c:numCache>
                <c:formatCode>General</c:formatCode>
                <c:ptCount val="135"/>
                <c:pt idx="0">
                  <c:v>820.33896000000004</c:v>
                </c:pt>
                <c:pt idx="1">
                  <c:v>1836.85637</c:v>
                </c:pt>
                <c:pt idx="2">
                  <c:v>2963.4146300000002</c:v>
                </c:pt>
                <c:pt idx="3">
                  <c:v>3901.3550100000002</c:v>
                </c:pt>
                <c:pt idx="4">
                  <c:v>4621.6802200000002</c:v>
                </c:pt>
                <c:pt idx="5">
                  <c:v>5101.6260199999997</c:v>
                </c:pt>
                <c:pt idx="6">
                  <c:v>5482.8748599999999</c:v>
                </c:pt>
                <c:pt idx="7">
                  <c:v>5751.2195099999999</c:v>
                </c:pt>
                <c:pt idx="8">
                  <c:v>5837.3983699999999</c:v>
                </c:pt>
                <c:pt idx="9">
                  <c:v>5921.1382100000001</c:v>
                </c:pt>
                <c:pt idx="10">
                  <c:v>5957.1815699999997</c:v>
                </c:pt>
                <c:pt idx="11">
                  <c:v>5915.3360000000002</c:v>
                </c:pt>
                <c:pt idx="12">
                  <c:v>5905.6910600000001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56-4810-B3FB-2A89EB61D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[K</a:t>
                </a:r>
                <a:r>
                  <a:rPr lang="en-CA" sz="1200" b="1" baseline="30000"/>
                  <a:t>+</a:t>
                </a:r>
                <a:r>
                  <a:rPr lang="en-CA" sz="1200" b="1"/>
                  <a:t>]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M)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Elipticity (268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1</xdr:row>
      <xdr:rowOff>88900</xdr:rowOff>
    </xdr:from>
    <xdr:to>
      <xdr:col>18</xdr:col>
      <xdr:colOff>95250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4A317-E4B2-4A6A-9F21-315398B60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438150</xdr:colOff>
      <xdr:row>24</xdr:row>
      <xdr:rowOff>7327</xdr:rowOff>
    </xdr:from>
    <xdr:to>
      <xdr:col>18</xdr:col>
      <xdr:colOff>133350</xdr:colOff>
      <xdr:row>44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582C24-1ED3-4C22-B946-170963D57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447675</xdr:colOff>
      <xdr:row>45</xdr:row>
      <xdr:rowOff>28575</xdr:rowOff>
    </xdr:from>
    <xdr:to>
      <xdr:col>18</xdr:col>
      <xdr:colOff>171450</xdr:colOff>
      <xdr:row>62</xdr:row>
      <xdr:rowOff>73025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FA362D-E469-4B56-BE00-929B80BBE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542925</xdr:colOff>
      <xdr:row>3</xdr:row>
      <xdr:rowOff>104775</xdr:rowOff>
    </xdr:from>
    <xdr:to>
      <xdr:col>22</xdr:col>
      <xdr:colOff>167115</xdr:colOff>
      <xdr:row>6</xdr:row>
      <xdr:rowOff>115161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4">
              <a:extLst>
                <a:ext uri="{FF2B5EF4-FFF2-40B4-BE49-F238E27FC236}">
                  <a16:creationId xmlns:a16="http://schemas.microsoft.com/office/drawing/2014/main" id="{C8D83F75-7026-8B9F-3C29-1786D368F881}"/>
                </a:ext>
              </a:extLst>
            </xdr:cNvPr>
            <xdr:cNvSpPr txBox="1"/>
          </xdr:nvSpPr>
          <xdr:spPr>
            <a:xfrm>
              <a:off x="11239500" y="590550"/>
              <a:ext cx="1948290" cy="4961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CA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CA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</m:sSub>
                    <m:groupChr>
                      <m:groupChrPr>
                        <m:chr m:val="↔"/>
                        <m:vertJc m:val="bot"/>
                        <m:ctrlPr>
                          <a:rPr lang="en-CA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CA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</m:groupChr>
                    <m:r>
                      <a:rPr lang="en-CA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CA" sz="2400"/>
            </a:p>
          </xdr:txBody>
        </xdr:sp>
      </mc:Choice>
      <mc:Fallback xmlns="">
        <xdr:sp macro="" textlink="">
          <xdr:nvSpPr>
            <xdr:cNvPr id="8" name="TextBox 4">
              <a:extLst>
                <a:ext uri="{FF2B5EF4-FFF2-40B4-BE49-F238E27FC236}">
                  <a16:creationId xmlns:a16="http://schemas.microsoft.com/office/drawing/2014/main" id="{C8D83F75-7026-8B9F-3C29-1786D368F881}"/>
                </a:ext>
              </a:extLst>
            </xdr:cNvPr>
            <xdr:cNvSpPr txBox="1"/>
          </xdr:nvSpPr>
          <xdr:spPr>
            <a:xfrm>
              <a:off x="11239500" y="590550"/>
              <a:ext cx="1948290" cy="4961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〖𝑆𝑆〗_1</a:t>
              </a:r>
              <a:r>
                <a:rPr lang="en-CA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CA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〖𝑆𝑆〗_</a:t>
              </a:r>
              <a:r>
                <a:rPr lang="en-CA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 ↔┴𝐾 𝐷</a:t>
              </a:r>
              <a:endParaRPr lang="en-CA" sz="2400"/>
            </a:p>
          </xdr:txBody>
        </xdr:sp>
      </mc:Fallback>
    </mc:AlternateContent>
    <xdr:clientData/>
  </xdr:twoCellAnchor>
  <xdr:twoCellAnchor>
    <xdr:from>
      <xdr:col>19</xdr:col>
      <xdr:colOff>100920</xdr:colOff>
      <xdr:row>16</xdr:row>
      <xdr:rowOff>100936</xdr:rowOff>
    </xdr:from>
    <xdr:to>
      <xdr:col>24</xdr:col>
      <xdr:colOff>485775</xdr:colOff>
      <xdr:row>25</xdr:row>
      <xdr:rowOff>48932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5">
              <a:extLst>
                <a:ext uri="{FF2B5EF4-FFF2-40B4-BE49-F238E27FC236}">
                  <a16:creationId xmlns:a16="http://schemas.microsoft.com/office/drawing/2014/main" id="{4B86355D-0B9F-7C90-BEAE-A19AC4B0EA26}"/>
                </a:ext>
              </a:extLst>
            </xdr:cNvPr>
            <xdr:cNvSpPr txBox="1"/>
          </xdr:nvSpPr>
          <xdr:spPr>
            <a:xfrm>
              <a:off x="11378520" y="2691736"/>
              <a:ext cx="3289980" cy="14053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[</m:t>
                        </m:r>
                        <m: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𝑫</m:t>
                        </m:r>
                        <m: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]</m:t>
                        </m:r>
                      </m:num>
                      <m:den>
                        <m:sSup>
                          <m:sSupPr>
                            <m:ctrlP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[</m:t>
                            </m:r>
                            <m:sSub>
                              <m:sSubPr>
                                <m:ctrlPr>
                                  <a:rPr lang="en-CA" sz="1400" b="1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CA" sz="1400" b="1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𝑺𝑺</m:t>
                                </m:r>
                              </m:e>
                              <m:sub>
                                <m:r>
                                  <a:rPr lang="en-CA" sz="1400" b="1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]</m:t>
                            </m:r>
                          </m:e>
                          <m:sup>
                            <m: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p>
                        </m:sSup>
                      </m:den>
                    </m:f>
                    <m:r>
                      <a:rPr lang="en-CA" sz="14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num>
                      <m:den>
                        <m:sSup>
                          <m:sSup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𝛼</m:t>
                                </m:r>
                              </m:e>
                            </m:d>
                          </m:e>
                          <m:sup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𝐾</m:t>
                    </m:r>
                    <m:d>
                      <m:dPr>
                        <m:ctrlP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d>
                    <m:r>
                      <a:rPr lang="en-CA" sz="140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sub>
                            </m:sSub>
                          </m:den>
                        </m:f>
                        <m: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−∆</m:t>
                            </m:r>
                            <m:sSub>
                              <m:sSub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𝐻</m:t>
                                </m:r>
                              </m:e>
                              <m:sub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𝑇𝑚</m:t>
                                </m:r>
                              </m:sub>
                            </m:sSub>
                          </m:num>
                          <m:den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𝑅𝑇</m:t>
                            </m:r>
                          </m:den>
                        </m:f>
                        <m:d>
                          <m:d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1−</m:t>
                            </m:r>
                            <m:f>
                              <m:f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sup>
                    </m:sSup>
                  </m:oMath>
                </m:oMathPara>
              </a14:m>
              <a:endParaRPr lang="en-CA" sz="1050">
                <a:effectLst/>
              </a:endParaRPr>
            </a:p>
            <a:p>
              <a:endParaRPr lang="en-CA" sz="1050"/>
            </a:p>
          </xdr:txBody>
        </xdr:sp>
      </mc:Choice>
      <mc:Fallback xmlns="">
        <xdr:sp macro="" textlink="">
          <xdr:nvSpPr>
            <xdr:cNvPr id="9" name="TextBox 5">
              <a:extLst>
                <a:ext uri="{FF2B5EF4-FFF2-40B4-BE49-F238E27FC236}">
                  <a16:creationId xmlns:a16="http://schemas.microsoft.com/office/drawing/2014/main" id="{4B86355D-0B9F-7C90-BEAE-A19AC4B0EA26}"/>
                </a:ext>
              </a:extLst>
            </xdr:cNvPr>
            <xdr:cNvSpPr txBox="1"/>
          </xdr:nvSpPr>
          <xdr:spPr>
            <a:xfrm>
              <a:off x="11378520" y="2691736"/>
              <a:ext cx="3289980" cy="14053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𝐾=</a:t>
              </a:r>
              <a:r>
                <a:rPr lang="en-CA" sz="1400" b="1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([𝑫])/〖[〖𝑺𝑺〗_𝟏]〗^𝟐 </a:t>
              </a:r>
              <a:r>
                <a:rPr lang="en-CA" sz="14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CA" sz="14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𝛼/〖𝐶_𝑡𝑜𝑡𝑎𝑙/2 (1−𝛼)〗^2 </a:t>
              </a:r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4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𝐾(𝑇)=〖4/𝐶_𝑇  𝑒〗^((−∆𝐻_𝑇𝑚)/𝑅𝑇 (1−𝑇/𝑇_𝑀 ) )</a:t>
              </a:r>
              <a:endParaRPr lang="en-CA" sz="1050">
                <a:effectLst/>
              </a:endParaRPr>
            </a:p>
            <a:p>
              <a:pPr/>
              <a:endParaRPr lang="en-CA" sz="1050"/>
            </a:p>
          </xdr:txBody>
        </xdr:sp>
      </mc:Fallback>
    </mc:AlternateContent>
    <xdr:clientData/>
  </xdr:twoCellAnchor>
  <xdr:twoCellAnchor>
    <xdr:from>
      <xdr:col>18</xdr:col>
      <xdr:colOff>542924</xdr:colOff>
      <xdr:row>7</xdr:row>
      <xdr:rowOff>123825</xdr:rowOff>
    </xdr:from>
    <xdr:to>
      <xdr:col>26</xdr:col>
      <xdr:colOff>31097</xdr:colOff>
      <xdr:row>15</xdr:row>
      <xdr:rowOff>69214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22">
              <a:extLst>
                <a:ext uri="{FF2B5EF4-FFF2-40B4-BE49-F238E27FC236}">
                  <a16:creationId xmlns:a16="http://schemas.microsoft.com/office/drawing/2014/main" id="{F225E68A-2792-F4A9-C880-8F12FD944588}"/>
                </a:ext>
              </a:extLst>
            </xdr:cNvPr>
            <xdr:cNvSpPr txBox="1"/>
          </xdr:nvSpPr>
          <xdr:spPr>
            <a:xfrm>
              <a:off x="11239499" y="1257300"/>
              <a:ext cx="4136373" cy="124078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4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𝑙𝑜𝑤𝑒𝑟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200" i="1">
                <a:latin typeface="Cambria Math" panose="02040503050406030204" pitchFamily="18" charset="0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𝑖𝑛𝑡</m:t>
                                    </m:r>
                                  </m:sub>
                                </m:sSub>
                                <m:r>
                                  <a:rPr lang="en-CA" sz="140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𝑠𝑙𝑜𝑝𝑒</m:t>
                                    </m:r>
                                  </m:sub>
                                </m:sSub>
                                <m:r>
                                  <a:rPr lang="en-CA" sz="1400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</m:d>
                            <m:r>
                              <a:rPr lang="en-CA" sz="140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  <m:r>
                          <a:rPr lang="en-CA" sz="1400" i="0">
                            <a:latin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CA" sz="1200"/>
            </a:p>
          </xdr:txBody>
        </xdr:sp>
      </mc:Choice>
      <mc:Fallback xmlns="">
        <xdr:sp macro="" textlink="">
          <xdr:nvSpPr>
            <xdr:cNvPr id="10" name="TextBox 22">
              <a:extLst>
                <a:ext uri="{FF2B5EF4-FFF2-40B4-BE49-F238E27FC236}">
                  <a16:creationId xmlns:a16="http://schemas.microsoft.com/office/drawing/2014/main" id="{F225E68A-2792-F4A9-C880-8F12FD944588}"/>
                </a:ext>
              </a:extLst>
            </xdr:cNvPr>
            <xdr:cNvSpPr txBox="1"/>
          </xdr:nvSpPr>
          <xdr:spPr>
            <a:xfrm>
              <a:off x="11239499" y="1257300"/>
              <a:ext cx="4136373" cy="124078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spcAft>
                  <a:spcPts val="1200"/>
                </a:spcAft>
              </a:pPr>
              <a:r>
                <a:rPr lang="en-CA" sz="1400" i="0">
                  <a:latin typeface="Cambria Math" panose="02040503050406030204" pitchFamily="18" charset="0"/>
                </a:rPr>
                <a:t>𝛼(𝑇)=(𝑌_</a:t>
              </a:r>
              <a:r>
                <a:rPr lang="en-US" sz="1400" b="0" i="0">
                  <a:latin typeface="Cambria Math" panose="02040503050406030204" pitchFamily="18" charset="0"/>
                </a:rPr>
                <a:t>𝑢𝑝𝑝𝑒𝑟</a:t>
              </a:r>
              <a:r>
                <a:rPr lang="en-CA" sz="1400" b="0" i="0">
                  <a:latin typeface="Cambria Math" panose="02040503050406030204" pitchFamily="18" charset="0"/>
                </a:rPr>
                <a:t>−</a:t>
              </a:r>
              <a:r>
                <a:rPr lang="en-CA" sz="1400" i="0">
                  <a:latin typeface="Cambria Math" panose="02040503050406030204" pitchFamily="18" charset="0"/>
                </a:rPr>
                <a:t>𝑌_</a:t>
              </a:r>
              <a:r>
                <a:rPr lang="en-US" sz="1400" b="0" i="0">
                  <a:latin typeface="Cambria Math" panose="02040503050406030204" pitchFamily="18" charset="0"/>
                </a:rPr>
                <a:t>𝑜𝑏𝑠</a:t>
              </a:r>
              <a:r>
                <a:rPr lang="en-CA" sz="1400" b="0" i="0">
                  <a:latin typeface="Cambria Math" panose="02040503050406030204" pitchFamily="18" charset="0"/>
                </a:rPr>
                <a:t>)/(</a:t>
              </a:r>
              <a:r>
                <a:rPr lang="en-CA" sz="1400" i="0">
                  <a:latin typeface="Cambria Math" panose="02040503050406030204" pitchFamily="18" charset="0"/>
                </a:rPr>
                <a:t>𝑌_𝑢𝑝𝑝𝑒𝑟−𝑌_𝑙𝑜𝑤𝑒𝑟 )</a:t>
              </a:r>
              <a:endParaRPr lang="en-CA" sz="1200" i="1">
                <a:latin typeface="Cambria Math" panose="02040503050406030204" pitchFamily="18" charset="0"/>
              </a:endParaRPr>
            </a:p>
            <a:p>
              <a:pPr algn="ctr"/>
              <a:r>
                <a:rPr lang="en-CA" sz="1400" i="0">
                  <a:latin typeface="Cambria Math" panose="02040503050406030204" pitchFamily="18" charset="0"/>
                </a:rPr>
                <a:t>𝛼(𝑇)=〖(𝑈_𝑖𝑛𝑡+𝑈_𝑠𝑙𝑜𝑝𝑒×𝑇)−𝑌〗_𝑜𝑏𝑠/((𝑈_𝑖𝑛𝑡+𝑈_𝑠𝑙𝑜𝑝𝑒×𝑇)−(𝐿_𝑖𝑛𝑡+𝐿_𝑠𝑙𝑜𝑝𝑒×𝑇) )</a:t>
              </a:r>
              <a:endParaRPr lang="en-CA" sz="12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1</xdr:row>
      <xdr:rowOff>127000</xdr:rowOff>
    </xdr:from>
    <xdr:to>
      <xdr:col>19</xdr:col>
      <xdr:colOff>19050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93C5F-70E7-431F-BF0A-EFBE7E218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266701</xdr:colOff>
      <xdr:row>0</xdr:row>
      <xdr:rowOff>152400</xdr:rowOff>
    </xdr:from>
    <xdr:to>
      <xdr:col>22</xdr:col>
      <xdr:colOff>471916</xdr:colOff>
      <xdr:row>4</xdr:row>
      <xdr:rowOff>861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4">
              <a:extLst>
                <a:ext uri="{FF2B5EF4-FFF2-40B4-BE49-F238E27FC236}">
                  <a16:creationId xmlns:a16="http://schemas.microsoft.com/office/drawing/2014/main" id="{67959D1F-E242-4EF8-A920-0654A1E51EC9}"/>
                </a:ext>
              </a:extLst>
            </xdr:cNvPr>
            <xdr:cNvSpPr txBox="1"/>
          </xdr:nvSpPr>
          <xdr:spPr>
            <a:xfrm>
              <a:off x="11544301" y="152400"/>
              <a:ext cx="1948290" cy="4961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CA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CA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</m:sSub>
                    <m:groupChr>
                      <m:groupChrPr>
                        <m:chr m:val="↔"/>
                        <m:vertJc m:val="bot"/>
                        <m:ctrlPr>
                          <a:rPr lang="en-CA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CA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</m:groupChr>
                    <m:r>
                      <a:rPr lang="en-CA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CA" sz="2400"/>
            </a:p>
          </xdr:txBody>
        </xdr:sp>
      </mc:Choice>
      <mc:Fallback xmlns="">
        <xdr:sp macro="" textlink="">
          <xdr:nvSpPr>
            <xdr:cNvPr id="8" name="TextBox 4">
              <a:extLst>
                <a:ext uri="{FF2B5EF4-FFF2-40B4-BE49-F238E27FC236}">
                  <a16:creationId xmlns:a16="http://schemas.microsoft.com/office/drawing/2014/main" id="{67959D1F-E242-4EF8-A920-0654A1E51EC9}"/>
                </a:ext>
              </a:extLst>
            </xdr:cNvPr>
            <xdr:cNvSpPr txBox="1"/>
          </xdr:nvSpPr>
          <xdr:spPr>
            <a:xfrm>
              <a:off x="11544301" y="152400"/>
              <a:ext cx="1948290" cy="4961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〖𝑆𝑆〗_1</a:t>
              </a:r>
              <a:r>
                <a:rPr lang="en-CA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CA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〖𝑆𝑆〗_</a:t>
              </a:r>
              <a:r>
                <a:rPr lang="en-CA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 ↔┴𝐾 𝐷</a:t>
              </a:r>
              <a:endParaRPr lang="en-CA" sz="2400"/>
            </a:p>
          </xdr:txBody>
        </xdr:sp>
      </mc:Fallback>
    </mc:AlternateContent>
    <xdr:clientData/>
  </xdr:twoCellAnchor>
  <xdr:twoCellAnchor>
    <xdr:from>
      <xdr:col>19</xdr:col>
      <xdr:colOff>415246</xdr:colOff>
      <xdr:row>21</xdr:row>
      <xdr:rowOff>5686</xdr:rowOff>
    </xdr:from>
    <xdr:to>
      <xdr:col>25</xdr:col>
      <xdr:colOff>219076</xdr:colOff>
      <xdr:row>29</xdr:row>
      <xdr:rowOff>115607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5">
              <a:extLst>
                <a:ext uri="{FF2B5EF4-FFF2-40B4-BE49-F238E27FC236}">
                  <a16:creationId xmlns:a16="http://schemas.microsoft.com/office/drawing/2014/main" id="{245BBB64-A727-4197-9CE5-CE3AC383BC7F}"/>
                </a:ext>
              </a:extLst>
            </xdr:cNvPr>
            <xdr:cNvSpPr txBox="1"/>
          </xdr:nvSpPr>
          <xdr:spPr>
            <a:xfrm>
              <a:off x="11692846" y="3406111"/>
              <a:ext cx="3289980" cy="14053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[</m:t>
                        </m:r>
                        <m: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𝑫</m:t>
                        </m:r>
                        <m: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]</m:t>
                        </m:r>
                      </m:num>
                      <m:den>
                        <m:sSup>
                          <m:sSupPr>
                            <m:ctrlP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[</m:t>
                            </m:r>
                            <m:sSub>
                              <m:sSubPr>
                                <m:ctrlPr>
                                  <a:rPr lang="en-CA" sz="1400" b="1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CA" sz="1400" b="1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𝑺𝑺</m:t>
                                </m:r>
                              </m:e>
                              <m:sub>
                                <m:r>
                                  <a:rPr lang="en-CA" sz="1400" b="1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]</m:t>
                            </m:r>
                          </m:e>
                          <m:sup>
                            <m: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p>
                        </m:sSup>
                      </m:den>
                    </m:f>
                    <m:r>
                      <a:rPr lang="en-CA" sz="14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num>
                      <m:den>
                        <m:sSup>
                          <m:sSup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𝛼</m:t>
                                </m:r>
                              </m:e>
                            </m:d>
                          </m:e>
                          <m:sup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𝐾</m:t>
                    </m:r>
                    <m:d>
                      <m:dPr>
                        <m:ctrlP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d>
                    <m:r>
                      <a:rPr lang="en-CA" sz="140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sub>
                            </m:sSub>
                          </m:den>
                        </m:f>
                        <m: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−∆</m:t>
                            </m:r>
                            <m:sSub>
                              <m:sSub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𝐻</m:t>
                                </m:r>
                              </m:e>
                              <m:sub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𝑇𝑚</m:t>
                                </m:r>
                              </m:sub>
                            </m:sSub>
                          </m:num>
                          <m:den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𝑅𝑇</m:t>
                            </m:r>
                          </m:den>
                        </m:f>
                        <m:d>
                          <m:d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1−</m:t>
                            </m:r>
                            <m:f>
                              <m:f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sup>
                    </m:sSup>
                  </m:oMath>
                </m:oMathPara>
              </a14:m>
              <a:endParaRPr lang="en-CA" sz="1050">
                <a:effectLst/>
              </a:endParaRPr>
            </a:p>
            <a:p>
              <a:endParaRPr lang="en-CA" sz="1050"/>
            </a:p>
          </xdr:txBody>
        </xdr:sp>
      </mc:Choice>
      <mc:Fallback xmlns="">
        <xdr:sp macro="" textlink="">
          <xdr:nvSpPr>
            <xdr:cNvPr id="9" name="TextBox 5">
              <a:extLst>
                <a:ext uri="{FF2B5EF4-FFF2-40B4-BE49-F238E27FC236}">
                  <a16:creationId xmlns:a16="http://schemas.microsoft.com/office/drawing/2014/main" id="{245BBB64-A727-4197-9CE5-CE3AC383BC7F}"/>
                </a:ext>
              </a:extLst>
            </xdr:cNvPr>
            <xdr:cNvSpPr txBox="1"/>
          </xdr:nvSpPr>
          <xdr:spPr>
            <a:xfrm>
              <a:off x="11692846" y="3406111"/>
              <a:ext cx="3289980" cy="14053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𝐾=</a:t>
              </a:r>
              <a:r>
                <a:rPr lang="en-CA" sz="1400" b="1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([𝑫])/〖[〖𝑺𝑺〗_𝟏]〗^𝟐 </a:t>
              </a:r>
              <a:r>
                <a:rPr lang="en-CA" sz="14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CA" sz="14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𝛼/〖𝐶_𝑡𝑜𝑡𝑎𝑙/2 (1−𝛼)〗^2 </a:t>
              </a:r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4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𝐾(𝑇)=〖4/𝐶_𝑇  𝑒〗^((−∆𝐻_𝑇𝑚)/𝑅𝑇 (1−𝑇/𝑇_𝑀 ) )</a:t>
              </a:r>
              <a:endParaRPr lang="en-CA" sz="1050">
                <a:effectLst/>
              </a:endParaRPr>
            </a:p>
            <a:p>
              <a:pPr/>
              <a:endParaRPr lang="en-CA" sz="1050"/>
            </a:p>
          </xdr:txBody>
        </xdr:sp>
      </mc:Fallback>
    </mc:AlternateContent>
    <xdr:clientData/>
  </xdr:twoCellAnchor>
  <xdr:twoCellAnchor>
    <xdr:from>
      <xdr:col>19</xdr:col>
      <xdr:colOff>228600</xdr:colOff>
      <xdr:row>4</xdr:row>
      <xdr:rowOff>142876</xdr:rowOff>
    </xdr:from>
    <xdr:to>
      <xdr:col>26</xdr:col>
      <xdr:colOff>95250</xdr:colOff>
      <xdr:row>20</xdr:row>
      <xdr:rowOff>104776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6">
              <a:extLst>
                <a:ext uri="{FF2B5EF4-FFF2-40B4-BE49-F238E27FC236}">
                  <a16:creationId xmlns:a16="http://schemas.microsoft.com/office/drawing/2014/main" id="{E24015D6-3D74-ADCC-3AC9-719FC8445612}"/>
                </a:ext>
              </a:extLst>
            </xdr:cNvPr>
            <xdr:cNvSpPr txBox="1"/>
          </xdr:nvSpPr>
          <xdr:spPr>
            <a:xfrm>
              <a:off x="11506200" y="790576"/>
              <a:ext cx="3933825" cy="2552700"/>
            </a:xfrm>
            <a:prstGeom prst="rect">
              <a:avLst/>
            </a:prstGeom>
            <a:noFill/>
          </xdr:spPr>
          <xdr:txBody>
            <a:bodyPr wrap="square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>
                <a:spcAft>
                  <a:spcPts val="1200"/>
                </a:spcAft>
              </a:pPr>
              <a:r>
                <a:rPr lang="en-CA" sz="1600" i="1">
                  <a:latin typeface="Cambria Math" panose="02040503050406030204" pitchFamily="18" charset="0"/>
                </a:rPr>
                <a:t>Self-complementary strand (n=1)</a:t>
              </a:r>
            </a:p>
            <a:p>
              <a:pPr algn="ctr"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6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6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6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6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𝑙𝑜𝑤𝑒𝑟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400" i="1">
                <a:latin typeface="Cambria Math" panose="02040503050406030204" pitchFamily="18" charset="0"/>
              </a:endParaRPr>
            </a:p>
            <a:p>
              <a:pPr algn="ctr"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𝑖𝑛𝑡</m:t>
                                    </m:r>
                                  </m:sub>
                                </m:sSub>
                                <m:r>
                                  <a:rPr lang="en-CA" sz="140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𝑠𝑙𝑜𝑝𝑒</m:t>
                                    </m:r>
                                  </m:sub>
                                </m:sSub>
                                <m:r>
                                  <a:rPr lang="en-CA" sz="1400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</m:d>
                            <m:r>
                              <a:rPr lang="en-CA" sz="140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  <m:r>
                          <a:rPr lang="en-CA" sz="1400" i="0">
                            <a:latin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CA" sz="1400"/>
            </a:p>
            <a:p>
              <a:pPr algn="ctr">
                <a:spcBef>
                  <a:spcPts val="1200"/>
                </a:spcBef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𝑉𝐻</m:t>
                        </m:r>
                      </m:sub>
                    </m:sSub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2+2</m:t>
                        </m:r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𝜕𝛼</m:t>
                                </m:r>
                              </m:num>
                              <m:den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</m:t>
                                </m:r>
                                <m:d>
                                  <m:d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1/</m:t>
                                    </m:r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</m:d>
                              </m:den>
                            </m:f>
                          </m:e>
                        </m:d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CA" sz="1400"/>
            </a:p>
            <a:p>
              <a:pPr algn="r"/>
              <a:endParaRPr lang="en-CA" sz="1400"/>
            </a:p>
            <a:p>
              <a:pPr algn="r"/>
              <a:endParaRPr lang="en-CA" sz="1400"/>
            </a:p>
          </xdr:txBody>
        </xdr:sp>
      </mc:Choice>
      <mc:Fallback xmlns="">
        <xdr:sp macro="" textlink="">
          <xdr:nvSpPr>
            <xdr:cNvPr id="11" name="TextBox 6">
              <a:extLst>
                <a:ext uri="{FF2B5EF4-FFF2-40B4-BE49-F238E27FC236}">
                  <a16:creationId xmlns:a16="http://schemas.microsoft.com/office/drawing/2014/main" id="{E24015D6-3D74-ADCC-3AC9-719FC8445612}"/>
                </a:ext>
              </a:extLst>
            </xdr:cNvPr>
            <xdr:cNvSpPr txBox="1"/>
          </xdr:nvSpPr>
          <xdr:spPr>
            <a:xfrm>
              <a:off x="11506200" y="790576"/>
              <a:ext cx="3933825" cy="2552700"/>
            </a:xfrm>
            <a:prstGeom prst="rect">
              <a:avLst/>
            </a:prstGeom>
            <a:noFill/>
          </xdr:spPr>
          <xdr:txBody>
            <a:bodyPr wrap="square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>
                <a:spcAft>
                  <a:spcPts val="1200"/>
                </a:spcAft>
              </a:pPr>
              <a:r>
                <a:rPr lang="en-CA" sz="1600" i="1">
                  <a:latin typeface="Cambria Math" panose="02040503050406030204" pitchFamily="18" charset="0"/>
                </a:rPr>
                <a:t>Self-complementary strand (n=1)</a:t>
              </a:r>
            </a:p>
            <a:p>
              <a:pPr algn="ctr">
                <a:spcAft>
                  <a:spcPts val="1200"/>
                </a:spcAft>
              </a:pPr>
              <a:r>
                <a:rPr lang="en-CA" sz="1600" i="0">
                  <a:latin typeface="Cambria Math" panose="02040503050406030204" pitchFamily="18" charset="0"/>
                </a:rPr>
                <a:t>𝛼(𝑇)=(𝑌_</a:t>
              </a:r>
              <a:r>
                <a:rPr lang="en-US" sz="1600" b="0" i="0">
                  <a:latin typeface="Cambria Math" panose="02040503050406030204" pitchFamily="18" charset="0"/>
                </a:rPr>
                <a:t>𝑢𝑝𝑝𝑒𝑟</a:t>
              </a:r>
              <a:r>
                <a:rPr lang="en-CA" sz="1600" b="0" i="0">
                  <a:latin typeface="Cambria Math" panose="02040503050406030204" pitchFamily="18" charset="0"/>
                </a:rPr>
                <a:t>−</a:t>
              </a:r>
              <a:r>
                <a:rPr lang="en-CA" sz="1600" i="0">
                  <a:latin typeface="Cambria Math" panose="02040503050406030204" pitchFamily="18" charset="0"/>
                </a:rPr>
                <a:t>𝑌_</a:t>
              </a:r>
              <a:r>
                <a:rPr lang="en-US" sz="1600" b="0" i="0">
                  <a:latin typeface="Cambria Math" panose="02040503050406030204" pitchFamily="18" charset="0"/>
                </a:rPr>
                <a:t>𝑜𝑏𝑠</a:t>
              </a:r>
              <a:r>
                <a:rPr lang="en-CA" sz="1600" b="0" i="0">
                  <a:latin typeface="Cambria Math" panose="02040503050406030204" pitchFamily="18" charset="0"/>
                </a:rPr>
                <a:t>)/(</a:t>
              </a:r>
              <a:r>
                <a:rPr lang="en-CA" sz="1600" i="0">
                  <a:latin typeface="Cambria Math" panose="02040503050406030204" pitchFamily="18" charset="0"/>
                </a:rPr>
                <a:t>𝑌_𝑢𝑝𝑝𝑒𝑟−𝑌_𝑙𝑜𝑤𝑒𝑟 )</a:t>
              </a:r>
              <a:endParaRPr lang="en-CA" sz="1400" i="1">
                <a:latin typeface="Cambria Math" panose="02040503050406030204" pitchFamily="18" charset="0"/>
              </a:endParaRPr>
            </a:p>
            <a:p>
              <a:pPr algn="ctr">
                <a:spcAft>
                  <a:spcPts val="1200"/>
                </a:spcAft>
              </a:pPr>
              <a:r>
                <a:rPr lang="en-CA" sz="1400" i="0">
                  <a:latin typeface="Cambria Math" panose="02040503050406030204" pitchFamily="18" charset="0"/>
                </a:rPr>
                <a:t>𝛼(𝑇)=〖(𝑈_𝑖𝑛𝑡+𝑈_𝑠𝑙𝑜𝑝𝑒×𝑇)−𝑌〗_𝑜𝑏𝑠/((𝑈_𝑖𝑛𝑡+𝑈_𝑠𝑙𝑜𝑝𝑒×𝑇)−(𝐿_𝑖𝑛𝑡+𝐿_𝑠𝑙𝑜𝑝𝑒×𝑇) )</a:t>
              </a:r>
              <a:endParaRPr lang="en-CA" sz="1400"/>
            </a:p>
            <a:p>
              <a:pPr algn="ctr">
                <a:spcBef>
                  <a:spcPts val="1200"/>
                </a:spcBef>
              </a:pP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l-G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𝐻〗_𝑉𝐻=−(2+2𝑛)𝑅[𝜕𝛼/𝜕(1/𝑇) ]_(𝑇=𝑇_𝑀 )</a:t>
              </a:r>
              <a:endParaRPr lang="en-CA" sz="1400"/>
            </a:p>
            <a:p>
              <a:pPr algn="r"/>
              <a:endParaRPr lang="en-CA" sz="1400"/>
            </a:p>
            <a:p>
              <a:pPr algn="r"/>
              <a:endParaRPr lang="en-CA" sz="1400"/>
            </a:p>
          </xdr:txBody>
        </xdr:sp>
      </mc:Fallback>
    </mc:AlternateContent>
    <xdr:clientData/>
  </xdr:twoCellAnchor>
  <xdr:twoCellAnchor>
    <xdr:from>
      <xdr:col>11</xdr:col>
      <xdr:colOff>142875</xdr:colOff>
      <xdr:row>24</xdr:row>
      <xdr:rowOff>76200</xdr:rowOff>
    </xdr:from>
    <xdr:to>
      <xdr:col>19</xdr:col>
      <xdr:colOff>66675</xdr:colOff>
      <xdr:row>41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463068-5842-C8B0-E5E8-50091EA32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323850</xdr:colOff>
      <xdr:row>44</xdr:row>
      <xdr:rowOff>66675</xdr:rowOff>
    </xdr:from>
    <xdr:to>
      <xdr:col>20</xdr:col>
      <xdr:colOff>247650</xdr:colOff>
      <xdr:row>61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9DD3CF-7553-8B6E-9762-957F4718F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1</xdr:row>
      <xdr:rowOff>127000</xdr:rowOff>
    </xdr:from>
    <xdr:to>
      <xdr:col>19</xdr:col>
      <xdr:colOff>19050</xdr:colOff>
      <xdr:row>20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536805-3802-4130-87BE-909456AFB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409575</xdr:colOff>
      <xdr:row>1</xdr:row>
      <xdr:rowOff>57150</xdr:rowOff>
    </xdr:from>
    <xdr:to>
      <xdr:col>21</xdr:col>
      <xdr:colOff>541597</xdr:colOff>
      <xdr:row>3</xdr:row>
      <xdr:rowOff>147196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9">
              <a:extLst>
                <a:ext uri="{FF2B5EF4-FFF2-40B4-BE49-F238E27FC236}">
                  <a16:creationId xmlns:a16="http://schemas.microsoft.com/office/drawing/2014/main" id="{4D52E41C-9FCB-C1D8-FEEB-20417DFE826C}"/>
                </a:ext>
              </a:extLst>
            </xdr:cNvPr>
            <xdr:cNvSpPr txBox="1"/>
          </xdr:nvSpPr>
          <xdr:spPr>
            <a:xfrm>
              <a:off x="11687175" y="219075"/>
              <a:ext cx="1294072" cy="4138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n-CA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𝑆𝑆</m:t>
                            </m:r>
                          </m:e>
                          <m:sub>
                            <m:r>
                              <a:rPr lang="en-CA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groupChr>
                      <m:groupChrPr>
                        <m:chr m:val="↔"/>
                        <m:vertJc m:val="bot"/>
                        <m:ctrlPr>
                          <a:rPr lang="en-CA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CA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</m:groupCh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5" name="TextBox 9">
              <a:extLst>
                <a:ext uri="{FF2B5EF4-FFF2-40B4-BE49-F238E27FC236}">
                  <a16:creationId xmlns:a16="http://schemas.microsoft.com/office/drawing/2014/main" id="{4D52E41C-9FCB-C1D8-FEEB-20417DFE826C}"/>
                </a:ext>
              </a:extLst>
            </xdr:cNvPr>
            <xdr:cNvSpPr txBox="1"/>
          </xdr:nvSpPr>
          <xdr:spPr>
            <a:xfrm>
              <a:off x="11687175" y="219075"/>
              <a:ext cx="1294072" cy="4138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[〖𝑆𝑆〗_1 ] ↔┴𝐾[𝑄]</a:t>
              </a:r>
              <a:endParaRPr lang="en-CA" sz="2000"/>
            </a:p>
          </xdr:txBody>
        </xdr:sp>
      </mc:Fallback>
    </mc:AlternateContent>
    <xdr:clientData/>
  </xdr:twoCellAnchor>
  <xdr:twoCellAnchor>
    <xdr:from>
      <xdr:col>19</xdr:col>
      <xdr:colOff>352425</xdr:colOff>
      <xdr:row>5</xdr:row>
      <xdr:rowOff>28575</xdr:rowOff>
    </xdr:from>
    <xdr:to>
      <xdr:col>26</xdr:col>
      <xdr:colOff>180975</xdr:colOff>
      <xdr:row>13</xdr:row>
      <xdr:rowOff>41034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22">
              <a:extLst>
                <a:ext uri="{FF2B5EF4-FFF2-40B4-BE49-F238E27FC236}">
                  <a16:creationId xmlns:a16="http://schemas.microsoft.com/office/drawing/2014/main" id="{0AEF9C51-E889-7243-27DB-02D176D51801}"/>
                </a:ext>
              </a:extLst>
            </xdr:cNvPr>
            <xdr:cNvSpPr txBox="1"/>
          </xdr:nvSpPr>
          <xdr:spPr>
            <a:xfrm>
              <a:off x="11630025" y="838200"/>
              <a:ext cx="3895725" cy="130785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6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6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6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6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𝑙𝑜𝑤𝑒𝑟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40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  <m:r>
                          <a:rPr lang="en-CA" sz="140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  <m:r>
                          <a:rPr lang="en-CA" sz="1400" i="0">
                            <a:latin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CA" sz="1400"/>
            </a:p>
          </xdr:txBody>
        </xdr:sp>
      </mc:Choice>
      <mc:Fallback xmlns="">
        <xdr:sp macro="" textlink="">
          <xdr:nvSpPr>
            <xdr:cNvPr id="7" name="TextBox 22">
              <a:extLst>
                <a:ext uri="{FF2B5EF4-FFF2-40B4-BE49-F238E27FC236}">
                  <a16:creationId xmlns:a16="http://schemas.microsoft.com/office/drawing/2014/main" id="{0AEF9C51-E889-7243-27DB-02D176D51801}"/>
                </a:ext>
              </a:extLst>
            </xdr:cNvPr>
            <xdr:cNvSpPr txBox="1"/>
          </xdr:nvSpPr>
          <xdr:spPr>
            <a:xfrm>
              <a:off x="11630025" y="838200"/>
              <a:ext cx="3895725" cy="130785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1200"/>
                </a:spcAft>
              </a:pPr>
              <a:r>
                <a:rPr lang="en-CA" sz="1600" i="0">
                  <a:latin typeface="Cambria Math" panose="02040503050406030204" pitchFamily="18" charset="0"/>
                </a:rPr>
                <a:t>𝛼(𝑇)=(𝑌_</a:t>
              </a:r>
              <a:r>
                <a:rPr lang="en-US" sz="1600" b="0" i="0">
                  <a:latin typeface="Cambria Math" panose="02040503050406030204" pitchFamily="18" charset="0"/>
                </a:rPr>
                <a:t>𝑢𝑝𝑝𝑒𝑟</a:t>
              </a:r>
              <a:r>
                <a:rPr lang="en-CA" sz="1600" b="0" i="0">
                  <a:latin typeface="Cambria Math" panose="02040503050406030204" pitchFamily="18" charset="0"/>
                </a:rPr>
                <a:t>−</a:t>
              </a:r>
              <a:r>
                <a:rPr lang="en-CA" sz="1600" i="0">
                  <a:latin typeface="Cambria Math" panose="02040503050406030204" pitchFamily="18" charset="0"/>
                </a:rPr>
                <a:t>𝑌_</a:t>
              </a:r>
              <a:r>
                <a:rPr lang="en-US" sz="1600" b="0" i="0">
                  <a:latin typeface="Cambria Math" panose="02040503050406030204" pitchFamily="18" charset="0"/>
                </a:rPr>
                <a:t>𝑜𝑏𝑠</a:t>
              </a:r>
              <a:r>
                <a:rPr lang="en-CA" sz="1600" b="0" i="0">
                  <a:latin typeface="Cambria Math" panose="02040503050406030204" pitchFamily="18" charset="0"/>
                </a:rPr>
                <a:t>)/(</a:t>
              </a:r>
              <a:r>
                <a:rPr lang="en-CA" sz="1600" i="0">
                  <a:latin typeface="Cambria Math" panose="02040503050406030204" pitchFamily="18" charset="0"/>
                </a:rPr>
                <a:t>𝑌_𝑢𝑝𝑝𝑒𝑟−𝑌_𝑙𝑜𝑤𝑒𝑟 )</a:t>
              </a:r>
              <a:endParaRPr lang="en-CA" sz="1400" i="1">
                <a:latin typeface="Cambria Math" panose="02040503050406030204" pitchFamily="18" charset="0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</a:rPr>
                <a:t>𝛼(𝑇)=((𝑈_𝑖𝑛𝑡+𝑈_𝑠𝑙𝑜𝑝𝑒×𝑇)−𝑌_𝑜𝑏𝑠)/((𝑈_𝑖𝑛𝑡+𝑈_𝑠𝑙𝑜𝑝𝑒×𝑇)−(𝐿_𝑖𝑛𝑡+𝐿_𝑠𝑙𝑜𝑝𝑒×𝑇) )</a:t>
              </a:r>
              <a:endParaRPr lang="en-CA" sz="1400"/>
            </a:p>
          </xdr:txBody>
        </xdr:sp>
      </mc:Fallback>
    </mc:AlternateContent>
    <xdr:clientData/>
  </xdr:twoCellAnchor>
  <xdr:twoCellAnchor>
    <xdr:from>
      <xdr:col>19</xdr:col>
      <xdr:colOff>476250</xdr:colOff>
      <xdr:row>14</xdr:row>
      <xdr:rowOff>47625</xdr:rowOff>
    </xdr:from>
    <xdr:to>
      <xdr:col>26</xdr:col>
      <xdr:colOff>96099</xdr:colOff>
      <xdr:row>22</xdr:row>
      <xdr:rowOff>5325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19">
              <a:extLst>
                <a:ext uri="{FF2B5EF4-FFF2-40B4-BE49-F238E27FC236}">
                  <a16:creationId xmlns:a16="http://schemas.microsoft.com/office/drawing/2014/main" id="{826C5A12-42D4-717B-5C16-825E360BCC79}"/>
                </a:ext>
              </a:extLst>
            </xdr:cNvPr>
            <xdr:cNvSpPr txBox="1"/>
          </xdr:nvSpPr>
          <xdr:spPr>
            <a:xfrm>
              <a:off x="11753850" y="2314575"/>
              <a:ext cx="3687024" cy="1253100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CA" sz="1600" b="0">
                  <a:ea typeface="Cambria Math" panose="02040503050406030204" pitchFamily="18" charset="0"/>
                </a:rPr>
                <a:t>We will be fitting this equation to the normalized data: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CA" sz="16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CA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en-CA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)=</m:t>
                    </m:r>
                    <m:f>
                      <m:fPr>
                        <m:ctrlPr>
                          <a:rPr lang="en-CA" sz="16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CA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1+</m:t>
                        </m:r>
                        <m:sSup>
                          <m:sSupPr>
                            <m:ctrlPr>
                              <a:rPr lang="en-CA" sz="16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𝑒𝑥𝑝</m:t>
                            </m:r>
                          </m:e>
                          <m:sup>
                            <m:f>
                              <m:fPr>
                                <m:ctrlPr>
                                  <a:rPr lang="en-CA" sz="16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m:rPr>
                                    <m:sty m:val="p"/>
                                  </m:rPr>
                                  <a:rPr lang="el-GR" sz="16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Δ</m:t>
                                </m:r>
                                <m:r>
                                  <a:rPr lang="en-CA" sz="16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</m:t>
                                </m:r>
                              </m:num>
                              <m:den>
                                <m:r>
                                  <a:rPr lang="en-CA" sz="16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𝑅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n-CA" sz="16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CA" sz="16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CA" sz="16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en-CA" sz="16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den>
                                </m:f>
                                <m:r>
                                  <a:rPr lang="en-CA" sz="16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lang="en-CA" sz="16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CA" sz="16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CA" sz="16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CA" sz="16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e>
                                      <m:sub>
                                        <m:r>
                                          <a:rPr lang="en-CA" sz="16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sup>
                        </m:sSup>
                      </m:den>
                    </m:f>
                  </m:oMath>
                </m:oMathPara>
              </a14:m>
              <a:endParaRPr lang="en-CA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TextBox 19">
              <a:extLst>
                <a:ext uri="{FF2B5EF4-FFF2-40B4-BE49-F238E27FC236}">
                  <a16:creationId xmlns:a16="http://schemas.microsoft.com/office/drawing/2014/main" id="{826C5A12-42D4-717B-5C16-825E360BCC79}"/>
                </a:ext>
              </a:extLst>
            </xdr:cNvPr>
            <xdr:cNvSpPr txBox="1"/>
          </xdr:nvSpPr>
          <xdr:spPr>
            <a:xfrm>
              <a:off x="11753850" y="2314575"/>
              <a:ext cx="3687024" cy="1253100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CA" sz="1600" b="0">
                  <a:ea typeface="Cambria Math" panose="02040503050406030204" pitchFamily="18" charset="0"/>
                </a:rPr>
                <a:t>We will be fitting this equation to the normalized data:</a:t>
              </a:r>
            </a:p>
            <a:p>
              <a:pPr/>
              <a:r>
                <a:rPr lang="en-CA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CA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(𝑇)=1/(1+〖</a:t>
              </a:r>
              <a:r>
                <a:rPr lang="en-CA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𝑒𝑥𝑝〗^(</a:t>
              </a:r>
              <a:r>
                <a:rPr lang="el-GR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CA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𝐻/𝑅 (1/𝑇−1/𝑇_𝑀 ) ) )</a:t>
              </a:r>
              <a:endParaRPr lang="en-CA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0</xdr:row>
      <xdr:rowOff>57150</xdr:rowOff>
    </xdr:from>
    <xdr:to>
      <xdr:col>19</xdr:col>
      <xdr:colOff>19050</xdr:colOff>
      <xdr:row>22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B9F7F4-192D-4BE5-AB38-4D46D00D8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354495</xdr:colOff>
      <xdr:row>22</xdr:row>
      <xdr:rowOff>30132</xdr:rowOff>
    </xdr:from>
    <xdr:to>
      <xdr:col>25</xdr:col>
      <xdr:colOff>221145</xdr:colOff>
      <xdr:row>31</xdr:row>
      <xdr:rowOff>117462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14">
              <a:extLst>
                <a:ext uri="{FF2B5EF4-FFF2-40B4-BE49-F238E27FC236}">
                  <a16:creationId xmlns:a16="http://schemas.microsoft.com/office/drawing/2014/main" id="{96A6595B-3B49-D7B4-6431-4E2E51093EA7}"/>
                </a:ext>
              </a:extLst>
            </xdr:cNvPr>
            <xdr:cNvSpPr txBox="1"/>
          </xdr:nvSpPr>
          <xdr:spPr>
            <a:xfrm>
              <a:off x="12099234" y="3674480"/>
              <a:ext cx="3345346" cy="157819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Bef>
                  <a:spcPts val="1200"/>
                </a:spcBef>
              </a:pPr>
              <a:r>
                <a:rPr lang="en-CA" sz="1400" b="1">
                  <a:sym typeface="Symbol" panose="05050102010706020507" pitchFamily="18" charset="2"/>
                </a:rPr>
                <a:t>Quadratic equation: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𝑎</m:t>
                    </m:r>
                    <m:r>
                      <a:rPr lang="en-CA" sz="14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=1</m:t>
                    </m:r>
                  </m:oMath>
                </m:oMathPara>
              </a14:m>
              <a:endParaRPr lang="en-CA" sz="1400" b="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𝑏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</m:t>
                    </m:r>
                    <m:r>
                      <a:rPr lang="en-CA" sz="14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−2−</m:t>
                    </m:r>
                    <m:f>
                      <m:fPr>
                        <m:ctrlPr>
                          <a:rPr lang="en-CA" sz="14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en-CA" sz="14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1</m:t>
                        </m:r>
                      </m:num>
                      <m:den>
                        <m:r>
                          <a:rPr lang="en-CA" sz="14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𝐾</m:t>
                        </m:r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𝐶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𝑇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400" b="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𝑐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=1</m:t>
                    </m:r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r>
                <a:rPr lang="en-CA" sz="1400">
                  <a:sym typeface="Wingdings" panose="05000000000000000000" pitchFamily="2" charset="2"/>
                </a:rPr>
                <a:t>Solve at each point: </a:t>
              </a:r>
              <a:r>
                <a:rPr lang="en-CA" sz="1400">
                  <a:sym typeface="Symbol" panose="05050102010706020507" pitchFamily="18" charset="2"/>
                </a:rPr>
                <a:t> </a:t>
              </a:r>
              <a14:m>
                <m:oMath xmlns:m="http://schemas.openxmlformats.org/officeDocument/2006/math">
                  <m:r>
                    <a:rPr lang="en-CA" sz="1400" i="1"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𝛼</m:t>
                  </m:r>
                  <m:r>
                    <a:rPr lang="en-CA" sz="1400" i="1"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=</m:t>
                  </m:r>
                  <m:f>
                    <m:fPr>
                      <m:ctrlPr>
                        <a:rPr lang="en-CA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</m:ctrlPr>
                    </m:fPr>
                    <m:num>
                      <m:r>
                        <a:rPr lang="en-CA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−</m:t>
                      </m:r>
                      <m:r>
                        <a:rPr lang="en-CA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𝑏</m:t>
                      </m:r>
                      <m:r>
                        <a:rPr lang="en-CA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±</m:t>
                      </m:r>
                      <m:rad>
                        <m:radPr>
                          <m:degHide m:val="on"/>
                          <m:ctrlPr>
                            <a:rPr lang="en-CA" sz="14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</m:ctrlPr>
                        </m:radPr>
                        <m:deg/>
                        <m:e>
                          <m:sSup>
                            <m:sSupPr>
                              <m:ctrlPr>
                                <a:rPr lang="en-CA" sz="14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sym typeface="Symbol" panose="05050102010706020507" pitchFamily="18" charset="2"/>
                                </a:rPr>
                              </m:ctrlPr>
                            </m:sSupPr>
                            <m:e>
                              <m:r>
                                <a:rPr lang="en-CA" sz="14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sym typeface="Symbol" panose="05050102010706020507" pitchFamily="18" charset="2"/>
                                </a:rPr>
                                <m:t>𝑏</m:t>
                              </m:r>
                            </m:e>
                            <m:sup>
                              <m:r>
                                <a:rPr lang="en-CA" sz="14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sym typeface="Symbol" panose="05050102010706020507" pitchFamily="18" charset="2"/>
                                </a:rPr>
                                <m:t>2</m:t>
                              </m:r>
                            </m:sup>
                          </m:sSup>
                          <m:r>
                            <a:rPr lang="en-CA" sz="14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  <m:t>−4</m:t>
                          </m:r>
                          <m:r>
                            <a:rPr lang="en-CA" sz="14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  <m:t>𝑎𝑐</m:t>
                          </m:r>
                        </m:e>
                      </m:rad>
                    </m:num>
                    <m:den>
                      <m:r>
                        <a:rPr lang="en-CA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2</m:t>
                      </m:r>
                      <m:r>
                        <a:rPr lang="en-CA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𝑎</m:t>
                      </m:r>
                    </m:den>
                  </m:f>
                </m:oMath>
              </a14:m>
              <a:endParaRPr lang="en-CA" sz="1400"/>
            </a:p>
          </xdr:txBody>
        </xdr:sp>
      </mc:Choice>
      <mc:Fallback xmlns="">
        <xdr:sp macro="" textlink="">
          <xdr:nvSpPr>
            <xdr:cNvPr id="4" name="TextBox 14">
              <a:extLst>
                <a:ext uri="{FF2B5EF4-FFF2-40B4-BE49-F238E27FC236}">
                  <a16:creationId xmlns:a16="http://schemas.microsoft.com/office/drawing/2014/main" id="{96A6595B-3B49-D7B4-6431-4E2E51093EA7}"/>
                </a:ext>
              </a:extLst>
            </xdr:cNvPr>
            <xdr:cNvSpPr txBox="1"/>
          </xdr:nvSpPr>
          <xdr:spPr>
            <a:xfrm>
              <a:off x="12099234" y="3674480"/>
              <a:ext cx="3345346" cy="157819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Bef>
                  <a:spcPts val="1200"/>
                </a:spcBef>
              </a:pPr>
              <a:r>
                <a:rPr lang="en-CA" sz="1400" b="1">
                  <a:sym typeface="Symbol" panose="05050102010706020507" pitchFamily="18" charset="2"/>
                </a:rPr>
                <a:t>Quadratic equation:</a:t>
              </a:r>
            </a:p>
            <a:p>
              <a:pPr/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𝑎=1</a:t>
              </a:r>
              <a:endParaRPr lang="en-CA" sz="1400" b="0">
                <a:sym typeface="Symbol" panose="05050102010706020507" pitchFamily="18" charset="2"/>
              </a:endParaRPr>
            </a:p>
            <a:p>
              <a:pPr/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𝑏</a:t>
              </a:r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=</a:t>
              </a:r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−2−1/(𝐾𝐶_𝑇 )</a:t>
              </a:r>
              <a:endParaRPr lang="en-CA" sz="1400" b="0">
                <a:sym typeface="Symbol" panose="05050102010706020507" pitchFamily="18" charset="2"/>
              </a:endParaRPr>
            </a:p>
            <a:p>
              <a:pPr/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𝑐</a:t>
              </a:r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=1</a:t>
              </a:r>
              <a:endParaRPr lang="en-CA" sz="1400">
                <a:sym typeface="Symbol" panose="05050102010706020507" pitchFamily="18" charset="2"/>
              </a:endParaRPr>
            </a:p>
            <a:p>
              <a:r>
                <a:rPr lang="en-CA" sz="1400">
                  <a:sym typeface="Wingdings" panose="05000000000000000000" pitchFamily="2" charset="2"/>
                </a:rPr>
                <a:t>Solve at each point: </a:t>
              </a:r>
              <a:r>
                <a:rPr lang="en-CA" sz="1400">
                  <a:sym typeface="Symbol" panose="05050102010706020507" pitchFamily="18" charset="2"/>
                </a:rPr>
                <a:t> 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𝛼=(−𝑏±√(𝑏^2−4𝑎𝑐))/2𝑎</a:t>
              </a:r>
              <a:endParaRPr lang="en-CA" sz="1400"/>
            </a:p>
          </xdr:txBody>
        </xdr:sp>
      </mc:Fallback>
    </mc:AlternateContent>
    <xdr:clientData/>
  </xdr:twoCellAnchor>
  <xdr:twoCellAnchor>
    <xdr:from>
      <xdr:col>19</xdr:col>
      <xdr:colOff>341243</xdr:colOff>
      <xdr:row>17</xdr:row>
      <xdr:rowOff>24847</xdr:rowOff>
    </xdr:from>
    <xdr:to>
      <xdr:col>26</xdr:col>
      <xdr:colOff>80488</xdr:colOff>
      <xdr:row>22</xdr:row>
      <xdr:rowOff>7931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3">
              <a:extLst>
                <a:ext uri="{FF2B5EF4-FFF2-40B4-BE49-F238E27FC236}">
                  <a16:creationId xmlns:a16="http://schemas.microsoft.com/office/drawing/2014/main" id="{16AE9D25-13B3-1ACB-D3D7-3B8A93A7517E}"/>
                </a:ext>
              </a:extLst>
            </xdr:cNvPr>
            <xdr:cNvSpPr txBox="1"/>
          </xdr:nvSpPr>
          <xdr:spPr>
            <a:xfrm>
              <a:off x="12085982" y="2840934"/>
              <a:ext cx="3797723" cy="81134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CA" sz="1400" b="1" i="1">
                  <a:latin typeface="Cambria Math" panose="02040503050406030204" pitchFamily="18" charset="0"/>
                  <a:ea typeface="Cambria Math" panose="02040503050406030204" pitchFamily="18" charset="0"/>
                </a:rPr>
                <a:t>These equations make it into the fitting routine: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)=</m:t>
                    </m:r>
                    <m:sSup>
                      <m:sSup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CA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den>
                        </m:f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 </m:t>
                        </m:r>
                        <m:f>
                          <m:fPr>
                            <m:ctrlPr>
                              <a:rPr lang="en-CA" sz="1400" b="0" i="1">
                                <a:solidFill>
                                  <a:srgbClr val="002A5C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b="0" i="1">
                                <a:solidFill>
                                  <a:srgbClr val="002A5C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sSup>
                              <m:sSupPr>
                                <m:ctrlP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</m:t>
                                </m:r>
                              </m:e>
                              <m:sup>
                                <m: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p>
                            </m:sSup>
                          </m:num>
                          <m:den>
                            <m:r>
                              <a:rPr lang="en-CA" sz="1400" b="0" i="1">
                                <a:solidFill>
                                  <a:srgbClr val="002A5C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</m:t>
                            </m:r>
                          </m:den>
                        </m:f>
                        <m:d>
                          <m:dPr>
                            <m:ctrlPr>
                              <a:rPr lang="en-CA" sz="1400" b="0" i="1">
                                <a:solidFill>
                                  <a:srgbClr val="002A5C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den>
                            </m:f>
                            <m:r>
                              <a:rPr lang="en-CA" sz="1400" b="0" i="1">
                                <a:solidFill>
                                  <a:srgbClr val="002A5C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 </m:t>
                            </m:r>
                            <m:f>
                              <m:fPr>
                                <m:ctrlP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CA" sz="1400" b="0" i="1">
                                        <a:solidFill>
                                          <a:srgbClr val="002A5C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b="0" i="1">
                                        <a:solidFill>
                                          <a:srgbClr val="002A5C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CA" sz="1400" b="0" i="1">
                                        <a:solidFill>
                                          <a:srgbClr val="002A5C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𝑀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sup>
                    </m:sSup>
                  </m:oMath>
                </m:oMathPara>
              </a14:m>
              <a:endParaRPr lang="en-CA" sz="1400" b="0" i="1">
                <a:latin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3">
              <a:extLst>
                <a:ext uri="{FF2B5EF4-FFF2-40B4-BE49-F238E27FC236}">
                  <a16:creationId xmlns:a16="http://schemas.microsoft.com/office/drawing/2014/main" id="{16AE9D25-13B3-1ACB-D3D7-3B8A93A7517E}"/>
                </a:ext>
              </a:extLst>
            </xdr:cNvPr>
            <xdr:cNvSpPr txBox="1"/>
          </xdr:nvSpPr>
          <xdr:spPr>
            <a:xfrm>
              <a:off x="12085982" y="2840934"/>
              <a:ext cx="3797723" cy="81134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CA" sz="1400" b="1" i="1">
                  <a:latin typeface="Cambria Math" panose="02040503050406030204" pitchFamily="18" charset="0"/>
                  <a:ea typeface="Cambria Math" panose="02040503050406030204" pitchFamily="18" charset="0"/>
                </a:rPr>
                <a:t>These equations make it into the fitting routine:</a:t>
              </a:r>
            </a:p>
            <a:p>
              <a:pPr/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𝐾(𝑇)=〖1/𝐶_𝑇  𝑒〗^(− </a:t>
              </a:r>
              <a:r>
                <a:rPr lang="en-CA" sz="1400" b="0" i="0">
                  <a:solidFill>
                    <a:srgbClr val="002A5C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(∆𝐻^0)/𝑅 (1/𝑇  − 1/𝑇_𝑀 ) )</a:t>
              </a:r>
              <a:endParaRPr lang="en-CA" sz="1400" b="0" i="1">
                <a:latin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19</xdr:col>
      <xdr:colOff>361950</xdr:colOff>
      <xdr:row>0</xdr:row>
      <xdr:rowOff>152400</xdr:rowOff>
    </xdr:from>
    <xdr:to>
      <xdr:col>29</xdr:col>
      <xdr:colOff>78596</xdr:colOff>
      <xdr:row>11</xdr:row>
      <xdr:rowOff>110740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18">
              <a:extLst>
                <a:ext uri="{FF2B5EF4-FFF2-40B4-BE49-F238E27FC236}">
                  <a16:creationId xmlns:a16="http://schemas.microsoft.com/office/drawing/2014/main" id="{29658706-993F-8A60-7277-53DA02460DCB}"/>
                </a:ext>
              </a:extLst>
            </xdr:cNvPr>
            <xdr:cNvSpPr txBox="1"/>
          </xdr:nvSpPr>
          <xdr:spPr>
            <a:xfrm>
              <a:off x="12125325" y="152400"/>
              <a:ext cx="5526896" cy="173951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groupChr>
                      <m:groupChrPr>
                        <m:chr m:val="↔"/>
                        <m:vertJc m:val="bot"/>
                        <m:ctrlP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</m:groupChr>
                    <m:r>
                      <a:rPr lang="en-CA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CA" sz="1800"/>
            </a:p>
            <a:p>
              <a:pPr>
                <a:spcBef>
                  <a:spcPts val="600"/>
                </a:spcBef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𝐷</m:t>
                            </m:r>
                          </m:e>
                        </m:d>
                      </m:num>
                      <m:den>
                        <m:sSup>
                          <m:sSup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begChr m:val="["/>
                                <m:endChr m:val="]"/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𝑆𝑆</m:t>
                                    </m:r>
                                  </m:e>
                                  <m:sub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(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𝑆𝑡𝑟𝑎𝑛𝑑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𝑖𝑠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𝑠𝑒𝑙𝑓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𝑐𝑜𝑚𝑝𝑙𝑒𝑚</m:t>
                    </m:r>
                    <m:r>
                      <m:rPr>
                        <m:nor/>
                      </m:rP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entary</m:t>
                    </m:r>
                    <m:r>
                      <m:rPr>
                        <m:nor/>
                      </m:rP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CA" sz="1200" b="0">
                <a:ea typeface="Cambria Math" panose="02040503050406030204" pitchFamily="18" charset="0"/>
              </a:endParaRPr>
            </a:p>
            <a:p>
              <a:endParaRPr lang="en-CA" sz="1200"/>
            </a:p>
            <a:p>
              <a:pPr>
                <a:spcAft>
                  <a:spcPts val="6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𝑆𝑆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d>
                      <m:dPr>
                        <m:begChr m:val="["/>
                        <m:endChr m:val="]"/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</m:t>
                        </m:r>
                      </m:e>
                    </m:d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𝑡𝑜𝑡𝑎𝑙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𝑐𝑜𝑛𝑐𝑒𝑛𝑡𝑟𝑎𝑡𝑖𝑜𝑛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𝑜𝑓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𝑎𝑡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𝑎𝑛𝑦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d>
                  </m:oMath>
                </m:oMathPara>
              </a14:m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>
                <a:spcBef>
                  <a:spcPts val="600"/>
                </a:spcBef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d>
                      <m:dPr>
                        <m:begChr m:val="["/>
                        <m:endChr m:val="]"/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𝑆𝑆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</m:t>
                    </m:r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CA" sz="1200"/>
            </a:p>
          </xdr:txBody>
        </xdr:sp>
      </mc:Choice>
      <mc:Fallback xmlns="">
        <xdr:sp macro="" textlink="">
          <xdr:nvSpPr>
            <xdr:cNvPr id="6" name="TextBox 18">
              <a:extLst>
                <a:ext uri="{FF2B5EF4-FFF2-40B4-BE49-F238E27FC236}">
                  <a16:creationId xmlns:a16="http://schemas.microsoft.com/office/drawing/2014/main" id="{29658706-993F-8A60-7277-53DA02460DCB}"/>
                </a:ext>
              </a:extLst>
            </xdr:cNvPr>
            <xdr:cNvSpPr txBox="1"/>
          </xdr:nvSpPr>
          <xdr:spPr>
            <a:xfrm>
              <a:off x="12125325" y="152400"/>
              <a:ext cx="5526896" cy="173951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1200"/>
                </a:spcAft>
              </a:pPr>
              <a:r>
                <a:rPr lang="en-CA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CA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〖𝑆𝑆〗_1 ↔┴𝐾</a:t>
              </a:r>
              <a:r>
                <a:rPr lang="en-CA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𝐷</a:t>
              </a:r>
              <a:endParaRPr lang="en-CA" sz="1800"/>
            </a:p>
            <a:p>
              <a:pPr>
                <a:spcBef>
                  <a:spcPts val="600"/>
                </a:spcBef>
              </a:pP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𝐾=[𝐷]/[〖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𝑆𝑆〗_1 ]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    (𝑆𝑡𝑟𝑎𝑛𝑑 𝑖𝑠 𝑠𝑒𝑙𝑓−𝑐𝑜𝑚𝑝𝑙𝑒𝑚"entary)"</a:t>
              </a:r>
              <a:endParaRPr lang="en-CA" sz="1200" b="0">
                <a:ea typeface="Cambria Math" panose="02040503050406030204" pitchFamily="18" charset="0"/>
              </a:endParaRPr>
            </a:p>
            <a:p>
              <a:endParaRPr lang="en-CA" sz="1200"/>
            </a:p>
            <a:p>
              <a:pPr>
                <a:spcAft>
                  <a:spcPts val="600"/>
                </a:spcAft>
              </a:pP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=[〖𝑆𝑆〗_1 ]+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[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𝐷] 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 (𝑡𝑜𝑡𝑎𝑙 𝑐𝑜𝑛𝑐𝑒𝑛𝑡𝑟𝑎𝑡𝑖𝑜𝑛 𝑜𝑓 𝑆𝑆 𝑎𝑡 𝑎𝑛𝑦 𝑇)</a:t>
              </a:r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>
                <a:spcBef>
                  <a:spcPts val="600"/>
                </a:spcBef>
              </a:pP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→[〖𝑆𝑆〗_1 ]=𝐶_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[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𝐷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]</a:t>
              </a:r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CA" sz="1200"/>
            </a:p>
          </xdr:txBody>
        </xdr:sp>
      </mc:Fallback>
    </mc:AlternateContent>
    <xdr:clientData/>
  </xdr:twoCellAnchor>
  <xdr:twoCellAnchor>
    <xdr:from>
      <xdr:col>19</xdr:col>
      <xdr:colOff>381000</xdr:colOff>
      <xdr:row>10</xdr:row>
      <xdr:rowOff>132522</xdr:rowOff>
    </xdr:from>
    <xdr:to>
      <xdr:col>31</xdr:col>
      <xdr:colOff>441684</xdr:colOff>
      <xdr:row>16</xdr:row>
      <xdr:rowOff>98615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20">
              <a:extLst>
                <a:ext uri="{FF2B5EF4-FFF2-40B4-BE49-F238E27FC236}">
                  <a16:creationId xmlns:a16="http://schemas.microsoft.com/office/drawing/2014/main" id="{D34B08B8-2E5E-DA99-FFB4-302A2B8A0E48}"/>
                </a:ext>
              </a:extLst>
            </xdr:cNvPr>
            <xdr:cNvSpPr txBox="1"/>
          </xdr:nvSpPr>
          <xdr:spPr>
            <a:xfrm>
              <a:off x="12125739" y="1789044"/>
              <a:ext cx="7018075" cy="96000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CA" sz="12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b="0" i="1">
                        <a:latin typeface="Cambria Math" panose="02040503050406030204" pitchFamily="18" charset="0"/>
                      </a:rPr>
                      <m:t>→</m:t>
                    </m:r>
                    <m:r>
                      <a:rPr lang="en-CA" sz="1200" b="0" i="1"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CA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200" b="1" i="1"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n-CA" sz="1200" b="1" i="1">
                            <a:latin typeface="Cambria Math" panose="02040503050406030204" pitchFamily="18" charset="0"/>
                          </a:rPr>
                          <m:t>𝑫</m:t>
                        </m:r>
                        <m:r>
                          <a:rPr lang="en-CA" sz="1200" b="1" i="1"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sSup>
                          <m:sSupPr>
                            <m:ctrlPr>
                              <a:rPr lang="en-CA" sz="12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CA" sz="1200" b="1" i="1">
                                <a:latin typeface="Cambria Math" panose="02040503050406030204" pitchFamily="18" charset="0"/>
                              </a:rPr>
                              <m:t>[</m:t>
                            </m:r>
                            <m:sSub>
                              <m:sSubPr>
                                <m:ctrlPr>
                                  <a:rPr lang="en-CA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b="1" i="1">
                                    <a:latin typeface="Cambria Math" panose="02040503050406030204" pitchFamily="18" charset="0"/>
                                  </a:rPr>
                                  <m:t>𝑺𝑺</m:t>
                                </m:r>
                              </m:e>
                              <m:sub>
                                <m:r>
                                  <a:rPr lang="en-CA" sz="12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CA" sz="1200" b="1" i="1">
                                <a:latin typeface="Cambria Math" panose="02040503050406030204" pitchFamily="18" charset="0"/>
                              </a:rPr>
                              <m:t>]</m:t>
                            </m:r>
                          </m:e>
                          <m:sup>
                            <m:r>
                              <a:rPr lang="en-CA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den>
                    </m:f>
                    <m:r>
                      <a:rPr lang="en-CA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num>
                          <m:den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num>
                      <m:den>
                        <m:sSup>
                          <m:sSup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−2[</m:t>
                                </m:r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𝐷</m:t>
                                </m:r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]</m:t>
                                </m:r>
                              </m:e>
                            </m:d>
                          </m:e>
                          <m:sup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CA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num>
                          <m:den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num>
                      <m:den>
                        <m:sSup>
                          <m:sSup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d>
                                  <m:d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en-CA" sz="12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CA" sz="12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𝛼</m:t>
                                        </m:r>
                                        <m:sSub>
                                          <m:sSubPr>
                                            <m:ctrlPr>
                                              <a:rPr lang="en-CA" sz="120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CA" sz="120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𝐶</m:t>
                                            </m:r>
                                          </m:e>
                                          <m:sub>
                                            <m:r>
                                              <a:rPr lang="en-CA" sz="12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𝑇</m:t>
                                            </m:r>
                                          </m:sub>
                                        </m:sSub>
                                      </m:num>
                                      <m:den>
                                        <m:r>
                                          <a:rPr lang="en-CA" sz="12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num>
                      <m:den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sSub>
                          <m:sSub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  <m:sSup>
                          <m:sSup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1−</m:t>
                                </m:r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𝛼</m:t>
                                </m:r>
                              </m:e>
                            </m:d>
                          </m:e>
                          <m:sup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2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" name="TextBox 20">
              <a:extLst>
                <a:ext uri="{FF2B5EF4-FFF2-40B4-BE49-F238E27FC236}">
                  <a16:creationId xmlns:a16="http://schemas.microsoft.com/office/drawing/2014/main" id="{D34B08B8-2E5E-DA99-FFB4-302A2B8A0E48}"/>
                </a:ext>
              </a:extLst>
            </xdr:cNvPr>
            <xdr:cNvSpPr txBox="1"/>
          </xdr:nvSpPr>
          <xdr:spPr>
            <a:xfrm>
              <a:off x="12125739" y="1789044"/>
              <a:ext cx="7018075" cy="96000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CA" sz="1200"/>
            </a:p>
            <a:p>
              <a:pPr/>
              <a:r>
                <a:rPr lang="en-CA" sz="1200" b="0" i="0">
                  <a:latin typeface="Cambria Math" panose="02040503050406030204" pitchFamily="18" charset="0"/>
                </a:rPr>
                <a:t>→𝐾=</a:t>
              </a:r>
              <a:r>
                <a:rPr lang="en-CA" sz="1200" b="1" i="0">
                  <a:latin typeface="Cambria Math" panose="02040503050406030204" pitchFamily="18" charset="0"/>
                </a:rPr>
                <a:t>([𝑫])/〖[〖𝑺𝑺〗_𝟏]〗^𝟐 </a:t>
              </a:r>
              <a:r>
                <a:rPr lang="en-CA" sz="1200" b="0" i="0">
                  <a:latin typeface="Cambria Math" panose="02040503050406030204" pitchFamily="18" charset="0"/>
                </a:rPr>
                <a:t>=(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𝑇)/2)/(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𝑇−2[𝐷])^2 </a:t>
              </a:r>
              <a:r>
                <a:rPr lang="en-CA" sz="1200" b="0" i="0">
                  <a:latin typeface="Cambria Math" panose="02040503050406030204" pitchFamily="18" charset="0"/>
                </a:rPr>
                <a:t>=</a:t>
              </a:r>
              <a:r>
                <a:rPr lang="en-CA" sz="1200" i="0">
                  <a:latin typeface="Cambria Math" panose="02040503050406030204" pitchFamily="18" charset="0"/>
                </a:rPr>
                <a:t>(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(𝛼𝐶_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𝑇)/2)/(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2((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𝑇)/2))^2 →𝐾=𝛼/(2𝐶_𝑇 (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1−𝛼)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^2 )</a:t>
              </a:r>
              <a:endParaRPr lang="en-CA" sz="12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12</xdr:col>
      <xdr:colOff>240196</xdr:colOff>
      <xdr:row>22</xdr:row>
      <xdr:rowOff>149086</xdr:rowOff>
    </xdr:from>
    <xdr:to>
      <xdr:col>18</xdr:col>
      <xdr:colOff>314739</xdr:colOff>
      <xdr:row>29</xdr:row>
      <xdr:rowOff>88668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22">
              <a:extLst>
                <a:ext uri="{FF2B5EF4-FFF2-40B4-BE49-F238E27FC236}">
                  <a16:creationId xmlns:a16="http://schemas.microsoft.com/office/drawing/2014/main" id="{5F13BA6D-E29B-4E68-A0BF-B86DB24FCC80}"/>
                </a:ext>
              </a:extLst>
            </xdr:cNvPr>
            <xdr:cNvSpPr txBox="1"/>
          </xdr:nvSpPr>
          <xdr:spPr>
            <a:xfrm>
              <a:off x="7926457" y="3793434"/>
              <a:ext cx="3553239" cy="109914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2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2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𝑙𝑜𝑤𝑒𝑟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100" i="1">
                <a:latin typeface="Cambria Math" panose="02040503050406030204" pitchFamily="18" charset="0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2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𝑖𝑛𝑡</m:t>
                                    </m:r>
                                  </m:sub>
                                </m:sSub>
                                <m:r>
                                  <a:rPr lang="en-CA" sz="120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𝑠𝑙𝑜𝑝𝑒</m:t>
                                    </m:r>
                                  </m:sub>
                                </m:sSub>
                                <m:r>
                                  <a:rPr lang="en-CA" sz="1200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</m:d>
                            <m:r>
                              <a:rPr lang="en-CA" sz="120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  <m:r>
                          <a:rPr lang="en-CA" sz="1200" i="0">
                            <a:latin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8" name="TextBox 22">
              <a:extLst>
                <a:ext uri="{FF2B5EF4-FFF2-40B4-BE49-F238E27FC236}">
                  <a16:creationId xmlns:a16="http://schemas.microsoft.com/office/drawing/2014/main" id="{5F13BA6D-E29B-4E68-A0BF-B86DB24FCC80}"/>
                </a:ext>
              </a:extLst>
            </xdr:cNvPr>
            <xdr:cNvSpPr txBox="1"/>
          </xdr:nvSpPr>
          <xdr:spPr>
            <a:xfrm>
              <a:off x="7926457" y="3793434"/>
              <a:ext cx="3553239" cy="109914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spcAft>
                  <a:spcPts val="1200"/>
                </a:spcAft>
              </a:pPr>
              <a:r>
                <a:rPr lang="en-CA" sz="1200" i="0">
                  <a:latin typeface="Cambria Math" panose="02040503050406030204" pitchFamily="18" charset="0"/>
                </a:rPr>
                <a:t>𝛼(𝑇)=(𝑌_</a:t>
              </a:r>
              <a:r>
                <a:rPr lang="en-US" sz="1200" b="0" i="0">
                  <a:latin typeface="Cambria Math" panose="02040503050406030204" pitchFamily="18" charset="0"/>
                </a:rPr>
                <a:t>𝑢𝑝𝑝𝑒𝑟</a:t>
              </a:r>
              <a:r>
                <a:rPr lang="en-CA" sz="1200" b="0" i="0">
                  <a:latin typeface="Cambria Math" panose="02040503050406030204" pitchFamily="18" charset="0"/>
                </a:rPr>
                <a:t>−</a:t>
              </a:r>
              <a:r>
                <a:rPr lang="en-CA" sz="1200" i="0">
                  <a:latin typeface="Cambria Math" panose="02040503050406030204" pitchFamily="18" charset="0"/>
                </a:rPr>
                <a:t>𝑌_</a:t>
              </a:r>
              <a:r>
                <a:rPr lang="en-US" sz="1200" b="0" i="0">
                  <a:latin typeface="Cambria Math" panose="02040503050406030204" pitchFamily="18" charset="0"/>
                </a:rPr>
                <a:t>𝑜𝑏𝑠</a:t>
              </a:r>
              <a:r>
                <a:rPr lang="en-CA" sz="1200" b="0" i="0">
                  <a:latin typeface="Cambria Math" panose="02040503050406030204" pitchFamily="18" charset="0"/>
                </a:rPr>
                <a:t>)/(</a:t>
              </a:r>
              <a:r>
                <a:rPr lang="en-CA" sz="1200" i="0">
                  <a:latin typeface="Cambria Math" panose="02040503050406030204" pitchFamily="18" charset="0"/>
                </a:rPr>
                <a:t>𝑌_𝑢𝑝𝑝𝑒𝑟−𝑌_𝑙𝑜𝑤𝑒𝑟 )</a:t>
              </a:r>
              <a:endParaRPr lang="en-CA" sz="1100" i="1">
                <a:latin typeface="Cambria Math" panose="02040503050406030204" pitchFamily="18" charset="0"/>
              </a:endParaRPr>
            </a:p>
            <a:p>
              <a:pPr algn="ctr"/>
              <a:r>
                <a:rPr lang="en-CA" sz="1200" i="0">
                  <a:latin typeface="Cambria Math" panose="02040503050406030204" pitchFamily="18" charset="0"/>
                </a:rPr>
                <a:t>𝛼(𝑇)=〖(𝑈_𝑖𝑛𝑡+𝑈_𝑠𝑙𝑜𝑝𝑒×𝑇)−𝑌〗_𝑜𝑏𝑠/((𝑈_𝑖𝑛𝑡+𝑈_𝑠𝑙𝑜𝑝𝑒×𝑇)−(𝐿_𝑖𝑛𝑡+𝐿_𝑠𝑙𝑜𝑝𝑒×𝑇) )</a:t>
              </a:r>
              <a:endParaRPr lang="en-CA"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1</xdr:row>
      <xdr:rowOff>127000</xdr:rowOff>
    </xdr:from>
    <xdr:to>
      <xdr:col>19</xdr:col>
      <xdr:colOff>19050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65EF4-7469-4E33-9F74-951E27AE8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276225</xdr:colOff>
      <xdr:row>1</xdr:row>
      <xdr:rowOff>9525</xdr:rowOff>
    </xdr:from>
    <xdr:to>
      <xdr:col>26</xdr:col>
      <xdr:colOff>85725</xdr:colOff>
      <xdr:row>11</xdr:row>
      <xdr:rowOff>52846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18">
              <a:extLst>
                <a:ext uri="{FF2B5EF4-FFF2-40B4-BE49-F238E27FC236}">
                  <a16:creationId xmlns:a16="http://schemas.microsoft.com/office/drawing/2014/main" id="{84D22CD5-CD8B-4044-4FF8-032F56DB5F4A}"/>
                </a:ext>
              </a:extLst>
            </xdr:cNvPr>
            <xdr:cNvSpPr txBox="1"/>
          </xdr:nvSpPr>
          <xdr:spPr>
            <a:xfrm>
              <a:off x="12039600" y="171450"/>
              <a:ext cx="3876675" cy="166257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6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4</m:t>
                    </m:r>
                    <m:sSub>
                      <m:sSubPr>
                        <m:ctrlP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groupChr>
                      <m:groupChrPr>
                        <m:chr m:val="↔"/>
                        <m:vertJc m:val="bot"/>
                        <m:ctrlP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</m:groupChr>
                    <m:r>
                      <a:rPr lang="en-CA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</m:oMath>
                </m:oMathPara>
              </a14:m>
              <a:endParaRPr lang="en-CA" sz="18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𝑄</m:t>
                            </m:r>
                          </m:e>
                        </m:d>
                      </m:num>
                      <m:den>
                        <m:sSup>
                          <m:sSup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begChr m:val="["/>
                                <m:endChr m:val="]"/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𝑆𝑆</m:t>
                                    </m:r>
                                  </m:e>
                                  <m:sub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den>
                    </m:f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(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𝑆𝑡𝑟𝑎𝑛𝑑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𝑖𝑠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𝑠𝑒𝑙𝑓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𝑐𝑜𝑚𝑝𝑙𝑒𝑚</m:t>
                    </m:r>
                    <m:r>
                      <m:rPr>
                        <m:nor/>
                      </m:rP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entary</m:t>
                    </m:r>
                    <m:r>
                      <m:rPr>
                        <m:nor/>
                      </m:rP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CA" sz="1200" b="0">
                <a:ea typeface="Cambria Math" panose="02040503050406030204" pitchFamily="18" charset="0"/>
              </a:endParaRPr>
            </a:p>
            <a:p>
              <a:endParaRPr lang="en-CA" sz="1200"/>
            </a:p>
            <a:p>
              <a:pPr>
                <a:spcAft>
                  <a:spcPts val="6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𝑆𝑆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+4</m:t>
                    </m:r>
                    <m:d>
                      <m:dPr>
                        <m:begChr m:val="["/>
                        <m:endChr m:val="]"/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𝑄</m:t>
                        </m:r>
                      </m:e>
                    </m:d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𝑡𝑜𝑡𝑎𝑙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𝑐𝑜𝑛𝑐𝑒𝑛𝑡𝑟𝑎𝑡𝑖𝑜𝑛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𝑜𝑓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𝑎𝑡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𝑎𝑛𝑦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d>
                  </m:oMath>
                </m:oMathPara>
              </a14:m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>
                <a:spcBef>
                  <a:spcPts val="600"/>
                </a:spcBef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d>
                      <m:dPr>
                        <m:begChr m:val="["/>
                        <m:endChr m:val="]"/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𝑆𝑆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−4[</m:t>
                    </m:r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CA" sz="1200"/>
            </a:p>
          </xdr:txBody>
        </xdr:sp>
      </mc:Choice>
      <mc:Fallback xmlns="">
        <xdr:sp macro="" textlink="">
          <xdr:nvSpPr>
            <xdr:cNvPr id="3" name="TextBox 18">
              <a:extLst>
                <a:ext uri="{FF2B5EF4-FFF2-40B4-BE49-F238E27FC236}">
                  <a16:creationId xmlns:a16="http://schemas.microsoft.com/office/drawing/2014/main" id="{84D22CD5-CD8B-4044-4FF8-032F56DB5F4A}"/>
                </a:ext>
              </a:extLst>
            </xdr:cNvPr>
            <xdr:cNvSpPr txBox="1"/>
          </xdr:nvSpPr>
          <xdr:spPr>
            <a:xfrm>
              <a:off x="12039600" y="171450"/>
              <a:ext cx="3876675" cy="166257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600"/>
                </a:spcAft>
              </a:pPr>
              <a:r>
                <a:rPr lang="en-CA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</a:t>
              </a:r>
              <a:r>
                <a:rPr lang="en-CA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〖𝑆𝑆〗_1 ↔┴𝐾</a:t>
              </a:r>
              <a:r>
                <a:rPr lang="en-CA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𝑄</a:t>
              </a:r>
              <a:endParaRPr lang="en-CA" sz="1800"/>
            </a:p>
            <a:p>
              <a:pPr/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𝐾=[𝑄]/[〖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𝑆𝑆〗_1 ]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^4    (𝑆𝑡𝑟𝑎𝑛𝑑 𝑖𝑠 𝑠𝑒𝑙𝑓−𝑐𝑜𝑚𝑝𝑙𝑒𝑚"entary)"</a:t>
              </a:r>
              <a:endParaRPr lang="en-CA" sz="1200" b="0">
                <a:ea typeface="Cambria Math" panose="02040503050406030204" pitchFamily="18" charset="0"/>
              </a:endParaRPr>
            </a:p>
            <a:p>
              <a:endParaRPr lang="en-CA" sz="1200"/>
            </a:p>
            <a:p>
              <a:pPr>
                <a:spcAft>
                  <a:spcPts val="600"/>
                </a:spcAft>
              </a:pP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=[〖𝑆𝑆〗_1 ]+4[𝑄]  (𝑡𝑜𝑡𝑎𝑙 𝑐𝑜𝑛𝑐𝑒𝑛𝑡𝑟𝑎𝑡𝑖𝑜𝑛 𝑜𝑓 𝑆𝑆 𝑎𝑡 𝑎𝑛𝑦 𝑇)</a:t>
              </a:r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>
                <a:spcBef>
                  <a:spcPts val="600"/>
                </a:spcBef>
              </a:pP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→[〖𝑆𝑆〗_1 ]=𝐶_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−4[𝑄]</a:t>
              </a:r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CA" sz="1200"/>
            </a:p>
          </xdr:txBody>
        </xdr:sp>
      </mc:Fallback>
    </mc:AlternateContent>
    <xdr:clientData/>
  </xdr:twoCellAnchor>
  <xdr:twoCellAnchor>
    <xdr:from>
      <xdr:col>19</xdr:col>
      <xdr:colOff>295275</xdr:colOff>
      <xdr:row>10</xdr:row>
      <xdr:rowOff>142875</xdr:rowOff>
    </xdr:from>
    <xdr:to>
      <xdr:col>23</xdr:col>
      <xdr:colOff>352424</xdr:colOff>
      <xdr:row>14</xdr:row>
      <xdr:rowOff>101880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13">
              <a:extLst>
                <a:ext uri="{FF2B5EF4-FFF2-40B4-BE49-F238E27FC236}">
                  <a16:creationId xmlns:a16="http://schemas.microsoft.com/office/drawing/2014/main" id="{8E917497-6722-38EC-AD11-345FFB1B79E2}"/>
                </a:ext>
              </a:extLst>
            </xdr:cNvPr>
            <xdr:cNvSpPr txBox="1"/>
          </xdr:nvSpPr>
          <xdr:spPr>
            <a:xfrm>
              <a:off x="12058650" y="1762125"/>
              <a:ext cx="2381249" cy="60670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4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4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CA" sz="14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en-CA" sz="14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)=</m:t>
                    </m:r>
                    <m:sSup>
                      <m:sSupPr>
                        <m:ctrlPr>
                          <a:rPr lang="en-CA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sSup>
                              <m:sSupPr>
                                <m:ctrlP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CA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sup>
                            </m:sSup>
                          </m:den>
                        </m:f>
                        <m:r>
                          <a:rPr lang="en-CA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CA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 </m:t>
                        </m:r>
                        <m:f>
                          <m:fPr>
                            <m:ctrlP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sSup>
                              <m:sSupPr>
                                <m:ctrlP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</m:t>
                                </m:r>
                              </m:e>
                              <m:sup>
                                <m: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p>
                            </m:sSup>
                          </m:num>
                          <m:den>
                            <m: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</m:t>
                            </m:r>
                          </m:den>
                        </m:f>
                        <m:d>
                          <m:dPr>
                            <m:ctrlP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den>
                            </m:f>
                            <m: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 </m:t>
                            </m:r>
                            <m:f>
                              <m:fPr>
                                <m:ctrlP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CA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CA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𝑀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sup>
                    </m:sSup>
                  </m:oMath>
                </m:oMathPara>
              </a14:m>
              <a:endParaRPr lang="en-CA" sz="1400" b="0" i="1">
                <a:solidFill>
                  <a:schemeClr val="tx1"/>
                </a:solidFill>
                <a:latin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TextBox 13">
              <a:extLst>
                <a:ext uri="{FF2B5EF4-FFF2-40B4-BE49-F238E27FC236}">
                  <a16:creationId xmlns:a16="http://schemas.microsoft.com/office/drawing/2014/main" id="{8E917497-6722-38EC-AD11-345FFB1B79E2}"/>
                </a:ext>
              </a:extLst>
            </xdr:cNvPr>
            <xdr:cNvSpPr txBox="1"/>
          </xdr:nvSpPr>
          <xdr:spPr>
            <a:xfrm>
              <a:off x="12058650" y="1762125"/>
              <a:ext cx="2381249" cy="60670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𝐾(𝑇)=〖2/〖𝐶_𝑇〗^3  𝑒〗^(− (∆𝐻^0)/𝑅 (1/𝑇  − 1/𝑇_𝑀 ) )</a:t>
              </a:r>
              <a:endParaRPr lang="en-CA" sz="1400" b="0" i="1">
                <a:solidFill>
                  <a:schemeClr val="tx1"/>
                </a:solidFill>
                <a:latin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19</xdr:col>
      <xdr:colOff>466725</xdr:colOff>
      <xdr:row>14</xdr:row>
      <xdr:rowOff>76200</xdr:rowOff>
    </xdr:from>
    <xdr:to>
      <xdr:col>26</xdr:col>
      <xdr:colOff>342900</xdr:colOff>
      <xdr:row>25</xdr:row>
      <xdr:rowOff>109561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6">
              <a:extLst>
                <a:ext uri="{FF2B5EF4-FFF2-40B4-BE49-F238E27FC236}">
                  <a16:creationId xmlns:a16="http://schemas.microsoft.com/office/drawing/2014/main" id="{C72CD7B4-64C2-3437-E055-06D354337752}"/>
                </a:ext>
              </a:extLst>
            </xdr:cNvPr>
            <xdr:cNvSpPr txBox="1"/>
          </xdr:nvSpPr>
          <xdr:spPr>
            <a:xfrm>
              <a:off x="12230100" y="2343150"/>
              <a:ext cx="3943350" cy="181453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num>
                      <m:den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  <m:sSup>
                          <m:sSup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e>
                          <m:sup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  <m:sSup>
                          <m:sSup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1−</m:t>
                                </m:r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𝛼</m:t>
                                </m:r>
                              </m:e>
                            </m:d>
                          </m:e>
                          <m:sup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CA" sz="14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4</m:t>
                    </m:r>
                    <m:sSup>
                      <m:sSupPr>
                        <m:ctrlPr>
                          <a:rPr lang="en-CA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sSup>
                      <m:sSupPr>
                        <m:ctrlPr>
                          <a:rPr lang="en-CA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e>
                        </m:d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>
                <a:spcBef>
                  <a:spcPts val="1200"/>
                </a:spcBef>
              </a:pPr>
              <a:r>
                <a:rPr lang="en-CA" sz="1400" b="0" i="1">
                  <a:ea typeface="Cambria Math" panose="02040503050406030204" pitchFamily="18" charset="0"/>
                </a:rPr>
                <a:t>Expand this to a polynomial: </a:t>
              </a:r>
            </a:p>
            <a:p>
              <a:pPr>
                <a:spcBef>
                  <a:spcPts val="1200"/>
                </a:spcBef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 </m:t>
                    </m:r>
                    <m:sSup>
                      <m:sSup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−4</m:t>
                    </m:r>
                    <m:sSup>
                      <m:sSup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+6</m:t>
                    </m:r>
                    <m:sSup>
                      <m:sSup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d>
                      <m:d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4+</m:t>
                        </m:r>
                        <m:f>
                          <m:f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𝐾</m:t>
                            </m:r>
                            <m:sSup>
                              <m:sSupPr>
                                <m:ctrlPr>
                                  <a:rPr lang="en-CA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CA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sup>
                            </m:sSup>
                          </m:den>
                        </m:f>
                      </m:e>
                    </m:d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+1=0</m:t>
                    </m:r>
                  </m:oMath>
                </m:oMathPara>
              </a14:m>
              <a:endParaRPr lang="en-CA" sz="1400" b="1"/>
            </a:p>
          </xdr:txBody>
        </xdr:sp>
      </mc:Choice>
      <mc:Fallback xmlns="">
        <xdr:sp macro="" textlink="">
          <xdr:nvSpPr>
            <xdr:cNvPr id="6" name="TextBox 6">
              <a:extLst>
                <a:ext uri="{FF2B5EF4-FFF2-40B4-BE49-F238E27FC236}">
                  <a16:creationId xmlns:a16="http://schemas.microsoft.com/office/drawing/2014/main" id="{C72CD7B4-64C2-3437-E055-06D354337752}"/>
                </a:ext>
              </a:extLst>
            </xdr:cNvPr>
            <xdr:cNvSpPr txBox="1"/>
          </xdr:nvSpPr>
          <xdr:spPr>
            <a:xfrm>
              <a:off x="12230100" y="2343150"/>
              <a:ext cx="3943350" cy="181453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𝐾=𝛼/(4〖𝐶_𝑇〗^3 (1−𝛼)^4 )</a:t>
              </a:r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CA" sz="1400" b="0" i="1">
                <a:latin typeface="Cambria Math" panose="02040503050406030204" pitchFamily="18" charset="0"/>
              </a:endParaRPr>
            </a:p>
            <a:p>
              <a:pPr/>
              <a:r>
                <a:rPr lang="en-CA" sz="1400" b="0" i="0">
                  <a:latin typeface="Cambria Math" panose="02040503050406030204" pitchFamily="18" charset="0"/>
                </a:rPr>
                <a:t>𝐾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CA" sz="1400" b="0" i="0">
                  <a:latin typeface="Cambria Math" panose="02040503050406030204" pitchFamily="18" charset="0"/>
                </a:rPr>
                <a:t>4〖</a:t>
              </a:r>
              <a:r>
                <a:rPr lang="en-CA" sz="1400" i="0">
                  <a:latin typeface="Cambria Math" panose="02040503050406030204" pitchFamily="18" charset="0"/>
                </a:rPr>
                <a:t>𝐶_</a:t>
              </a:r>
              <a:r>
                <a:rPr lang="en-CA" sz="1400" b="0" i="0">
                  <a:latin typeface="Cambria Math" panose="02040503050406030204" pitchFamily="18" charset="0"/>
                </a:rPr>
                <a:t>𝑇〗^3 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(1−𝛼)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n-CA" sz="1400" b="0" i="0">
                  <a:latin typeface="Cambria Math" panose="02040503050406030204" pitchFamily="18" charset="0"/>
                </a:rPr>
                <a:t>4=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>
                <a:spcBef>
                  <a:spcPts val="1200"/>
                </a:spcBef>
              </a:pPr>
              <a:r>
                <a:rPr lang="en-CA" sz="1400" b="0" i="1">
                  <a:ea typeface="Cambria Math" panose="02040503050406030204" pitchFamily="18" charset="0"/>
                </a:rPr>
                <a:t>Expand this to a polynomial: </a:t>
              </a:r>
            </a:p>
            <a:p>
              <a:pPr>
                <a:spcBef>
                  <a:spcPts val="1200"/>
                </a:spcBef>
              </a:pP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 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^4−4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^3+6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^2−(4+1/(4𝐾〖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𝑇〗^3 ))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+1=0</a:t>
              </a:r>
              <a:endParaRPr lang="en-CA" sz="1400" b="1"/>
            </a:p>
          </xdr:txBody>
        </xdr:sp>
      </mc:Fallback>
    </mc:AlternateContent>
    <xdr:clientData/>
  </xdr:twoCellAnchor>
  <xdr:twoCellAnchor>
    <xdr:from>
      <xdr:col>20</xdr:col>
      <xdr:colOff>19050</xdr:colOff>
      <xdr:row>25</xdr:row>
      <xdr:rowOff>114300</xdr:rowOff>
    </xdr:from>
    <xdr:to>
      <xdr:col>26</xdr:col>
      <xdr:colOff>481805</xdr:colOff>
      <xdr:row>35</xdr:row>
      <xdr:rowOff>143899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7">
              <a:extLst>
                <a:ext uri="{FF2B5EF4-FFF2-40B4-BE49-F238E27FC236}">
                  <a16:creationId xmlns:a16="http://schemas.microsoft.com/office/drawing/2014/main" id="{9B363864-E68A-F429-7CAE-3E2EE48E08D4}"/>
                </a:ext>
              </a:extLst>
            </xdr:cNvPr>
            <xdr:cNvSpPr txBox="1"/>
          </xdr:nvSpPr>
          <xdr:spPr>
            <a:xfrm>
              <a:off x="12363450" y="4162425"/>
              <a:ext cx="3948905" cy="164884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Bef>
                  <a:spcPts val="1200"/>
                </a:spcBef>
              </a:pPr>
              <a:r>
                <a:rPr lang="en-CA" sz="1400" b="1">
                  <a:sym typeface="Symbol" panose="05050102010706020507" pitchFamily="18" charset="2"/>
                </a:rPr>
                <a:t>Quartic equation: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𝑎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=1</m:t>
                    </m:r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𝑏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=−4</m:t>
                    </m:r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𝑐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=5</m:t>
                    </m:r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𝑑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=−4−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  <m:sSup>
                          <m:sSup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e>
                          <m:sup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𝑒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=1</m:t>
                    </m:r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</xdr:txBody>
        </xdr:sp>
      </mc:Choice>
      <mc:Fallback xmlns="">
        <xdr:sp macro="" textlink="">
          <xdr:nvSpPr>
            <xdr:cNvPr id="9" name="TextBox 7">
              <a:extLst>
                <a:ext uri="{FF2B5EF4-FFF2-40B4-BE49-F238E27FC236}">
                  <a16:creationId xmlns:a16="http://schemas.microsoft.com/office/drawing/2014/main" id="{9B363864-E68A-F429-7CAE-3E2EE48E08D4}"/>
                </a:ext>
              </a:extLst>
            </xdr:cNvPr>
            <xdr:cNvSpPr txBox="1"/>
          </xdr:nvSpPr>
          <xdr:spPr>
            <a:xfrm>
              <a:off x="12363450" y="4162425"/>
              <a:ext cx="3948905" cy="164884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Bef>
                  <a:spcPts val="1200"/>
                </a:spcBef>
              </a:pPr>
              <a:r>
                <a:rPr lang="en-CA" sz="1400" b="1">
                  <a:sym typeface="Symbol" panose="05050102010706020507" pitchFamily="18" charset="2"/>
                </a:rPr>
                <a:t>Quartic equation:</a:t>
              </a: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𝑎=1</a:t>
              </a:r>
              <a:endParaRPr lang="en-CA" sz="1400">
                <a:sym typeface="Symbol" panose="05050102010706020507" pitchFamily="18" charset="2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𝑏=−4</a:t>
              </a:r>
              <a:endParaRPr lang="en-CA" sz="1400">
                <a:sym typeface="Symbol" panose="05050102010706020507" pitchFamily="18" charset="2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𝑐=5</a:t>
              </a:r>
              <a:endParaRPr lang="en-CA" sz="1400">
                <a:sym typeface="Symbol" panose="05050102010706020507" pitchFamily="18" charset="2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𝑑=−4−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1/(4𝐾〖𝐶_𝑇〗^3 )</a:t>
              </a:r>
              <a:endParaRPr lang="en-CA" sz="1400">
                <a:sym typeface="Symbol" panose="05050102010706020507" pitchFamily="18" charset="2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𝑒=1</a:t>
              </a:r>
              <a:endParaRPr lang="en-CA" sz="1400">
                <a:sym typeface="Symbol" panose="05050102010706020507" pitchFamily="18" charset="2"/>
              </a:endParaRPr>
            </a:p>
          </xdr:txBody>
        </xdr:sp>
      </mc:Fallback>
    </mc:AlternateContent>
    <xdr:clientData/>
  </xdr:twoCellAnchor>
  <xdr:twoCellAnchor>
    <xdr:from>
      <xdr:col>13</xdr:col>
      <xdr:colOff>57150</xdr:colOff>
      <xdr:row>21</xdr:row>
      <xdr:rowOff>85725</xdr:rowOff>
    </xdr:from>
    <xdr:to>
      <xdr:col>17</xdr:col>
      <xdr:colOff>552450</xdr:colOff>
      <xdr:row>24</xdr:row>
      <xdr:rowOff>73991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11">
              <a:extLst>
                <a:ext uri="{FF2B5EF4-FFF2-40B4-BE49-F238E27FC236}">
                  <a16:creationId xmlns:a16="http://schemas.microsoft.com/office/drawing/2014/main" id="{D9E38093-3C94-549B-1689-134AEA21FFA2}"/>
                </a:ext>
              </a:extLst>
            </xdr:cNvPr>
            <xdr:cNvSpPr txBox="1"/>
          </xdr:nvSpPr>
          <xdr:spPr>
            <a:xfrm>
              <a:off x="8334375" y="3486150"/>
              <a:ext cx="2819400" cy="47404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𝐿𝑜𝑤𝑒𝑟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𝐵𝑎𝑠𝑒𝑙𝑖𝑛𝑒</m:t>
                        </m:r>
                      </m:num>
                      <m:den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𝑈𝑝𝑝𝑒𝑟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𝐵𝑎𝑠𝑒𝑙𝑖𝑛𝑒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𝐿𝑜𝑤𝑒𝑟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𝐵𝑎𝑠𝑒𝑙𝑖𝑛𝑒</m:t>
                        </m:r>
                      </m:den>
                    </m:f>
                  </m:oMath>
                </m:oMathPara>
              </a14:m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11">
              <a:extLst>
                <a:ext uri="{FF2B5EF4-FFF2-40B4-BE49-F238E27FC236}">
                  <a16:creationId xmlns:a16="http://schemas.microsoft.com/office/drawing/2014/main" id="{D9E38093-3C94-549B-1689-134AEA21FFA2}"/>
                </a:ext>
              </a:extLst>
            </xdr:cNvPr>
            <xdr:cNvSpPr txBox="1"/>
          </xdr:nvSpPr>
          <xdr:spPr>
            <a:xfrm>
              <a:off x="8334375" y="3486150"/>
              <a:ext cx="2819400" cy="47404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=(𝑌_𝑜𝑏𝑠−𝐿𝑜𝑤𝑒𝑟 𝐵𝑎𝑠𝑒𝑙𝑖𝑛𝑒)/(𝑈𝑝𝑝𝑒𝑟 𝐵𝑎𝑠𝑒𝑙𝑖𝑛𝑒−𝐿𝑜𝑤𝑒𝑟 𝐵𝑎𝑠𝑒𝑙𝑖𝑛𝑒)</a:t>
              </a:r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1</xdr:row>
      <xdr:rowOff>127000</xdr:rowOff>
    </xdr:from>
    <xdr:to>
      <xdr:col>17</xdr:col>
      <xdr:colOff>19050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15644-076E-4B16-BADB-7EBE6669F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257175</xdr:colOff>
      <xdr:row>21</xdr:row>
      <xdr:rowOff>85725</xdr:rowOff>
    </xdr:from>
    <xdr:to>
      <xdr:col>22</xdr:col>
      <xdr:colOff>47625</xdr:colOff>
      <xdr:row>36</xdr:row>
      <xdr:rowOff>118999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38">
              <a:extLst>
                <a:ext uri="{FF2B5EF4-FFF2-40B4-BE49-F238E27FC236}">
                  <a16:creationId xmlns:a16="http://schemas.microsoft.com/office/drawing/2014/main" id="{E6420684-0F92-1E5D-301F-D6D47D8AF324}"/>
                </a:ext>
              </a:extLst>
            </xdr:cNvPr>
            <xdr:cNvSpPr txBox="1"/>
          </xdr:nvSpPr>
          <xdr:spPr>
            <a:xfrm>
              <a:off x="6210300" y="3486150"/>
              <a:ext cx="7343775" cy="246214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  <m:r>
                      <a:rPr lang="en-CA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α</m:t>
                        </m:r>
                      </m:num>
                      <m:den>
                        <m:d>
                          <m:dPr>
                            <m:ctrlPr>
                              <a:rPr lang="en-CA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m:rPr>
                                <m:sty m:val="p"/>
                              </m:rPr>
                              <a:rPr lang="el-GR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α</m:t>
                            </m:r>
                          </m:e>
                        </m:d>
                        <m:sSup>
                          <m:sSupPr>
                            <m:ctrlPr>
                              <a:rPr lang="en-CA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sSup>
                                      <m:sSupPr>
                                        <m:ctrlPr>
                                          <a:rPr lang="en-CA" sz="1400" b="1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CA" sz="1400" b="1" i="1">
                                            <a:latin typeface="Cambria Math" panose="02040503050406030204" pitchFamily="18" charset="0"/>
                                          </a:rPr>
                                          <m:t>[</m:t>
                                        </m:r>
                                        <m:r>
                                          <a:rPr lang="en-CA" sz="1400" b="1" i="1">
                                            <a:latin typeface="Cambria Math" panose="02040503050406030204" pitchFamily="18" charset="0"/>
                                          </a:rPr>
                                          <m:t>𝑲</m:t>
                                        </m:r>
                                      </m:e>
                                      <m:sup>
                                        <m:r>
                                          <a:rPr lang="en-CA" sz="1400" b="1" i="1">
                                            <a:latin typeface="Cambria Math" panose="02040503050406030204" pitchFamily="18" charset="0"/>
                                          </a:rPr>
                                          <m:t>+</m:t>
                                        </m:r>
                                      </m:sup>
                                    </m:sSup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]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CA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l-GR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α</m:t>
                                </m:r>
                                <m:sSub>
                                  <m:sSubPr>
                                    <m:ctrlPr>
                                      <a:rPr lang="el-GR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400" b="1"/>
            </a:p>
            <a:p>
              <a:pPr>
                <a:spcBef>
                  <a:spcPts val="600"/>
                </a:spcBef>
                <a:spcAft>
                  <a:spcPts val="600"/>
                </a:spcAft>
              </a:pPr>
              <a:r>
                <a:rPr lang="en-CA" sz="1400" i="1"/>
                <a:t>Expand the polynomial:</a:t>
              </a:r>
            </a:p>
            <a:p>
              <a14:m>
                <m:oMath xmlns:m="http://schemas.openxmlformats.org/officeDocument/2006/math">
                  <m:r>
                    <a:rPr lang="en-CA" sz="1200" b="0" i="1">
                      <a:latin typeface="Cambria Math" panose="02040503050406030204" pitchFamily="18" charset="0"/>
                    </a:rPr>
                    <m:t>−4</m:t>
                  </m:r>
                  <m:sSup>
                    <m:sSupPr>
                      <m:ctrlPr>
                        <a:rPr lang="en-CA" sz="12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CA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𝛼</m:t>
                      </m:r>
                    </m:e>
                    <m:sup>
                      <m:r>
                        <a:rPr lang="en-CA" sz="1200" b="0" i="1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  <m:sSup>
                    <m:sSupPr>
                      <m:ctrlPr>
                        <a:rPr lang="en-CA" sz="12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sSub>
                        <m:sSubPr>
                          <m:ctrlPr>
                            <a:rPr lang="en-CA" sz="12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𝐶</m:t>
                          </m:r>
                        </m:e>
                        <m:sub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𝑡𝑜𝑡𝑎𝑙</m:t>
                          </m:r>
                        </m:sub>
                      </m:sSub>
                    </m:e>
                    <m:sup>
                      <m:r>
                        <a:rPr lang="en-CA" sz="12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CA" sz="1200" b="0" i="1">
                      <a:latin typeface="Cambria Math" panose="02040503050406030204" pitchFamily="18" charset="0"/>
                    </a:rPr>
                    <m:t>+4</m:t>
                  </m:r>
                  <m:sSup>
                    <m:sSup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CA" sz="12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𝛼</m:t>
                      </m:r>
                    </m:e>
                    <m:sup>
                      <m:r>
                        <a:rPr lang="en-CA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2</m:t>
                      </m:r>
                    </m:sup>
                  </m:sSup>
                  <m:sSub>
                    <m:sSub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CA" sz="1200" i="1">
                          <a:latin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en-CA" sz="1200" i="1">
                          <a:latin typeface="Cambria Math" panose="02040503050406030204" pitchFamily="18" charset="0"/>
                        </a:rPr>
                        <m:t>𝑡𝑜𝑡𝑎𝑙</m:t>
                      </m:r>
                    </m:sub>
                  </m:sSub>
                  <m:sSub>
                    <m:sSub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CA" sz="12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CA" sz="1200" b="1" i="1">
                              <a:latin typeface="Cambria Math" panose="02040503050406030204" pitchFamily="18" charset="0"/>
                            </a:rPr>
                            <m:t>[</m:t>
                          </m:r>
                          <m:r>
                            <a:rPr lang="en-CA" sz="1200" b="1" i="1">
                              <a:latin typeface="Cambria Math" panose="02040503050406030204" pitchFamily="18" charset="0"/>
                            </a:rPr>
                            <m:t>𝑲</m:t>
                          </m:r>
                        </m:e>
                        <m:sup>
                          <m:r>
                            <a:rPr lang="en-CA" sz="1200" b="1" i="1">
                              <a:latin typeface="Cambria Math" panose="02040503050406030204" pitchFamily="18" charset="0"/>
                            </a:rPr>
                            <m:t>+</m:t>
                          </m:r>
                        </m:sup>
                      </m:sSup>
                      <m:r>
                        <a:rPr lang="en-CA" sz="1200" i="1">
                          <a:latin typeface="Cambria Math" panose="02040503050406030204" pitchFamily="18" charset="0"/>
                        </a:rPr>
                        <m:t>]</m:t>
                      </m:r>
                    </m:e>
                    <m:sub>
                      <m:r>
                        <a:rPr lang="en-CA" sz="1200" i="1">
                          <a:latin typeface="Cambria Math" panose="02040503050406030204" pitchFamily="18" charset="0"/>
                        </a:rPr>
                        <m:t>𝑇</m:t>
                      </m:r>
                    </m:sub>
                  </m:sSub>
                  <m:r>
                    <a:rPr lang="en-CA" sz="1200" b="0" i="1">
                      <a:latin typeface="Cambria Math" panose="02040503050406030204" pitchFamily="18" charset="0"/>
                    </a:rPr>
                    <m:t>+</m:t>
                  </m:r>
                </m:oMath>
              </a14:m>
              <a:r>
                <a:rPr lang="en-CA" sz="1200"/>
                <a:t> </a:t>
              </a:r>
              <a14:m>
                <m:oMath xmlns:m="http://schemas.openxmlformats.org/officeDocument/2006/math">
                  <m:r>
                    <a:rPr lang="en-CA" sz="1200" i="1">
                      <a:latin typeface="Cambria Math" panose="02040503050406030204" pitchFamily="18" charset="0"/>
                    </a:rPr>
                    <m:t>4</m:t>
                  </m:r>
                  <m:sSup>
                    <m:sSup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CA" sz="12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𝛼</m:t>
                      </m:r>
                    </m:e>
                    <m:sup>
                      <m:r>
                        <a:rPr lang="en-CA" sz="12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2</m:t>
                      </m:r>
                    </m:sup>
                  </m:sSup>
                  <m:sSup>
                    <m:sSup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sSub>
                        <m:sSubPr>
                          <m:ctrlPr>
                            <a:rPr lang="en-CA" sz="12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𝐶</m:t>
                          </m:r>
                        </m:e>
                        <m:sub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𝑡𝑜𝑡𝑎𝑙</m:t>
                          </m:r>
                        </m:sub>
                      </m:sSub>
                    </m:e>
                    <m:sup>
                      <m:r>
                        <a:rPr lang="en-CA" sz="12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CA" sz="1200" b="0" i="1">
                      <a:latin typeface="Cambria Math" panose="02040503050406030204" pitchFamily="18" charset="0"/>
                    </a:rPr>
                    <m:t>−4</m:t>
                  </m:r>
                  <m:r>
                    <a:rPr lang="en-CA" sz="12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𝛼</m:t>
                  </m:r>
                  <m:sSub>
                    <m:sSub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CA" sz="1200" i="1">
                          <a:latin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en-CA" sz="1200" i="1">
                          <a:latin typeface="Cambria Math" panose="02040503050406030204" pitchFamily="18" charset="0"/>
                        </a:rPr>
                        <m:t>𝑡𝑜𝑡𝑎𝑙</m:t>
                      </m:r>
                    </m:sub>
                  </m:sSub>
                  <m:sSub>
                    <m:sSub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CA" sz="12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CA" sz="1200" b="1" i="1">
                              <a:latin typeface="Cambria Math" panose="02040503050406030204" pitchFamily="18" charset="0"/>
                            </a:rPr>
                            <m:t>[</m:t>
                          </m:r>
                          <m:r>
                            <a:rPr lang="en-CA" sz="1200" b="1" i="1">
                              <a:latin typeface="Cambria Math" panose="02040503050406030204" pitchFamily="18" charset="0"/>
                            </a:rPr>
                            <m:t>𝑲</m:t>
                          </m:r>
                        </m:e>
                        <m:sup>
                          <m:r>
                            <a:rPr lang="en-CA" sz="1200" b="1" i="1">
                              <a:latin typeface="Cambria Math" panose="02040503050406030204" pitchFamily="18" charset="0"/>
                            </a:rPr>
                            <m:t>+</m:t>
                          </m:r>
                        </m:sup>
                      </m:sSup>
                      <m:r>
                        <a:rPr lang="en-CA" sz="1200" i="1">
                          <a:latin typeface="Cambria Math" panose="02040503050406030204" pitchFamily="18" charset="0"/>
                        </a:rPr>
                        <m:t>]</m:t>
                      </m:r>
                    </m:e>
                    <m:sub>
                      <m:r>
                        <a:rPr lang="en-CA" sz="1200" i="1">
                          <a:latin typeface="Cambria Math" panose="02040503050406030204" pitchFamily="18" charset="0"/>
                        </a:rPr>
                        <m:t>𝑇</m:t>
                      </m:r>
                    </m:sub>
                  </m:sSub>
                  <m:r>
                    <a:rPr lang="en-CA" sz="1200" b="0" i="1">
                      <a:latin typeface="Cambria Math" panose="02040503050406030204" pitchFamily="18" charset="0"/>
                    </a:rPr>
                    <m:t>−</m:t>
                  </m:r>
                  <m:sSup>
                    <m:sSup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sSub>
                        <m:sSubPr>
                          <m:ctrlPr>
                            <a:rPr lang="en-CA" sz="12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sSup>
                            <m:sSupPr>
                              <m:ctrlPr>
                                <a:rPr lang="en-CA" sz="1200" b="1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CA" sz="1200" b="1" i="1">
                                  <a:latin typeface="Cambria Math" panose="02040503050406030204" pitchFamily="18" charset="0"/>
                                </a:rPr>
                                <m:t>[</m:t>
                              </m:r>
                              <m:r>
                                <a:rPr lang="en-CA" sz="1200" b="1" i="1">
                                  <a:latin typeface="Cambria Math" panose="02040503050406030204" pitchFamily="18" charset="0"/>
                                </a:rPr>
                                <m:t>𝑲</m:t>
                              </m:r>
                            </m:e>
                            <m:sup>
                              <m:r>
                                <a:rPr lang="en-CA" sz="1200" b="1" i="1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</m:sup>
                          </m:sSup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]</m:t>
                          </m:r>
                        </m:e>
                        <m:sub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𝑇</m:t>
                          </m:r>
                        </m:sub>
                      </m:sSub>
                    </m:e>
                    <m:sup>
                      <m:r>
                        <a:rPr lang="en-CA" sz="12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CA" sz="12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𝛼</m:t>
                  </m:r>
                  <m:r>
                    <a:rPr lang="en-CA" sz="12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CA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CA" sz="12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𝛼</m:t>
                      </m:r>
                    </m:num>
                    <m:den>
                      <m:sSub>
                        <m:sSubPr>
                          <m:ctrlPr>
                            <a:rPr lang="en-CA" sz="12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CA" sz="1200" b="0" i="1">
                              <a:latin typeface="Cambria Math" panose="02040503050406030204" pitchFamily="18" charset="0"/>
                            </a:rPr>
                            <m:t>𝐾</m:t>
                          </m:r>
                        </m:e>
                        <m:sub>
                          <m:r>
                            <a:rPr lang="en-CA" sz="1200" b="0" i="1">
                              <a:latin typeface="Cambria Math" panose="02040503050406030204" pitchFamily="18" charset="0"/>
                            </a:rPr>
                            <m:t>𝑏</m:t>
                          </m:r>
                        </m:sub>
                      </m:sSub>
                    </m:den>
                  </m:f>
                  <m:r>
                    <a:rPr lang="en-CA" sz="12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CA" sz="12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sSub>
                        <m:sSubPr>
                          <m:ctrlPr>
                            <a:rPr lang="en-CA" sz="12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sSup>
                            <m:sSupPr>
                              <m:ctrlPr>
                                <a:rPr lang="en-CA" sz="1200" b="1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CA" sz="1200" b="1" i="1">
                                  <a:latin typeface="Cambria Math" panose="02040503050406030204" pitchFamily="18" charset="0"/>
                                </a:rPr>
                                <m:t>[</m:t>
                              </m:r>
                              <m:r>
                                <a:rPr lang="en-CA" sz="1200" b="1" i="1">
                                  <a:latin typeface="Cambria Math" panose="02040503050406030204" pitchFamily="18" charset="0"/>
                                </a:rPr>
                                <m:t>𝑲</m:t>
                              </m:r>
                            </m:e>
                            <m:sup>
                              <m:r>
                                <a:rPr lang="en-CA" sz="1200" b="1" i="1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</m:sup>
                          </m:sSup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]</m:t>
                          </m:r>
                        </m:e>
                        <m:sub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𝑇</m:t>
                          </m:r>
                        </m:sub>
                      </m:sSub>
                    </m:e>
                    <m:sup>
                      <m:r>
                        <a:rPr lang="en-CA" sz="12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CA" sz="1200" b="0" i="1">
                      <a:latin typeface="Cambria Math" panose="02040503050406030204" pitchFamily="18" charset="0"/>
                    </a:rPr>
                    <m:t>=0</m:t>
                  </m:r>
                </m:oMath>
              </a14:m>
              <a:endParaRPr lang="en-CA" sz="1200" b="0"/>
            </a:p>
            <a:p>
              <a:r>
                <a:rPr lang="en-CA" sz="1400">
                  <a:sym typeface="Wingdings" panose="05000000000000000000" pitchFamily="2" charset="2"/>
                </a:rPr>
                <a:t>Solve this equation at each point: </a:t>
              </a:r>
              <a14:m>
                <m:oMath xmlns:m="http://schemas.openxmlformats.org/officeDocument/2006/math">
                  <m:r>
                    <a:rPr lang="en-CA" sz="1400" i="1">
                      <a:latin typeface="Cambria Math" panose="02040503050406030204" pitchFamily="18" charset="0"/>
                    </a:rPr>
                    <m:t>0</m:t>
                  </m:r>
                  <m:r>
                    <a:rPr lang="en-CA" sz="14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CA" sz="1400" b="0" i="1">
                      <a:latin typeface="Cambria Math" panose="02040503050406030204" pitchFamily="18" charset="0"/>
                    </a:rPr>
                    <m:t>𝑎</m:t>
                  </m:r>
                  <m:sSup>
                    <m:sSupPr>
                      <m:ctrlPr>
                        <a:rPr lang="en-CA" sz="1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m:rPr>
                          <m:sty m:val="p"/>
                        </m:rPr>
                        <a:rPr lang="en-CA" sz="1400" b="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α</m:t>
                      </m:r>
                    </m:e>
                    <m:sup>
                      <m:r>
                        <a:rPr lang="en-CA" sz="1400" b="0" i="1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  <m:r>
                    <a:rPr lang="en-CA" sz="1400" b="0" i="1">
                      <a:latin typeface="Cambria Math" panose="02040503050406030204" pitchFamily="18" charset="0"/>
                    </a:rPr>
                    <m:t>+</m:t>
                  </m:r>
                  <m:r>
                    <a:rPr lang="en-CA" sz="1400" b="0" i="1">
                      <a:latin typeface="Cambria Math" panose="02040503050406030204" pitchFamily="18" charset="0"/>
                    </a:rPr>
                    <m:t>𝑏</m:t>
                  </m:r>
                  <m:sSup>
                    <m:sSupPr>
                      <m:ctrlPr>
                        <a:rPr lang="en-CA" sz="14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m:rPr>
                          <m:sty m:val="p"/>
                        </m:rPr>
                        <a:rPr lang="en-CA" sz="140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α</m:t>
                      </m:r>
                    </m:e>
                    <m:sup>
                      <m:r>
                        <a:rPr lang="en-CA" sz="1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CA" sz="1400" b="0" i="1">
                      <a:latin typeface="Cambria Math" panose="02040503050406030204" pitchFamily="18" charset="0"/>
                    </a:rPr>
                    <m:t>+</m:t>
                  </m:r>
                  <m:r>
                    <a:rPr lang="en-CA" sz="1400" b="0" i="1">
                      <a:latin typeface="Cambria Math" panose="02040503050406030204" pitchFamily="18" charset="0"/>
                    </a:rPr>
                    <m:t>𝑐</m:t>
                  </m:r>
                  <m:r>
                    <m:rPr>
                      <m:sty m:val="p"/>
                    </m:rPr>
                    <a:rPr lang="en-CA" sz="140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α</m:t>
                  </m:r>
                  <m:r>
                    <a:rPr lang="en-CA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</m:t>
                  </m:r>
                  <m:r>
                    <a:rPr lang="en-CA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𝑑</m:t>
                  </m:r>
                </m:oMath>
              </a14:m>
              <a:endParaRPr lang="en-CA" sz="14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</a:rPr>
                      <m:t>:  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=−4</m:t>
                    </m:r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𝑡𝑜𝑡𝑎𝑙</m:t>
                            </m:r>
                          </m:sub>
                        </m:sSub>
                      </m:e>
                      <m: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CA" sz="14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</a:rPr>
                      <m:t>:  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=+4</m:t>
                    </m:r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𝑡𝑜𝑡𝑎𝑙</m:t>
                            </m:r>
                          </m:sub>
                        </m:sSub>
                      </m:e>
                      <m: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CA" sz="1400" i="1">
                        <a:latin typeface="Cambria Math" panose="02040503050406030204" pitchFamily="18" charset="0"/>
                      </a:rPr>
                      <m:t>4</m:t>
                    </m:r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CA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[</m:t>
                            </m:r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p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+</m:t>
                            </m:r>
                          </m:sup>
                        </m:s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]</m:t>
                        </m:r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sub>
                    </m:sSub>
                  </m:oMath>
                </m:oMathPara>
              </a14:m>
              <a:endParaRPr lang="en-CA" sz="14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400" i="1">
                        <a:latin typeface="Cambria Math" panose="02040503050406030204" pitchFamily="18" charset="0"/>
                      </a:rPr>
                      <m:t>:  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𝑐</m:t>
                    </m:r>
                    <m:r>
                      <a:rPr lang="en-CA" sz="1400" i="1">
                        <a:latin typeface="Cambria Math" panose="02040503050406030204" pitchFamily="18" charset="0"/>
                      </a:rPr>
                      <m:t>=−4</m:t>
                    </m:r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CA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[</m:t>
                            </m:r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p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+</m:t>
                            </m:r>
                          </m:sup>
                        </m:s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]</m:t>
                        </m:r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CA" sz="140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  <m:t>[</m:t>
                                </m:r>
                                <m: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p>
                                <m: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]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e>
                      <m: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CA" sz="140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𝐾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4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CA" sz="1400" i="1">
                        <a:latin typeface="Cambria Math" panose="02040503050406030204" pitchFamily="18" charset="0"/>
                      </a:rPr>
                      <m:t>:  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n-CA" sz="14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  <m:t>[</m:t>
                                </m:r>
                                <m: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p>
                                <m: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]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e>
                      <m: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CA" sz="1400"/>
            </a:p>
          </xdr:txBody>
        </xdr:sp>
      </mc:Choice>
      <mc:Fallback xmlns="">
        <xdr:sp macro="" textlink="">
          <xdr:nvSpPr>
            <xdr:cNvPr id="7" name="TextBox 38">
              <a:extLst>
                <a:ext uri="{FF2B5EF4-FFF2-40B4-BE49-F238E27FC236}">
                  <a16:creationId xmlns:a16="http://schemas.microsoft.com/office/drawing/2014/main" id="{E6420684-0F92-1E5D-301F-D6D47D8AF324}"/>
                </a:ext>
              </a:extLst>
            </xdr:cNvPr>
            <xdr:cNvSpPr txBox="1"/>
          </xdr:nvSpPr>
          <xdr:spPr>
            <a:xfrm>
              <a:off x="6210300" y="3486150"/>
              <a:ext cx="7343775" cy="246214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400" i="0">
                  <a:latin typeface="Cambria Math" panose="02040503050406030204" pitchFamily="18" charset="0"/>
                </a:rPr>
                <a:t>𝐾_𝑏</a:t>
              </a:r>
              <a:r>
                <a:rPr lang="en-CA" sz="1400" b="1" i="0">
                  <a:latin typeface="Cambria Math" panose="02040503050406030204" pitchFamily="18" charset="0"/>
                </a:rPr>
                <a:t>=</a:t>
              </a:r>
              <a:r>
                <a:rPr lang="el-G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n-CA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/((</a:t>
              </a:r>
              <a:r>
                <a:rPr lang="en-CA" sz="1400" i="0">
                  <a:latin typeface="Cambria Math" panose="02040503050406030204" pitchFamily="18" charset="0"/>
                </a:rPr>
                <a:t>1−</a:t>
              </a:r>
              <a:r>
                <a:rPr lang="el-G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CA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(〖〖</a:t>
              </a:r>
              <a:r>
                <a:rPr lang="en-CA" sz="1400" b="1" i="0">
                  <a:latin typeface="Cambria Math" panose="02040503050406030204" pitchFamily="18" charset="0"/>
                </a:rPr>
                <a:t>[𝑲〗^+</a:t>
              </a:r>
              <a:r>
                <a:rPr lang="en-CA" sz="1400" i="0">
                  <a:latin typeface="Cambria Math" panose="02040503050406030204" pitchFamily="18" charset="0"/>
                </a:rPr>
                <a:t>]〗_𝑇−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l-G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</a:t>
              </a:r>
              <a:r>
                <a:rPr lang="el-G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𝑡𝑜𝑡𝑎𝑙</a:t>
              </a:r>
              <a:r>
                <a:rPr lang="en-CA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)^</a:t>
              </a:r>
              <a:r>
                <a:rPr lang="en-CA" sz="1400" b="1" i="0">
                  <a:latin typeface="Cambria Math" panose="02040503050406030204" pitchFamily="18" charset="0"/>
                </a:rPr>
                <a:t>𝟐 )</a:t>
              </a:r>
              <a:endParaRPr lang="en-CA" sz="1400" b="1"/>
            </a:p>
            <a:p>
              <a:pPr>
                <a:spcBef>
                  <a:spcPts val="600"/>
                </a:spcBef>
                <a:spcAft>
                  <a:spcPts val="600"/>
                </a:spcAft>
              </a:pPr>
              <a:r>
                <a:rPr lang="en-CA" sz="1400" i="1"/>
                <a:t>Expand the polynomial:</a:t>
              </a:r>
            </a:p>
            <a:p>
              <a:r>
                <a:rPr lang="en-CA" sz="1200" b="0" i="0">
                  <a:latin typeface="Cambria Math" panose="02040503050406030204" pitchFamily="18" charset="0"/>
                </a:rPr>
                <a:t>−4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𝛼^</a:t>
              </a:r>
              <a:r>
                <a:rPr lang="en-CA" sz="1200" b="0" i="0">
                  <a:latin typeface="Cambria Math" panose="02040503050406030204" pitchFamily="18" charset="0"/>
                </a:rPr>
                <a:t>3 〖</a:t>
              </a:r>
              <a:r>
                <a:rPr lang="en-CA" sz="1200" i="0">
                  <a:latin typeface="Cambria Math" panose="02040503050406030204" pitchFamily="18" charset="0"/>
                </a:rPr>
                <a:t>𝐶_𝑡𝑜𝑡𝑎𝑙</a:t>
              </a:r>
              <a:r>
                <a:rPr lang="en-CA" sz="1200" b="0" i="0">
                  <a:latin typeface="Cambria Math" panose="02040503050406030204" pitchFamily="18" charset="0"/>
                </a:rPr>
                <a:t>〗^2+4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𝛼^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 </a:t>
              </a:r>
              <a:r>
                <a:rPr lang="en-CA" sz="1200" i="0">
                  <a:latin typeface="Cambria Math" panose="02040503050406030204" pitchFamily="18" charset="0"/>
                </a:rPr>
                <a:t>𝐶_𝑡𝑜𝑡𝑎𝑙 〖</a:t>
              </a:r>
              <a:r>
                <a:rPr lang="en-CA" sz="1200" b="1" i="0">
                  <a:latin typeface="Cambria Math" panose="02040503050406030204" pitchFamily="18" charset="0"/>
                </a:rPr>
                <a:t>〖[𝑲〗^+</a:t>
              </a:r>
              <a:r>
                <a:rPr lang="en-CA" sz="1200" i="0">
                  <a:latin typeface="Cambria Math" panose="02040503050406030204" pitchFamily="18" charset="0"/>
                </a:rPr>
                <a:t>]〗_𝑇</a:t>
              </a:r>
              <a:r>
                <a:rPr lang="en-CA" sz="1200" b="0" i="0">
                  <a:latin typeface="Cambria Math" panose="02040503050406030204" pitchFamily="18" charset="0"/>
                </a:rPr>
                <a:t>+</a:t>
              </a:r>
              <a:r>
                <a:rPr lang="en-CA" sz="1200"/>
                <a:t> </a:t>
              </a:r>
              <a:r>
                <a:rPr lang="en-CA" sz="1200" i="0">
                  <a:latin typeface="Cambria Math" panose="02040503050406030204" pitchFamily="18" charset="0"/>
                </a:rPr>
                <a:t>4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𝛼^2 </a:t>
              </a:r>
              <a:r>
                <a:rPr lang="en-CA" sz="1200" i="0">
                  <a:latin typeface="Cambria Math" panose="02040503050406030204" pitchFamily="18" charset="0"/>
                </a:rPr>
                <a:t>〖𝐶_𝑡𝑜𝑡𝑎𝑙〗^2</a:t>
              </a:r>
              <a:r>
                <a:rPr lang="en-CA" sz="1200" b="0" i="0">
                  <a:latin typeface="Cambria Math" panose="02040503050406030204" pitchFamily="18" charset="0"/>
                </a:rPr>
                <a:t>−4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200" i="0">
                  <a:latin typeface="Cambria Math" panose="02040503050406030204" pitchFamily="18" charset="0"/>
                </a:rPr>
                <a:t>𝐶_𝑡𝑜𝑡𝑎𝑙 〖</a:t>
              </a:r>
              <a:r>
                <a:rPr lang="en-CA" sz="1200" b="1" i="0">
                  <a:latin typeface="Cambria Math" panose="02040503050406030204" pitchFamily="18" charset="0"/>
                </a:rPr>
                <a:t>〖[𝑲〗^+</a:t>
              </a:r>
              <a:r>
                <a:rPr lang="en-CA" sz="1200" i="0">
                  <a:latin typeface="Cambria Math" panose="02040503050406030204" pitchFamily="18" charset="0"/>
                </a:rPr>
                <a:t>]〗_𝑇</a:t>
              </a:r>
              <a:r>
                <a:rPr lang="en-CA" sz="1200" b="0" i="0">
                  <a:latin typeface="Cambria Math" panose="02040503050406030204" pitchFamily="18" charset="0"/>
                </a:rPr>
                <a:t>−</a:t>
              </a:r>
              <a:r>
                <a:rPr lang="en-CA" sz="1200" i="0">
                  <a:latin typeface="Cambria Math" panose="02040503050406030204" pitchFamily="18" charset="0"/>
                </a:rPr>
                <a:t>〖〖</a:t>
              </a:r>
              <a:r>
                <a:rPr lang="en-CA" sz="1200" b="1" i="0">
                  <a:latin typeface="Cambria Math" panose="02040503050406030204" pitchFamily="18" charset="0"/>
                </a:rPr>
                <a:t>〖[𝑲〗^+</a:t>
              </a:r>
              <a:r>
                <a:rPr lang="en-CA" sz="1200" i="0">
                  <a:latin typeface="Cambria Math" panose="02040503050406030204" pitchFamily="18" charset="0"/>
                </a:rPr>
                <a:t>]〗_𝑇〗^2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𝛼</a:t>
              </a:r>
              <a:r>
                <a:rPr lang="en-CA" sz="1200" b="0" i="0">
                  <a:latin typeface="Cambria Math" panose="02040503050406030204" pitchFamily="18" charset="0"/>
                </a:rPr>
                <a:t>−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CA" sz="1200" b="0" i="0">
                  <a:latin typeface="Cambria Math" panose="02040503050406030204" pitchFamily="18" charset="0"/>
                </a:rPr>
                <a:t>𝐾_𝑏 +〖〖</a:t>
              </a:r>
              <a:r>
                <a:rPr lang="en-CA" sz="1200" b="1" i="0">
                  <a:latin typeface="Cambria Math" panose="02040503050406030204" pitchFamily="18" charset="0"/>
                </a:rPr>
                <a:t>〖[𝑲〗^+</a:t>
              </a:r>
              <a:r>
                <a:rPr lang="en-CA" sz="1200" i="0">
                  <a:latin typeface="Cambria Math" panose="02040503050406030204" pitchFamily="18" charset="0"/>
                </a:rPr>
                <a:t>]〗_𝑇</a:t>
              </a:r>
              <a:r>
                <a:rPr lang="en-CA" sz="1200" b="0" i="0">
                  <a:latin typeface="Cambria Math" panose="02040503050406030204" pitchFamily="18" charset="0"/>
                </a:rPr>
                <a:t>〗^2=0</a:t>
              </a:r>
              <a:endParaRPr lang="en-CA" sz="1200" b="0"/>
            </a:p>
            <a:p>
              <a:r>
                <a:rPr lang="en-CA" sz="1400">
                  <a:sym typeface="Wingdings" panose="05000000000000000000" pitchFamily="2" charset="2"/>
                </a:rPr>
                <a:t>Solve this equation at each point: </a:t>
              </a:r>
              <a:r>
                <a:rPr lang="en-CA" sz="1400" i="0">
                  <a:latin typeface="Cambria Math" panose="02040503050406030204" pitchFamily="18" charset="0"/>
                </a:rPr>
                <a:t>0</a:t>
              </a:r>
              <a:r>
                <a:rPr lang="en-CA" sz="1400" b="0" i="0">
                  <a:latin typeface="Cambria Math" panose="02040503050406030204" pitchFamily="18" charset="0"/>
                </a:rPr>
                <a:t>=𝑎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α^</a:t>
              </a:r>
              <a:r>
                <a:rPr lang="en-CA" sz="1400" b="0" i="0">
                  <a:latin typeface="Cambria Math" panose="02040503050406030204" pitchFamily="18" charset="0"/>
                </a:rPr>
                <a:t>3+𝑏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α^</a:t>
              </a:r>
              <a:r>
                <a:rPr lang="en-CA" sz="1400" b="0" i="0">
                  <a:latin typeface="Cambria Math" panose="02040503050406030204" pitchFamily="18" charset="0"/>
                </a:rPr>
                <a:t>2+𝑐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+𝑑</a:t>
              </a:r>
              <a:endParaRPr lang="en-CA" sz="1400"/>
            </a:p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𝛼^</a:t>
              </a:r>
              <a:r>
                <a:rPr lang="en-CA" sz="1400" i="0">
                  <a:latin typeface="Cambria Math" panose="02040503050406030204" pitchFamily="18" charset="0"/>
                </a:rPr>
                <a:t>3</a:t>
              </a:r>
              <a:r>
                <a:rPr lang="en-CA" sz="1400" b="0" i="0">
                  <a:latin typeface="Cambria Math" panose="02040503050406030204" pitchFamily="18" charset="0"/>
                </a:rPr>
                <a:t>:  𝑎=−</a:t>
              </a:r>
              <a:r>
                <a:rPr lang="en-CA" sz="1400" i="0">
                  <a:latin typeface="Cambria Math" panose="02040503050406030204" pitchFamily="18" charset="0"/>
                </a:rPr>
                <a:t>4〖𝐶_𝑡𝑜𝑡𝑎𝑙〗^2</a:t>
              </a:r>
              <a:endParaRPr lang="en-CA" sz="1400"/>
            </a:p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𝛼^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CA" sz="1400" b="0" i="0">
                  <a:latin typeface="Cambria Math" panose="02040503050406030204" pitchFamily="18" charset="0"/>
                </a:rPr>
                <a:t>:  𝑏=+</a:t>
              </a:r>
              <a:r>
                <a:rPr lang="en-CA" sz="1400" i="0">
                  <a:latin typeface="Cambria Math" panose="02040503050406030204" pitchFamily="18" charset="0"/>
                </a:rPr>
                <a:t>4〖𝐶_𝑡𝑜𝑡𝑎𝑙〗^2</a:t>
              </a:r>
              <a:r>
                <a:rPr lang="en-CA" sz="1400" b="0" i="0">
                  <a:latin typeface="Cambria Math" panose="02040503050406030204" pitchFamily="18" charset="0"/>
                </a:rPr>
                <a:t>+</a:t>
              </a:r>
              <a:r>
                <a:rPr lang="en-CA" sz="1400" i="0">
                  <a:latin typeface="Cambria Math" panose="02040503050406030204" pitchFamily="18" charset="0"/>
                </a:rPr>
                <a:t>4𝐶_𝑡𝑜𝑡𝑎𝑙 〖</a:t>
              </a:r>
              <a:r>
                <a:rPr lang="en-CA" sz="1400" b="1" i="0">
                  <a:latin typeface="Cambria Math" panose="02040503050406030204" pitchFamily="18" charset="0"/>
                </a:rPr>
                <a:t>〖[𝑲〗^+</a:t>
              </a:r>
              <a:r>
                <a:rPr lang="en-CA" sz="1400" i="0">
                  <a:latin typeface="Cambria Math" panose="02040503050406030204" pitchFamily="18" charset="0"/>
                </a:rPr>
                <a:t>]〗_𝑇</a:t>
              </a:r>
              <a:endParaRPr lang="en-CA" sz="1400"/>
            </a:p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i="0">
                  <a:latin typeface="Cambria Math" panose="02040503050406030204" pitchFamily="18" charset="0"/>
                </a:rPr>
                <a:t>:  </a:t>
              </a:r>
              <a:r>
                <a:rPr lang="en-CA" sz="1400" b="0" i="0">
                  <a:latin typeface="Cambria Math" panose="02040503050406030204" pitchFamily="18" charset="0"/>
                </a:rPr>
                <a:t>𝑐</a:t>
              </a:r>
              <a:r>
                <a:rPr lang="en-CA" sz="1400" i="0">
                  <a:latin typeface="Cambria Math" panose="02040503050406030204" pitchFamily="18" charset="0"/>
                </a:rPr>
                <a:t>=−4𝐶_𝑡𝑜𝑡𝑎𝑙 〖</a:t>
              </a:r>
              <a:r>
                <a:rPr lang="en-CA" sz="1400" b="1" i="0">
                  <a:latin typeface="Cambria Math" panose="02040503050406030204" pitchFamily="18" charset="0"/>
                </a:rPr>
                <a:t>〖[𝑲〗^+</a:t>
              </a:r>
              <a:r>
                <a:rPr lang="en-CA" sz="1400" i="0">
                  <a:latin typeface="Cambria Math" panose="02040503050406030204" pitchFamily="18" charset="0"/>
                </a:rPr>
                <a:t>]〗_𝑇−〖〖</a:t>
              </a:r>
              <a:r>
                <a:rPr lang="en-CA" sz="1400" b="1" i="0">
                  <a:latin typeface="Cambria Math" panose="02040503050406030204" pitchFamily="18" charset="0"/>
                </a:rPr>
                <a:t>〖[𝑲〗^+</a:t>
              </a:r>
              <a:r>
                <a:rPr lang="en-CA" sz="1400" i="0">
                  <a:latin typeface="Cambria Math" panose="02040503050406030204" pitchFamily="18" charset="0"/>
                </a:rPr>
                <a:t>]〗_𝑇〗^2−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</a:t>
              </a:r>
              <a:r>
                <a:rPr lang="en-CA" sz="1400" i="0">
                  <a:latin typeface="Cambria Math" panose="02040503050406030204" pitchFamily="18" charset="0"/>
                </a:rPr>
                <a:t>𝐾_𝑏 </a:t>
              </a:r>
              <a:endParaRPr lang="en-CA" sz="1400"/>
            </a:p>
            <a:p>
              <a:pPr/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CA" sz="1400" i="0">
                  <a:latin typeface="Cambria Math" panose="02040503050406030204" pitchFamily="18" charset="0"/>
                </a:rPr>
                <a:t>:  </a:t>
              </a:r>
              <a:r>
                <a:rPr lang="en-CA" sz="1400" b="0" i="0">
                  <a:latin typeface="Cambria Math" panose="02040503050406030204" pitchFamily="18" charset="0"/>
                </a:rPr>
                <a:t>𝑑</a:t>
              </a:r>
              <a:r>
                <a:rPr lang="en-CA" sz="1400" i="0">
                  <a:latin typeface="Cambria Math" panose="02040503050406030204" pitchFamily="18" charset="0"/>
                </a:rPr>
                <a:t>=〖〖</a:t>
              </a:r>
              <a:r>
                <a:rPr lang="en-CA" sz="1400" b="1" i="0">
                  <a:latin typeface="Cambria Math" panose="02040503050406030204" pitchFamily="18" charset="0"/>
                </a:rPr>
                <a:t>〖[𝑲〗^+</a:t>
              </a:r>
              <a:r>
                <a:rPr lang="en-CA" sz="1400" i="0">
                  <a:latin typeface="Cambria Math" panose="02040503050406030204" pitchFamily="18" charset="0"/>
                </a:rPr>
                <a:t>]〗_𝑇〗^2</a:t>
              </a:r>
              <a:endParaRPr lang="en-CA" sz="1400"/>
            </a:p>
          </xdr:txBody>
        </xdr:sp>
      </mc:Fallback>
    </mc:AlternateContent>
    <xdr:clientData/>
  </xdr:twoCellAnchor>
  <xdr:twoCellAnchor>
    <xdr:from>
      <xdr:col>4</xdr:col>
      <xdr:colOff>28575</xdr:colOff>
      <xdr:row>24</xdr:row>
      <xdr:rowOff>142875</xdr:rowOff>
    </xdr:from>
    <xdr:to>
      <xdr:col>9</xdr:col>
      <xdr:colOff>513217</xdr:colOff>
      <xdr:row>28</xdr:row>
      <xdr:rowOff>32823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49">
              <a:extLst>
                <a:ext uri="{FF2B5EF4-FFF2-40B4-BE49-F238E27FC236}">
                  <a16:creationId xmlns:a16="http://schemas.microsoft.com/office/drawing/2014/main" id="{39D0BECF-5A1F-D961-8F34-EC2AD6B34440}"/>
                </a:ext>
              </a:extLst>
            </xdr:cNvPr>
            <xdr:cNvSpPr txBox="1"/>
          </xdr:nvSpPr>
          <xdr:spPr>
            <a:xfrm>
              <a:off x="2590800" y="4029075"/>
              <a:ext cx="3875542" cy="537648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𝐿𝑜𝑤𝑒𝑟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𝐵𝑎𝑠𝑒𝑙𝑖𝑛𝑒</m:t>
                        </m:r>
                      </m:num>
                      <m:den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𝑈𝑝𝑝𝑒𝑟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𝐵𝑎𝑠𝑒𝑙𝑖𝑛𝑒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𝐿𝑜𝑤𝑒𝑟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𝐵𝑎𝑠𝑒𝑙𝑖𝑛𝑒</m:t>
                        </m:r>
                      </m:den>
                    </m:f>
                  </m:oMath>
                </m:oMathPara>
              </a14:m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49">
              <a:extLst>
                <a:ext uri="{FF2B5EF4-FFF2-40B4-BE49-F238E27FC236}">
                  <a16:creationId xmlns:a16="http://schemas.microsoft.com/office/drawing/2014/main" id="{39D0BECF-5A1F-D961-8F34-EC2AD6B34440}"/>
                </a:ext>
              </a:extLst>
            </xdr:cNvPr>
            <xdr:cNvSpPr txBox="1"/>
          </xdr:nvSpPr>
          <xdr:spPr>
            <a:xfrm>
              <a:off x="2590800" y="4029075"/>
              <a:ext cx="3875542" cy="537648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=(𝑌_𝑜𝑏𝑠−𝐿𝑜𝑤𝑒𝑟 𝐵𝑎𝑠𝑒𝑙𝑖𝑛𝑒)/(𝑈𝑝𝑝𝑒𝑟 𝐵𝑎𝑠𝑒𝑙𝑖𝑛𝑒−𝐿𝑜𝑤𝑒𝑟 𝐵𝑎𝑠𝑒𝑙𝑖𝑛𝑒)</a:t>
              </a:r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5</xdr:col>
      <xdr:colOff>354835</xdr:colOff>
      <xdr:row>28</xdr:row>
      <xdr:rowOff>153759</xdr:rowOff>
    </xdr:from>
    <xdr:to>
      <xdr:col>7</xdr:col>
      <xdr:colOff>372720</xdr:colOff>
      <xdr:row>32</xdr:row>
      <xdr:rowOff>38321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50">
              <a:extLst>
                <a:ext uri="{FF2B5EF4-FFF2-40B4-BE49-F238E27FC236}">
                  <a16:creationId xmlns:a16="http://schemas.microsoft.com/office/drawing/2014/main" id="{E13A8319-844E-1B28-7966-B62345130F9D}"/>
                </a:ext>
              </a:extLst>
            </xdr:cNvPr>
            <xdr:cNvSpPr txBox="1"/>
          </xdr:nvSpPr>
          <xdr:spPr>
            <a:xfrm>
              <a:off x="3679060" y="4687659"/>
              <a:ext cx="1484735" cy="53226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𝑈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𝐹</m:t>
                            </m:r>
                          </m:sub>
                        </m:sSub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𝑈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50">
              <a:extLst>
                <a:ext uri="{FF2B5EF4-FFF2-40B4-BE49-F238E27FC236}">
                  <a16:creationId xmlns:a16="http://schemas.microsoft.com/office/drawing/2014/main" id="{E13A8319-844E-1B28-7966-B62345130F9D}"/>
                </a:ext>
              </a:extLst>
            </xdr:cNvPr>
            <xdr:cNvSpPr txBox="1"/>
          </xdr:nvSpPr>
          <xdr:spPr>
            <a:xfrm>
              <a:off x="3679060" y="4687659"/>
              <a:ext cx="1484735" cy="53226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=(𝑌_𝑜𝑏𝑠−𝐴_𝑈)/(𝐴_𝐹−𝐴_𝑈 )</a:t>
              </a:r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17</xdr:col>
      <xdr:colOff>190500</xdr:colOff>
      <xdr:row>1</xdr:row>
      <xdr:rowOff>38100</xdr:rowOff>
    </xdr:from>
    <xdr:to>
      <xdr:col>20</xdr:col>
      <xdr:colOff>411095</xdr:colOff>
      <xdr:row>3</xdr:row>
      <xdr:rowOff>97112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17">
              <a:extLst>
                <a:ext uri="{FF2B5EF4-FFF2-40B4-BE49-F238E27FC236}">
                  <a16:creationId xmlns:a16="http://schemas.microsoft.com/office/drawing/2014/main" id="{BB0E0E36-90E9-6F25-33FF-3B96EE705B60}"/>
                </a:ext>
              </a:extLst>
            </xdr:cNvPr>
            <xdr:cNvSpPr txBox="1"/>
          </xdr:nvSpPr>
          <xdr:spPr>
            <a:xfrm>
              <a:off x="10791825" y="200025"/>
              <a:ext cx="1963670" cy="38286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𝑆𝑆</m:t>
                    </m:r>
                    <m:r>
                      <a:rPr lang="en-CA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n-CA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sSup>
                      <m:sSupPr>
                        <m:ctrlPr>
                          <a:rPr lang="en-CA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  <m:sup>
                        <m:r>
                          <a:rPr lang="en-CA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</m:sup>
                    </m:sSup>
                    <m:groupChr>
                      <m:groupChrPr>
                        <m:chr m:val="↔"/>
                        <m:vertJc m:val="bot"/>
                        <m:ctrlPr>
                          <a:rPr lang="en-CA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sSub>
                          <m:sSubPr>
                            <m:ctrlPr>
                              <a:rPr lang="en-CA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𝐾</m:t>
                            </m:r>
                          </m:e>
                          <m:sub>
                            <m:r>
                              <a:rPr lang="en-CA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e>
                    </m:groupChr>
                    <m:r>
                      <a:rPr lang="en-CA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3" name="TextBox 17">
              <a:extLst>
                <a:ext uri="{FF2B5EF4-FFF2-40B4-BE49-F238E27FC236}">
                  <a16:creationId xmlns:a16="http://schemas.microsoft.com/office/drawing/2014/main" id="{BB0E0E36-90E9-6F25-33FF-3B96EE705B60}"/>
                </a:ext>
              </a:extLst>
            </xdr:cNvPr>
            <xdr:cNvSpPr txBox="1"/>
          </xdr:nvSpPr>
          <xdr:spPr>
            <a:xfrm>
              <a:off x="10791825" y="200025"/>
              <a:ext cx="1963670" cy="38286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𝑆𝑆+𝑛𝐾^+ ↔┴𝐾_𝑏  𝑄</a:t>
              </a:r>
              <a:endParaRPr lang="en-CA" sz="1800"/>
            </a:p>
          </xdr:txBody>
        </xdr:sp>
      </mc:Fallback>
    </mc:AlternateContent>
    <xdr:clientData/>
  </xdr:twoCellAnchor>
  <xdr:twoCellAnchor>
    <xdr:from>
      <xdr:col>17</xdr:col>
      <xdr:colOff>466725</xdr:colOff>
      <xdr:row>4</xdr:row>
      <xdr:rowOff>0</xdr:rowOff>
    </xdr:from>
    <xdr:to>
      <xdr:col>24</xdr:col>
      <xdr:colOff>19050</xdr:colOff>
      <xdr:row>9</xdr:row>
      <xdr:rowOff>66891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8">
              <a:extLst>
                <a:ext uri="{FF2B5EF4-FFF2-40B4-BE49-F238E27FC236}">
                  <a16:creationId xmlns:a16="http://schemas.microsoft.com/office/drawing/2014/main" id="{50EBD562-B6CB-B8A3-5FCD-1C96326BB80D}"/>
                </a:ext>
              </a:extLst>
            </xdr:cNvPr>
            <xdr:cNvSpPr txBox="1"/>
          </xdr:nvSpPr>
          <xdr:spPr>
            <a:xfrm>
              <a:off x="11068050" y="647700"/>
              <a:ext cx="3619500" cy="89556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CA" sz="1800" b="0">
                  <a:solidFill>
                    <a:schemeClr val="tx1"/>
                  </a:solidFill>
                </a:rPr>
                <a:t>If n=2 K+ ions per quadruplex: 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00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CA" sz="200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  <m:r>
                      <a:rPr lang="en-CA" sz="20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20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α</m:t>
                        </m:r>
                      </m:num>
                      <m:den>
                        <m:d>
                          <m:dPr>
                            <m:ctrlPr>
                              <a:rPr lang="en-CA" sz="20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CA" sz="20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m:rPr>
                                <m:sty m:val="p"/>
                              </m:rPr>
                              <a:rPr lang="el-GR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α</m:t>
                            </m:r>
                          </m:e>
                        </m:d>
                        <m:sSup>
                          <m:sSupPr>
                            <m:ctrlPr>
                              <a:rPr lang="en-CA" sz="20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20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CA" sz="2000" b="1" i="1">
                                    <a:latin typeface="Cambria Math" panose="02040503050406030204" pitchFamily="18" charset="0"/>
                                  </a:rPr>
                                  <m:t>[</m:t>
                                </m:r>
                                <m:sSub>
                                  <m:sSubPr>
                                    <m:ctrlPr>
                                      <a:rPr lang="en-CA" sz="20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sSup>
                                      <m:sSupPr>
                                        <m:ctrlPr>
                                          <a:rPr lang="en-CA" sz="2000" b="1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CA" sz="2000" b="1" i="1">
                                            <a:latin typeface="Cambria Math" panose="02040503050406030204" pitchFamily="18" charset="0"/>
                                          </a:rPr>
                                          <m:t>𝑲</m:t>
                                        </m:r>
                                      </m:e>
                                      <m:sup>
                                        <m:r>
                                          <a:rPr lang="en-CA" sz="2000" b="1" i="1">
                                            <a:latin typeface="Cambria Math" panose="02040503050406030204" pitchFamily="18" charset="0"/>
                                          </a:rPr>
                                          <m:t>+</m:t>
                                        </m:r>
                                      </m:sup>
                                    </m:sSup>
                                    <m:r>
                                      <a:rPr lang="en-CA" sz="2000" i="1">
                                        <a:latin typeface="Cambria Math" panose="02040503050406030204" pitchFamily="18" charset="0"/>
                                      </a:rPr>
                                      <m:t>]</m:t>
                                    </m:r>
                                  </m:e>
                                  <m:sub>
                                    <m:r>
                                      <a:rPr lang="en-CA" sz="20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  <m:r>
                                  <a:rPr lang="en-CA" sz="20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CA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l-GR" sz="20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α</m:t>
                                </m:r>
                                <m:sSub>
                                  <m:sSubPr>
                                    <m:ctrlPr>
                                      <a:rPr lang="el-GR" sz="20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20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n-CA" sz="20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4" name="TextBox 38">
              <a:extLst>
                <a:ext uri="{FF2B5EF4-FFF2-40B4-BE49-F238E27FC236}">
                  <a16:creationId xmlns:a16="http://schemas.microsoft.com/office/drawing/2014/main" id="{50EBD562-B6CB-B8A3-5FCD-1C96326BB80D}"/>
                </a:ext>
              </a:extLst>
            </xdr:cNvPr>
            <xdr:cNvSpPr txBox="1"/>
          </xdr:nvSpPr>
          <xdr:spPr>
            <a:xfrm>
              <a:off x="11068050" y="647700"/>
              <a:ext cx="3619500" cy="89556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CA" sz="1800" b="0">
                  <a:solidFill>
                    <a:schemeClr val="tx1"/>
                  </a:solidFill>
                </a:rPr>
                <a:t>If n=2 K+ ions per quadruplex: </a:t>
              </a:r>
            </a:p>
            <a:p>
              <a:pPr/>
              <a:r>
                <a:rPr lang="en-CA" sz="2000" i="0">
                  <a:latin typeface="Cambria Math" panose="02040503050406030204" pitchFamily="18" charset="0"/>
                </a:rPr>
                <a:t>𝐾_𝑏</a:t>
              </a:r>
              <a:r>
                <a:rPr lang="en-CA" sz="2000" b="1" i="0">
                  <a:latin typeface="Cambria Math" panose="02040503050406030204" pitchFamily="18" charset="0"/>
                </a:rPr>
                <a:t>=</a:t>
              </a:r>
              <a:r>
                <a:rPr lang="el-GR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n-CA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/((</a:t>
              </a:r>
              <a:r>
                <a:rPr lang="en-CA" sz="2000" i="0">
                  <a:latin typeface="Cambria Math" panose="02040503050406030204" pitchFamily="18" charset="0"/>
                </a:rPr>
                <a:t>1−</a:t>
              </a:r>
              <a:r>
                <a:rPr lang="el-GR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l-GR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CA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(</a:t>
              </a:r>
              <a:r>
                <a:rPr lang="en-CA" sz="2000" b="1" i="0">
                  <a:latin typeface="Cambria Math" panose="02040503050406030204" pitchFamily="18" charset="0"/>
                </a:rPr>
                <a:t>[〖𝑲^+</a:t>
              </a:r>
              <a:r>
                <a:rPr lang="en-CA" sz="2000" i="0">
                  <a:latin typeface="Cambria Math" panose="02040503050406030204" pitchFamily="18" charset="0"/>
                </a:rPr>
                <a:t>]〗_𝑇−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l-GR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n-CA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</a:t>
              </a:r>
              <a:r>
                <a:rPr lang="el-GR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CA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)^</a:t>
              </a:r>
              <a:r>
                <a:rPr lang="en-CA" sz="2000" b="1" i="0">
                  <a:latin typeface="Cambria Math" panose="02040503050406030204" pitchFamily="18" charset="0"/>
                </a:rPr>
                <a:t>𝟐 )</a:t>
              </a:r>
              <a:endParaRPr lang="en-CA" sz="20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14D8-613D-4688-87CA-2D7AC2EB8301}">
  <dimension ref="B2:J93"/>
  <sheetViews>
    <sheetView tabSelected="1" zoomScaleNormal="100" workbookViewId="0">
      <selection activeCell="B2" sqref="B2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16384" width="8.7109375" style="1"/>
  </cols>
  <sheetData>
    <row r="2" spans="2:7" x14ac:dyDescent="0.2">
      <c r="B2" s="2" t="s">
        <v>0</v>
      </c>
      <c r="C2" s="2" t="s">
        <v>1</v>
      </c>
      <c r="D2" s="2" t="s">
        <v>6</v>
      </c>
    </row>
    <row r="3" spans="2:7" x14ac:dyDescent="0.2">
      <c r="B3" s="1">
        <v>29.950000762939453</v>
      </c>
      <c r="C3" s="1">
        <v>1.4686559438705444</v>
      </c>
      <c r="D3" s="1">
        <f>(($G$6+B3*$G$7)-C3)/(($G$6+B3*$G$7)-($G$3+B3*$G$4))</f>
        <v>0.9944143101873737</v>
      </c>
      <c r="F3" s="2" t="s">
        <v>2</v>
      </c>
      <c r="G3" s="1">
        <f>INTERCEPT(C3:C21,B3:B21)</f>
        <v>1.4396292974443168</v>
      </c>
    </row>
    <row r="4" spans="2:7" x14ac:dyDescent="0.2">
      <c r="B4" s="1">
        <v>30.689998626708984</v>
      </c>
      <c r="C4" s="1">
        <v>1.4689888954162598</v>
      </c>
      <c r="D4" s="1">
        <f t="shared" ref="D4:D67" si="0">(($G$6+B4*$G$7)-C4)/(($G$6+B4*$G$7)-($G$3+B4*$G$4))</f>
        <v>0.9969103324290719</v>
      </c>
      <c r="F4" s="2" t="s">
        <v>3</v>
      </c>
      <c r="G4" s="1">
        <f>SLOPE(C3:C21,B3:B21)</f>
        <v>9.419282785665177E-4</v>
      </c>
    </row>
    <row r="5" spans="2:7" x14ac:dyDescent="0.2">
      <c r="B5" s="1">
        <v>32.090003967285156</v>
      </c>
      <c r="C5" s="1">
        <v>1.4698195457458496</v>
      </c>
      <c r="D5" s="1">
        <f t="shared" si="0"/>
        <v>1.0002472416827102</v>
      </c>
      <c r="F5" s="2"/>
    </row>
    <row r="6" spans="2:7" x14ac:dyDescent="0.2">
      <c r="B6" s="1">
        <v>32.739997863769531</v>
      </c>
      <c r="C6" s="1">
        <v>1.4704116582870483</v>
      </c>
      <c r="D6" s="1">
        <f t="shared" si="0"/>
        <v>1.0003842479046539</v>
      </c>
      <c r="F6" s="2" t="s">
        <v>4</v>
      </c>
      <c r="G6" s="1">
        <f>INTERCEPT($C$45:$C$93,$B$45:$B$93)</f>
        <v>1.5789247843057732</v>
      </c>
    </row>
    <row r="7" spans="2:7" x14ac:dyDescent="0.2">
      <c r="B7" s="1">
        <v>33.349998474121094</v>
      </c>
      <c r="C7" s="1">
        <v>1.4707798957824707</v>
      </c>
      <c r="D7" s="1">
        <f t="shared" si="0"/>
        <v>1.001789109451303</v>
      </c>
      <c r="F7" s="2" t="s">
        <v>5</v>
      </c>
      <c r="G7" s="1">
        <f>SLOPE($C$45:$C$93,$B$45:$B$93)</f>
        <v>1.1680748672101245E-3</v>
      </c>
    </row>
    <row r="8" spans="2:7" x14ac:dyDescent="0.2">
      <c r="B8" s="1">
        <v>34.030002593994141</v>
      </c>
      <c r="C8" s="1">
        <v>1.4713722467422485</v>
      </c>
      <c r="D8" s="1">
        <f t="shared" si="0"/>
        <v>1.0021149044766327</v>
      </c>
    </row>
    <row r="9" spans="2:7" x14ac:dyDescent="0.2">
      <c r="B9" s="1">
        <v>35.399997711181641</v>
      </c>
      <c r="C9" s="1">
        <v>1.472547173500061</v>
      </c>
      <c r="D9" s="1">
        <f t="shared" si="0"/>
        <v>1.0028946350046912</v>
      </c>
    </row>
    <row r="10" spans="2:7" x14ac:dyDescent="0.2">
      <c r="B10" s="1">
        <v>36.170001983642578</v>
      </c>
      <c r="C10" s="1">
        <v>1.4734299182891846</v>
      </c>
      <c r="D10" s="1">
        <f t="shared" si="0"/>
        <v>1.001823539430033</v>
      </c>
    </row>
    <row r="11" spans="2:7" x14ac:dyDescent="0.2">
      <c r="B11" s="1">
        <v>36.799995422363281</v>
      </c>
      <c r="C11" s="1">
        <v>1.4740196466445923</v>
      </c>
      <c r="D11" s="1">
        <f t="shared" si="0"/>
        <v>1.0018467106286613</v>
      </c>
    </row>
    <row r="12" spans="2:7" x14ac:dyDescent="0.2">
      <c r="B12" s="1">
        <v>37.399997711181641</v>
      </c>
      <c r="C12" s="1">
        <v>1.4746360778808594</v>
      </c>
      <c r="D12" s="1">
        <f t="shared" si="0"/>
        <v>1.0014980032455516</v>
      </c>
    </row>
    <row r="13" spans="2:7" x14ac:dyDescent="0.2">
      <c r="B13" s="1">
        <v>38.8699951171875</v>
      </c>
      <c r="C13" s="1">
        <v>1.4759232997894287</v>
      </c>
      <c r="D13" s="1">
        <f t="shared" si="0"/>
        <v>1.0021524361933163</v>
      </c>
    </row>
    <row r="14" spans="2:7" x14ac:dyDescent="0.2">
      <c r="B14" s="1">
        <v>39.489997863769531</v>
      </c>
      <c r="C14" s="1">
        <v>1.4767177104949951</v>
      </c>
      <c r="D14" s="1">
        <f t="shared" si="0"/>
        <v>1.0007308612973087</v>
      </c>
    </row>
    <row r="15" spans="2:7" x14ac:dyDescent="0.2">
      <c r="B15" s="1">
        <v>40.150001525878906</v>
      </c>
      <c r="C15" s="1">
        <v>1.477866530418396</v>
      </c>
      <c r="D15" s="1">
        <f t="shared" si="0"/>
        <v>0.9971773520976277</v>
      </c>
    </row>
    <row r="16" spans="2:7" x14ac:dyDescent="0.2">
      <c r="B16" s="1">
        <v>40.840000152587891</v>
      </c>
      <c r="C16" s="1">
        <v>1.4785377979278564</v>
      </c>
      <c r="D16" s="1">
        <f t="shared" si="0"/>
        <v>0.99703665555391063</v>
      </c>
    </row>
    <row r="17" spans="2:9" x14ac:dyDescent="0.2">
      <c r="B17" s="1">
        <v>41.510002136230469</v>
      </c>
      <c r="C17" s="1">
        <v>1.4795435667037964</v>
      </c>
      <c r="D17" s="1">
        <f t="shared" si="0"/>
        <v>0.99451971426871288</v>
      </c>
    </row>
    <row r="18" spans="2:9" x14ac:dyDescent="0.2">
      <c r="B18" s="1">
        <v>42.170005798339844</v>
      </c>
      <c r="C18" s="1">
        <v>1.4804240465164185</v>
      </c>
      <c r="D18" s="1">
        <f t="shared" si="0"/>
        <v>0.99278631305479903</v>
      </c>
    </row>
    <row r="19" spans="2:9" x14ac:dyDescent="0.2">
      <c r="B19" s="1">
        <v>43.530002593994141</v>
      </c>
      <c r="C19" s="1">
        <v>1.4740570783615112</v>
      </c>
      <c r="D19" s="1">
        <f t="shared" si="0"/>
        <v>1.0440819028367909</v>
      </c>
    </row>
    <row r="20" spans="2:9" x14ac:dyDescent="0.2">
      <c r="B20" s="1">
        <v>44.299995422363281</v>
      </c>
      <c r="C20" s="1">
        <v>1.4834516048431396</v>
      </c>
      <c r="D20" s="1">
        <f t="shared" si="0"/>
        <v>0.98596988855083323</v>
      </c>
    </row>
    <row r="21" spans="2:9" x14ac:dyDescent="0.2">
      <c r="B21" s="1">
        <v>44.899997711181641</v>
      </c>
      <c r="C21" s="1">
        <v>1.4846687316894531</v>
      </c>
      <c r="D21" s="1">
        <f t="shared" si="0"/>
        <v>0.98162016414668496</v>
      </c>
    </row>
    <row r="22" spans="2:9" x14ac:dyDescent="0.2">
      <c r="B22" s="1">
        <v>45.620002746582031</v>
      </c>
      <c r="C22" s="1">
        <v>1.4862792491912842</v>
      </c>
      <c r="D22" s="1">
        <f t="shared" si="0"/>
        <v>0.9754085645487337</v>
      </c>
    </row>
    <row r="23" spans="2:9" x14ac:dyDescent="0.2">
      <c r="B23" s="1">
        <v>46.359996795654297</v>
      </c>
      <c r="C23" s="1">
        <v>1.4876868724822998</v>
      </c>
      <c r="D23" s="1">
        <f t="shared" si="0"/>
        <v>0.97069172416432969</v>
      </c>
    </row>
    <row r="24" spans="2:9" x14ac:dyDescent="0.2">
      <c r="B24" s="1">
        <v>47.000003814697266</v>
      </c>
      <c r="C24" s="1">
        <v>1.4896694421768188</v>
      </c>
      <c r="D24" s="1">
        <f t="shared" si="0"/>
        <v>0.96151718521610852</v>
      </c>
    </row>
    <row r="25" spans="2:9" x14ac:dyDescent="0.2">
      <c r="B25" s="1">
        <v>47.640007019042969</v>
      </c>
      <c r="C25" s="1">
        <v>1.4916332960128784</v>
      </c>
      <c r="D25" s="1">
        <f t="shared" si="0"/>
        <v>0.95248503389918304</v>
      </c>
    </row>
    <row r="26" spans="2:9" x14ac:dyDescent="0.2">
      <c r="B26" s="1">
        <v>48.299995422363281</v>
      </c>
      <c r="C26" s="1">
        <v>1.487445592880249</v>
      </c>
      <c r="D26" s="1">
        <f t="shared" si="0"/>
        <v>0.98454806856251509</v>
      </c>
    </row>
    <row r="27" spans="2:9" x14ac:dyDescent="0.2">
      <c r="B27" s="1">
        <v>49.100002288818359</v>
      </c>
      <c r="C27" s="1">
        <v>1.49826979637146</v>
      </c>
      <c r="D27" s="1">
        <f t="shared" si="0"/>
        <v>0.91760719937338253</v>
      </c>
    </row>
    <row r="28" spans="2:9" x14ac:dyDescent="0.2">
      <c r="B28" s="1">
        <v>49.739997863769531</v>
      </c>
      <c r="C28" s="1">
        <v>1.5027670860290527</v>
      </c>
      <c r="D28" s="1">
        <f t="shared" si="0"/>
        <v>0.8918171690240132</v>
      </c>
    </row>
    <row r="29" spans="2:9" x14ac:dyDescent="0.2">
      <c r="B29" s="1">
        <v>50.349998474121094</v>
      </c>
      <c r="C29" s="1">
        <v>1.5084432363510132</v>
      </c>
      <c r="D29" s="1">
        <f t="shared" si="0"/>
        <v>0.8580596476949085</v>
      </c>
    </row>
    <row r="30" spans="2:9" x14ac:dyDescent="0.2">
      <c r="B30" s="1">
        <v>51.100002288818359</v>
      </c>
      <c r="C30" s="1">
        <v>1.5158517360687256</v>
      </c>
      <c r="D30" s="1">
        <f t="shared" si="0"/>
        <v>0.81379113301143824</v>
      </c>
    </row>
    <row r="31" spans="2:9" x14ac:dyDescent="0.2">
      <c r="B31" s="1">
        <v>51.769996643066406</v>
      </c>
      <c r="C31" s="1">
        <v>1.5266169309616089</v>
      </c>
      <c r="D31" s="1">
        <f t="shared" si="0"/>
        <v>0.74686605132953565</v>
      </c>
      <c r="E31" s="2" t="s">
        <v>14</v>
      </c>
    </row>
    <row r="32" spans="2:9" x14ac:dyDescent="0.2">
      <c r="B32" s="1">
        <v>52.409996032714844</v>
      </c>
      <c r="C32" s="1">
        <v>1.5375053882598877</v>
      </c>
      <c r="D32" s="1">
        <f t="shared" si="0"/>
        <v>0.67905835037115714</v>
      </c>
      <c r="E32" s="1" t="s">
        <v>22</v>
      </c>
      <c r="F32" s="1" t="s">
        <v>6</v>
      </c>
      <c r="H32" s="1" t="s">
        <v>15</v>
      </c>
      <c r="I32" s="1" t="s">
        <v>6</v>
      </c>
    </row>
    <row r="33" spans="2:10" x14ac:dyDescent="0.2">
      <c r="B33" s="1">
        <v>53.099998474121094</v>
      </c>
      <c r="C33" s="1">
        <v>1.5498692989349365</v>
      </c>
      <c r="D33" s="1">
        <f t="shared" si="0"/>
        <v>0.60196912883062714</v>
      </c>
      <c r="E33" s="8">
        <f>B33</f>
        <v>53.099998474121094</v>
      </c>
      <c r="F33" s="7">
        <f>D33</f>
        <v>0.60196912883062714</v>
      </c>
      <c r="H33" s="7">
        <f>1/(E33+273.15)</f>
        <v>3.0651341139525628E-3</v>
      </c>
      <c r="I33" s="7">
        <f>F33</f>
        <v>0.60196912883062714</v>
      </c>
    </row>
    <row r="34" spans="2:10" x14ac:dyDescent="0.2">
      <c r="B34" s="1">
        <v>53.700004577636719</v>
      </c>
      <c r="C34" s="1">
        <v>1.5632619857788086</v>
      </c>
      <c r="D34" s="1">
        <f t="shared" si="0"/>
        <v>0.51762184461523353</v>
      </c>
      <c r="E34" s="8">
        <f t="shared" ref="E34:E35" si="1">B34</f>
        <v>53.700004577636719</v>
      </c>
      <c r="F34" s="7">
        <f t="shared" ref="F34:F35" si="2">D34</f>
        <v>0.51762184461523353</v>
      </c>
      <c r="H34" s="7">
        <f t="shared" ref="H34:H35" si="3">1/(E34+273.15)</f>
        <v>3.0595073764561323E-3</v>
      </c>
      <c r="I34" s="7">
        <f t="shared" ref="I34:I35" si="4">F34</f>
        <v>0.51762184461523353</v>
      </c>
    </row>
    <row r="35" spans="2:10" x14ac:dyDescent="0.2">
      <c r="B35" s="1">
        <v>54.419994354248047</v>
      </c>
      <c r="C35" s="1">
        <v>1.5782878398895264</v>
      </c>
      <c r="D35" s="1">
        <f t="shared" si="0"/>
        <v>0.42349975541698709</v>
      </c>
      <c r="E35" s="8">
        <f t="shared" si="1"/>
        <v>54.419994354248047</v>
      </c>
      <c r="F35" s="9">
        <f t="shared" si="2"/>
        <v>0.42349975541698709</v>
      </c>
      <c r="H35" s="7">
        <f t="shared" si="3"/>
        <v>3.0527826639657287E-3</v>
      </c>
      <c r="I35" s="7">
        <f t="shared" si="4"/>
        <v>0.42349975541698709</v>
      </c>
    </row>
    <row r="36" spans="2:10" x14ac:dyDescent="0.2">
      <c r="B36" s="1">
        <v>55.200004577636719</v>
      </c>
      <c r="C36" s="1">
        <v>1.5934518575668335</v>
      </c>
      <c r="D36" s="1">
        <f t="shared" si="0"/>
        <v>0.32910176831674542</v>
      </c>
      <c r="E36" s="8"/>
      <c r="F36" s="7"/>
    </row>
    <row r="37" spans="2:10" x14ac:dyDescent="0.2">
      <c r="B37" s="1">
        <v>55.799995422363281</v>
      </c>
      <c r="C37" s="1">
        <v>1.605704665184021</v>
      </c>
      <c r="D37" s="1">
        <f t="shared" si="0"/>
        <v>0.25276520735276814</v>
      </c>
      <c r="E37" s="8"/>
      <c r="F37" s="7"/>
    </row>
    <row r="38" spans="2:10" x14ac:dyDescent="0.2">
      <c r="B38" s="1">
        <v>56.529998779296875</v>
      </c>
      <c r="C38" s="1">
        <v>1.6165859699249268</v>
      </c>
      <c r="D38" s="1">
        <f t="shared" si="0"/>
        <v>0.1865476626783977</v>
      </c>
    </row>
    <row r="39" spans="2:10" x14ac:dyDescent="0.2">
      <c r="B39" s="1">
        <v>57.099998474121094</v>
      </c>
      <c r="C39" s="1">
        <v>1.6250371932983398</v>
      </c>
      <c r="D39" s="1">
        <f t="shared" si="0"/>
        <v>0.13523995042919912</v>
      </c>
      <c r="E39" s="1" t="s">
        <v>16</v>
      </c>
      <c r="F39" s="1">
        <f>SLOPE(F33:F37,E33:E37)</f>
        <v>-0.13505690359946468</v>
      </c>
      <c r="H39" s="1" t="s">
        <v>16</v>
      </c>
      <c r="I39" s="1">
        <f>SLOPE(I33:I37,H33:H37)</f>
        <v>14434.692952798476</v>
      </c>
    </row>
    <row r="40" spans="2:10" x14ac:dyDescent="0.2">
      <c r="B40" s="1">
        <v>58.640003204345703</v>
      </c>
      <c r="C40" s="1">
        <v>1.6389869451522827</v>
      </c>
      <c r="D40" s="1">
        <f t="shared" si="0"/>
        <v>5.5282736241815775E-2</v>
      </c>
      <c r="E40" s="1" t="s">
        <v>17</v>
      </c>
      <c r="F40" s="1">
        <f>INTERCEPT(F33:F37,E33:E37)</f>
        <v>7.7723214589439094</v>
      </c>
      <c r="H40" s="1" t="s">
        <v>17</v>
      </c>
      <c r="I40" s="1">
        <f>INTERCEPT(I33:I37,H33:H37)</f>
        <v>-43.643403012376048</v>
      </c>
    </row>
    <row r="41" spans="2:10" x14ac:dyDescent="0.2">
      <c r="B41" s="1">
        <v>59.259998321533203</v>
      </c>
      <c r="C41" s="1">
        <v>1.618234395980835</v>
      </c>
      <c r="D41" s="1">
        <f t="shared" si="0"/>
        <v>0.19588149115996992</v>
      </c>
    </row>
    <row r="42" spans="2:10" x14ac:dyDescent="0.2">
      <c r="B42" s="1">
        <v>59.900001525878906</v>
      </c>
      <c r="C42" s="1">
        <v>1.6459001302719116</v>
      </c>
      <c r="D42" s="1">
        <f t="shared" si="0"/>
        <v>1.9578040490285688E-2</v>
      </c>
      <c r="E42" s="2" t="s">
        <v>18</v>
      </c>
      <c r="F42" s="2">
        <f>(0.5-F40)/F39</f>
        <v>53.846351168476914</v>
      </c>
      <c r="G42" s="1" t="s">
        <v>19</v>
      </c>
      <c r="H42" s="2" t="s">
        <v>20</v>
      </c>
      <c r="I42" s="1">
        <f>-(2+2*2)*8.314*I39</f>
        <v>-720060.22325739916</v>
      </c>
      <c r="J42" s="1" t="s">
        <v>21</v>
      </c>
    </row>
    <row r="43" spans="2:10" x14ac:dyDescent="0.2">
      <c r="B43" s="1">
        <v>60.599998474121094</v>
      </c>
      <c r="C43" s="1">
        <v>1.6479284763336182</v>
      </c>
      <c r="D43" s="1">
        <f t="shared" si="0"/>
        <v>1.1644728722589065E-2</v>
      </c>
    </row>
    <row r="44" spans="2:10" x14ac:dyDescent="0.2">
      <c r="B44" s="1">
        <v>61.259998321533203</v>
      </c>
      <c r="C44" s="1">
        <v>1.6496899127960205</v>
      </c>
      <c r="D44" s="1">
        <f t="shared" si="0"/>
        <v>5.1657845915325301E-3</v>
      </c>
    </row>
    <row r="45" spans="2:10" x14ac:dyDescent="0.2">
      <c r="B45" s="1">
        <v>62.700004577636719</v>
      </c>
      <c r="C45" s="1">
        <v>1.6525243520736694</v>
      </c>
      <c r="D45" s="1">
        <f t="shared" si="0"/>
        <v>-2.3539242978530628E-3</v>
      </c>
    </row>
    <row r="46" spans="2:10" x14ac:dyDescent="0.2">
      <c r="B46" s="1">
        <v>63.370002746582031</v>
      </c>
      <c r="C46" s="1">
        <v>1.6535017490386963</v>
      </c>
      <c r="D46" s="1">
        <f t="shared" si="0"/>
        <v>-3.619541961335081E-3</v>
      </c>
    </row>
    <row r="47" spans="2:10" x14ac:dyDescent="0.2">
      <c r="B47" s="1">
        <v>64.170005798339844</v>
      </c>
      <c r="C47" s="1">
        <v>1.6545381546020508</v>
      </c>
      <c r="D47" s="1">
        <f t="shared" si="0"/>
        <v>-4.27807543165247E-3</v>
      </c>
    </row>
    <row r="48" spans="2:10" x14ac:dyDescent="0.2">
      <c r="B48" s="1">
        <v>64.799995422363281</v>
      </c>
      <c r="C48" s="1">
        <v>1.6551145315170288</v>
      </c>
      <c r="D48" s="1">
        <f t="shared" si="0"/>
        <v>-3.2380763883865685E-3</v>
      </c>
    </row>
    <row r="49" spans="2:4" x14ac:dyDescent="0.2">
      <c r="B49" s="1">
        <v>65.400009155273438</v>
      </c>
      <c r="C49" s="1">
        <v>1.6559721231460571</v>
      </c>
      <c r="D49" s="1">
        <f t="shared" si="0"/>
        <v>-4.2523919089124127E-3</v>
      </c>
    </row>
    <row r="50" spans="2:4" x14ac:dyDescent="0.2">
      <c r="B50" s="1">
        <v>66.099990844726563</v>
      </c>
      <c r="C50" s="1">
        <v>1.6562703847885132</v>
      </c>
      <c r="D50" s="1">
        <f t="shared" si="0"/>
        <v>-8.8082941961107599E-4</v>
      </c>
    </row>
    <row r="51" spans="2:4" x14ac:dyDescent="0.2">
      <c r="B51" s="1">
        <v>66.759994506835938</v>
      </c>
      <c r="C51" s="1">
        <v>1.6571578979492188</v>
      </c>
      <c r="D51" s="1">
        <f t="shared" si="0"/>
        <v>-1.6350603512055859E-3</v>
      </c>
    </row>
    <row r="52" spans="2:4" x14ac:dyDescent="0.2">
      <c r="B52" s="1">
        <v>67.509994506835938</v>
      </c>
      <c r="C52" s="1">
        <v>1.6577621698379517</v>
      </c>
      <c r="D52" s="1">
        <f t="shared" si="0"/>
        <v>1.251423793142857E-4</v>
      </c>
    </row>
    <row r="53" spans="2:4" x14ac:dyDescent="0.2">
      <c r="B53" s="1">
        <v>68.200004577636719</v>
      </c>
      <c r="C53" s="1">
        <v>1.6584163904190063</v>
      </c>
      <c r="D53" s="1">
        <f t="shared" si="0"/>
        <v>1.105911527440336E-3</v>
      </c>
    </row>
    <row r="54" spans="2:4" x14ac:dyDescent="0.2">
      <c r="B54" s="1">
        <v>68.860000610351563</v>
      </c>
      <c r="C54" s="1">
        <v>1.6588691473007202</v>
      </c>
      <c r="D54" s="1">
        <f t="shared" si="0"/>
        <v>3.1592921725683608E-3</v>
      </c>
    </row>
    <row r="55" spans="2:4" x14ac:dyDescent="0.2">
      <c r="B55" s="1">
        <v>69.479995727539063</v>
      </c>
      <c r="C55" s="1">
        <v>1.6594480276107788</v>
      </c>
      <c r="D55" s="1">
        <f t="shared" si="0"/>
        <v>4.0939361873601563E-3</v>
      </c>
    </row>
    <row r="56" spans="2:4" x14ac:dyDescent="0.2">
      <c r="B56" s="1">
        <v>70.099990844726563</v>
      </c>
      <c r="C56" s="1">
        <v>1.6601402759552002</v>
      </c>
      <c r="D56" s="1">
        <f t="shared" si="0"/>
        <v>4.2961836344532385E-3</v>
      </c>
    </row>
    <row r="57" spans="2:4" x14ac:dyDescent="0.2">
      <c r="B57" s="1">
        <v>70.800003051757813</v>
      </c>
      <c r="C57" s="1">
        <v>1.6608860492706299</v>
      </c>
      <c r="D57" s="1">
        <f t="shared" si="0"/>
        <v>4.7547166981922956E-3</v>
      </c>
    </row>
    <row r="58" spans="2:4" x14ac:dyDescent="0.2">
      <c r="B58" s="1">
        <v>71.340003967285156</v>
      </c>
      <c r="C58" s="1">
        <v>1.6614091396331787</v>
      </c>
      <c r="D58" s="1">
        <f t="shared" si="0"/>
        <v>5.4437170779813903E-3</v>
      </c>
    </row>
    <row r="59" spans="2:4" x14ac:dyDescent="0.2">
      <c r="B59" s="1">
        <v>71.720001220703125</v>
      </c>
      <c r="C59" s="1">
        <v>1.6619892120361328</v>
      </c>
      <c r="D59" s="1">
        <f t="shared" si="0"/>
        <v>4.5648615748703084E-3</v>
      </c>
    </row>
    <row r="60" spans="2:4" x14ac:dyDescent="0.2">
      <c r="B60" s="1">
        <v>72.789993286132813</v>
      </c>
      <c r="C60" s="1">
        <v>1.6633421182632446</v>
      </c>
      <c r="D60" s="1">
        <f t="shared" si="0"/>
        <v>3.8959980653616635E-3</v>
      </c>
    </row>
    <row r="61" spans="2:4" x14ac:dyDescent="0.2">
      <c r="B61" s="1">
        <v>73.249992370605469</v>
      </c>
      <c r="C61" s="1">
        <v>1.6636871099472046</v>
      </c>
      <c r="D61" s="1">
        <f t="shared" si="0"/>
        <v>5.1273307083673798E-3</v>
      </c>
    </row>
    <row r="62" spans="2:4" x14ac:dyDescent="0.2">
      <c r="B62" s="1">
        <v>73.539993286132813</v>
      </c>
      <c r="C62" s="1">
        <v>1.6638771295547485</v>
      </c>
      <c r="D62" s="1">
        <f t="shared" si="0"/>
        <v>6.0789784025754631E-3</v>
      </c>
    </row>
    <row r="63" spans="2:4" x14ac:dyDescent="0.2">
      <c r="B63" s="1">
        <v>73.970001220703125</v>
      </c>
      <c r="C63" s="1">
        <v>1.6642653942108154</v>
      </c>
      <c r="D63" s="1">
        <f t="shared" si="0"/>
        <v>6.8059561926717034E-3</v>
      </c>
    </row>
    <row r="64" spans="2:4" x14ac:dyDescent="0.2">
      <c r="B64" s="1">
        <v>74.19000244140625</v>
      </c>
      <c r="C64" s="1">
        <v>1.6646051406860352</v>
      </c>
      <c r="D64" s="1">
        <f t="shared" si="0"/>
        <v>6.2734679927934217E-3</v>
      </c>
    </row>
    <row r="65" spans="2:4" x14ac:dyDescent="0.2">
      <c r="B65" s="1">
        <v>74.610000610351563</v>
      </c>
      <c r="C65" s="1">
        <v>1.6650968790054321</v>
      </c>
      <c r="D65" s="1">
        <f t="shared" si="0"/>
        <v>6.2622949481939867E-3</v>
      </c>
    </row>
    <row r="66" spans="2:4" x14ac:dyDescent="0.2">
      <c r="B66" s="1">
        <v>74.819999694824219</v>
      </c>
      <c r="C66" s="1">
        <v>1.665452241897583</v>
      </c>
      <c r="D66" s="1">
        <f t="shared" si="0"/>
        <v>5.5558001031402312E-3</v>
      </c>
    </row>
    <row r="67" spans="2:4" x14ac:dyDescent="0.2">
      <c r="B67" s="1">
        <v>75.099990844726563</v>
      </c>
      <c r="C67" s="1">
        <v>1.6661735773086548</v>
      </c>
      <c r="D67" s="1">
        <f t="shared" si="0"/>
        <v>3.0305962214733592E-3</v>
      </c>
    </row>
    <row r="68" spans="2:4" x14ac:dyDescent="0.2">
      <c r="B68" s="1">
        <v>75.200004577636719</v>
      </c>
      <c r="C68" s="1">
        <v>1.6662647724151611</v>
      </c>
      <c r="D68" s="1">
        <f t="shared" ref="D68:D93" si="5">(($G$6+B68*$G$7)-C68)/(($G$6+B68*$G$7)-($G$3+B68*$G$4))</f>
        <v>3.1941253072879016E-3</v>
      </c>
    </row>
    <row r="69" spans="2:4" x14ac:dyDescent="0.2">
      <c r="B69" s="1">
        <v>75.360000610351563</v>
      </c>
      <c r="C69" s="1">
        <v>1.6666231155395508</v>
      </c>
      <c r="D69" s="1">
        <f t="shared" si="5"/>
        <v>2.0966859914477681E-3</v>
      </c>
    </row>
    <row r="70" spans="2:4" x14ac:dyDescent="0.2">
      <c r="B70" s="1">
        <v>75.599990844726563</v>
      </c>
      <c r="C70" s="1">
        <v>1.6669867038726807</v>
      </c>
      <c r="D70" s="1">
        <f t="shared" si="5"/>
        <v>1.5635674406975794E-3</v>
      </c>
    </row>
    <row r="71" spans="2:4" x14ac:dyDescent="0.2">
      <c r="B71" s="1">
        <v>75.700004577636719</v>
      </c>
      <c r="C71" s="1">
        <v>1.6674244403839111</v>
      </c>
      <c r="D71" s="1">
        <f t="shared" si="5"/>
        <v>-4.8833800127372098E-4</v>
      </c>
    </row>
    <row r="72" spans="2:4" x14ac:dyDescent="0.2">
      <c r="B72" s="1">
        <v>75.799995422363281</v>
      </c>
      <c r="C72" s="1">
        <v>1.6677656173706055</v>
      </c>
      <c r="D72" s="1">
        <f t="shared" si="5"/>
        <v>-1.9225804227327897E-3</v>
      </c>
    </row>
    <row r="73" spans="2:4" x14ac:dyDescent="0.2">
      <c r="B73" s="1">
        <v>75.700004577636719</v>
      </c>
      <c r="C73" s="1">
        <v>1.6681572198867798</v>
      </c>
      <c r="D73" s="1">
        <f t="shared" si="5"/>
        <v>-5.1731860767007453E-3</v>
      </c>
    </row>
    <row r="74" spans="2:4" x14ac:dyDescent="0.2">
      <c r="B74" s="1">
        <v>75.680007934570313</v>
      </c>
      <c r="C74" s="1">
        <v>1.6680501699447632</v>
      </c>
      <c r="D74" s="1">
        <f t="shared" si="5"/>
        <v>-4.6382533270672805E-3</v>
      </c>
    </row>
    <row r="75" spans="2:4" x14ac:dyDescent="0.2">
      <c r="B75" s="1">
        <v>75.5</v>
      </c>
      <c r="C75" s="1">
        <v>1.6681125164031982</v>
      </c>
      <c r="D75" s="1">
        <f t="shared" si="5"/>
        <v>-6.3828257841034332E-3</v>
      </c>
    </row>
    <row r="76" spans="2:4" x14ac:dyDescent="0.2">
      <c r="B76" s="1">
        <v>75.200004577636719</v>
      </c>
      <c r="C76" s="1">
        <v>1.6681134700775146</v>
      </c>
      <c r="D76" s="1">
        <f t="shared" si="5"/>
        <v>-8.6336253055247433E-3</v>
      </c>
    </row>
    <row r="77" spans="2:4" x14ac:dyDescent="0.2">
      <c r="B77" s="1">
        <v>75.099990844726563</v>
      </c>
      <c r="C77" s="1">
        <v>1.6680018901824951</v>
      </c>
      <c r="D77" s="1">
        <f t="shared" si="5"/>
        <v>-8.6684278241964969E-3</v>
      </c>
    </row>
    <row r="78" spans="2:4" x14ac:dyDescent="0.2">
      <c r="B78" s="1">
        <v>74.700004577636719</v>
      </c>
      <c r="C78" s="1">
        <v>1.667841911315918</v>
      </c>
      <c r="D78" s="1">
        <f t="shared" si="5"/>
        <v>-1.0640524836375412E-2</v>
      </c>
    </row>
    <row r="79" spans="2:4" x14ac:dyDescent="0.2">
      <c r="B79" s="1">
        <v>68</v>
      </c>
      <c r="C79" s="1">
        <v>1.6554</v>
      </c>
      <c r="D79" s="1">
        <f t="shared" si="5"/>
        <v>1.9097493349309363E-2</v>
      </c>
    </row>
    <row r="80" spans="2:4" x14ac:dyDescent="0.2">
      <c r="B80" s="1">
        <v>68.5</v>
      </c>
      <c r="C80" s="1">
        <v>1.6576</v>
      </c>
      <c r="D80" s="1">
        <f t="shared" si="5"/>
        <v>8.6435991902370189E-3</v>
      </c>
    </row>
    <row r="81" spans="2:4" x14ac:dyDescent="0.2">
      <c r="B81" s="1">
        <v>69</v>
      </c>
      <c r="C81" s="1">
        <v>1.6593</v>
      </c>
      <c r="D81" s="1">
        <f t="shared" si="5"/>
        <v>1.4328645209818762E-3</v>
      </c>
    </row>
    <row r="82" spans="2:4" x14ac:dyDescent="0.2">
      <c r="B82" s="1">
        <v>69.5</v>
      </c>
      <c r="C82" s="1">
        <v>1.6614</v>
      </c>
      <c r="D82" s="1">
        <f t="shared" si="5"/>
        <v>-8.3477846248691326E-3</v>
      </c>
    </row>
    <row r="83" spans="2:4" x14ac:dyDescent="0.2">
      <c r="B83" s="1">
        <v>70</v>
      </c>
      <c r="C83" s="1">
        <v>1.6608000000000001</v>
      </c>
      <c r="D83" s="1">
        <f t="shared" si="5"/>
        <v>-7.0894091334854276E-4</v>
      </c>
    </row>
    <row r="84" spans="2:4" x14ac:dyDescent="0.2">
      <c r="B84" s="1">
        <v>70.5</v>
      </c>
      <c r="C84" s="1">
        <v>1.661</v>
      </c>
      <c r="D84" s="1">
        <f t="shared" si="5"/>
        <v>1.7654246642975881E-3</v>
      </c>
    </row>
    <row r="85" spans="2:4" x14ac:dyDescent="0.2">
      <c r="B85" s="1">
        <v>71</v>
      </c>
      <c r="C85" s="1">
        <v>1.6646000000000001</v>
      </c>
      <c r="D85" s="1">
        <f t="shared" si="5"/>
        <v>-1.7649608512303967E-2</v>
      </c>
    </row>
    <row r="86" spans="2:4" x14ac:dyDescent="0.2">
      <c r="B86" s="1">
        <v>71.5</v>
      </c>
      <c r="C86" s="1">
        <v>1.6641999999999999</v>
      </c>
      <c r="D86" s="1">
        <f t="shared" si="5"/>
        <v>-1.1307130550941898E-2</v>
      </c>
    </row>
    <row r="87" spans="2:4" x14ac:dyDescent="0.2">
      <c r="B87" s="1">
        <v>72</v>
      </c>
      <c r="C87" s="1">
        <v>1.6626000000000001</v>
      </c>
      <c r="D87" s="1">
        <f t="shared" si="5"/>
        <v>2.7392988206755404E-3</v>
      </c>
    </row>
    <row r="88" spans="2:4" x14ac:dyDescent="0.2">
      <c r="B88" s="1">
        <v>72.5</v>
      </c>
      <c r="C88" s="1">
        <v>1.6632</v>
      </c>
      <c r="D88" s="1">
        <f t="shared" si="5"/>
        <v>2.634782207861949E-3</v>
      </c>
    </row>
    <row r="89" spans="2:4" x14ac:dyDescent="0.2">
      <c r="B89" s="1">
        <v>73</v>
      </c>
      <c r="C89" s="1">
        <v>1.6672</v>
      </c>
      <c r="D89" s="1">
        <f t="shared" si="5"/>
        <v>-1.9291845936261352E-2</v>
      </c>
    </row>
    <row r="90" spans="2:4" x14ac:dyDescent="0.2">
      <c r="B90" s="1">
        <v>73.5</v>
      </c>
      <c r="C90" s="1">
        <v>1.6649</v>
      </c>
      <c r="D90" s="1">
        <f t="shared" si="5"/>
        <v>-7.8062527139831426E-4</v>
      </c>
    </row>
    <row r="91" spans="2:4" x14ac:dyDescent="0.2">
      <c r="B91" s="1">
        <v>74</v>
      </c>
      <c r="C91" s="1">
        <v>1.6637</v>
      </c>
      <c r="D91" s="1">
        <f t="shared" si="5"/>
        <v>1.065385449239898E-2</v>
      </c>
    </row>
    <row r="92" spans="2:4" x14ac:dyDescent="0.2">
      <c r="B92" s="1">
        <v>74.5</v>
      </c>
      <c r="C92" s="1">
        <v>1.6654</v>
      </c>
      <c r="D92" s="1">
        <f t="shared" si="5"/>
        <v>3.4991032981897571E-3</v>
      </c>
    </row>
    <row r="93" spans="2:4" x14ac:dyDescent="0.2">
      <c r="B93" s="1">
        <v>75</v>
      </c>
      <c r="C93" s="1">
        <v>1.667</v>
      </c>
      <c r="D93" s="1">
        <f t="shared" si="5"/>
        <v>-3.005319526159231E-3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0F9E-FD61-49DF-8EFA-54AAB828022A}">
  <sheetPr codeName="Sheet2"/>
  <dimension ref="B2:O93"/>
  <sheetViews>
    <sheetView workbookViewId="0">
      <selection activeCell="B2" sqref="B2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4" width="8.7109375" style="1"/>
    <col min="5" max="5" width="12.7109375" style="1" customWidth="1"/>
    <col min="6" max="16384" width="8.7109375" style="1"/>
  </cols>
  <sheetData>
    <row r="2" spans="2:6" x14ac:dyDescent="0.2">
      <c r="B2" s="2" t="s">
        <v>0</v>
      </c>
      <c r="C2" s="2" t="s">
        <v>1</v>
      </c>
      <c r="D2" s="2" t="s">
        <v>6</v>
      </c>
    </row>
    <row r="3" spans="2:6" x14ac:dyDescent="0.2">
      <c r="B3" s="1">
        <v>30</v>
      </c>
      <c r="C3" s="1">
        <v>1.4657</v>
      </c>
      <c r="D3" s="1">
        <f>(($F$6+B3*$F$7)-C3)/((($F$6+B3*$F$7)-($F$3+$F$4*B3)))</f>
        <v>1.0072714018113338</v>
      </c>
      <c r="E3" s="1" t="s">
        <v>28</v>
      </c>
      <c r="F3" s="1">
        <f>INTERCEPT($C$3:$C$33,$B$3:$B$33)</f>
        <v>1.4318421370967747</v>
      </c>
    </row>
    <row r="4" spans="2:6" x14ac:dyDescent="0.2">
      <c r="B4" s="1">
        <v>30.5</v>
      </c>
      <c r="C4" s="1">
        <v>1.47</v>
      </c>
      <c r="D4" s="1">
        <f t="shared" ref="D4:D67" si="0">(($F$6+B4*$F$7)-C4)/((($F$6+B4*$F$7)-($F$3+$F$4*B4)))</f>
        <v>0.98082436919853622</v>
      </c>
      <c r="E4" s="1" t="s">
        <v>29</v>
      </c>
      <c r="F4" s="1">
        <f>SLOPE(C3:C33,B3:B33)</f>
        <v>1.1626612903225834E-3</v>
      </c>
    </row>
    <row r="5" spans="2:6" x14ac:dyDescent="0.2">
      <c r="B5" s="1">
        <v>31</v>
      </c>
      <c r="C5" s="1">
        <v>1.4665999999999999</v>
      </c>
      <c r="D5" s="1">
        <f t="shared" si="0"/>
        <v>1.0091293364184901</v>
      </c>
    </row>
    <row r="6" spans="2:6" x14ac:dyDescent="0.2">
      <c r="B6" s="1">
        <v>31.5</v>
      </c>
      <c r="C6" s="1">
        <v>1.4661</v>
      </c>
      <c r="D6" s="1">
        <f t="shared" si="0"/>
        <v>1.016803835247152</v>
      </c>
      <c r="E6" s="1" t="s">
        <v>30</v>
      </c>
      <c r="F6" s="1">
        <f>INTERCEPT(C73:C93,B73:B93)</f>
        <v>1.5673497835497834</v>
      </c>
    </row>
    <row r="7" spans="2:6" x14ac:dyDescent="0.2">
      <c r="B7" s="1">
        <v>32</v>
      </c>
      <c r="C7" s="1">
        <v>1.4674</v>
      </c>
      <c r="D7" s="1">
        <f t="shared" si="0"/>
        <v>1.0116926477698123</v>
      </c>
      <c r="E7" s="1" t="s">
        <v>31</v>
      </c>
      <c r="F7" s="1">
        <f>SLOPE(C73:C93,B73:B93)</f>
        <v>1.3306493506493541E-3</v>
      </c>
    </row>
    <row r="8" spans="2:6" x14ac:dyDescent="0.2">
      <c r="B8" s="1">
        <v>32.5</v>
      </c>
      <c r="C8" s="1">
        <v>1.4721</v>
      </c>
      <c r="D8" s="1">
        <f t="shared" si="0"/>
        <v>0.9824684753356715</v>
      </c>
    </row>
    <row r="9" spans="2:6" x14ac:dyDescent="0.2">
      <c r="B9" s="1">
        <v>33</v>
      </c>
      <c r="C9" s="1">
        <v>1.4762999999999999</v>
      </c>
      <c r="D9" s="1">
        <f t="shared" si="0"/>
        <v>0.95682391884462759</v>
      </c>
    </row>
    <row r="10" spans="2:6" x14ac:dyDescent="0.2">
      <c r="B10" s="1">
        <v>33.5</v>
      </c>
      <c r="C10" s="1">
        <v>1.4722999999999999</v>
      </c>
      <c r="D10" s="1">
        <f t="shared" si="0"/>
        <v>0.98931018498134637</v>
      </c>
    </row>
    <row r="11" spans="2:6" x14ac:dyDescent="0.2">
      <c r="B11" s="1">
        <v>34</v>
      </c>
      <c r="C11" s="1">
        <v>1.4716</v>
      </c>
      <c r="D11" s="1">
        <f t="shared" si="0"/>
        <v>0.9983898863112004</v>
      </c>
    </row>
    <row r="12" spans="2:6" x14ac:dyDescent="0.2">
      <c r="B12" s="1">
        <v>34.5</v>
      </c>
      <c r="C12" s="1">
        <v>1.4742999999999999</v>
      </c>
      <c r="D12" s="1">
        <f t="shared" si="0"/>
        <v>0.9833970652205638</v>
      </c>
    </row>
    <row r="13" spans="2:6" x14ac:dyDescent="0.2">
      <c r="B13" s="1">
        <v>35</v>
      </c>
      <c r="C13" s="1">
        <v>1.4714</v>
      </c>
      <c r="D13" s="1">
        <f t="shared" si="0"/>
        <v>1.0080295955270639</v>
      </c>
    </row>
    <row r="14" spans="2:6" x14ac:dyDescent="0.2">
      <c r="B14" s="1">
        <v>35.5</v>
      </c>
      <c r="C14" s="1">
        <v>1.4690000000000001</v>
      </c>
      <c r="D14" s="1">
        <f t="shared" si="0"/>
        <v>1.0290985885873234</v>
      </c>
    </row>
    <row r="15" spans="2:6" x14ac:dyDescent="0.2">
      <c r="B15" s="1">
        <v>36</v>
      </c>
      <c r="C15" s="1">
        <v>1.4735</v>
      </c>
      <c r="D15" s="1">
        <f t="shared" si="0"/>
        <v>1.0013983486663889</v>
      </c>
    </row>
    <row r="16" spans="2:6" x14ac:dyDescent="0.2">
      <c r="B16" s="1">
        <v>36.5</v>
      </c>
      <c r="C16" s="1">
        <v>1.474</v>
      </c>
      <c r="D16" s="1">
        <f t="shared" si="0"/>
        <v>1.0019717293838164</v>
      </c>
    </row>
    <row r="17" spans="2:15" x14ac:dyDescent="0.2">
      <c r="B17" s="1">
        <v>37</v>
      </c>
      <c r="C17" s="1">
        <v>1.4749000000000001</v>
      </c>
      <c r="D17" s="1">
        <f t="shared" si="0"/>
        <v>0.99972202744513616</v>
      </c>
    </row>
    <row r="18" spans="2:15" x14ac:dyDescent="0.2">
      <c r="B18" s="1">
        <v>37.5</v>
      </c>
      <c r="C18" s="1">
        <v>1.474</v>
      </c>
      <c r="D18" s="1">
        <f t="shared" si="0"/>
        <v>1.010168281278631</v>
      </c>
    </row>
    <row r="19" spans="2:15" x14ac:dyDescent="0.2">
      <c r="B19" s="1">
        <v>38</v>
      </c>
      <c r="C19" s="1">
        <v>1.4721</v>
      </c>
      <c r="D19" s="1">
        <f t="shared" si="0"/>
        <v>1.0276498213393122</v>
      </c>
    </row>
    <row r="20" spans="2:15" x14ac:dyDescent="0.2">
      <c r="B20" s="1">
        <v>38.5</v>
      </c>
      <c r="C20" s="1">
        <v>1.4749000000000001</v>
      </c>
      <c r="D20" s="1">
        <f t="shared" si="0"/>
        <v>1.0120063006283508</v>
      </c>
    </row>
    <row r="21" spans="2:15" x14ac:dyDescent="0.2">
      <c r="B21" s="1">
        <v>39</v>
      </c>
      <c r="C21" s="1">
        <v>1.4805999999999999</v>
      </c>
      <c r="D21" s="1">
        <f t="shared" si="0"/>
        <v>0.97596725138579599</v>
      </c>
    </row>
    <row r="22" spans="2:15" x14ac:dyDescent="0.2">
      <c r="B22" s="1">
        <v>39.5</v>
      </c>
      <c r="C22" s="1">
        <v>1.4778</v>
      </c>
      <c r="D22" s="1">
        <f t="shared" si="0"/>
        <v>0.99976965524006978</v>
      </c>
    </row>
    <row r="23" spans="2:15" ht="15.75" x14ac:dyDescent="0.3">
      <c r="B23" s="1">
        <v>40</v>
      </c>
      <c r="C23" s="1">
        <v>1.4758</v>
      </c>
      <c r="D23" s="1">
        <f t="shared" si="0"/>
        <v>1.0179191411176696</v>
      </c>
      <c r="M23" s="1" t="s">
        <v>27</v>
      </c>
      <c r="N23" s="4">
        <v>3.9999999999999998E-6</v>
      </c>
      <c r="O23" s="1" t="s">
        <v>10</v>
      </c>
    </row>
    <row r="24" spans="2:15" x14ac:dyDescent="0.2">
      <c r="B24" s="1">
        <v>40.5</v>
      </c>
      <c r="C24" s="1">
        <v>1.4762</v>
      </c>
      <c r="D24" s="1">
        <f t="shared" si="0"/>
        <v>1.0191827492607146</v>
      </c>
    </row>
    <row r="25" spans="2:15" x14ac:dyDescent="0.2">
      <c r="B25" s="1">
        <v>41</v>
      </c>
      <c r="C25" s="1">
        <v>1.4789000000000001</v>
      </c>
      <c r="D25" s="1">
        <f t="shared" si="0"/>
        <v>1.0042926319489665</v>
      </c>
    </row>
    <row r="26" spans="2:15" x14ac:dyDescent="0.2">
      <c r="B26" s="1">
        <v>41.5</v>
      </c>
      <c r="C26" s="1">
        <v>1.4802999999999999</v>
      </c>
      <c r="D26" s="1">
        <f t="shared" si="0"/>
        <v>0.99854421258517145</v>
      </c>
    </row>
    <row r="27" spans="2:15" x14ac:dyDescent="0.2">
      <c r="B27" s="1">
        <v>42</v>
      </c>
      <c r="C27" s="1">
        <v>1.4795</v>
      </c>
      <c r="D27" s="1">
        <f t="shared" si="0"/>
        <v>1.0082343251506714</v>
      </c>
    </row>
    <row r="28" spans="2:15" x14ac:dyDescent="0.2">
      <c r="B28" s="1">
        <v>42.5</v>
      </c>
      <c r="C28" s="1">
        <v>1.4807999999999999</v>
      </c>
      <c r="D28" s="1">
        <f t="shared" si="0"/>
        <v>1.0031913849700884</v>
      </c>
    </row>
    <row r="29" spans="2:15" x14ac:dyDescent="0.2">
      <c r="B29" s="1">
        <v>43</v>
      </c>
      <c r="C29" s="1">
        <v>1.4865999999999999</v>
      </c>
      <c r="D29" s="1">
        <f t="shared" si="0"/>
        <v>0.9666265704078475</v>
      </c>
    </row>
    <row r="30" spans="2:15" x14ac:dyDescent="0.2">
      <c r="B30" s="1">
        <v>43.5</v>
      </c>
      <c r="C30" s="1">
        <v>1.4861</v>
      </c>
      <c r="D30" s="1">
        <f t="shared" si="0"/>
        <v>0.97421773974824211</v>
      </c>
    </row>
    <row r="31" spans="2:15" x14ac:dyDescent="0.2">
      <c r="B31" s="1">
        <v>44</v>
      </c>
      <c r="C31" s="1">
        <v>1.4818</v>
      </c>
      <c r="D31" s="1">
        <f t="shared" si="0"/>
        <v>1.0083921710761756</v>
      </c>
    </row>
    <row r="32" spans="2:15" x14ac:dyDescent="0.2">
      <c r="B32" s="1">
        <v>44.5</v>
      </c>
      <c r="C32" s="1">
        <v>1.4829000000000001</v>
      </c>
      <c r="D32" s="1">
        <f t="shared" si="0"/>
        <v>1.0047597544330651</v>
      </c>
    </row>
    <row r="33" spans="2:11" x14ac:dyDescent="0.2">
      <c r="B33" s="1">
        <v>45</v>
      </c>
      <c r="C33" s="1">
        <v>1.4852000000000001</v>
      </c>
      <c r="D33" s="1">
        <f t="shared" si="0"/>
        <v>0.99274393083953205</v>
      </c>
    </row>
    <row r="34" spans="2:11" x14ac:dyDescent="0.2">
      <c r="B34" s="1">
        <v>45.5</v>
      </c>
      <c r="C34" s="1">
        <v>1.4823999999999999</v>
      </c>
      <c r="D34" s="1">
        <f t="shared" si="0"/>
        <v>1.0163688979973362</v>
      </c>
    </row>
    <row r="35" spans="2:11" x14ac:dyDescent="0.2">
      <c r="B35" s="1">
        <v>46</v>
      </c>
      <c r="C35" s="1">
        <v>1.4881</v>
      </c>
      <c r="D35" s="1">
        <f t="shared" si="0"/>
        <v>0.98062316009066031</v>
      </c>
    </row>
    <row r="36" spans="2:11" x14ac:dyDescent="0.2">
      <c r="B36" s="1">
        <v>46.5</v>
      </c>
      <c r="C36" s="1">
        <v>1.4877</v>
      </c>
      <c r="D36" s="1">
        <f t="shared" si="0"/>
        <v>0.9874816893724716</v>
      </c>
      <c r="E36" s="3"/>
    </row>
    <row r="37" spans="2:11" x14ac:dyDescent="0.2">
      <c r="B37" s="1">
        <v>47</v>
      </c>
      <c r="C37" s="1">
        <v>1.4932000000000001</v>
      </c>
      <c r="D37" s="1">
        <f t="shared" si="0"/>
        <v>0.9531894153841578</v>
      </c>
    </row>
    <row r="38" spans="2:11" x14ac:dyDescent="0.2">
      <c r="B38" s="1">
        <v>47.5</v>
      </c>
      <c r="C38" s="1">
        <v>1.4947999999999999</v>
      </c>
      <c r="D38" s="1">
        <f t="shared" si="0"/>
        <v>0.94611743684782001</v>
      </c>
    </row>
    <row r="39" spans="2:11" x14ac:dyDescent="0.2">
      <c r="B39" s="1">
        <v>48</v>
      </c>
      <c r="C39" s="1">
        <v>1.4971000000000001</v>
      </c>
      <c r="D39" s="1">
        <f t="shared" si="0"/>
        <v>0.93417809906045868</v>
      </c>
    </row>
    <row r="40" spans="2:11" x14ac:dyDescent="0.2">
      <c r="B40" s="1">
        <v>48.5</v>
      </c>
      <c r="C40" s="1">
        <v>1.4990000000000001</v>
      </c>
      <c r="D40" s="1">
        <f t="shared" si="0"/>
        <v>0.92503717050105894</v>
      </c>
    </row>
    <row r="41" spans="2:11" x14ac:dyDescent="0.2">
      <c r="B41" s="1">
        <v>49</v>
      </c>
      <c r="C41" s="1">
        <v>1.5042</v>
      </c>
      <c r="D41" s="1">
        <f t="shared" si="0"/>
        <v>0.89294865622064534</v>
      </c>
    </row>
    <row r="42" spans="2:11" x14ac:dyDescent="0.2">
      <c r="B42" s="1">
        <v>49.5</v>
      </c>
      <c r="C42" s="1">
        <v>1.5053000000000001</v>
      </c>
      <c r="D42" s="1">
        <f t="shared" si="0"/>
        <v>0.88940487334463925</v>
      </c>
    </row>
    <row r="43" spans="2:11" x14ac:dyDescent="0.2">
      <c r="B43" s="1">
        <v>50</v>
      </c>
      <c r="C43" s="1">
        <v>1.5073000000000001</v>
      </c>
      <c r="D43" s="1">
        <f t="shared" si="0"/>
        <v>0.87961119034139756</v>
      </c>
    </row>
    <row r="44" spans="2:11" x14ac:dyDescent="0.2">
      <c r="B44" s="1">
        <v>50.5</v>
      </c>
      <c r="C44" s="1">
        <v>1.5128999999999999</v>
      </c>
      <c r="D44" s="1">
        <f t="shared" si="0"/>
        <v>0.84482737815556785</v>
      </c>
    </row>
    <row r="45" spans="2:11" x14ac:dyDescent="0.2">
      <c r="B45" s="1">
        <v>51</v>
      </c>
      <c r="C45" s="1">
        <v>1.5158</v>
      </c>
      <c r="D45" s="1">
        <f t="shared" si="0"/>
        <v>0.82882435764284146</v>
      </c>
      <c r="J45" s="1" t="s">
        <v>17</v>
      </c>
      <c r="K45" s="1">
        <f>INTERCEPT(H49:H52,F49:F52)</f>
        <v>6.7573106953790765</v>
      </c>
    </row>
    <row r="46" spans="2:11" x14ac:dyDescent="0.2">
      <c r="B46" s="1">
        <v>51.5</v>
      </c>
      <c r="C46" s="1">
        <v>1.5264</v>
      </c>
      <c r="D46" s="1">
        <f t="shared" si="0"/>
        <v>0.75942675199495258</v>
      </c>
      <c r="J46" s="1" t="s">
        <v>16</v>
      </c>
      <c r="K46" s="1">
        <f>SLOPE(H49:H52,F49:F52)</f>
        <v>-0.11646530912216728</v>
      </c>
    </row>
    <row r="47" spans="2:11" x14ac:dyDescent="0.2">
      <c r="B47" s="1">
        <v>52</v>
      </c>
      <c r="C47" s="1">
        <v>1.5317000000000001</v>
      </c>
      <c r="D47" s="1">
        <f t="shared" si="0"/>
        <v>0.72685351236016849</v>
      </c>
    </row>
    <row r="48" spans="2:11" x14ac:dyDescent="0.2">
      <c r="B48" s="1">
        <v>52.5</v>
      </c>
      <c r="C48" s="1">
        <v>1.5411999999999999</v>
      </c>
      <c r="D48" s="1">
        <f t="shared" si="0"/>
        <v>0.66521760590323342</v>
      </c>
      <c r="F48" s="1" t="s">
        <v>32</v>
      </c>
      <c r="G48" s="1" t="s">
        <v>1</v>
      </c>
      <c r="H48" s="1" t="s">
        <v>6</v>
      </c>
      <c r="J48" s="1" t="s">
        <v>35</v>
      </c>
      <c r="K48" s="1" t="s">
        <v>6</v>
      </c>
    </row>
    <row r="49" spans="2:11" x14ac:dyDescent="0.2">
      <c r="B49" s="1">
        <v>53</v>
      </c>
      <c r="C49" s="1">
        <v>1.5523</v>
      </c>
      <c r="D49" s="1">
        <f t="shared" si="0"/>
        <v>0.59257391088886002</v>
      </c>
      <c r="F49" s="1">
        <v>53</v>
      </c>
      <c r="G49" s="1">
        <v>1.5523</v>
      </c>
      <c r="H49" s="1">
        <v>0.59257391088886002</v>
      </c>
      <c r="J49" s="1">
        <f>1/(273.15+F49)</f>
        <v>3.0660738923808067E-3</v>
      </c>
      <c r="K49" s="1">
        <v>0.59257391088886002</v>
      </c>
    </row>
    <row r="50" spans="2:11" x14ac:dyDescent="0.2">
      <c r="B50" s="1">
        <v>53.5</v>
      </c>
      <c r="C50" s="1">
        <v>1.5645</v>
      </c>
      <c r="D50" s="1">
        <f t="shared" si="0"/>
        <v>0.51240195075279549</v>
      </c>
      <c r="F50" s="1">
        <v>53.5</v>
      </c>
      <c r="G50" s="1">
        <v>1.5645</v>
      </c>
      <c r="H50" s="1">
        <v>0.51240195075279549</v>
      </c>
      <c r="J50" s="1">
        <f>1/(273.15+F50)</f>
        <v>3.0613806826878926E-3</v>
      </c>
      <c r="K50" s="1">
        <v>0.51240195075279549</v>
      </c>
    </row>
    <row r="51" spans="2:11" x14ac:dyDescent="0.2">
      <c r="B51" s="1">
        <v>54</v>
      </c>
      <c r="C51" s="1">
        <v>1.5709</v>
      </c>
      <c r="D51" s="1">
        <f t="shared" si="0"/>
        <v>0.47243961900876102</v>
      </c>
      <c r="F51" s="1">
        <v>54</v>
      </c>
      <c r="G51" s="1">
        <v>1.5709</v>
      </c>
      <c r="H51" s="1">
        <v>0.47243961900876102</v>
      </c>
      <c r="J51" s="1">
        <f>1/(273.15+F51)</f>
        <v>3.0567018187375823E-3</v>
      </c>
      <c r="K51" s="1">
        <v>0.47243961900876102</v>
      </c>
    </row>
    <row r="52" spans="2:11" x14ac:dyDescent="0.2">
      <c r="B52" s="1">
        <v>54.5</v>
      </c>
      <c r="C52" s="1">
        <v>1.5803</v>
      </c>
      <c r="D52" s="1">
        <f t="shared" si="0"/>
        <v>0.41178583959992604</v>
      </c>
      <c r="F52" s="1">
        <v>54.5</v>
      </c>
      <c r="G52" s="1">
        <v>1.5803</v>
      </c>
      <c r="H52" s="1">
        <v>0.41178583959992604</v>
      </c>
      <c r="J52" s="1">
        <f>1/(273.15+F52)</f>
        <v>3.0520372348542654E-3</v>
      </c>
      <c r="K52" s="1">
        <v>0.41178583959992604</v>
      </c>
    </row>
    <row r="53" spans="2:11" x14ac:dyDescent="0.2">
      <c r="B53" s="1">
        <v>55</v>
      </c>
      <c r="C53" s="1">
        <v>1.59</v>
      </c>
      <c r="D53" s="1">
        <f t="shared" si="0"/>
        <v>0.3491298707866401</v>
      </c>
    </row>
    <row r="54" spans="2:11" x14ac:dyDescent="0.2">
      <c r="B54" s="1">
        <v>55.5</v>
      </c>
      <c r="C54" s="1">
        <v>1.599</v>
      </c>
      <c r="D54" s="1">
        <f t="shared" si="0"/>
        <v>0.2913797959749071</v>
      </c>
      <c r="F54" s="1" t="s">
        <v>33</v>
      </c>
      <c r="G54" s="1">
        <f>(0.5-K45)/K46</f>
        <v>53.726819965037116</v>
      </c>
      <c r="H54" s="1" t="s">
        <v>34</v>
      </c>
      <c r="J54" s="1">
        <f>SLOPE(K49:K52,J49:J52)</f>
        <v>12447.098309598163</v>
      </c>
    </row>
    <row r="55" spans="2:11" x14ac:dyDescent="0.2">
      <c r="B55" s="1">
        <v>56</v>
      </c>
      <c r="C55" s="1">
        <v>1.6112</v>
      </c>
      <c r="D55" s="1">
        <f t="shared" si="0"/>
        <v>0.21161475262995183</v>
      </c>
    </row>
    <row r="56" spans="2:11" x14ac:dyDescent="0.2">
      <c r="B56" s="1">
        <v>56.5</v>
      </c>
      <c r="C56" s="1">
        <v>1.6205000000000001</v>
      </c>
      <c r="D56" s="1">
        <f t="shared" si="0"/>
        <v>0.15194226261493893</v>
      </c>
      <c r="I56" s="10" t="s">
        <v>37</v>
      </c>
      <c r="J56" s="2">
        <f>-6*8.314*J54</f>
        <v>-620911.05207599478</v>
      </c>
      <c r="K56" s="1" t="s">
        <v>21</v>
      </c>
    </row>
    <row r="57" spans="2:11" x14ac:dyDescent="0.2">
      <c r="B57" s="1">
        <v>57</v>
      </c>
      <c r="C57" s="1">
        <v>1.6254999999999999</v>
      </c>
      <c r="D57" s="1">
        <f t="shared" si="0"/>
        <v>0.12197707999721188</v>
      </c>
      <c r="J57" s="1">
        <f>J56/1000</f>
        <v>-620.9110520759948</v>
      </c>
      <c r="K57" s="1" t="s">
        <v>38</v>
      </c>
    </row>
    <row r="58" spans="2:11" x14ac:dyDescent="0.2">
      <c r="B58" s="1">
        <v>57.5</v>
      </c>
      <c r="C58" s="1">
        <v>1.6315</v>
      </c>
      <c r="D58" s="1">
        <f t="shared" si="0"/>
        <v>8.5157953426735253E-2</v>
      </c>
    </row>
    <row r="59" spans="2:11" x14ac:dyDescent="0.2">
      <c r="B59" s="1">
        <v>58</v>
      </c>
      <c r="C59" s="1">
        <v>1.6333</v>
      </c>
      <c r="D59" s="1">
        <f t="shared" si="0"/>
        <v>7.7296882271487025E-2</v>
      </c>
    </row>
    <row r="60" spans="2:11" x14ac:dyDescent="0.2">
      <c r="B60" s="1">
        <v>58.5</v>
      </c>
      <c r="C60" s="1">
        <v>1.6349</v>
      </c>
      <c r="D60" s="1">
        <f t="shared" si="0"/>
        <v>7.082102897946202E-2</v>
      </c>
      <c r="J60" s="1" t="s">
        <v>36</v>
      </c>
    </row>
    <row r="61" spans="2:11" x14ac:dyDescent="0.2">
      <c r="B61" s="1">
        <v>59</v>
      </c>
      <c r="C61" s="1">
        <v>1.6412</v>
      </c>
      <c r="D61" s="1">
        <f t="shared" si="0"/>
        <v>3.2032245412029058E-2</v>
      </c>
    </row>
    <row r="62" spans="2:11" x14ac:dyDescent="0.2">
      <c r="B62" s="1">
        <v>59.5</v>
      </c>
      <c r="C62" s="1">
        <v>1.6429</v>
      </c>
      <c r="D62" s="1">
        <f t="shared" si="0"/>
        <v>2.4902727133717821E-2</v>
      </c>
    </row>
    <row r="63" spans="2:11" x14ac:dyDescent="0.2">
      <c r="B63" s="1">
        <v>60</v>
      </c>
      <c r="C63" s="1">
        <v>1.6459999999999999</v>
      </c>
      <c r="D63" s="1">
        <f t="shared" si="0"/>
        <v>8.165187549127614E-3</v>
      </c>
    </row>
    <row r="64" spans="2:11" x14ac:dyDescent="0.2">
      <c r="B64" s="1">
        <v>60.5</v>
      </c>
      <c r="C64" s="1">
        <v>1.6467000000000001</v>
      </c>
      <c r="D64" s="1">
        <f t="shared" si="0"/>
        <v>7.9224407422238321E-3</v>
      </c>
    </row>
    <row r="65" spans="2:4" x14ac:dyDescent="0.2">
      <c r="B65" s="1">
        <v>61</v>
      </c>
      <c r="C65" s="1">
        <v>1.6414</v>
      </c>
      <c r="D65" s="1">
        <f t="shared" si="0"/>
        <v>4.8844965443296758E-2</v>
      </c>
    </row>
    <row r="66" spans="2:4" x14ac:dyDescent="0.2">
      <c r="B66" s="1">
        <v>61.5</v>
      </c>
      <c r="C66" s="1">
        <v>1.6456999999999999</v>
      </c>
      <c r="D66" s="1">
        <f t="shared" si="0"/>
        <v>2.38942992856487E-2</v>
      </c>
    </row>
    <row r="67" spans="2:4" x14ac:dyDescent="0.2">
      <c r="B67" s="1">
        <v>62</v>
      </c>
      <c r="C67" s="1">
        <v>1.6472</v>
      </c>
      <c r="D67" s="1">
        <f t="shared" si="0"/>
        <v>1.8160570942395447E-2</v>
      </c>
    </row>
    <row r="68" spans="2:4" x14ac:dyDescent="0.2">
      <c r="B68" s="1">
        <v>62.5</v>
      </c>
      <c r="C68" s="1">
        <v>1.6521999999999999</v>
      </c>
      <c r="D68" s="1">
        <f t="shared" ref="D68:D93" si="1">(($F$6+B68*$F$7)-C68)/((($F$6+B68*$F$7)-($F$3+$F$4*B68)))</f>
        <v>-1.1538030271542094E-2</v>
      </c>
    </row>
    <row r="69" spans="2:4" x14ac:dyDescent="0.2">
      <c r="B69" s="1">
        <v>63</v>
      </c>
      <c r="C69" s="1">
        <v>1.6503000000000001</v>
      </c>
      <c r="D69" s="1">
        <f t="shared" si="1"/>
        <v>6.028388320792946E-3</v>
      </c>
    </row>
    <row r="70" spans="2:4" x14ac:dyDescent="0.2">
      <c r="B70" s="1">
        <v>63.5</v>
      </c>
      <c r="C70" s="1">
        <v>1.6567000000000001</v>
      </c>
      <c r="D70" s="1">
        <f t="shared" si="1"/>
        <v>-3.320667962174146E-2</v>
      </c>
    </row>
    <row r="71" spans="2:4" x14ac:dyDescent="0.2">
      <c r="B71" s="1">
        <v>64</v>
      </c>
      <c r="C71" s="1">
        <v>1.6539999999999999</v>
      </c>
      <c r="D71" s="1">
        <f t="shared" si="1"/>
        <v>-1.0178240015965435E-2</v>
      </c>
    </row>
    <row r="72" spans="2:4" x14ac:dyDescent="0.2">
      <c r="B72" s="1">
        <v>64.5</v>
      </c>
      <c r="C72" s="1">
        <v>1.6497999999999999</v>
      </c>
      <c r="D72" s="1">
        <f t="shared" si="1"/>
        <v>2.30736661122301E-2</v>
      </c>
    </row>
    <row r="73" spans="2:4" x14ac:dyDescent="0.2">
      <c r="B73" s="1">
        <v>65</v>
      </c>
      <c r="C73" s="1">
        <v>1.6528</v>
      </c>
      <c r="D73" s="1">
        <f t="shared" si="1"/>
        <v>7.1161211007805805E-3</v>
      </c>
    </row>
    <row r="74" spans="2:4" x14ac:dyDescent="0.2">
      <c r="B74" s="1">
        <v>65.5</v>
      </c>
      <c r="C74" s="1">
        <v>1.6576</v>
      </c>
      <c r="D74" s="1">
        <f t="shared" si="1"/>
        <v>-2.1108905440262917E-2</v>
      </c>
    </row>
    <row r="75" spans="2:4" x14ac:dyDescent="0.2">
      <c r="B75" s="1">
        <v>66</v>
      </c>
      <c r="C75" s="1">
        <v>1.6559999999999999</v>
      </c>
      <c r="D75" s="1">
        <f t="shared" si="1"/>
        <v>-5.6438494241485004E-3</v>
      </c>
    </row>
    <row r="76" spans="2:4" x14ac:dyDescent="0.2">
      <c r="B76" s="1">
        <v>66.5</v>
      </c>
      <c r="C76" s="1">
        <v>1.6552</v>
      </c>
      <c r="D76" s="1">
        <f t="shared" si="1"/>
        <v>4.349402502441228E-3</v>
      </c>
    </row>
    <row r="77" spans="2:4" x14ac:dyDescent="0.2">
      <c r="B77" s="1">
        <v>67</v>
      </c>
      <c r="C77" s="1">
        <v>1.6549</v>
      </c>
      <c r="D77" s="1">
        <f t="shared" si="1"/>
        <v>1.0924359138440127E-2</v>
      </c>
    </row>
    <row r="78" spans="2:4" x14ac:dyDescent="0.2">
      <c r="B78" s="1">
        <v>67.5</v>
      </c>
      <c r="C78" s="1">
        <v>1.6556</v>
      </c>
      <c r="D78" s="1">
        <f t="shared" si="1"/>
        <v>1.068197799153303E-2</v>
      </c>
    </row>
    <row r="79" spans="2:4" x14ac:dyDescent="0.2">
      <c r="B79" s="1">
        <v>68</v>
      </c>
      <c r="C79" s="1">
        <v>1.6554</v>
      </c>
      <c r="D79" s="1">
        <f t="shared" si="1"/>
        <v>1.6565204991227014E-2</v>
      </c>
    </row>
    <row r="80" spans="2:4" x14ac:dyDescent="0.2">
      <c r="B80" s="1">
        <v>68.5</v>
      </c>
      <c r="C80" s="1">
        <v>1.6576</v>
      </c>
      <c r="D80" s="1">
        <f t="shared" si="1"/>
        <v>6.1168256149200977E-3</v>
      </c>
    </row>
    <row r="81" spans="2:4" x14ac:dyDescent="0.2">
      <c r="B81" s="1">
        <v>69</v>
      </c>
      <c r="C81" s="1">
        <v>1.6593</v>
      </c>
      <c r="D81" s="1">
        <f t="shared" si="1"/>
        <v>-9.2054615396328489E-4</v>
      </c>
    </row>
    <row r="82" spans="2:4" x14ac:dyDescent="0.2">
      <c r="B82" s="1">
        <v>69.5</v>
      </c>
      <c r="C82" s="1">
        <v>1.6614</v>
      </c>
      <c r="D82" s="1">
        <f t="shared" si="1"/>
        <v>-1.0667594328391124E-2</v>
      </c>
    </row>
    <row r="83" spans="2:4" x14ac:dyDescent="0.2">
      <c r="B83" s="1">
        <v>70</v>
      </c>
      <c r="C83" s="1">
        <v>1.6608000000000001</v>
      </c>
      <c r="D83" s="1">
        <f t="shared" si="1"/>
        <v>-2.0694540973835137E-3</v>
      </c>
    </row>
    <row r="84" spans="2:4" x14ac:dyDescent="0.2">
      <c r="B84" s="1">
        <v>70.5</v>
      </c>
      <c r="C84" s="1">
        <v>1.661</v>
      </c>
      <c r="D84" s="1">
        <f t="shared" si="1"/>
        <v>1.0896633437670481E-3</v>
      </c>
    </row>
    <row r="85" spans="2:4" x14ac:dyDescent="0.2">
      <c r="B85" s="1">
        <v>71</v>
      </c>
      <c r="C85" s="1">
        <v>1.6646000000000001</v>
      </c>
      <c r="D85" s="1">
        <f t="shared" si="1"/>
        <v>-1.8815860148973206E-2</v>
      </c>
    </row>
    <row r="86" spans="2:4" x14ac:dyDescent="0.2">
      <c r="B86" s="1">
        <v>71.5</v>
      </c>
      <c r="C86" s="1">
        <v>1.6641999999999999</v>
      </c>
      <c r="D86" s="1">
        <f t="shared" si="1"/>
        <v>-1.1583526727295091E-2</v>
      </c>
    </row>
    <row r="87" spans="2:4" x14ac:dyDescent="0.2">
      <c r="B87" s="1">
        <v>72</v>
      </c>
      <c r="C87" s="1">
        <v>1.6626000000000001</v>
      </c>
      <c r="D87" s="1">
        <f t="shared" si="1"/>
        <v>3.77050331240655E-3</v>
      </c>
    </row>
    <row r="88" spans="2:4" x14ac:dyDescent="0.2">
      <c r="B88" s="1">
        <v>72.5</v>
      </c>
      <c r="C88" s="1">
        <v>1.6632</v>
      </c>
      <c r="D88" s="1">
        <f t="shared" si="1"/>
        <v>4.2106779522218599E-3</v>
      </c>
    </row>
    <row r="89" spans="2:4" x14ac:dyDescent="0.2">
      <c r="B89" s="1">
        <v>73</v>
      </c>
      <c r="C89" s="1">
        <v>1.6672</v>
      </c>
      <c r="D89" s="1">
        <f t="shared" si="1"/>
        <v>-1.8358256938434573E-2</v>
      </c>
    </row>
    <row r="90" spans="2:4" x14ac:dyDescent="0.2">
      <c r="B90" s="1">
        <v>73.5</v>
      </c>
      <c r="C90" s="1">
        <v>1.6649</v>
      </c>
      <c r="D90" s="1">
        <f t="shared" si="1"/>
        <v>1.7078300849654433E-3</v>
      </c>
    </row>
    <row r="91" spans="2:4" x14ac:dyDescent="0.2">
      <c r="B91" s="1">
        <v>74</v>
      </c>
      <c r="C91" s="1">
        <v>1.6637</v>
      </c>
      <c r="D91" s="1">
        <f t="shared" si="1"/>
        <v>1.431562260001599E-2</v>
      </c>
    </row>
    <row r="92" spans="2:4" x14ac:dyDescent="0.2">
      <c r="B92" s="1">
        <v>74.5</v>
      </c>
      <c r="C92" s="1">
        <v>1.6654</v>
      </c>
      <c r="D92" s="1">
        <f t="shared" si="1"/>
        <v>7.3175246529523881E-3</v>
      </c>
    </row>
    <row r="93" spans="2:4" x14ac:dyDescent="0.2">
      <c r="B93" s="1">
        <v>75</v>
      </c>
      <c r="C93" s="1">
        <v>1.667</v>
      </c>
      <c r="D93" s="1">
        <f t="shared" si="1"/>
        <v>1.0025528715263911E-3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297B-E57E-4FF8-9C16-63ED22949202}">
  <sheetPr codeName="Sheet1"/>
  <dimension ref="B2:F93"/>
  <sheetViews>
    <sheetView workbookViewId="0">
      <selection activeCell="B2" sqref="B2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16384" width="8.7109375" style="1"/>
  </cols>
  <sheetData>
    <row r="2" spans="2:6" x14ac:dyDescent="0.2">
      <c r="B2" s="2" t="s">
        <v>0</v>
      </c>
      <c r="C2" s="2" t="s">
        <v>1</v>
      </c>
    </row>
    <row r="3" spans="2:6" x14ac:dyDescent="0.2">
      <c r="B3" s="1">
        <v>25</v>
      </c>
      <c r="C3" s="1">
        <v>1.4634</v>
      </c>
      <c r="E3" s="2" t="s">
        <v>23</v>
      </c>
      <c r="F3" s="1">
        <f>INTERCEPT($C$3:$C$35,$B$3:$B$35)</f>
        <v>1.438689416221034</v>
      </c>
    </row>
    <row r="4" spans="2:6" x14ac:dyDescent="0.2">
      <c r="B4" s="1">
        <v>25.5</v>
      </c>
      <c r="C4" s="1">
        <v>1.4618</v>
      </c>
      <c r="E4" s="2" t="s">
        <v>24</v>
      </c>
      <c r="F4" s="1">
        <f>SLOPE($C$3:$C$35,$B$3:$B$35)</f>
        <v>9.5835561497325953E-4</v>
      </c>
    </row>
    <row r="5" spans="2:6" x14ac:dyDescent="0.2">
      <c r="B5" s="1">
        <v>26</v>
      </c>
      <c r="C5" s="1">
        <v>1.4612000000000001</v>
      </c>
    </row>
    <row r="6" spans="2:6" x14ac:dyDescent="0.2">
      <c r="B6" s="1">
        <v>26.5</v>
      </c>
      <c r="C6" s="1">
        <v>1.4639</v>
      </c>
      <c r="E6" s="2" t="s">
        <v>25</v>
      </c>
      <c r="F6" s="1">
        <f>INTERCEPT($C$67:$C$93,$B$67:$B$93)</f>
        <v>1.6002831705331706</v>
      </c>
    </row>
    <row r="7" spans="2:6" x14ac:dyDescent="0.2">
      <c r="B7" s="1">
        <v>27</v>
      </c>
      <c r="C7" s="1">
        <v>1.4658</v>
      </c>
      <c r="E7" s="2" t="s">
        <v>26</v>
      </c>
      <c r="F7" s="1">
        <f>SLOPE($C$67:$C$93,$B$67:$B$93)</f>
        <v>8.399267399267393E-4</v>
      </c>
    </row>
    <row r="8" spans="2:6" x14ac:dyDescent="0.2">
      <c r="B8" s="1">
        <v>27.5</v>
      </c>
      <c r="C8" s="1">
        <v>1.4656</v>
      </c>
    </row>
    <row r="9" spans="2:6" x14ac:dyDescent="0.2">
      <c r="B9" s="1">
        <v>28</v>
      </c>
      <c r="C9" s="1">
        <v>1.4655</v>
      </c>
    </row>
    <row r="10" spans="2:6" x14ac:dyDescent="0.2">
      <c r="B10" s="1">
        <v>28.5</v>
      </c>
      <c r="C10" s="1">
        <v>1.4650000000000001</v>
      </c>
    </row>
    <row r="11" spans="2:6" x14ac:dyDescent="0.2">
      <c r="B11" s="1">
        <v>29</v>
      </c>
      <c r="C11" s="1">
        <v>1.4659</v>
      </c>
    </row>
    <row r="12" spans="2:6" x14ac:dyDescent="0.2">
      <c r="B12" s="1">
        <v>29.5</v>
      </c>
      <c r="C12" s="1">
        <v>1.4663999999999999</v>
      </c>
    </row>
    <row r="13" spans="2:6" x14ac:dyDescent="0.2">
      <c r="B13" s="1">
        <v>30</v>
      </c>
      <c r="C13" s="1">
        <v>1.4703999999999999</v>
      </c>
    </row>
    <row r="14" spans="2:6" x14ac:dyDescent="0.2">
      <c r="B14" s="1">
        <v>30.5</v>
      </c>
      <c r="C14" s="1">
        <v>1.47</v>
      </c>
    </row>
    <row r="15" spans="2:6" x14ac:dyDescent="0.2">
      <c r="B15" s="1">
        <v>31</v>
      </c>
      <c r="C15" s="1">
        <v>1.4704999999999999</v>
      </c>
    </row>
    <row r="16" spans="2:6" x14ac:dyDescent="0.2">
      <c r="B16" s="1">
        <v>31.5</v>
      </c>
      <c r="C16" s="1">
        <v>1.4665999999999999</v>
      </c>
    </row>
    <row r="17" spans="2:3" x14ac:dyDescent="0.2">
      <c r="B17" s="1">
        <v>32</v>
      </c>
      <c r="C17" s="1">
        <v>1.4679</v>
      </c>
    </row>
    <row r="18" spans="2:3" x14ac:dyDescent="0.2">
      <c r="B18" s="1">
        <v>32.5</v>
      </c>
      <c r="C18" s="1">
        <v>1.4710000000000001</v>
      </c>
    </row>
    <row r="19" spans="2:3" x14ac:dyDescent="0.2">
      <c r="B19" s="1">
        <v>33</v>
      </c>
      <c r="C19" s="1">
        <v>1.4710000000000001</v>
      </c>
    </row>
    <row r="20" spans="2:3" x14ac:dyDescent="0.2">
      <c r="B20" s="1">
        <v>33.5</v>
      </c>
      <c r="C20" s="1">
        <v>1.4681</v>
      </c>
    </row>
    <row r="21" spans="2:3" x14ac:dyDescent="0.2">
      <c r="B21" s="1">
        <v>34</v>
      </c>
      <c r="C21" s="1">
        <v>1.4702</v>
      </c>
    </row>
    <row r="22" spans="2:3" x14ac:dyDescent="0.2">
      <c r="B22" s="1">
        <v>34.5</v>
      </c>
      <c r="C22" s="1">
        <v>1.4741</v>
      </c>
    </row>
    <row r="23" spans="2:3" x14ac:dyDescent="0.2">
      <c r="B23" s="1">
        <v>35</v>
      </c>
      <c r="C23" s="1">
        <v>1.4729000000000001</v>
      </c>
    </row>
    <row r="24" spans="2:3" x14ac:dyDescent="0.2">
      <c r="B24" s="1">
        <v>35.5</v>
      </c>
      <c r="C24" s="1">
        <v>1.4743999999999999</v>
      </c>
    </row>
    <row r="25" spans="2:3" x14ac:dyDescent="0.2">
      <c r="B25" s="1">
        <v>36</v>
      </c>
      <c r="C25" s="1">
        <v>1.4723999999999999</v>
      </c>
    </row>
    <row r="26" spans="2:3" x14ac:dyDescent="0.2">
      <c r="B26" s="1">
        <v>36.5</v>
      </c>
      <c r="C26" s="1">
        <v>1.4736</v>
      </c>
    </row>
    <row r="27" spans="2:3" x14ac:dyDescent="0.2">
      <c r="B27" s="1">
        <v>37</v>
      </c>
      <c r="C27" s="1">
        <v>1.4722</v>
      </c>
    </row>
    <row r="28" spans="2:3" x14ac:dyDescent="0.2">
      <c r="B28" s="1">
        <v>37.5</v>
      </c>
      <c r="C28" s="1">
        <v>1.4742</v>
      </c>
    </row>
    <row r="29" spans="2:3" x14ac:dyDescent="0.2">
      <c r="B29" s="1">
        <v>38</v>
      </c>
      <c r="C29" s="1">
        <v>1.478</v>
      </c>
    </row>
    <row r="30" spans="2:3" x14ac:dyDescent="0.2">
      <c r="B30" s="1">
        <v>38.5</v>
      </c>
      <c r="C30" s="1">
        <v>1.4739</v>
      </c>
    </row>
    <row r="31" spans="2:3" x14ac:dyDescent="0.2">
      <c r="B31" s="1">
        <v>39</v>
      </c>
      <c r="C31" s="1">
        <v>1.4758</v>
      </c>
    </row>
    <row r="32" spans="2:3" x14ac:dyDescent="0.2">
      <c r="B32" s="1">
        <v>39.5</v>
      </c>
      <c r="C32" s="1">
        <v>1.478</v>
      </c>
    </row>
    <row r="33" spans="2:5" x14ac:dyDescent="0.2">
      <c r="B33" s="1">
        <v>40</v>
      </c>
      <c r="C33" s="1">
        <v>1.4767999999999999</v>
      </c>
    </row>
    <row r="34" spans="2:5" x14ac:dyDescent="0.2">
      <c r="B34" s="1">
        <v>40.5</v>
      </c>
      <c r="C34" s="1">
        <v>1.4766999999999999</v>
      </c>
    </row>
    <row r="35" spans="2:5" x14ac:dyDescent="0.2">
      <c r="B35" s="1">
        <v>41</v>
      </c>
      <c r="C35" s="1">
        <v>1.4772000000000001</v>
      </c>
    </row>
    <row r="36" spans="2:5" x14ac:dyDescent="0.2">
      <c r="B36" s="1">
        <v>41.5</v>
      </c>
      <c r="C36" s="1">
        <v>1.4784999999999999</v>
      </c>
      <c r="E36" s="3"/>
    </row>
    <row r="37" spans="2:5" x14ac:dyDescent="0.2">
      <c r="B37" s="1">
        <v>42</v>
      </c>
      <c r="C37" s="1">
        <v>1.4812000000000001</v>
      </c>
    </row>
    <row r="38" spans="2:5" x14ac:dyDescent="0.2">
      <c r="B38" s="1">
        <v>42.5</v>
      </c>
      <c r="C38" s="1">
        <v>1.4842</v>
      </c>
    </row>
    <row r="39" spans="2:5" x14ac:dyDescent="0.2">
      <c r="B39" s="1">
        <v>43</v>
      </c>
      <c r="C39" s="1">
        <v>1.4844999999999999</v>
      </c>
    </row>
    <row r="40" spans="2:5" x14ac:dyDescent="0.2">
      <c r="B40" s="1">
        <v>43.5</v>
      </c>
      <c r="C40" s="1">
        <v>1.4822</v>
      </c>
    </row>
    <row r="41" spans="2:5" x14ac:dyDescent="0.2">
      <c r="B41" s="1">
        <v>44</v>
      </c>
      <c r="C41" s="1">
        <v>1.4838</v>
      </c>
    </row>
    <row r="42" spans="2:5" x14ac:dyDescent="0.2">
      <c r="B42" s="1">
        <v>44.5</v>
      </c>
      <c r="C42" s="1">
        <v>1.4947999999999999</v>
      </c>
    </row>
    <row r="43" spans="2:5" x14ac:dyDescent="0.2">
      <c r="B43" s="1">
        <v>45</v>
      </c>
      <c r="C43" s="1">
        <v>1.4928999999999999</v>
      </c>
    </row>
    <row r="44" spans="2:5" x14ac:dyDescent="0.2">
      <c r="B44" s="1">
        <v>45.5</v>
      </c>
      <c r="C44" s="1">
        <v>1.502</v>
      </c>
    </row>
    <row r="45" spans="2:5" x14ac:dyDescent="0.2">
      <c r="B45" s="1">
        <v>46</v>
      </c>
      <c r="C45" s="1">
        <v>1.5126999999999999</v>
      </c>
    </row>
    <row r="46" spans="2:5" x14ac:dyDescent="0.2">
      <c r="B46" s="1">
        <v>46.5</v>
      </c>
      <c r="C46" s="1">
        <v>1.518</v>
      </c>
    </row>
    <row r="47" spans="2:5" x14ac:dyDescent="0.2">
      <c r="B47" s="1">
        <v>47</v>
      </c>
      <c r="C47" s="1">
        <v>1.5356000000000001</v>
      </c>
    </row>
    <row r="48" spans="2:5" x14ac:dyDescent="0.2">
      <c r="B48" s="1">
        <v>47.5</v>
      </c>
      <c r="C48" s="1">
        <v>1.5481</v>
      </c>
    </row>
    <row r="49" spans="2:3" x14ac:dyDescent="0.2">
      <c r="B49" s="1">
        <v>48</v>
      </c>
      <c r="C49" s="1">
        <v>1.5598000000000001</v>
      </c>
    </row>
    <row r="50" spans="2:3" x14ac:dyDescent="0.2">
      <c r="B50" s="1">
        <v>48.5</v>
      </c>
      <c r="C50" s="1">
        <v>1.5785</v>
      </c>
    </row>
    <row r="51" spans="2:3" x14ac:dyDescent="0.2">
      <c r="B51" s="1">
        <v>49</v>
      </c>
      <c r="C51" s="1">
        <v>1.5922000000000001</v>
      </c>
    </row>
    <row r="52" spans="2:3" x14ac:dyDescent="0.2">
      <c r="B52" s="1">
        <v>49.5</v>
      </c>
      <c r="C52" s="1">
        <v>1.6041000000000001</v>
      </c>
    </row>
    <row r="53" spans="2:3" x14ac:dyDescent="0.2">
      <c r="B53" s="1">
        <v>50</v>
      </c>
      <c r="C53" s="1">
        <v>1.6153</v>
      </c>
    </row>
    <row r="54" spans="2:3" x14ac:dyDescent="0.2">
      <c r="B54" s="1">
        <v>50.5</v>
      </c>
      <c r="C54" s="1">
        <v>1.6263000000000001</v>
      </c>
    </row>
    <row r="55" spans="2:3" x14ac:dyDescent="0.2">
      <c r="B55" s="1">
        <v>51</v>
      </c>
      <c r="C55" s="1">
        <v>1.6267</v>
      </c>
    </row>
    <row r="56" spans="2:3" x14ac:dyDescent="0.2">
      <c r="B56" s="1">
        <v>51.5</v>
      </c>
      <c r="C56" s="1">
        <v>1.6342000000000001</v>
      </c>
    </row>
    <row r="57" spans="2:3" x14ac:dyDescent="0.2">
      <c r="B57" s="1">
        <v>52</v>
      </c>
      <c r="C57" s="1">
        <v>1.6380999999999999</v>
      </c>
    </row>
    <row r="58" spans="2:3" x14ac:dyDescent="0.2">
      <c r="B58" s="1">
        <v>52.5</v>
      </c>
      <c r="C58" s="1">
        <v>1.6397999999999999</v>
      </c>
    </row>
    <row r="59" spans="2:3" x14ac:dyDescent="0.2">
      <c r="B59" s="1">
        <v>53</v>
      </c>
      <c r="C59" s="1">
        <v>1.6412</v>
      </c>
    </row>
    <row r="60" spans="2:3" x14ac:dyDescent="0.2">
      <c r="B60" s="1">
        <v>53.5</v>
      </c>
      <c r="C60" s="1">
        <v>1.6418999999999999</v>
      </c>
    </row>
    <row r="61" spans="2:3" x14ac:dyDescent="0.2">
      <c r="B61" s="1">
        <v>54</v>
      </c>
      <c r="C61" s="1">
        <v>1.6458999999999999</v>
      </c>
    </row>
    <row r="62" spans="2:3" x14ac:dyDescent="0.2">
      <c r="B62" s="1">
        <v>54.5</v>
      </c>
      <c r="C62" s="1">
        <v>1.6436999999999999</v>
      </c>
    </row>
    <row r="63" spans="2:3" x14ac:dyDescent="0.2">
      <c r="B63" s="1">
        <v>55</v>
      </c>
      <c r="C63" s="1">
        <v>1.6449</v>
      </c>
    </row>
    <row r="64" spans="2:3" x14ac:dyDescent="0.2">
      <c r="B64" s="1">
        <v>55.5</v>
      </c>
      <c r="C64" s="1">
        <v>1.6485000000000001</v>
      </c>
    </row>
    <row r="65" spans="2:3" x14ac:dyDescent="0.2">
      <c r="B65" s="1">
        <v>56</v>
      </c>
      <c r="C65" s="1">
        <v>1.6482000000000001</v>
      </c>
    </row>
    <row r="66" spans="2:3" x14ac:dyDescent="0.2">
      <c r="B66" s="1">
        <v>56.5</v>
      </c>
      <c r="C66" s="1">
        <v>1.6456</v>
      </c>
    </row>
    <row r="67" spans="2:3" x14ac:dyDescent="0.2">
      <c r="B67" s="1">
        <v>57</v>
      </c>
      <c r="C67" s="1">
        <v>1.6488</v>
      </c>
    </row>
    <row r="68" spans="2:3" x14ac:dyDescent="0.2">
      <c r="B68" s="1">
        <v>57.5</v>
      </c>
      <c r="C68" s="1">
        <v>1.6505000000000001</v>
      </c>
    </row>
    <row r="69" spans="2:3" x14ac:dyDescent="0.2">
      <c r="B69" s="1">
        <v>58</v>
      </c>
      <c r="C69" s="1">
        <v>1.6509</v>
      </c>
    </row>
    <row r="70" spans="2:3" x14ac:dyDescent="0.2">
      <c r="B70" s="1">
        <v>58.5</v>
      </c>
      <c r="C70" s="1">
        <v>1.6509</v>
      </c>
    </row>
    <row r="71" spans="2:3" x14ac:dyDescent="0.2">
      <c r="B71" s="1">
        <v>59</v>
      </c>
      <c r="C71" s="1">
        <v>1.6487000000000001</v>
      </c>
    </row>
    <row r="72" spans="2:3" x14ac:dyDescent="0.2">
      <c r="B72" s="1">
        <v>59.5</v>
      </c>
      <c r="C72" s="1">
        <v>1.6494</v>
      </c>
    </row>
    <row r="73" spans="2:3" x14ac:dyDescent="0.2">
      <c r="B73" s="1">
        <v>60</v>
      </c>
      <c r="C73" s="1">
        <v>1.6500999999999999</v>
      </c>
    </row>
    <row r="74" spans="2:3" x14ac:dyDescent="0.2">
      <c r="B74" s="1">
        <v>60.5</v>
      </c>
      <c r="C74" s="1">
        <v>1.6485000000000001</v>
      </c>
    </row>
    <row r="75" spans="2:3" x14ac:dyDescent="0.2">
      <c r="B75" s="1">
        <v>61</v>
      </c>
      <c r="C75" s="1">
        <v>1.6519999999999999</v>
      </c>
    </row>
    <row r="76" spans="2:3" x14ac:dyDescent="0.2">
      <c r="B76" s="1">
        <v>61.5</v>
      </c>
      <c r="C76" s="1">
        <v>1.6536999999999999</v>
      </c>
    </row>
    <row r="77" spans="2:3" x14ac:dyDescent="0.2">
      <c r="B77" s="1">
        <v>62</v>
      </c>
      <c r="C77" s="1">
        <v>1.6511</v>
      </c>
    </row>
    <row r="78" spans="2:3" x14ac:dyDescent="0.2">
      <c r="B78" s="1">
        <v>62.5</v>
      </c>
      <c r="C78" s="1">
        <v>1.6529</v>
      </c>
    </row>
    <row r="79" spans="2:3" x14ac:dyDescent="0.2">
      <c r="B79" s="1">
        <v>63</v>
      </c>
      <c r="C79" s="1">
        <v>1.6538999999999999</v>
      </c>
    </row>
    <row r="80" spans="2:3" x14ac:dyDescent="0.2">
      <c r="B80" s="1">
        <v>63.5</v>
      </c>
      <c r="C80" s="1">
        <v>1.6546000000000001</v>
      </c>
    </row>
    <row r="81" spans="2:3" x14ac:dyDescent="0.2">
      <c r="B81" s="1">
        <v>64</v>
      </c>
      <c r="C81" s="1">
        <v>1.6488</v>
      </c>
    </row>
    <row r="82" spans="2:3" x14ac:dyDescent="0.2">
      <c r="B82" s="1">
        <v>64.5</v>
      </c>
      <c r="C82" s="1">
        <v>1.6547000000000001</v>
      </c>
    </row>
    <row r="83" spans="2:3" x14ac:dyDescent="0.2">
      <c r="B83" s="1">
        <v>65</v>
      </c>
      <c r="C83" s="1">
        <v>1.6547000000000001</v>
      </c>
    </row>
    <row r="84" spans="2:3" x14ac:dyDescent="0.2">
      <c r="B84" s="1">
        <v>65.5</v>
      </c>
      <c r="C84" s="1">
        <v>1.6540999999999999</v>
      </c>
    </row>
    <row r="85" spans="2:3" x14ac:dyDescent="0.2">
      <c r="B85" s="1">
        <v>66</v>
      </c>
      <c r="C85" s="1">
        <v>1.6541999999999999</v>
      </c>
    </row>
    <row r="86" spans="2:3" x14ac:dyDescent="0.2">
      <c r="B86" s="1">
        <v>66.5</v>
      </c>
      <c r="C86" s="1">
        <v>1.6558999999999999</v>
      </c>
    </row>
    <row r="87" spans="2:3" x14ac:dyDescent="0.2">
      <c r="B87" s="1">
        <v>67</v>
      </c>
      <c r="C87" s="1">
        <v>1.6576</v>
      </c>
    </row>
    <row r="88" spans="2:3" x14ac:dyDescent="0.2">
      <c r="B88" s="1">
        <v>67.5</v>
      </c>
      <c r="C88" s="1">
        <v>1.6527000000000001</v>
      </c>
    </row>
    <row r="89" spans="2:3" x14ac:dyDescent="0.2">
      <c r="B89" s="1">
        <v>68</v>
      </c>
      <c r="C89" s="1">
        <v>1.6591</v>
      </c>
    </row>
    <row r="90" spans="2:3" x14ac:dyDescent="0.2">
      <c r="B90" s="1">
        <v>68.5</v>
      </c>
      <c r="C90" s="1">
        <v>1.6598999999999999</v>
      </c>
    </row>
    <row r="91" spans="2:3" x14ac:dyDescent="0.2">
      <c r="B91" s="1">
        <v>69</v>
      </c>
      <c r="C91" s="1">
        <v>1.6611</v>
      </c>
    </row>
    <row r="92" spans="2:3" x14ac:dyDescent="0.2">
      <c r="B92" s="1">
        <v>69.5</v>
      </c>
      <c r="C92" s="1">
        <v>1.6584000000000001</v>
      </c>
    </row>
    <row r="93" spans="2:3" x14ac:dyDescent="0.2">
      <c r="B93" s="1">
        <v>70</v>
      </c>
      <c r="C93" s="1">
        <v>1.6605000000000001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2C09-5A15-4766-AC7A-5072A87D1339}">
  <dimension ref="B2:H93"/>
  <sheetViews>
    <sheetView zoomScale="115" zoomScaleNormal="115" workbookViewId="0">
      <selection activeCell="B2" sqref="B2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4" width="8.7109375" style="1"/>
    <col min="5" max="5" width="11.42578125" style="1" bestFit="1" customWidth="1"/>
    <col min="6" max="6" width="13.28515625" style="1" customWidth="1"/>
    <col min="7" max="16384" width="8.7109375" style="1"/>
  </cols>
  <sheetData>
    <row r="2" spans="2:8" x14ac:dyDescent="0.2">
      <c r="B2" s="2" t="s">
        <v>0</v>
      </c>
      <c r="C2" s="2" t="s">
        <v>1</v>
      </c>
      <c r="D2" s="2" t="s">
        <v>6</v>
      </c>
    </row>
    <row r="3" spans="2:8" x14ac:dyDescent="0.2">
      <c r="B3" s="1">
        <v>25</v>
      </c>
      <c r="C3" s="1">
        <v>1.4626999999999999</v>
      </c>
      <c r="D3" s="1">
        <f>(C3-($G$6+$G$7*B3))/(($G$3+$G$4*B3)-($G$6+$G$7*B3))</f>
        <v>0.99866706909044767</v>
      </c>
      <c r="F3" s="2" t="s">
        <v>4</v>
      </c>
      <c r="G3" s="1">
        <f>INTERCEPT(C3:C28,B3:B28)</f>
        <v>1.4371641025641024</v>
      </c>
    </row>
    <row r="4" spans="2:8" x14ac:dyDescent="0.2">
      <c r="B4" s="1">
        <v>25.5</v>
      </c>
      <c r="C4" s="1">
        <v>1.4633</v>
      </c>
      <c r="D4" s="1">
        <f t="shared" ref="D4:D67" si="0">(C4-($G$6+$G$7*B4))/(($G$3+$G$4*B4)-($G$6+$G$7*B4))</f>
        <v>0.99802818567730411</v>
      </c>
      <c r="F4" s="2" t="s">
        <v>5</v>
      </c>
      <c r="G4" s="1">
        <f>SLOPE(C3:C29,B3:B29)</f>
        <v>1.0136752136752172E-3</v>
      </c>
    </row>
    <row r="5" spans="2:8" x14ac:dyDescent="0.2">
      <c r="B5" s="1">
        <v>26</v>
      </c>
      <c r="C5" s="1">
        <v>1.4635</v>
      </c>
      <c r="D5" s="1">
        <f t="shared" si="0"/>
        <v>1.0001348961897571</v>
      </c>
      <c r="F5" s="2"/>
    </row>
    <row r="6" spans="2:8" x14ac:dyDescent="0.2">
      <c r="B6" s="1">
        <v>26.5</v>
      </c>
      <c r="C6" s="1">
        <v>1.4664999999999999</v>
      </c>
      <c r="D6" s="1">
        <f t="shared" si="0"/>
        <v>0.9830364934614888</v>
      </c>
      <c r="F6" s="2" t="s">
        <v>2</v>
      </c>
      <c r="G6" s="1">
        <f>INTERCEPT($C$68:$C$93,$B$68:$B$93)</f>
        <v>1.5784456410256409</v>
      </c>
    </row>
    <row r="7" spans="2:8" x14ac:dyDescent="0.2">
      <c r="B7" s="1">
        <v>27</v>
      </c>
      <c r="C7" s="1">
        <v>1.4641999999999999</v>
      </c>
      <c r="D7" s="1">
        <f t="shared" si="0"/>
        <v>1.0022846891381658</v>
      </c>
      <c r="F7" s="2" t="s">
        <v>3</v>
      </c>
      <c r="G7" s="1">
        <f>SLOPE($C$68:$C$93,$B$68:$B$93)</f>
        <v>1.1846837606837625E-3</v>
      </c>
    </row>
    <row r="8" spans="2:8" x14ac:dyDescent="0.2">
      <c r="B8" s="1">
        <v>27.5</v>
      </c>
      <c r="C8" s="1">
        <v>1.4648000000000001</v>
      </c>
      <c r="D8" s="1">
        <f t="shared" si="0"/>
        <v>1.0016451836516738</v>
      </c>
      <c r="G8" s="4"/>
    </row>
    <row r="9" spans="2:8" ht="14.25" x14ac:dyDescent="0.25">
      <c r="B9" s="1">
        <v>28</v>
      </c>
      <c r="C9" s="1">
        <v>1.4642999999999999</v>
      </c>
      <c r="D9" s="1">
        <f t="shared" si="0"/>
        <v>1.0085370743077722</v>
      </c>
      <c r="F9" s="2" t="s">
        <v>13</v>
      </c>
      <c r="G9" s="4">
        <v>3.9999999999999998E-6</v>
      </c>
      <c r="H9" s="1" t="s">
        <v>10</v>
      </c>
    </row>
    <row r="10" spans="2:8" x14ac:dyDescent="0.2">
      <c r="B10" s="1">
        <v>28.5</v>
      </c>
      <c r="C10" s="1">
        <v>1.4659</v>
      </c>
      <c r="D10" s="1">
        <f t="shared" si="0"/>
        <v>1.0010526212374056</v>
      </c>
    </row>
    <row r="11" spans="2:8" x14ac:dyDescent="0.2">
      <c r="B11" s="1">
        <v>29</v>
      </c>
      <c r="C11" s="1">
        <v>1.4677</v>
      </c>
      <c r="D11" s="1">
        <f t="shared" si="0"/>
        <v>0.99220931268253731</v>
      </c>
    </row>
    <row r="12" spans="2:8" x14ac:dyDescent="0.2">
      <c r="B12" s="1">
        <v>29.5</v>
      </c>
      <c r="C12" s="1">
        <v>1.4623999999999999</v>
      </c>
      <c r="D12" s="1">
        <f t="shared" si="0"/>
        <v>1.0318980365622408</v>
      </c>
    </row>
    <row r="13" spans="2:8" x14ac:dyDescent="0.2">
      <c r="B13" s="1">
        <v>30</v>
      </c>
      <c r="C13" s="1">
        <v>1.4661999999999999</v>
      </c>
      <c r="D13" s="1">
        <f t="shared" si="0"/>
        <v>1.0093869416433447</v>
      </c>
    </row>
    <row r="14" spans="2:8" x14ac:dyDescent="0.2">
      <c r="B14" s="1">
        <v>30.5</v>
      </c>
      <c r="C14" s="1">
        <v>1.4694</v>
      </c>
      <c r="D14" s="1">
        <f t="shared" si="0"/>
        <v>0.99099776291783104</v>
      </c>
    </row>
    <row r="15" spans="2:8" x14ac:dyDescent="0.2">
      <c r="B15" s="1">
        <v>31</v>
      </c>
      <c r="C15" s="1">
        <v>1.4688000000000001</v>
      </c>
      <c r="D15" s="1">
        <f t="shared" si="0"/>
        <v>0.99855395171178229</v>
      </c>
    </row>
    <row r="16" spans="2:8" x14ac:dyDescent="0.2">
      <c r="B16" s="1">
        <v>31.5</v>
      </c>
      <c r="C16" s="1">
        <v>1.4729000000000001</v>
      </c>
      <c r="D16" s="1">
        <f t="shared" si="0"/>
        <v>0.97405623433583866</v>
      </c>
    </row>
    <row r="17" spans="2:4" x14ac:dyDescent="0.2">
      <c r="B17" s="1">
        <v>32</v>
      </c>
      <c r="C17" s="1">
        <v>1.4689000000000001</v>
      </c>
      <c r="D17" s="1">
        <f t="shared" si="0"/>
        <v>1.0047815412241059</v>
      </c>
    </row>
    <row r="18" spans="2:4" x14ac:dyDescent="0.2">
      <c r="B18" s="1">
        <v>32.5</v>
      </c>
      <c r="C18" s="1">
        <v>1.4713000000000001</v>
      </c>
      <c r="D18" s="1">
        <f t="shared" si="0"/>
        <v>0.99188600831189411</v>
      </c>
    </row>
    <row r="19" spans="2:4" x14ac:dyDescent="0.2">
      <c r="B19" s="1">
        <v>33</v>
      </c>
      <c r="C19" s="1">
        <v>1.4717</v>
      </c>
      <c r="D19" s="1">
        <f t="shared" si="0"/>
        <v>0.99261788865332856</v>
      </c>
    </row>
    <row r="20" spans="2:4" x14ac:dyDescent="0.2">
      <c r="B20" s="1">
        <v>33.5</v>
      </c>
      <c r="C20" s="1">
        <v>1.4726999999999999</v>
      </c>
      <c r="D20" s="1">
        <f t="shared" si="0"/>
        <v>0.98926757164797141</v>
      </c>
    </row>
    <row r="21" spans="2:4" x14ac:dyDescent="0.2">
      <c r="B21" s="1">
        <v>34</v>
      </c>
      <c r="C21" s="1">
        <v>1.4702</v>
      </c>
      <c r="D21" s="1">
        <f t="shared" si="0"/>
        <v>1.0097151621374565</v>
      </c>
    </row>
    <row r="22" spans="2:4" x14ac:dyDescent="0.2">
      <c r="B22" s="1">
        <v>34.5</v>
      </c>
      <c r="C22" s="1">
        <v>1.4728000000000001</v>
      </c>
      <c r="D22" s="1">
        <f t="shared" si="0"/>
        <v>0.99548786147630064</v>
      </c>
    </row>
    <row r="23" spans="2:4" x14ac:dyDescent="0.2">
      <c r="B23" s="1">
        <v>35</v>
      </c>
      <c r="C23" s="1">
        <v>1.4718</v>
      </c>
      <c r="D23" s="1">
        <f t="shared" si="0"/>
        <v>1.0057225038333817</v>
      </c>
    </row>
    <row r="24" spans="2:4" x14ac:dyDescent="0.2">
      <c r="B24" s="1">
        <v>35.5</v>
      </c>
      <c r="C24" s="1">
        <v>1.4723999999999999</v>
      </c>
      <c r="D24" s="1">
        <f t="shared" si="0"/>
        <v>1.0050869408657344</v>
      </c>
    </row>
    <row r="25" spans="2:4" x14ac:dyDescent="0.2">
      <c r="B25" s="1">
        <v>36</v>
      </c>
      <c r="C25" s="1">
        <v>1.4735</v>
      </c>
      <c r="D25" s="1">
        <f t="shared" si="0"/>
        <v>1.0010608555434743</v>
      </c>
    </row>
    <row r="26" spans="2:4" x14ac:dyDescent="0.2">
      <c r="B26" s="1">
        <v>36.5</v>
      </c>
      <c r="C26" s="1">
        <v>1.4732000000000001</v>
      </c>
      <c r="D26" s="1">
        <f t="shared" si="0"/>
        <v>1.0065294603224328</v>
      </c>
    </row>
    <row r="27" spans="2:4" x14ac:dyDescent="0.2">
      <c r="B27" s="1">
        <v>37</v>
      </c>
      <c r="C27" s="1">
        <v>1.4769000000000001</v>
      </c>
      <c r="D27" s="1">
        <f t="shared" si="0"/>
        <v>0.9848930842635838</v>
      </c>
    </row>
    <row r="28" spans="2:4" x14ac:dyDescent="0.2">
      <c r="B28" s="1">
        <v>37.5</v>
      </c>
      <c r="C28" s="1">
        <v>1.4745999999999999</v>
      </c>
      <c r="D28" s="1">
        <f t="shared" si="0"/>
        <v>1.0039061957472826</v>
      </c>
    </row>
    <row r="29" spans="2:4" x14ac:dyDescent="0.2">
      <c r="B29" s="1">
        <v>38</v>
      </c>
      <c r="C29" s="1">
        <v>1.4756</v>
      </c>
      <c r="D29" s="1">
        <f t="shared" si="0"/>
        <v>1.0005667936207263</v>
      </c>
    </row>
    <row r="30" spans="2:4" x14ac:dyDescent="0.2">
      <c r="B30" s="1">
        <v>38.5</v>
      </c>
      <c r="C30" s="1">
        <v>1.4775</v>
      </c>
      <c r="D30" s="1">
        <f t="shared" si="0"/>
        <v>0.99114463561447186</v>
      </c>
    </row>
    <row r="31" spans="2:4" x14ac:dyDescent="0.2">
      <c r="B31" s="1">
        <v>39</v>
      </c>
      <c r="C31" s="1">
        <v>1.4779</v>
      </c>
      <c r="D31" s="1">
        <f t="shared" si="0"/>
        <v>0.99187186876308886</v>
      </c>
    </row>
    <row r="32" spans="2:4" x14ac:dyDescent="0.2">
      <c r="B32" s="1">
        <v>39.5</v>
      </c>
      <c r="C32" s="1">
        <v>1.4777</v>
      </c>
      <c r="D32" s="1">
        <f t="shared" si="0"/>
        <v>0.99665131970335707</v>
      </c>
    </row>
    <row r="33" spans="2:5" x14ac:dyDescent="0.2">
      <c r="B33" s="1">
        <v>40</v>
      </c>
      <c r="C33" s="1">
        <v>1.4801</v>
      </c>
      <c r="D33" s="1">
        <f t="shared" si="0"/>
        <v>0.98387214040643434</v>
      </c>
    </row>
    <row r="34" spans="2:5" x14ac:dyDescent="0.2">
      <c r="B34" s="1">
        <v>40.5</v>
      </c>
      <c r="C34" s="1">
        <v>1.4802999999999999</v>
      </c>
      <c r="D34" s="1">
        <f t="shared" si="0"/>
        <v>0.98595177097649789</v>
      </c>
    </row>
    <row r="35" spans="2:5" x14ac:dyDescent="0.2">
      <c r="B35" s="1">
        <v>41</v>
      </c>
      <c r="C35" s="1">
        <v>1.4787999999999999</v>
      </c>
      <c r="D35" s="1">
        <f t="shared" si="0"/>
        <v>0.99949280322355893</v>
      </c>
    </row>
    <row r="36" spans="2:5" x14ac:dyDescent="0.2">
      <c r="B36" s="1">
        <v>41.5</v>
      </c>
      <c r="C36" s="1">
        <v>1.4823</v>
      </c>
      <c r="D36" s="1">
        <f t="shared" si="0"/>
        <v>0.97932060050672021</v>
      </c>
      <c r="E36" s="3"/>
    </row>
    <row r="37" spans="2:5" x14ac:dyDescent="0.2">
      <c r="B37" s="1">
        <v>42</v>
      </c>
      <c r="C37" s="1">
        <v>1.4833000000000001</v>
      </c>
      <c r="D37" s="1">
        <f t="shared" si="0"/>
        <v>0.97601074387073539</v>
      </c>
    </row>
    <row r="38" spans="2:5" x14ac:dyDescent="0.2">
      <c r="B38" s="1">
        <v>42.5</v>
      </c>
      <c r="C38" s="1">
        <v>1.4855</v>
      </c>
      <c r="D38" s="1">
        <f t="shared" si="0"/>
        <v>0.96462657678702557</v>
      </c>
    </row>
    <row r="39" spans="2:5" x14ac:dyDescent="0.2">
      <c r="B39" s="1">
        <v>43</v>
      </c>
      <c r="C39" s="1">
        <v>1.4850000000000001</v>
      </c>
      <c r="D39" s="1">
        <f t="shared" si="0"/>
        <v>0.97142082325970025</v>
      </c>
    </row>
    <row r="40" spans="2:5" x14ac:dyDescent="0.2">
      <c r="B40" s="1">
        <v>43.5</v>
      </c>
      <c r="C40" s="1">
        <v>1.4885999999999999</v>
      </c>
      <c r="D40" s="1">
        <f t="shared" si="0"/>
        <v>0.95063874804830861</v>
      </c>
    </row>
    <row r="41" spans="2:5" x14ac:dyDescent="0.2">
      <c r="B41" s="1">
        <v>44</v>
      </c>
      <c r="C41" s="1">
        <v>1.488</v>
      </c>
      <c r="D41" s="1">
        <f t="shared" si="0"/>
        <v>0.95810524027971478</v>
      </c>
    </row>
    <row r="42" spans="2:5" x14ac:dyDescent="0.2">
      <c r="B42" s="1">
        <v>44.5</v>
      </c>
      <c r="C42" s="1">
        <v>1.4964999999999999</v>
      </c>
      <c r="D42" s="1">
        <f t="shared" si="0"/>
        <v>0.90444479244210307</v>
      </c>
    </row>
    <row r="43" spans="2:5" x14ac:dyDescent="0.2">
      <c r="B43" s="1">
        <v>45</v>
      </c>
      <c r="C43" s="1">
        <v>1.4923999999999999</v>
      </c>
      <c r="D43" s="1">
        <f t="shared" si="0"/>
        <v>0.9354227982306681</v>
      </c>
    </row>
    <row r="44" spans="2:5" x14ac:dyDescent="0.2">
      <c r="B44" s="1">
        <v>45.5</v>
      </c>
      <c r="C44" s="1">
        <v>1.4992000000000001</v>
      </c>
      <c r="D44" s="1">
        <f t="shared" si="0"/>
        <v>0.89324153982636967</v>
      </c>
    </row>
    <row r="45" spans="2:5" x14ac:dyDescent="0.2">
      <c r="B45" s="1">
        <v>46</v>
      </c>
      <c r="C45" s="1">
        <v>1.5002</v>
      </c>
      <c r="D45" s="1">
        <f t="shared" si="0"/>
        <v>0.88999621095513048</v>
      </c>
    </row>
    <row r="46" spans="2:5" x14ac:dyDescent="0.2">
      <c r="B46" s="1">
        <v>46.5</v>
      </c>
      <c r="C46" s="1">
        <v>1.5016</v>
      </c>
      <c r="D46" s="1">
        <f t="shared" si="0"/>
        <v>0.8840742364741242</v>
      </c>
    </row>
    <row r="47" spans="2:5" x14ac:dyDescent="0.2">
      <c r="B47" s="1">
        <v>47</v>
      </c>
      <c r="C47" s="1">
        <v>1.5085</v>
      </c>
      <c r="D47" s="1">
        <f t="shared" si="0"/>
        <v>0.84132513687789157</v>
      </c>
    </row>
    <row r="48" spans="2:5" x14ac:dyDescent="0.2">
      <c r="B48" s="1">
        <v>47.5</v>
      </c>
      <c r="C48" s="1">
        <v>1.5135000000000001</v>
      </c>
      <c r="D48" s="1">
        <f t="shared" si="0"/>
        <v>0.81134212645992732</v>
      </c>
    </row>
    <row r="49" spans="2:4" x14ac:dyDescent="0.2">
      <c r="B49" s="1">
        <v>48</v>
      </c>
      <c r="C49" s="1">
        <v>1.5195000000000001</v>
      </c>
      <c r="D49" s="1">
        <f t="shared" si="0"/>
        <v>0.77470400205279177</v>
      </c>
    </row>
    <row r="50" spans="2:4" x14ac:dyDescent="0.2">
      <c r="B50" s="1">
        <v>48.5</v>
      </c>
      <c r="C50" s="1">
        <v>1.5269999999999999</v>
      </c>
      <c r="D50" s="1">
        <f t="shared" si="0"/>
        <v>0.72807938228357838</v>
      </c>
    </row>
    <row r="51" spans="2:4" x14ac:dyDescent="0.2">
      <c r="B51" s="1">
        <v>49</v>
      </c>
      <c r="C51" s="1">
        <v>1.5303</v>
      </c>
      <c r="D51" s="1">
        <f t="shared" si="0"/>
        <v>0.70957146900469925</v>
      </c>
    </row>
    <row r="52" spans="2:4" x14ac:dyDescent="0.2">
      <c r="B52" s="1">
        <v>49.5</v>
      </c>
      <c r="C52" s="1">
        <v>1.5376000000000001</v>
      </c>
      <c r="D52" s="1">
        <f t="shared" si="0"/>
        <v>0.6643728750407526</v>
      </c>
    </row>
    <row r="53" spans="2:4" x14ac:dyDescent="0.2">
      <c r="B53" s="1">
        <v>50</v>
      </c>
      <c r="C53" s="1">
        <v>1.5432999999999999</v>
      </c>
      <c r="D53" s="1">
        <f t="shared" si="0"/>
        <v>0.62990449700348206</v>
      </c>
    </row>
    <row r="54" spans="2:4" x14ac:dyDescent="0.2">
      <c r="B54" s="1">
        <v>50.5</v>
      </c>
      <c r="C54" s="1">
        <v>1.5573999999999999</v>
      </c>
      <c r="D54" s="1">
        <f t="shared" si="0"/>
        <v>0.53944460838396391</v>
      </c>
    </row>
    <row r="55" spans="2:4" x14ac:dyDescent="0.2">
      <c r="B55" s="1">
        <v>51</v>
      </c>
      <c r="C55" s="1">
        <v>1.5639000000000001</v>
      </c>
      <c r="D55" s="1">
        <f t="shared" si="0"/>
        <v>0.49975350916118538</v>
      </c>
    </row>
    <row r="56" spans="2:4" x14ac:dyDescent="0.2">
      <c r="B56" s="1">
        <v>51.5</v>
      </c>
      <c r="C56" s="1">
        <v>1.5749</v>
      </c>
      <c r="D56" s="1">
        <f t="shared" si="0"/>
        <v>0.43012531867242709</v>
      </c>
    </row>
    <row r="57" spans="2:4" x14ac:dyDescent="0.2">
      <c r="B57" s="1">
        <v>52</v>
      </c>
      <c r="C57" s="1">
        <v>1.587</v>
      </c>
      <c r="D57" s="1">
        <f t="shared" si="0"/>
        <v>0.35325157896630011</v>
      </c>
    </row>
    <row r="58" spans="2:4" x14ac:dyDescent="0.2">
      <c r="B58" s="1">
        <v>52.5</v>
      </c>
      <c r="C58" s="1">
        <v>1.5935999999999999</v>
      </c>
      <c r="D58" s="1">
        <f t="shared" si="0"/>
        <v>0.31306867436161806</v>
      </c>
    </row>
    <row r="59" spans="2:4" x14ac:dyDescent="0.2">
      <c r="B59" s="1">
        <v>53</v>
      </c>
      <c r="C59" s="1">
        <v>1.5991</v>
      </c>
      <c r="D59" s="1">
        <f t="shared" si="0"/>
        <v>0.28024798122426547</v>
      </c>
    </row>
    <row r="60" spans="2:4" x14ac:dyDescent="0.2">
      <c r="B60" s="1">
        <v>53.5</v>
      </c>
      <c r="C60" s="1">
        <v>1.6106</v>
      </c>
      <c r="D60" s="1">
        <f t="shared" si="0"/>
        <v>0.20757906880128829</v>
      </c>
    </row>
    <row r="61" spans="2:4" x14ac:dyDescent="0.2">
      <c r="B61" s="1">
        <v>54</v>
      </c>
      <c r="C61" s="1">
        <v>1.6194</v>
      </c>
      <c r="D61" s="1">
        <f t="shared" si="0"/>
        <v>0.15293101133809153</v>
      </c>
    </row>
    <row r="62" spans="2:4" x14ac:dyDescent="0.2">
      <c r="B62" s="1">
        <v>54.5</v>
      </c>
      <c r="C62" s="1">
        <v>1.6231</v>
      </c>
      <c r="D62" s="1">
        <f t="shared" si="0"/>
        <v>0.13220921051854931</v>
      </c>
    </row>
    <row r="63" spans="2:4" x14ac:dyDescent="0.2">
      <c r="B63" s="1">
        <v>55</v>
      </c>
      <c r="C63" s="1">
        <v>1.6272</v>
      </c>
      <c r="D63" s="1">
        <f t="shared" si="0"/>
        <v>0.10885641716174026</v>
      </c>
    </row>
    <row r="64" spans="2:4" x14ac:dyDescent="0.2">
      <c r="B64" s="1">
        <v>55.5</v>
      </c>
      <c r="C64" s="1">
        <v>1.6355999999999999</v>
      </c>
      <c r="D64" s="1">
        <f t="shared" si="0"/>
        <v>5.7010323584793549E-2</v>
      </c>
    </row>
    <row r="65" spans="2:4" x14ac:dyDescent="0.2">
      <c r="B65" s="1">
        <v>56</v>
      </c>
      <c r="C65" s="1">
        <v>1.6359999999999999</v>
      </c>
      <c r="D65" s="1">
        <f t="shared" si="0"/>
        <v>5.8252997044597778E-2</v>
      </c>
    </row>
    <row r="66" spans="2:4" x14ac:dyDescent="0.2">
      <c r="B66" s="1">
        <v>56.5</v>
      </c>
      <c r="C66" s="1">
        <v>1.6418999999999999</v>
      </c>
      <c r="D66" s="1">
        <f t="shared" si="0"/>
        <v>2.3056792850351893E-2</v>
      </c>
    </row>
    <row r="67" spans="2:4" x14ac:dyDescent="0.2">
      <c r="B67" s="1">
        <v>57</v>
      </c>
      <c r="C67" s="1">
        <v>1.6407</v>
      </c>
      <c r="D67" s="1">
        <f t="shared" si="0"/>
        <v>3.4911271937537819E-2</v>
      </c>
    </row>
    <row r="68" spans="2:4" x14ac:dyDescent="0.2">
      <c r="B68" s="1">
        <v>57.5</v>
      </c>
      <c r="C68" s="1">
        <v>1.6454</v>
      </c>
      <c r="D68" s="1">
        <f t="shared" ref="D68:D93" si="1">(C68-($G$6+$G$7*B68))/(($G$3+$G$4*B68)-($G$6+$G$7*B68))</f>
        <v>7.7091016040359813E-3</v>
      </c>
    </row>
    <row r="69" spans="2:4" x14ac:dyDescent="0.2">
      <c r="B69" s="1">
        <v>58</v>
      </c>
      <c r="C69" s="1">
        <v>1.6459999999999999</v>
      </c>
      <c r="D69" s="1">
        <f t="shared" si="1"/>
        <v>7.6540931456407077E-3</v>
      </c>
    </row>
    <row r="70" spans="2:4" x14ac:dyDescent="0.2">
      <c r="B70" s="1">
        <v>58.5</v>
      </c>
      <c r="C70" s="1">
        <v>1.6485000000000001</v>
      </c>
      <c r="D70" s="1">
        <f t="shared" si="1"/>
        <v>-4.9598856704332036E-3</v>
      </c>
    </row>
    <row r="71" spans="2:4" x14ac:dyDescent="0.2">
      <c r="B71" s="1">
        <v>59</v>
      </c>
      <c r="C71" s="1">
        <v>1.6483000000000001</v>
      </c>
      <c r="D71" s="1">
        <f t="shared" si="1"/>
        <v>2.7735097297487053E-4</v>
      </c>
    </row>
    <row r="72" spans="2:4" x14ac:dyDescent="0.2">
      <c r="B72" s="1">
        <v>59.5</v>
      </c>
      <c r="C72" s="1">
        <v>1.6519999999999999</v>
      </c>
      <c r="D72" s="1">
        <f t="shared" si="1"/>
        <v>-2.0241285531896264E-2</v>
      </c>
    </row>
    <row r="73" spans="2:4" x14ac:dyDescent="0.2">
      <c r="B73" s="1">
        <v>60</v>
      </c>
      <c r="C73" s="1">
        <v>1.6482000000000001</v>
      </c>
      <c r="D73" s="1">
        <f t="shared" si="1"/>
        <v>8.7544457491688221E-3</v>
      </c>
    </row>
    <row r="74" spans="2:4" x14ac:dyDescent="0.2">
      <c r="B74" s="1">
        <v>60.5</v>
      </c>
      <c r="C74" s="1">
        <v>1.6495</v>
      </c>
      <c r="D74" s="1">
        <f t="shared" si="1"/>
        <v>4.082427793157822E-3</v>
      </c>
    </row>
    <row r="75" spans="2:4" x14ac:dyDescent="0.2">
      <c r="B75" s="1">
        <v>61</v>
      </c>
      <c r="C75" s="1">
        <v>1.6529</v>
      </c>
      <c r="D75" s="1">
        <f t="shared" si="1"/>
        <v>-1.4426243693954555E-2</v>
      </c>
    </row>
    <row r="76" spans="2:4" x14ac:dyDescent="0.2">
      <c r="B76" s="1">
        <v>61.5</v>
      </c>
      <c r="C76" s="1">
        <v>1.6485000000000001</v>
      </c>
      <c r="D76" s="1">
        <f t="shared" si="1"/>
        <v>1.8469821004353095E-2</v>
      </c>
    </row>
    <row r="77" spans="2:4" x14ac:dyDescent="0.2">
      <c r="B77" s="1">
        <v>62</v>
      </c>
      <c r="C77" s="1">
        <v>1.6493</v>
      </c>
      <c r="D77" s="1">
        <f t="shared" si="1"/>
        <v>1.7092208654869493E-2</v>
      </c>
    </row>
    <row r="78" spans="2:4" x14ac:dyDescent="0.2">
      <c r="B78" s="1">
        <v>62.5</v>
      </c>
      <c r="C78" s="1">
        <v>1.6539999999999999</v>
      </c>
      <c r="D78" s="1">
        <f t="shared" si="1"/>
        <v>-9.946885453903492E-3</v>
      </c>
    </row>
    <row r="79" spans="2:4" x14ac:dyDescent="0.2">
      <c r="B79" s="1">
        <v>63</v>
      </c>
      <c r="C79" s="1">
        <v>1.6556</v>
      </c>
      <c r="D79" s="1">
        <f t="shared" si="1"/>
        <v>-1.6568220557058581E-2</v>
      </c>
    </row>
    <row r="80" spans="2:4" x14ac:dyDescent="0.2">
      <c r="B80" s="1">
        <v>63.5</v>
      </c>
      <c r="C80" s="1">
        <v>1.6531</v>
      </c>
      <c r="D80" s="1">
        <f t="shared" si="1"/>
        <v>3.7666467720365222E-3</v>
      </c>
    </row>
    <row r="81" spans="2:4" x14ac:dyDescent="0.2">
      <c r="B81" s="1">
        <v>64</v>
      </c>
      <c r="C81" s="1">
        <v>1.6552</v>
      </c>
      <c r="D81" s="1">
        <f t="shared" si="1"/>
        <v>-6.1395409841373772E-3</v>
      </c>
    </row>
    <row r="82" spans="2:4" x14ac:dyDescent="0.2">
      <c r="B82" s="1">
        <v>64.5</v>
      </c>
      <c r="C82" s="1">
        <v>1.6533</v>
      </c>
      <c r="D82" s="1">
        <f t="shared" si="1"/>
        <v>1.0227347717701495E-2</v>
      </c>
    </row>
    <row r="83" spans="2:4" x14ac:dyDescent="0.2">
      <c r="B83" s="1">
        <v>65</v>
      </c>
      <c r="C83" s="1">
        <v>1.6564000000000001</v>
      </c>
      <c r="D83" s="1">
        <f t="shared" si="1"/>
        <v>-6.2331538277757663E-3</v>
      </c>
    </row>
    <row r="84" spans="2:4" x14ac:dyDescent="0.2">
      <c r="B84" s="1">
        <v>65.5</v>
      </c>
      <c r="C84" s="1">
        <v>1.6584000000000001</v>
      </c>
      <c r="D84" s="1">
        <f t="shared" si="1"/>
        <v>-1.5461257061476623E-2</v>
      </c>
    </row>
    <row r="85" spans="2:4" x14ac:dyDescent="0.2">
      <c r="B85" s="1">
        <v>66</v>
      </c>
      <c r="C85" s="1">
        <v>1.6548</v>
      </c>
      <c r="D85" s="1">
        <f t="shared" si="1"/>
        <v>1.2025903186403619E-2</v>
      </c>
    </row>
    <row r="86" spans="2:4" x14ac:dyDescent="0.2">
      <c r="B86" s="1">
        <v>66.5</v>
      </c>
      <c r="C86" s="1">
        <v>1.6581999999999999</v>
      </c>
      <c r="D86" s="1">
        <f t="shared" si="1"/>
        <v>-6.3731798353356389E-3</v>
      </c>
    </row>
    <row r="87" spans="2:4" x14ac:dyDescent="0.2">
      <c r="B87" s="1">
        <v>67</v>
      </c>
      <c r="C87" s="1">
        <v>1.6592</v>
      </c>
      <c r="D87" s="1">
        <f t="shared" si="1"/>
        <v>-9.0385952786040166E-3</v>
      </c>
    </row>
    <row r="88" spans="2:4" x14ac:dyDescent="0.2">
      <c r="B88" s="1">
        <v>67.5</v>
      </c>
      <c r="C88" s="1">
        <v>1.6566000000000001</v>
      </c>
      <c r="D88" s="1">
        <f t="shared" si="1"/>
        <v>1.1855386432578762E-2</v>
      </c>
    </row>
    <row r="89" spans="2:4" x14ac:dyDescent="0.2">
      <c r="B89" s="1">
        <v>68</v>
      </c>
      <c r="C89" s="1">
        <v>1.6592</v>
      </c>
      <c r="D89" s="1">
        <f t="shared" si="1"/>
        <v>-1.2809044182378218E-3</v>
      </c>
    </row>
    <row r="90" spans="2:4" x14ac:dyDescent="0.2">
      <c r="B90" s="1">
        <v>68.5</v>
      </c>
      <c r="C90" s="1">
        <v>1.6617</v>
      </c>
      <c r="D90" s="1">
        <f t="shared" si="1"/>
        <v>-1.374889891269988E-2</v>
      </c>
    </row>
    <row r="91" spans="2:4" x14ac:dyDescent="0.2">
      <c r="B91" s="1">
        <v>69</v>
      </c>
      <c r="C91" s="1">
        <v>1.6552</v>
      </c>
      <c r="D91" s="1">
        <f t="shared" si="1"/>
        <v>3.258938950420831E-2</v>
      </c>
    </row>
    <row r="92" spans="2:4" x14ac:dyDescent="0.2">
      <c r="B92" s="1">
        <v>69.5</v>
      </c>
      <c r="C92" s="1">
        <v>1.6613</v>
      </c>
      <c r="D92" s="1">
        <f t="shared" si="1"/>
        <v>-3.3874062414349067E-3</v>
      </c>
    </row>
    <row r="93" spans="2:4" x14ac:dyDescent="0.2">
      <c r="B93" s="1">
        <v>70</v>
      </c>
      <c r="C93" s="1">
        <v>1.6624000000000001</v>
      </c>
      <c r="D93" s="1">
        <f t="shared" si="1"/>
        <v>-6.6980842698202217E-3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CD0A-A5D5-48B1-8959-AF174526CB76}">
  <sheetPr codeName="Sheet3"/>
  <dimension ref="B2:H139"/>
  <sheetViews>
    <sheetView workbookViewId="0">
      <selection activeCell="B2" sqref="B2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4" width="8.7109375" style="1"/>
    <col min="5" max="5" width="11.42578125" style="1" bestFit="1" customWidth="1"/>
    <col min="6" max="6" width="13.28515625" style="1" customWidth="1"/>
    <col min="7" max="16384" width="8.7109375" style="1"/>
  </cols>
  <sheetData>
    <row r="2" spans="2:8" x14ac:dyDescent="0.2">
      <c r="B2" s="2" t="s">
        <v>0</v>
      </c>
      <c r="C2" s="2" t="s">
        <v>1</v>
      </c>
      <c r="D2" s="2" t="s">
        <v>6</v>
      </c>
    </row>
    <row r="3" spans="2:8" x14ac:dyDescent="0.2">
      <c r="B3" s="1">
        <v>40.369998930000001</v>
      </c>
      <c r="C3" s="1">
        <v>0.14030228559999999</v>
      </c>
      <c r="D3" s="1">
        <f>(C3-($G$6+$G$7*B3))/(($G$3+$G$4*B3)-($G$6+$G$7*B3))</f>
        <v>0.99680661050608299</v>
      </c>
      <c r="F3" s="2" t="s">
        <v>4</v>
      </c>
      <c r="G3" s="1">
        <f>INTERCEPT(C3:C28,B3:B28)</f>
        <v>0.13844006984012497</v>
      </c>
    </row>
    <row r="4" spans="2:8" x14ac:dyDescent="0.2">
      <c r="B4" s="1">
        <v>40.819999690000003</v>
      </c>
      <c r="C4" s="1">
        <v>0.1404239833</v>
      </c>
      <c r="D4" s="1">
        <f t="shared" ref="D4:D67" si="0">(C4-($G$6+$G$7*B4))/(($G$3+$G$4*B4)-($G$6+$G$7*B4))</f>
        <v>1.0010193132520704</v>
      </c>
      <c r="F4" s="2" t="s">
        <v>5</v>
      </c>
      <c r="G4" s="1">
        <f>SLOPE(C3:C29,B3:B29)</f>
        <v>4.8009048835989608E-5</v>
      </c>
    </row>
    <row r="5" spans="2:8" x14ac:dyDescent="0.2">
      <c r="B5" s="1">
        <v>41.16999817</v>
      </c>
      <c r="C5" s="1">
        <v>0.140423879</v>
      </c>
      <c r="D5" s="1">
        <f t="shared" si="0"/>
        <v>1.0003071517148703</v>
      </c>
      <c r="F5" s="2"/>
    </row>
    <row r="6" spans="2:8" x14ac:dyDescent="0.2">
      <c r="B6" s="1">
        <v>41.569999690000003</v>
      </c>
      <c r="C6" s="1">
        <v>0.14047105609999999</v>
      </c>
      <c r="D6" s="1">
        <f t="shared" si="0"/>
        <v>1.0014904298832987</v>
      </c>
      <c r="F6" s="2" t="s">
        <v>2</v>
      </c>
      <c r="G6" s="1">
        <f>INTERCEPT($C$105:$C$139,$B$105:$B$139)</f>
        <v>0.11063731111522165</v>
      </c>
    </row>
    <row r="7" spans="2:8" x14ac:dyDescent="0.2">
      <c r="B7" s="1">
        <v>41.97000122</v>
      </c>
      <c r="C7" s="1">
        <v>0.14045090969999999</v>
      </c>
      <c r="D7" s="1">
        <f t="shared" si="0"/>
        <v>0.99982635319920454</v>
      </c>
      <c r="F7" s="2" t="s">
        <v>3</v>
      </c>
      <c r="G7" s="1">
        <f>SLOPE($C$105:$C$139,$B$105:$B$139)</f>
        <v>1.4788365281311693E-4</v>
      </c>
    </row>
    <row r="8" spans="2:8" x14ac:dyDescent="0.2">
      <c r="B8" s="1">
        <v>42.41999817</v>
      </c>
      <c r="C8" s="1">
        <v>0.14066955449999999</v>
      </c>
      <c r="D8" s="1">
        <f t="shared" si="0"/>
        <v>1.0081872297297179</v>
      </c>
      <c r="G8" s="4"/>
    </row>
    <row r="9" spans="2:8" ht="14.25" x14ac:dyDescent="0.25">
      <c r="B9" s="1">
        <v>42.770000459999999</v>
      </c>
      <c r="C9" s="1">
        <v>0.14067138730000001</v>
      </c>
      <c r="D9" s="1">
        <f t="shared" si="0"/>
        <v>1.0075631931228173</v>
      </c>
      <c r="F9" s="2" t="s">
        <v>13</v>
      </c>
      <c r="G9" s="4">
        <v>1E-4</v>
      </c>
      <c r="H9" s="1" t="s">
        <v>10</v>
      </c>
    </row>
    <row r="10" spans="2:8" x14ac:dyDescent="0.2">
      <c r="B10" s="1">
        <v>43.16999817</v>
      </c>
      <c r="C10" s="1">
        <v>0.14064744109999999</v>
      </c>
      <c r="D10" s="1">
        <f t="shared" si="0"/>
        <v>1.0057392073934954</v>
      </c>
    </row>
    <row r="11" spans="2:8" x14ac:dyDescent="0.2">
      <c r="B11" s="1">
        <v>43.619998930000001</v>
      </c>
      <c r="C11" s="1">
        <v>0.14056575299999999</v>
      </c>
      <c r="D11" s="1">
        <f t="shared" si="0"/>
        <v>1.0013447152439001</v>
      </c>
    </row>
    <row r="12" spans="2:8" x14ac:dyDescent="0.2">
      <c r="B12" s="1">
        <v>43.97000122</v>
      </c>
      <c r="C12" s="1">
        <v>0.14076691869999999</v>
      </c>
      <c r="D12" s="1">
        <f t="shared" si="0"/>
        <v>1.0092216655947137</v>
      </c>
    </row>
    <row r="13" spans="2:8" x14ac:dyDescent="0.2">
      <c r="B13" s="1">
        <v>44.369998930000001</v>
      </c>
      <c r="C13" s="1">
        <v>0.140723139</v>
      </c>
      <c r="D13" s="1">
        <f t="shared" si="0"/>
        <v>1.0065425357674502</v>
      </c>
    </row>
    <row r="14" spans="2:8" x14ac:dyDescent="0.2">
      <c r="B14" s="1">
        <v>44.770000459999999</v>
      </c>
      <c r="C14" s="1">
        <v>0.14088003339999999</v>
      </c>
      <c r="D14" s="1">
        <f t="shared" si="0"/>
        <v>1.0124552646623941</v>
      </c>
    </row>
    <row r="15" spans="2:8" x14ac:dyDescent="0.2">
      <c r="B15" s="1">
        <v>45.16999817</v>
      </c>
      <c r="C15" s="1">
        <v>0.14076447489999999</v>
      </c>
      <c r="D15" s="1">
        <f t="shared" si="0"/>
        <v>1.0066907209362856</v>
      </c>
    </row>
    <row r="16" spans="2:8" x14ac:dyDescent="0.2">
      <c r="B16" s="1">
        <v>45.569999690000003</v>
      </c>
      <c r="C16" s="1">
        <v>0.1408211738</v>
      </c>
      <c r="D16" s="1">
        <f t="shared" si="0"/>
        <v>1.0083148116622209</v>
      </c>
    </row>
    <row r="17" spans="2:4" x14ac:dyDescent="0.2">
      <c r="B17" s="1">
        <v>46.020000459999999</v>
      </c>
      <c r="C17" s="1">
        <v>0.14094416800000001</v>
      </c>
      <c r="D17" s="1">
        <f t="shared" si="0"/>
        <v>1.0126999477271545</v>
      </c>
    </row>
    <row r="18" spans="2:4" x14ac:dyDescent="0.2">
      <c r="B18" s="1">
        <v>46.41999817</v>
      </c>
      <c r="C18" s="1">
        <v>0.1408709437</v>
      </c>
      <c r="D18" s="1">
        <f t="shared" si="0"/>
        <v>1.0087321435701553</v>
      </c>
    </row>
    <row r="19" spans="2:4" x14ac:dyDescent="0.2">
      <c r="B19" s="1">
        <v>46.770000459999999</v>
      </c>
      <c r="C19" s="1">
        <v>0.14091397820000001</v>
      </c>
      <c r="D19" s="1">
        <f t="shared" si="0"/>
        <v>1.0098793378776987</v>
      </c>
    </row>
    <row r="20" spans="2:4" x14ac:dyDescent="0.2">
      <c r="B20" s="1">
        <v>47.16999817</v>
      </c>
      <c r="C20" s="1">
        <v>0.14079290629999999</v>
      </c>
      <c r="D20" s="1">
        <f t="shared" si="0"/>
        <v>1.0038217114426955</v>
      </c>
    </row>
    <row r="21" spans="2:4" x14ac:dyDescent="0.2">
      <c r="B21" s="1">
        <v>47.619998930000001</v>
      </c>
      <c r="C21" s="1">
        <v>0.14077810939999999</v>
      </c>
      <c r="D21" s="1">
        <f t="shared" si="0"/>
        <v>1.0022497206869077</v>
      </c>
    </row>
    <row r="22" spans="2:4" x14ac:dyDescent="0.2">
      <c r="B22" s="1">
        <v>47.97000122</v>
      </c>
      <c r="C22" s="1">
        <v>0.14078900220000001</v>
      </c>
      <c r="D22" s="1">
        <f t="shared" si="0"/>
        <v>1.001996292373655</v>
      </c>
    </row>
    <row r="23" spans="2:4" x14ac:dyDescent="0.2">
      <c r="B23" s="1">
        <v>48.369998930000001</v>
      </c>
      <c r="C23" s="1">
        <v>0.14078556</v>
      </c>
      <c r="D23" s="1">
        <f t="shared" si="0"/>
        <v>1.0010139603545276</v>
      </c>
    </row>
    <row r="24" spans="2:4" x14ac:dyDescent="0.2">
      <c r="B24" s="1">
        <v>48.819999690000003</v>
      </c>
      <c r="C24" s="1">
        <v>0.1409188509</v>
      </c>
      <c r="D24" s="1">
        <f t="shared" si="0"/>
        <v>1.0058873822828496</v>
      </c>
    </row>
    <row r="25" spans="2:4" x14ac:dyDescent="0.2">
      <c r="B25" s="1">
        <v>49.22000122</v>
      </c>
      <c r="C25" s="1">
        <v>0.14101487400000001</v>
      </c>
      <c r="D25" s="1">
        <f t="shared" si="0"/>
        <v>1.0092541337823639</v>
      </c>
    </row>
    <row r="26" spans="2:4" x14ac:dyDescent="0.2">
      <c r="B26" s="1">
        <v>49.619998930000001</v>
      </c>
      <c r="C26" s="1">
        <v>0.14084424079999999</v>
      </c>
      <c r="D26" s="1">
        <f t="shared" si="0"/>
        <v>1.0009612652113549</v>
      </c>
    </row>
    <row r="27" spans="2:4" x14ac:dyDescent="0.2">
      <c r="B27" s="1">
        <v>49.97000122</v>
      </c>
      <c r="C27" s="1">
        <v>0.1408681571</v>
      </c>
      <c r="D27" s="1">
        <f t="shared" si="0"/>
        <v>1.0012745484640442</v>
      </c>
    </row>
    <row r="28" spans="2:4" x14ac:dyDescent="0.2">
      <c r="B28" s="1">
        <v>50.41999817</v>
      </c>
      <c r="C28" s="1">
        <v>0.1408225447</v>
      </c>
      <c r="D28" s="1">
        <f t="shared" si="0"/>
        <v>0.99832471743081419</v>
      </c>
    </row>
    <row r="29" spans="2:4" x14ac:dyDescent="0.2">
      <c r="B29" s="1">
        <v>50.770000459999999</v>
      </c>
      <c r="C29" s="1">
        <v>0.14087753</v>
      </c>
      <c r="D29" s="1">
        <f t="shared" si="0"/>
        <v>1.0000017916665349</v>
      </c>
    </row>
    <row r="30" spans="2:4" x14ac:dyDescent="0.2">
      <c r="B30" s="1">
        <v>51.16999817</v>
      </c>
      <c r="C30" s="1">
        <v>0.14067649839999999</v>
      </c>
      <c r="D30" s="1">
        <f t="shared" si="0"/>
        <v>0.99029646223380829</v>
      </c>
    </row>
    <row r="31" spans="2:4" x14ac:dyDescent="0.2">
      <c r="B31" s="1">
        <v>51.619998930000001</v>
      </c>
      <c r="C31" s="1">
        <v>0.1408614218</v>
      </c>
      <c r="D31" s="1">
        <f t="shared" si="0"/>
        <v>0.9974886515828757</v>
      </c>
    </row>
    <row r="32" spans="2:4" x14ac:dyDescent="0.2">
      <c r="B32" s="1">
        <v>52.020000459999999</v>
      </c>
      <c r="C32" s="1">
        <v>0.14096029099999999</v>
      </c>
      <c r="D32" s="1">
        <f t="shared" si="0"/>
        <v>1.0010081007334006</v>
      </c>
    </row>
    <row r="33" spans="2:5" x14ac:dyDescent="0.2">
      <c r="B33" s="1">
        <v>52.41999817</v>
      </c>
      <c r="C33" s="1">
        <v>0.1407463253</v>
      </c>
      <c r="D33" s="1">
        <f t="shared" si="0"/>
        <v>0.99067772873229532</v>
      </c>
    </row>
    <row r="34" spans="2:5" x14ac:dyDescent="0.2">
      <c r="B34" s="1">
        <v>52.819999690000003</v>
      </c>
      <c r="C34" s="1">
        <v>0.14080542330000001</v>
      </c>
      <c r="D34" s="1">
        <f t="shared" si="0"/>
        <v>0.99243212178654938</v>
      </c>
    </row>
    <row r="35" spans="2:5" x14ac:dyDescent="0.2">
      <c r="B35" s="1">
        <v>53.16999817</v>
      </c>
      <c r="C35" s="1">
        <v>0.1407037079</v>
      </c>
      <c r="D35" s="1">
        <f t="shared" si="0"/>
        <v>0.98715109805738166</v>
      </c>
    </row>
    <row r="36" spans="2:5" x14ac:dyDescent="0.2">
      <c r="B36" s="1">
        <v>53.569999690000003</v>
      </c>
      <c r="C36" s="1">
        <v>0.14061312379999999</v>
      </c>
      <c r="D36" s="1">
        <f t="shared" si="0"/>
        <v>0.9822384503399888</v>
      </c>
      <c r="E36" s="3"/>
    </row>
    <row r="37" spans="2:5" x14ac:dyDescent="0.2">
      <c r="B37" s="1">
        <v>54.020000459999999</v>
      </c>
      <c r="C37" s="1">
        <v>0.140596956</v>
      </c>
      <c r="D37" s="1">
        <f t="shared" si="0"/>
        <v>0.98051714623534481</v>
      </c>
    </row>
    <row r="38" spans="2:5" x14ac:dyDescent="0.2">
      <c r="B38" s="1">
        <v>54.369998930000001</v>
      </c>
      <c r="C38" s="1">
        <v>0.14063595240000001</v>
      </c>
      <c r="D38" s="1">
        <f t="shared" si="0"/>
        <v>0.98147869236852325</v>
      </c>
    </row>
    <row r="39" spans="2:5" x14ac:dyDescent="0.2">
      <c r="B39" s="1">
        <v>54.770000459999999</v>
      </c>
      <c r="C39" s="1">
        <v>0.14063444729999999</v>
      </c>
      <c r="D39" s="1">
        <f t="shared" si="0"/>
        <v>0.98051827156848947</v>
      </c>
    </row>
    <row r="40" spans="2:5" x14ac:dyDescent="0.2">
      <c r="B40" s="1">
        <v>55.22000122</v>
      </c>
      <c r="C40" s="1">
        <v>0.1405031085</v>
      </c>
      <c r="D40" s="1">
        <f t="shared" si="0"/>
        <v>0.97361676957748899</v>
      </c>
    </row>
    <row r="41" spans="2:5" x14ac:dyDescent="0.2">
      <c r="B41" s="1">
        <v>55.569999690000003</v>
      </c>
      <c r="C41" s="1">
        <v>0.14049784840000001</v>
      </c>
      <c r="D41" s="1">
        <f t="shared" si="0"/>
        <v>0.9725838424789176</v>
      </c>
    </row>
    <row r="42" spans="2:5" x14ac:dyDescent="0.2">
      <c r="B42" s="1">
        <v>56.020000459999999</v>
      </c>
      <c r="C42" s="1">
        <v>0.14045560360000001</v>
      </c>
      <c r="D42" s="1">
        <f t="shared" si="0"/>
        <v>0.96965328925673766</v>
      </c>
    </row>
    <row r="43" spans="2:5" x14ac:dyDescent="0.2">
      <c r="B43" s="1">
        <v>56.369998930000001</v>
      </c>
      <c r="C43" s="1">
        <v>0.14033021030000001</v>
      </c>
      <c r="D43" s="1">
        <f t="shared" si="0"/>
        <v>0.96319235446559781</v>
      </c>
    </row>
    <row r="44" spans="2:5" x14ac:dyDescent="0.2">
      <c r="B44" s="1">
        <v>56.819999690000003</v>
      </c>
      <c r="C44" s="1">
        <v>0.1404620707</v>
      </c>
      <c r="D44" s="1">
        <f t="shared" si="0"/>
        <v>0.96810028072153065</v>
      </c>
    </row>
    <row r="45" spans="2:5" x14ac:dyDescent="0.2">
      <c r="B45" s="1">
        <v>57.16999817</v>
      </c>
      <c r="C45" s="1">
        <v>0.1402824372</v>
      </c>
      <c r="D45" s="1">
        <f t="shared" si="0"/>
        <v>0.95915842922859207</v>
      </c>
    </row>
    <row r="46" spans="2:5" x14ac:dyDescent="0.2">
      <c r="B46" s="1">
        <v>57.520000459999999</v>
      </c>
      <c r="C46" s="1">
        <v>0.14014182980000001</v>
      </c>
      <c r="D46" s="1">
        <f t="shared" si="0"/>
        <v>0.95195747926033958</v>
      </c>
    </row>
    <row r="47" spans="2:5" x14ac:dyDescent="0.2">
      <c r="B47" s="1">
        <v>57.97000122</v>
      </c>
      <c r="C47" s="1">
        <v>0.13996711370000001</v>
      </c>
      <c r="D47" s="1">
        <f t="shared" si="0"/>
        <v>0.94294102698952287</v>
      </c>
    </row>
    <row r="48" spans="2:5" x14ac:dyDescent="0.2">
      <c r="B48" s="1">
        <v>58.41999817</v>
      </c>
      <c r="C48" s="1">
        <v>0.13998273019999999</v>
      </c>
      <c r="D48" s="1">
        <f t="shared" si="0"/>
        <v>0.94255174215222537</v>
      </c>
    </row>
    <row r="49" spans="2:4" x14ac:dyDescent="0.2">
      <c r="B49" s="1">
        <v>58.770000459999999</v>
      </c>
      <c r="C49" s="1">
        <v>0.1399232</v>
      </c>
      <c r="D49" s="1">
        <f t="shared" si="0"/>
        <v>0.9389799006370898</v>
      </c>
    </row>
    <row r="50" spans="2:4" x14ac:dyDescent="0.2">
      <c r="B50" s="1">
        <v>59.22000122</v>
      </c>
      <c r="C50" s="1">
        <v>0.1397456825</v>
      </c>
      <c r="D50" s="1">
        <f t="shared" si="0"/>
        <v>0.9297573872852416</v>
      </c>
    </row>
    <row r="51" spans="2:4" x14ac:dyDescent="0.2">
      <c r="B51" s="1">
        <v>59.569999690000003</v>
      </c>
      <c r="C51" s="1">
        <v>0.13973300159999999</v>
      </c>
      <c r="D51" s="1">
        <f t="shared" si="0"/>
        <v>0.92829584619725247</v>
      </c>
    </row>
    <row r="52" spans="2:4" x14ac:dyDescent="0.2">
      <c r="B52" s="1">
        <v>59.97000122</v>
      </c>
      <c r="C52" s="1">
        <v>0.1394914538</v>
      </c>
      <c r="D52" s="1">
        <f t="shared" si="0"/>
        <v>0.91621072692956829</v>
      </c>
    </row>
    <row r="53" spans="2:4" x14ac:dyDescent="0.2">
      <c r="B53" s="1">
        <v>60.369998930000001</v>
      </c>
      <c r="C53" s="1">
        <v>0.13940951230000001</v>
      </c>
      <c r="D53" s="1">
        <f t="shared" si="0"/>
        <v>0.91141162805655029</v>
      </c>
    </row>
    <row r="54" spans="2:4" x14ac:dyDescent="0.2">
      <c r="B54" s="1">
        <v>60.819999690000003</v>
      </c>
      <c r="C54" s="1">
        <v>0.13906073569999999</v>
      </c>
      <c r="D54" s="1">
        <f t="shared" si="0"/>
        <v>0.89418245123786078</v>
      </c>
    </row>
    <row r="55" spans="2:4" x14ac:dyDescent="0.2">
      <c r="B55" s="1">
        <v>61.22000122</v>
      </c>
      <c r="C55" s="1">
        <v>0.13896889979999999</v>
      </c>
      <c r="D55" s="1">
        <f t="shared" si="0"/>
        <v>0.88886777539235351</v>
      </c>
    </row>
    <row r="56" spans="2:4" x14ac:dyDescent="0.2">
      <c r="B56" s="1">
        <v>61.619998930000001</v>
      </c>
      <c r="C56" s="1">
        <v>0.13893781599999999</v>
      </c>
      <c r="D56" s="1">
        <f t="shared" si="0"/>
        <v>0.88633979262184048</v>
      </c>
    </row>
    <row r="57" spans="2:4" x14ac:dyDescent="0.2">
      <c r="B57" s="1">
        <v>61.97000122</v>
      </c>
      <c r="C57" s="1">
        <v>0.13870948550000001</v>
      </c>
      <c r="D57" s="1">
        <f t="shared" si="0"/>
        <v>0.87481428388372973</v>
      </c>
    </row>
    <row r="58" spans="2:4" x14ac:dyDescent="0.2">
      <c r="B58" s="1">
        <v>62.369998930000001</v>
      </c>
      <c r="C58" s="1">
        <v>0.1385307163</v>
      </c>
      <c r="D58" s="1">
        <f t="shared" si="0"/>
        <v>0.86540583927026749</v>
      </c>
    </row>
    <row r="59" spans="2:4" x14ac:dyDescent="0.2">
      <c r="B59" s="1">
        <v>62.819999690000003</v>
      </c>
      <c r="C59" s="1">
        <v>0.13819830120000001</v>
      </c>
      <c r="D59" s="1">
        <f t="shared" si="0"/>
        <v>0.84868075000947518</v>
      </c>
    </row>
    <row r="60" spans="2:4" x14ac:dyDescent="0.2">
      <c r="B60" s="1">
        <v>63.16999817</v>
      </c>
      <c r="C60" s="1">
        <v>0.13791464270000001</v>
      </c>
      <c r="D60" s="1">
        <f t="shared" si="0"/>
        <v>0.83445558702090561</v>
      </c>
    </row>
    <row r="61" spans="2:4" x14ac:dyDescent="0.2">
      <c r="B61" s="1">
        <v>63.569999690000003</v>
      </c>
      <c r="C61" s="1">
        <v>0.1377713233</v>
      </c>
      <c r="D61" s="1">
        <f t="shared" si="0"/>
        <v>0.82657180227639448</v>
      </c>
    </row>
    <row r="62" spans="2:4" x14ac:dyDescent="0.2">
      <c r="B62" s="1">
        <v>64.019996640000002</v>
      </c>
      <c r="C62" s="1">
        <v>0.1375204474</v>
      </c>
      <c r="D62" s="1">
        <f t="shared" si="0"/>
        <v>0.81348024989177337</v>
      </c>
    </row>
    <row r="63" spans="2:4" x14ac:dyDescent="0.2">
      <c r="B63" s="1">
        <v>64.370002749999998</v>
      </c>
      <c r="C63" s="1">
        <v>0.1373072863</v>
      </c>
      <c r="D63" s="1">
        <f t="shared" si="0"/>
        <v>0.8024160336383851</v>
      </c>
    </row>
    <row r="64" spans="2:4" x14ac:dyDescent="0.2">
      <c r="B64" s="1">
        <v>64.819999690000003</v>
      </c>
      <c r="C64" s="1">
        <v>0.1369181126</v>
      </c>
      <c r="D64" s="1">
        <f t="shared" si="0"/>
        <v>0.78274047835437233</v>
      </c>
    </row>
    <row r="65" spans="2:4" x14ac:dyDescent="0.2">
      <c r="B65" s="1">
        <v>65.22000122</v>
      </c>
      <c r="C65" s="1">
        <v>0.13678152860000001</v>
      </c>
      <c r="D65" s="1">
        <f t="shared" si="0"/>
        <v>0.77501500055390682</v>
      </c>
    </row>
    <row r="66" spans="2:4" x14ac:dyDescent="0.2">
      <c r="B66" s="1">
        <v>65.569999690000003</v>
      </c>
      <c r="C66" s="1">
        <v>0.1364508867</v>
      </c>
      <c r="D66" s="1">
        <f t="shared" si="0"/>
        <v>0.75829768249422935</v>
      </c>
    </row>
    <row r="67" spans="2:4" x14ac:dyDescent="0.2">
      <c r="B67" s="1">
        <v>66.019996640000002</v>
      </c>
      <c r="C67" s="1">
        <v>0.13597944379999999</v>
      </c>
      <c r="D67" s="1">
        <f t="shared" si="0"/>
        <v>0.73453848491215668</v>
      </c>
    </row>
    <row r="68" spans="2:4" x14ac:dyDescent="0.2">
      <c r="B68" s="1">
        <v>66.47000122</v>
      </c>
      <c r="C68" s="1">
        <v>0.13554802539999999</v>
      </c>
      <c r="D68" s="1">
        <f t="shared" ref="D68:D131" si="1">(C68-($G$6+$G$7*B68))/(($G$3+$G$4*B68)-($G$6+$G$7*B68))</f>
        <v>0.71256950249079898</v>
      </c>
    </row>
    <row r="69" spans="2:4" x14ac:dyDescent="0.2">
      <c r="B69" s="1">
        <v>66.769996640000002</v>
      </c>
      <c r="C69" s="1">
        <v>0.13532035049999999</v>
      </c>
      <c r="D69" s="1">
        <f t="shared" si="1"/>
        <v>0.70070767781993659</v>
      </c>
    </row>
    <row r="70" spans="2:4" x14ac:dyDescent="0.2">
      <c r="B70" s="1">
        <v>67.120002749999998</v>
      </c>
      <c r="C70" s="1">
        <v>0.13496311010000001</v>
      </c>
      <c r="D70" s="1">
        <f t="shared" si="1"/>
        <v>0.68248392555243731</v>
      </c>
    </row>
    <row r="71" spans="2:4" x14ac:dyDescent="0.2">
      <c r="B71" s="1">
        <v>67.569999690000003</v>
      </c>
      <c r="C71" s="1">
        <v>0.1344573647</v>
      </c>
      <c r="D71" s="1">
        <f t="shared" si="1"/>
        <v>0.65675895298830989</v>
      </c>
    </row>
    <row r="72" spans="2:4" x14ac:dyDescent="0.2">
      <c r="B72" s="1">
        <v>67.959999080000003</v>
      </c>
      <c r="C72" s="1">
        <v>0.13412459190000001</v>
      </c>
      <c r="D72" s="1">
        <f t="shared" si="1"/>
        <v>0.63939702010017685</v>
      </c>
    </row>
    <row r="73" spans="2:4" x14ac:dyDescent="0.2">
      <c r="B73" s="1">
        <v>68.41999817</v>
      </c>
      <c r="C73" s="1">
        <v>0.13368071619999999</v>
      </c>
      <c r="D73" s="1">
        <f t="shared" si="1"/>
        <v>0.61638595932524876</v>
      </c>
    </row>
    <row r="74" spans="2:4" x14ac:dyDescent="0.2">
      <c r="B74" s="1">
        <v>68.819999690000003</v>
      </c>
      <c r="C74" s="1">
        <v>0.13318669799999999</v>
      </c>
      <c r="D74" s="1">
        <f t="shared" si="1"/>
        <v>0.59113212686641625</v>
      </c>
    </row>
    <row r="75" spans="2:4" x14ac:dyDescent="0.2">
      <c r="B75" s="1">
        <v>69.22000122</v>
      </c>
      <c r="C75" s="1">
        <v>0.13264229890000001</v>
      </c>
      <c r="D75" s="1">
        <f t="shared" si="1"/>
        <v>0.56336991287525018</v>
      </c>
    </row>
    <row r="76" spans="2:4" x14ac:dyDescent="0.2">
      <c r="B76" s="1">
        <v>69.569999690000003</v>
      </c>
      <c r="C76" s="1">
        <v>0.13215401769999999</v>
      </c>
      <c r="D76" s="1">
        <f t="shared" si="1"/>
        <v>0.53841858092758987</v>
      </c>
    </row>
    <row r="77" spans="2:4" x14ac:dyDescent="0.2">
      <c r="B77" s="1">
        <v>69.97000122</v>
      </c>
      <c r="C77" s="1">
        <v>0.13151969020000001</v>
      </c>
      <c r="D77" s="1">
        <f t="shared" si="1"/>
        <v>0.50613482120018971</v>
      </c>
    </row>
    <row r="78" spans="2:4" x14ac:dyDescent="0.2">
      <c r="B78" s="1">
        <v>70.36000061</v>
      </c>
      <c r="C78" s="1">
        <v>0.13111858069999999</v>
      </c>
      <c r="D78" s="1">
        <f t="shared" si="1"/>
        <v>0.48500089727866535</v>
      </c>
    </row>
    <row r="79" spans="2:4" x14ac:dyDescent="0.2">
      <c r="B79" s="1">
        <v>70.769996640000002</v>
      </c>
      <c r="C79" s="1">
        <v>0.13064567739999999</v>
      </c>
      <c r="D79" s="1">
        <f t="shared" si="1"/>
        <v>0.46022712420215328</v>
      </c>
    </row>
    <row r="80" spans="2:4" x14ac:dyDescent="0.2">
      <c r="B80" s="1">
        <v>71.16999817</v>
      </c>
      <c r="C80" s="1">
        <v>0.13007424770000001</v>
      </c>
      <c r="D80" s="1">
        <f t="shared" si="1"/>
        <v>0.43064477659056971</v>
      </c>
    </row>
    <row r="81" spans="2:4" x14ac:dyDescent="0.2">
      <c r="B81" s="1">
        <v>71.569999690000003</v>
      </c>
      <c r="C81" s="1">
        <v>0.12940946219999999</v>
      </c>
      <c r="D81" s="1">
        <f t="shared" si="1"/>
        <v>0.39642816783670248</v>
      </c>
    </row>
    <row r="82" spans="2:4" x14ac:dyDescent="0.2">
      <c r="B82" s="1">
        <v>71.97000122</v>
      </c>
      <c r="C82" s="1">
        <v>0.12894411389999999</v>
      </c>
      <c r="D82" s="1">
        <f t="shared" si="1"/>
        <v>0.37175341498835113</v>
      </c>
    </row>
    <row r="83" spans="2:4" x14ac:dyDescent="0.2">
      <c r="B83" s="1">
        <v>72.41999817</v>
      </c>
      <c r="C83" s="1">
        <v>0.12829652429999999</v>
      </c>
      <c r="D83" s="1">
        <f t="shared" si="1"/>
        <v>0.33784799925847875</v>
      </c>
    </row>
    <row r="84" spans="2:4" x14ac:dyDescent="0.2">
      <c r="B84" s="1">
        <v>72.819999690000003</v>
      </c>
      <c r="C84" s="1">
        <v>0.12775300440000001</v>
      </c>
      <c r="D84" s="1">
        <f t="shared" si="1"/>
        <v>0.30914952314083299</v>
      </c>
    </row>
    <row r="85" spans="2:4" x14ac:dyDescent="0.2">
      <c r="B85" s="1">
        <v>73.120002749999998</v>
      </c>
      <c r="C85" s="1">
        <v>0.1274420768</v>
      </c>
      <c r="D85" s="1">
        <f t="shared" si="1"/>
        <v>0.29226994151347729</v>
      </c>
    </row>
    <row r="86" spans="2:4" x14ac:dyDescent="0.2">
      <c r="B86" s="1">
        <v>73.559997559999999</v>
      </c>
      <c r="C86" s="1">
        <v>0.12676168979999999</v>
      </c>
      <c r="D86" s="1">
        <f t="shared" si="1"/>
        <v>0.25645589943175839</v>
      </c>
    </row>
    <row r="87" spans="2:4" x14ac:dyDescent="0.2">
      <c r="B87" s="1">
        <v>73.97000122</v>
      </c>
      <c r="C87" s="1">
        <v>0.12631715830000001</v>
      </c>
      <c r="D87" s="1">
        <f t="shared" si="1"/>
        <v>0.23222558295359655</v>
      </c>
    </row>
    <row r="88" spans="2:4" x14ac:dyDescent="0.2">
      <c r="B88" s="1">
        <v>74.41999817</v>
      </c>
      <c r="C88" s="1">
        <v>0.12573423980000001</v>
      </c>
      <c r="D88" s="1">
        <f t="shared" si="1"/>
        <v>0.20085465191180979</v>
      </c>
    </row>
    <row r="89" spans="2:4" x14ac:dyDescent="0.2">
      <c r="B89" s="1">
        <v>74.769996640000002</v>
      </c>
      <c r="C89" s="1">
        <v>0.12524719540000001</v>
      </c>
      <c r="D89" s="1">
        <f t="shared" si="1"/>
        <v>0.17470373688754354</v>
      </c>
    </row>
    <row r="90" spans="2:4" x14ac:dyDescent="0.2">
      <c r="B90" s="1">
        <v>75.22000122</v>
      </c>
      <c r="C90" s="1">
        <v>0.1246893033</v>
      </c>
      <c r="D90" s="1">
        <f t="shared" si="1"/>
        <v>0.14431523366924326</v>
      </c>
    </row>
    <row r="91" spans="2:4" x14ac:dyDescent="0.2">
      <c r="B91" s="1">
        <v>75.620002749999998</v>
      </c>
      <c r="C91" s="1">
        <v>0.1244743168</v>
      </c>
      <c r="D91" s="1">
        <f t="shared" si="1"/>
        <v>0.13106231505119251</v>
      </c>
    </row>
    <row r="92" spans="2:4" x14ac:dyDescent="0.2">
      <c r="B92" s="1">
        <v>76.019996640000002</v>
      </c>
      <c r="C92" s="1">
        <v>0.12412774560000001</v>
      </c>
      <c r="D92" s="1">
        <f t="shared" si="1"/>
        <v>0.11124627649886858</v>
      </c>
    </row>
    <row r="93" spans="2:4" x14ac:dyDescent="0.2">
      <c r="B93" s="1">
        <v>76.370002749999998</v>
      </c>
      <c r="C93" s="1">
        <v>0.1238102615</v>
      </c>
      <c r="D93" s="1">
        <f t="shared" si="1"/>
        <v>9.3137259823853957E-2</v>
      </c>
    </row>
    <row r="94" spans="2:4" x14ac:dyDescent="0.2">
      <c r="B94" s="1">
        <v>76.819999690000003</v>
      </c>
      <c r="C94" s="1">
        <v>0.12353243680000001</v>
      </c>
      <c r="D94" s="1">
        <f t="shared" si="1"/>
        <v>7.6238135156100673E-2</v>
      </c>
    </row>
    <row r="95" spans="2:4" x14ac:dyDescent="0.2">
      <c r="B95" s="1">
        <v>77.22000122</v>
      </c>
      <c r="C95" s="1">
        <v>0.1233263463</v>
      </c>
      <c r="D95" s="1">
        <f t="shared" si="1"/>
        <v>6.318722873803366E-2</v>
      </c>
    </row>
    <row r="96" spans="2:4" x14ac:dyDescent="0.2">
      <c r="B96" s="1">
        <v>77.569999690000003</v>
      </c>
      <c r="C96" s="1">
        <v>0.12312781070000001</v>
      </c>
      <c r="D96" s="1">
        <f t="shared" si="1"/>
        <v>5.0817252489684224E-2</v>
      </c>
    </row>
    <row r="97" spans="2:4" x14ac:dyDescent="0.2">
      <c r="B97" s="1">
        <v>77.97000122</v>
      </c>
      <c r="C97" s="1">
        <v>0.1232576817</v>
      </c>
      <c r="D97" s="1">
        <f t="shared" si="1"/>
        <v>5.4451802298539125E-2</v>
      </c>
    </row>
    <row r="98" spans="2:4" x14ac:dyDescent="0.2">
      <c r="B98" s="1">
        <v>78.370002749999998</v>
      </c>
      <c r="C98" s="1">
        <v>0.1228578761</v>
      </c>
      <c r="D98" s="1">
        <f t="shared" si="1"/>
        <v>3.1584691205303259E-2</v>
      </c>
    </row>
    <row r="99" spans="2:4" x14ac:dyDescent="0.2">
      <c r="B99" s="1">
        <v>78.769996640000002</v>
      </c>
      <c r="C99" s="1">
        <v>0.12279594689999999</v>
      </c>
      <c r="D99" s="1">
        <f t="shared" si="1"/>
        <v>2.5574350206732103E-2</v>
      </c>
    </row>
    <row r="100" spans="2:4" x14ac:dyDescent="0.2">
      <c r="B100" s="1">
        <v>79.16999817</v>
      </c>
      <c r="C100" s="1">
        <v>0.1226789504</v>
      </c>
      <c r="D100" s="1">
        <f t="shared" si="1"/>
        <v>1.6772015482338073E-2</v>
      </c>
    </row>
    <row r="101" spans="2:4" x14ac:dyDescent="0.2">
      <c r="B101" s="1">
        <v>79.620002749999998</v>
      </c>
      <c r="C101" s="1">
        <v>0.1226977333</v>
      </c>
      <c r="D101" s="1">
        <f t="shared" si="1"/>
        <v>1.4403760533547577E-2</v>
      </c>
    </row>
    <row r="102" spans="2:4" x14ac:dyDescent="0.2">
      <c r="B102" s="1">
        <v>80.019996640000002</v>
      </c>
      <c r="C102" s="1">
        <v>0.1226126179</v>
      </c>
      <c r="D102" s="1">
        <f t="shared" si="1"/>
        <v>7.1505154676295476E-3</v>
      </c>
    </row>
    <row r="103" spans="2:4" x14ac:dyDescent="0.2">
      <c r="B103" s="1">
        <v>80.370002749999998</v>
      </c>
      <c r="C103" s="1">
        <v>0.1227212176</v>
      </c>
      <c r="D103" s="1">
        <f t="shared" si="1"/>
        <v>1.0037345384654861E-2</v>
      </c>
    </row>
    <row r="104" spans="2:4" x14ac:dyDescent="0.2">
      <c r="B104" s="1">
        <v>80.769996640000002</v>
      </c>
      <c r="C104" s="1">
        <v>0.1227011606</v>
      </c>
      <c r="D104" s="1">
        <f t="shared" si="1"/>
        <v>6.0441844927126677E-3</v>
      </c>
    </row>
    <row r="105" spans="2:4" x14ac:dyDescent="0.2">
      <c r="B105" s="1">
        <v>81.22000122</v>
      </c>
      <c r="C105" s="1">
        <v>0.12266713379999999</v>
      </c>
      <c r="D105" s="1">
        <f t="shared" si="1"/>
        <v>9.5029591138505053E-4</v>
      </c>
    </row>
    <row r="106" spans="2:4" x14ac:dyDescent="0.2">
      <c r="B106" s="1">
        <v>81.620002749999998</v>
      </c>
      <c r="C106" s="1">
        <v>0.12285237760000001</v>
      </c>
      <c r="D106" s="1">
        <f t="shared" si="1"/>
        <v>7.368703122298606E-3</v>
      </c>
    </row>
    <row r="107" spans="2:4" x14ac:dyDescent="0.2">
      <c r="B107" s="1">
        <v>81.97000122</v>
      </c>
      <c r="C107" s="1">
        <v>0.122770533</v>
      </c>
      <c r="D107" s="1">
        <f t="shared" si="1"/>
        <v>5.7089426825801266E-4</v>
      </c>
    </row>
    <row r="108" spans="2:4" x14ac:dyDescent="0.2">
      <c r="B108" s="1">
        <v>82.370002749999998</v>
      </c>
      <c r="C108" s="1">
        <v>0.1229342073</v>
      </c>
      <c r="D108" s="1">
        <f t="shared" si="1"/>
        <v>5.9112576474758868E-3</v>
      </c>
    </row>
    <row r="109" spans="2:4" x14ac:dyDescent="0.2">
      <c r="B109" s="1">
        <v>82.769996640000002</v>
      </c>
      <c r="C109" s="1">
        <v>0.1229612455</v>
      </c>
      <c r="D109" s="1">
        <f t="shared" si="1"/>
        <v>4.279501810623209E-3</v>
      </c>
    </row>
    <row r="110" spans="2:4" x14ac:dyDescent="0.2">
      <c r="B110" s="1">
        <v>83.16999817</v>
      </c>
      <c r="C110" s="1">
        <v>0.12289968129999999</v>
      </c>
      <c r="D110" s="1">
        <f t="shared" si="1"/>
        <v>-1.9036002771860539E-3</v>
      </c>
    </row>
    <row r="111" spans="2:4" x14ac:dyDescent="0.2">
      <c r="B111" s="1">
        <v>83.569999690000003</v>
      </c>
      <c r="C111" s="1">
        <v>0.12307814509999999</v>
      </c>
      <c r="D111" s="1">
        <f t="shared" si="1"/>
        <v>4.2247203493964791E-3</v>
      </c>
    </row>
    <row r="112" spans="2:4" x14ac:dyDescent="0.2">
      <c r="B112" s="1">
        <v>83.97000122</v>
      </c>
      <c r="C112" s="1">
        <v>0.1231466085</v>
      </c>
      <c r="D112" s="1">
        <f t="shared" si="1"/>
        <v>4.7128924508191257E-3</v>
      </c>
    </row>
    <row r="113" spans="2:4" x14ac:dyDescent="0.2">
      <c r="B113" s="1">
        <v>84.370002749999998</v>
      </c>
      <c r="C113" s="1">
        <v>0.12309037890000001</v>
      </c>
      <c r="D113" s="1">
        <f t="shared" si="1"/>
        <v>-1.2322457218437201E-3</v>
      </c>
    </row>
    <row r="114" spans="2:4" x14ac:dyDescent="0.2">
      <c r="B114" s="1">
        <v>84.819999690000003</v>
      </c>
      <c r="C114" s="1">
        <v>0.12305419149999999</v>
      </c>
      <c r="D114" s="1">
        <f t="shared" si="1"/>
        <v>-6.5495015745886398E-3</v>
      </c>
    </row>
    <row r="115" spans="2:4" x14ac:dyDescent="0.2">
      <c r="B115" s="1">
        <v>85.160003660000001</v>
      </c>
      <c r="C115" s="1">
        <v>0.1232179701</v>
      </c>
      <c r="D115" s="1">
        <f t="shared" si="1"/>
        <v>-6.7954257258734645E-4</v>
      </c>
    </row>
    <row r="116" spans="2:4" x14ac:dyDescent="0.2">
      <c r="B116" s="1">
        <v>85.569999690000003</v>
      </c>
      <c r="C116" s="1">
        <v>0.1232261509</v>
      </c>
      <c r="D116" s="1">
        <f t="shared" si="1"/>
        <v>-3.4047920656048569E-3</v>
      </c>
    </row>
    <row r="117" spans="2:4" x14ac:dyDescent="0.2">
      <c r="B117" s="1">
        <v>85.97000122</v>
      </c>
      <c r="C117" s="1">
        <v>0.12331410499999999</v>
      </c>
      <c r="D117" s="1">
        <f t="shared" si="1"/>
        <v>-1.9131399351534626E-3</v>
      </c>
    </row>
    <row r="118" spans="2:4" x14ac:dyDescent="0.2">
      <c r="B118" s="1">
        <v>86.41999817</v>
      </c>
      <c r="C118" s="1">
        <v>0.1231513545</v>
      </c>
      <c r="D118" s="1">
        <f t="shared" si="1"/>
        <v>-1.3877906972982535E-2</v>
      </c>
    </row>
    <row r="119" spans="2:4" x14ac:dyDescent="0.2">
      <c r="B119" s="1">
        <v>86.819999690000003</v>
      </c>
      <c r="C119" s="1">
        <v>0.12352139500000001</v>
      </c>
      <c r="D119" s="1">
        <f t="shared" si="1"/>
        <v>2.3429868101414882E-3</v>
      </c>
    </row>
    <row r="120" spans="2:4" x14ac:dyDescent="0.2">
      <c r="B120" s="1">
        <v>87.16999817</v>
      </c>
      <c r="C120" s="1">
        <v>0.1234470233</v>
      </c>
      <c r="D120" s="1">
        <f t="shared" si="1"/>
        <v>-4.2575735208928503E-3</v>
      </c>
    </row>
    <row r="121" spans="2:4" x14ac:dyDescent="0.2">
      <c r="B121" s="1">
        <v>87.569999690000003</v>
      </c>
      <c r="C121" s="1">
        <v>0.1234993786</v>
      </c>
      <c r="D121" s="1">
        <f t="shared" si="1"/>
        <v>-4.6232434128804997E-3</v>
      </c>
    </row>
    <row r="122" spans="2:4" x14ac:dyDescent="0.2">
      <c r="B122" s="1">
        <v>87.97000122</v>
      </c>
      <c r="C122" s="1">
        <v>0.12351489810000001</v>
      </c>
      <c r="D122" s="1">
        <f t="shared" si="1"/>
        <v>-6.9274644011362114E-3</v>
      </c>
    </row>
    <row r="123" spans="2:4" x14ac:dyDescent="0.2">
      <c r="B123" s="1">
        <v>88.370002749999998</v>
      </c>
      <c r="C123" s="1">
        <v>0.1236752346</v>
      </c>
      <c r="D123" s="1">
        <f t="shared" si="1"/>
        <v>-1.6101374878563833E-3</v>
      </c>
    </row>
    <row r="124" spans="2:4" x14ac:dyDescent="0.2">
      <c r="B124" s="1">
        <v>88.819999690000003</v>
      </c>
      <c r="C124" s="1">
        <v>0.1237707436</v>
      </c>
      <c r="D124" s="1">
        <f t="shared" si="1"/>
        <v>-8.417076675933959E-5</v>
      </c>
    </row>
    <row r="125" spans="2:4" x14ac:dyDescent="0.2">
      <c r="B125" s="1">
        <v>89.16999817</v>
      </c>
      <c r="C125" s="1">
        <v>0.1239595562</v>
      </c>
      <c r="D125" s="1">
        <f t="shared" si="1"/>
        <v>7.1683579819412282E-3</v>
      </c>
    </row>
    <row r="126" spans="2:4" x14ac:dyDescent="0.2">
      <c r="B126" s="1">
        <v>89.569999690000003</v>
      </c>
      <c r="C126" s="1">
        <v>0.1238515452</v>
      </c>
      <c r="D126" s="1">
        <f t="shared" si="1"/>
        <v>-1.6813208813047926E-3</v>
      </c>
    </row>
    <row r="127" spans="2:4" x14ac:dyDescent="0.2">
      <c r="B127" s="1">
        <v>89.980003359999998</v>
      </c>
      <c r="C127" s="1">
        <v>0.1239991263</v>
      </c>
      <c r="D127" s="1">
        <f t="shared" si="1"/>
        <v>2.9359845797602606E-3</v>
      </c>
    </row>
    <row r="128" spans="2:4" x14ac:dyDescent="0.2">
      <c r="B128" s="1">
        <v>90.370002749999998</v>
      </c>
      <c r="C128" s="1">
        <v>0.1240042895</v>
      </c>
      <c r="D128" s="1">
        <f t="shared" si="1"/>
        <v>1.4551100867028465E-4</v>
      </c>
    </row>
    <row r="129" spans="2:4" x14ac:dyDescent="0.2">
      <c r="B129" s="1">
        <v>90.769996640000002</v>
      </c>
      <c r="C129" s="1">
        <v>0.1239238158</v>
      </c>
      <c r="D129" s="1">
        <f t="shared" si="1"/>
        <v>-7.3060229571872389E-3</v>
      </c>
    </row>
    <row r="130" spans="2:4" x14ac:dyDescent="0.2">
      <c r="B130" s="1">
        <v>91.22000122</v>
      </c>
      <c r="C130" s="1">
        <v>0.1241275743</v>
      </c>
      <c r="D130" s="1">
        <f t="shared" si="1"/>
        <v>1.6915868364672598E-5</v>
      </c>
    </row>
    <row r="131" spans="2:4" x14ac:dyDescent="0.2">
      <c r="B131" s="1">
        <v>91.620002749999998</v>
      </c>
      <c r="C131" s="1">
        <v>0.1241030097</v>
      </c>
      <c r="D131" s="1">
        <f t="shared" si="1"/>
        <v>-4.4714232871659884E-3</v>
      </c>
    </row>
    <row r="132" spans="2:4" x14ac:dyDescent="0.2">
      <c r="B132" s="1">
        <v>92.019996640000002</v>
      </c>
      <c r="C132" s="1">
        <v>0.12430050970000001</v>
      </c>
      <c r="D132" s="1">
        <f t="shared" ref="D132:D139" si="2">(C132-($G$6+$G$7*B132))/(($G$3+$G$4*B132)-($G$6+$G$7*B132))</f>
        <v>2.9520991871615312E-3</v>
      </c>
    </row>
    <row r="133" spans="2:4" x14ac:dyDescent="0.2">
      <c r="B133" s="1">
        <v>92.41999817</v>
      </c>
      <c r="C133" s="1">
        <v>0.1243636236</v>
      </c>
      <c r="D133" s="1">
        <f t="shared" si="2"/>
        <v>3.171680952319613E-3</v>
      </c>
    </row>
    <row r="134" spans="2:4" x14ac:dyDescent="0.2">
      <c r="B134" s="1">
        <v>92.819999690000003</v>
      </c>
      <c r="C134" s="1">
        <v>0.12439009550000001</v>
      </c>
      <c r="D134" s="1">
        <f t="shared" si="2"/>
        <v>1.4150233816451825E-3</v>
      </c>
    </row>
    <row r="135" spans="2:4" x14ac:dyDescent="0.2">
      <c r="B135" s="1">
        <v>93.16999817</v>
      </c>
      <c r="C135" s="1">
        <v>0.1244421825</v>
      </c>
      <c r="D135" s="1">
        <f t="shared" si="2"/>
        <v>1.4354267324206132E-3</v>
      </c>
    </row>
    <row r="136" spans="2:4" x14ac:dyDescent="0.2">
      <c r="B136" s="1">
        <v>93.569999690000003</v>
      </c>
      <c r="C136" s="1">
        <v>0.1245391369</v>
      </c>
      <c r="D136" s="1">
        <f t="shared" si="2"/>
        <v>3.4865211743675259E-3</v>
      </c>
    </row>
    <row r="137" spans="2:4" x14ac:dyDescent="0.2">
      <c r="B137" s="1">
        <v>93.97000122</v>
      </c>
      <c r="C137" s="1">
        <v>0.1245532036</v>
      </c>
      <c r="D137" s="1">
        <f t="shared" si="2"/>
        <v>1.0460380348939677E-3</v>
      </c>
    </row>
    <row r="138" spans="2:4" x14ac:dyDescent="0.2">
      <c r="B138" s="1">
        <v>94.41999817</v>
      </c>
      <c r="C138" s="1">
        <v>0.1246709153</v>
      </c>
      <c r="D138" s="1">
        <f t="shared" si="2"/>
        <v>3.8334237609513721E-3</v>
      </c>
    </row>
    <row r="139" spans="2:4" x14ac:dyDescent="0.2">
      <c r="B139" s="1">
        <v>94.769996640000002</v>
      </c>
      <c r="C139" s="1">
        <v>0.1246996522</v>
      </c>
      <c r="D139" s="1">
        <f t="shared" si="2"/>
        <v>2.5852725444547942E-3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C3A9-C3AB-4B4B-931C-DA679FCC596F}">
  <sheetPr codeName="Sheet4"/>
  <dimension ref="B2:H36"/>
  <sheetViews>
    <sheetView workbookViewId="0">
      <selection activeCell="B4" sqref="B4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4" width="8.7109375" style="1"/>
    <col min="5" max="5" width="11.42578125" style="1" bestFit="1" customWidth="1"/>
    <col min="6" max="6" width="13.28515625" style="1" customWidth="1"/>
    <col min="7" max="16384" width="8.7109375" style="1"/>
  </cols>
  <sheetData>
    <row r="2" spans="2:8" x14ac:dyDescent="0.2">
      <c r="B2" s="5" t="s">
        <v>7</v>
      </c>
      <c r="C2" s="1" t="s">
        <v>9</v>
      </c>
    </row>
    <row r="4" spans="2:8" x14ac:dyDescent="0.2">
      <c r="B4" s="5" t="s">
        <v>8</v>
      </c>
      <c r="C4" s="6" t="s">
        <v>1</v>
      </c>
      <c r="D4" s="2" t="s">
        <v>6</v>
      </c>
      <c r="F4" s="2" t="s">
        <v>11</v>
      </c>
      <c r="G4" s="1">
        <v>820.33900000000006</v>
      </c>
    </row>
    <row r="5" spans="2:8" x14ac:dyDescent="0.2">
      <c r="B5" s="1">
        <v>0</v>
      </c>
      <c r="C5" s="1">
        <v>820.33896000000004</v>
      </c>
      <c r="D5" s="1">
        <f t="shared" ref="D5:D17" si="0">(C5-$G$4)/($G$5-$G$4)</f>
        <v>-7.7868845438836472E-9</v>
      </c>
      <c r="F5" s="2" t="s">
        <v>12</v>
      </c>
      <c r="G5" s="1">
        <f>C15</f>
        <v>5957.1815699999997</v>
      </c>
    </row>
    <row r="6" spans="2:8" ht="14.25" x14ac:dyDescent="0.25">
      <c r="B6" s="1">
        <v>9.9000000000000008E-3</v>
      </c>
      <c r="C6" s="1">
        <v>1836.85637</v>
      </c>
      <c r="D6" s="1">
        <f t="shared" si="0"/>
        <v>0.19788758486324412</v>
      </c>
      <c r="F6" s="2" t="s">
        <v>13</v>
      </c>
      <c r="G6" s="1">
        <v>3.6000000000000001E-5</v>
      </c>
      <c r="H6" s="1" t="s">
        <v>10</v>
      </c>
    </row>
    <row r="7" spans="2:8" x14ac:dyDescent="0.2">
      <c r="B7" s="1">
        <v>1.9600000000000003E-2</v>
      </c>
      <c r="C7" s="1">
        <v>2963.4146300000002</v>
      </c>
      <c r="D7" s="1">
        <f t="shared" si="0"/>
        <v>0.41719706235809373</v>
      </c>
    </row>
    <row r="8" spans="2:8" x14ac:dyDescent="0.2">
      <c r="B8" s="1">
        <v>2.9100000000000001E-2</v>
      </c>
      <c r="C8" s="1">
        <v>3901.3550100000002</v>
      </c>
      <c r="D8" s="1">
        <f t="shared" si="0"/>
        <v>0.59978789850279579</v>
      </c>
    </row>
    <row r="9" spans="2:8" x14ac:dyDescent="0.2">
      <c r="B9" s="1">
        <v>3.8460000000000001E-2</v>
      </c>
      <c r="C9" s="1">
        <v>4621.6802200000002</v>
      </c>
      <c r="D9" s="1">
        <f t="shared" si="0"/>
        <v>0.74001512956625426</v>
      </c>
      <c r="G9" s="4"/>
    </row>
    <row r="10" spans="2:8" x14ac:dyDescent="0.2">
      <c r="B10" s="1">
        <v>4.7619999999999996E-2</v>
      </c>
      <c r="C10" s="1">
        <v>5101.6260199999997</v>
      </c>
      <c r="D10" s="1">
        <f t="shared" si="0"/>
        <v>0.8334471928346443</v>
      </c>
    </row>
    <row r="11" spans="2:8" x14ac:dyDescent="0.2">
      <c r="B11" s="1">
        <v>5.6599999999999998E-2</v>
      </c>
      <c r="C11" s="1">
        <v>5482.8748599999999</v>
      </c>
      <c r="D11" s="1">
        <f t="shared" si="0"/>
        <v>0.90766571030032561</v>
      </c>
    </row>
    <row r="12" spans="2:8" x14ac:dyDescent="0.2">
      <c r="B12" s="1">
        <v>6.5420000000000006E-2</v>
      </c>
      <c r="C12" s="1">
        <v>5751.2195099999999</v>
      </c>
      <c r="D12" s="1">
        <f t="shared" si="0"/>
        <v>0.95990493047171588</v>
      </c>
    </row>
    <row r="13" spans="2:8" x14ac:dyDescent="0.2">
      <c r="B13" s="1">
        <v>7.4069999999999983E-2</v>
      </c>
      <c r="C13" s="1">
        <v>5837.3983699999999</v>
      </c>
      <c r="D13" s="1">
        <f t="shared" si="0"/>
        <v>0.97668155128997858</v>
      </c>
    </row>
    <row r="14" spans="2:8" x14ac:dyDescent="0.2">
      <c r="B14" s="1">
        <v>8.2559999999999995E-2</v>
      </c>
      <c r="C14" s="1">
        <v>5921.1382100000001</v>
      </c>
      <c r="D14" s="1">
        <f t="shared" si="0"/>
        <v>0.99298336292988643</v>
      </c>
    </row>
    <row r="15" spans="2:8" x14ac:dyDescent="0.2">
      <c r="B15" s="1">
        <v>9.0899999999999995E-2</v>
      </c>
      <c r="C15" s="1">
        <v>5957.1815699999997</v>
      </c>
      <c r="D15" s="1">
        <f t="shared" si="0"/>
        <v>1</v>
      </c>
    </row>
    <row r="16" spans="2:8" x14ac:dyDescent="0.2">
      <c r="B16" s="1">
        <v>0.1077</v>
      </c>
      <c r="C16" s="1">
        <v>5915.3360000000002</v>
      </c>
      <c r="D16" s="1">
        <f t="shared" si="0"/>
        <v>0.99185383444601072</v>
      </c>
    </row>
    <row r="17" spans="2:4" x14ac:dyDescent="0.2">
      <c r="B17" s="1">
        <v>0.12280000000000001</v>
      </c>
      <c r="C17" s="1">
        <v>5905.6910600000001</v>
      </c>
      <c r="D17" s="1">
        <f t="shared" si="0"/>
        <v>0.98997623359128961</v>
      </c>
    </row>
    <row r="36" spans="5:5" x14ac:dyDescent="0.2">
      <c r="E36" s="3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Worked Example - BF3 NSC (n=2)</vt:lpstr>
      <vt:lpstr>Ex1-NSC (n=2)</vt:lpstr>
      <vt:lpstr>Ex2-SC (n=1)</vt:lpstr>
      <vt:lpstr>Ex3-SC (n=2)</vt:lpstr>
      <vt:lpstr>Ex4-SC (n=4)</vt:lpstr>
      <vt:lpstr>Ex5-SC Titration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Dubins</dc:creator>
  <cp:lastModifiedBy>David Dubins</cp:lastModifiedBy>
  <dcterms:created xsi:type="dcterms:W3CDTF">2026-01-15T20:07:41Z</dcterms:created>
  <dcterms:modified xsi:type="dcterms:W3CDTF">2026-01-27T03:29:06Z</dcterms:modified>
</cp:coreProperties>
</file>